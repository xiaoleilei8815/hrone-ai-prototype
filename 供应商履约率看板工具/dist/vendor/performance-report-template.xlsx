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99826a69543b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管理摘要" sheetId="1" r:id="Rf6578872341740a2"/>
    <sheet xmlns:r="http://schemas.openxmlformats.org/officeDocument/2006/relationships" name="主指标_原始兑现率" sheetId="2" r:id="Rf5f0f1dd8e954bd0"/>
    <sheet xmlns:r="http://schemas.openxmlformats.org/officeDocument/2006/relationships" name="对照_超发校正率" sheetId="3" r:id="Rb0a4e7f53afd4d00"/>
    <sheet xmlns:r="http://schemas.openxmlformats.org/officeDocument/2006/relationships" name="供应商月度明细" sheetId="4" r:id="R0d9234d9aacd408b"/>
    <sheet xmlns:r="http://schemas.openxmlformats.org/officeDocument/2006/relationships" name="仓库满足与发单质量" sheetId="5" r:id="R8b5abd9ee5854c91"/>
    <sheet xmlns:r="http://schemas.openxmlformats.org/officeDocument/2006/relationships" name="供应商责任底表" sheetId="6" r:id="R4b384ed847984003"/>
    <sheet xmlns:r="http://schemas.openxmlformats.org/officeDocument/2006/relationships" name="仓库单元底表" sheetId="7" r:id="Rede990f1b4a0472d"/>
    <sheet xmlns:r="http://schemas.openxmlformats.org/officeDocument/2006/relationships" name="三表对账" sheetId="8" r:id="Ra3f6aaa18bff4225"/>
    <sheet xmlns:r="http://schemas.openxmlformats.org/officeDocument/2006/relationships" name="口径与质量审查" sheetId="9" r:id="R97a26115d33a4908"/>
    <sheet xmlns:r="http://schemas.openxmlformats.org/officeDocument/2006/relationships" name="源文件清单" sheetId="10" r:id="R44e51a6fcb3848b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yyyy-mm-dd"/>
    <numFmt numFmtId="201" formatCode="#,##0.00"/>
    <numFmt numFmtId="202" formatCode="0.0000"/>
    <numFmt numFmtId="203" formatCode="0.0%"/>
    <numFmt numFmtId="204" formatCode="#,##0"/>
  </numFmts>
  <fonts count="8">
    <font>
      <sz val="11"/>
      <name val="Carlito"/>
    </font>
    <font>
      <b/>
      <sz val="17"/>
      <color rgb="FFFFFFFF"/>
      <name val="Microsoft YaHei"/>
    </font>
    <font>
      <sz val="9"/>
      <color rgb="FF4B5563"/>
      <name val="Microsoft YaHei"/>
    </font>
    <font>
      <b/>
      <sz val="10"/>
      <color rgb="FFFFFFFF"/>
      <name val="Microsoft YaHei"/>
    </font>
    <font>
      <sz val="9"/>
      <color rgb="FF1F2937"/>
      <name val="Microsoft YaHei"/>
    </font>
    <font>
      <b/>
      <sz val="9"/>
      <color rgb="FF1F2937"/>
      <name val="Microsoft YaHei"/>
    </font>
    <font>
      <b/>
      <sz val="11"/>
      <color rgb="FFFFFFFF"/>
      <name val="Microsoft YaHei"/>
    </font>
    <font>
      <b/>
      <sz val="9"/>
      <color rgb="FF166534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075985"/>
      </patternFill>
    </fill>
    <fill>
      <patternFill patternType="solid">
        <fgColor rgb="FFFEF3C7"/>
      </patternFill>
    </fill>
    <fill>
      <patternFill patternType="solid">
        <fgColor rgb="FF0C4A6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0F766E"/>
      </patternFill>
    </fill>
    <fill>
      <patternFill patternType="solid">
        <fgColor rgb="FFF3F4F6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0" fontId="4" fillId="0" borderId="2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200" fontId="4" fillId="0" borderId="2" xfId="0" applyNumberFormat="1" applyFont="1" applyFill="1" applyBorder="1" applyAlignment="1">
      <alignment vertical="center"/>
    </xf>
    <xf numFmtId="200" fontId="4" fillId="0" borderId="3" xfId="0" applyNumberFormat="1" applyFont="1" applyFill="1" applyBorder="1" applyAlignment="1">
      <alignment vertical="center"/>
    </xf>
    <xf numFmtId="201" fontId="4" fillId="0" borderId="2" xfId="0" applyNumberFormat="1" applyFont="1" applyFill="1" applyBorder="1" applyAlignment="1">
      <alignment vertical="center"/>
    </xf>
    <xf numFmtId="201" fontId="4" fillId="0" borderId="3" xfId="0" applyNumberFormat="1" applyFont="1" applyFill="1" applyBorder="1" applyAlignment="1">
      <alignment vertical="center"/>
    </xf>
    <xf numFmtId="202" fontId="4" fillId="0" borderId="2" xfId="0" applyNumberFormat="1" applyFont="1" applyFill="1" applyBorder="1" applyAlignment="1">
      <alignment vertical="center"/>
    </xf>
    <xf numFmtId="202" fontId="4" fillId="0" borderId="3" xfId="0" applyNumberFormat="1" applyFont="1" applyFill="1" applyBorder="1" applyAlignment="1">
      <alignment vertical="center"/>
    </xf>
    <xf numFmtId="203" fontId="4" fillId="0" borderId="2" xfId="0" applyNumberFormat="1" applyFont="1" applyFill="1" applyBorder="1" applyAlignment="1">
      <alignment vertical="center"/>
    </xf>
    <xf numFmtId="203" fontId="4" fillId="0" borderId="3" xfId="0" applyNumberFormat="1" applyFont="1" applyFill="1" applyBorder="1" applyAlignment="1">
      <alignment vertical="center"/>
    </xf>
    <xf numFmtId="0" fontId="4" fillId="5" borderId="3" xfId="0" applyNumberFormat="1" applyFont="1" applyFill="1" applyBorder="1" applyAlignment="1">
      <alignment vertical="center"/>
    </xf>
    <xf numFmtId="203" fontId="4" fillId="5" borderId="3" xfId="0" applyNumberFormat="1" applyFont="1" applyFill="1" applyBorder="1" applyAlignment="1">
      <alignment vertical="center"/>
    </xf>
    <xf numFmtId="201" fontId="4" fillId="5" borderId="3" xfId="0" applyNumberFormat="1" applyFont="1" applyFill="1" applyBorder="1" applyAlignment="1">
      <alignment vertical="center"/>
    </xf>
    <xf numFmtId="0" fontId="5" fillId="5" borderId="3" xfId="0" applyNumberFormat="1" applyFont="1" applyFill="1" applyBorder="1" applyAlignment="1">
      <alignment vertical="center"/>
    </xf>
    <xf numFmtId="203" fontId="5" fillId="5" borderId="3" xfId="0" applyNumberFormat="1" applyFont="1" applyFill="1" applyBorder="1" applyAlignment="1">
      <alignment vertical="center"/>
    </xf>
    <xf numFmtId="201" fontId="5" fillId="5" borderId="3" xfId="0" applyNumberFormat="1" applyFont="1" applyFill="1" applyBorder="1" applyAlignment="1">
      <alignment vertical="center"/>
    </xf>
    <xf numFmtId="0" fontId="4" fillId="6" borderId="3" xfId="0" applyNumberFormat="1" applyFont="1" applyFill="1" applyBorder="1" applyAlignment="1">
      <alignment vertical="center"/>
    </xf>
    <xf numFmtId="203" fontId="4" fillId="6" borderId="3" xfId="0" applyNumberFormat="1" applyFont="1" applyFill="1" applyBorder="1" applyAlignment="1">
      <alignment vertical="center"/>
    </xf>
    <xf numFmtId="201" fontId="4" fillId="6" borderId="3" xfId="0" applyNumberFormat="1" applyFont="1" applyFill="1" applyBorder="1" applyAlignment="1">
      <alignment vertical="center"/>
    </xf>
    <xf numFmtId="0" fontId="5" fillId="6" borderId="3" xfId="0" applyNumberFormat="1" applyFont="1" applyFill="1" applyBorder="1" applyAlignment="1">
      <alignment vertical="center"/>
    </xf>
    <xf numFmtId="203" fontId="5" fillId="6" borderId="3" xfId="0" applyNumberFormat="1" applyFont="1" applyFill="1" applyBorder="1" applyAlignment="1">
      <alignment vertical="center"/>
    </xf>
    <xf numFmtId="201" fontId="5" fillId="6" borderId="3" xfId="0" applyNumberFormat="1" applyFont="1" applyFill="1" applyBorder="1" applyAlignment="1">
      <alignment vertical="center"/>
    </xf>
    <xf numFmtId="0" fontId="4" fillId="7" borderId="3" xfId="0" applyNumberFormat="1" applyFont="1" applyFill="1" applyBorder="1" applyAlignment="1">
      <alignment vertical="center"/>
    </xf>
    <xf numFmtId="203" fontId="4" fillId="7" borderId="3" xfId="0" applyNumberFormat="1" applyFont="1" applyFill="1" applyBorder="1" applyAlignment="1">
      <alignment vertical="center"/>
    </xf>
    <xf numFmtId="201" fontId="4" fillId="7" borderId="3" xfId="0" applyNumberFormat="1" applyFont="1" applyFill="1" applyBorder="1" applyAlignment="1">
      <alignment vertical="center"/>
    </xf>
    <xf numFmtId="0" fontId="5" fillId="7" borderId="3" xfId="0" applyNumberFormat="1" applyFont="1" applyFill="1" applyBorder="1" applyAlignment="1">
      <alignment vertical="center"/>
    </xf>
    <xf numFmtId="203" fontId="5" fillId="7" borderId="3" xfId="0" applyNumberFormat="1" applyFont="1" applyFill="1" applyBorder="1" applyAlignment="1">
      <alignment vertical="center"/>
    </xf>
    <xf numFmtId="201" fontId="5" fillId="7" borderId="3" xfId="0" applyNumberFormat="1" applyFont="1" applyFill="1" applyBorder="1" applyAlignment="1">
      <alignment vertical="center"/>
    </xf>
    <xf numFmtId="0" fontId="4" fillId="6" borderId="2" xfId="0" applyNumberFormat="1" applyFont="1" applyFill="1" applyBorder="1" applyAlignment="1">
      <alignment vertical="center"/>
    </xf>
    <xf numFmtId="201" fontId="4" fillId="6" borderId="2" xfId="0" applyNumberFormat="1" applyFont="1" applyFill="1" applyBorder="1" applyAlignment="1">
      <alignment vertical="center"/>
    </xf>
    <xf numFmtId="203" fontId="4" fillId="6" borderId="2" xfId="0" applyNumberFormat="1" applyFont="1" applyFill="1" applyBorder="1" applyAlignment="1">
      <alignment vertical="center"/>
    </xf>
    <xf numFmtId="0" fontId="0" fillId="8" borderId="0" xfId="0" applyNumberFormat="1" applyFont="1" applyFill="1" applyBorder="1"/>
    <xf numFmtId="0" fontId="6" fillId="8" borderId="0" xfId="0" applyNumberFormat="1" applyFont="1" applyFill="1" applyBorder="1"/>
    <xf numFmtId="0" fontId="4" fillId="9" borderId="3" xfId="0" applyNumberFormat="1" applyFont="1" applyFill="1" applyBorder="1" applyAlignment="1">
      <alignment vertical="center"/>
    </xf>
    <xf numFmtId="203" fontId="4" fillId="9" borderId="3" xfId="0" applyNumberFormat="1" applyFont="1" applyFill="1" applyBorder="1" applyAlignment="1">
      <alignment vertical="center"/>
    </xf>
    <xf numFmtId="0" fontId="5" fillId="9" borderId="3" xfId="0" applyNumberFormat="1" applyFont="1" applyFill="1" applyBorder="1" applyAlignment="1">
      <alignment vertical="center"/>
    </xf>
    <xf numFmtId="203" fontId="5" fillId="9" borderId="3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4" fillId="9" borderId="1" xfId="0" applyNumberFormat="1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vertical="center"/>
    </xf>
    <xf numFmtId="201" fontId="4" fillId="0" borderId="1" xfId="0" applyNumberFormat="1" applyFont="1" applyFill="1" applyBorder="1" applyAlignment="1">
      <alignment vertical="center"/>
    </xf>
    <xf numFmtId="201" fontId="5" fillId="9" borderId="1" xfId="0" applyNumberFormat="1" applyFont="1" applyFill="1" applyBorder="1" applyAlignment="1">
      <alignment vertical="center"/>
    </xf>
    <xf numFmtId="203" fontId="4" fillId="0" borderId="1" xfId="0" applyNumberFormat="1" applyFont="1" applyFill="1" applyBorder="1" applyAlignment="1">
      <alignment vertical="center"/>
    </xf>
    <xf numFmtId="203" fontId="5" fillId="9" borderId="1" xfId="0" applyNumberFormat="1" applyFont="1" applyFill="1" applyBorder="1" applyAlignment="1">
      <alignment vertical="center"/>
    </xf>
    <xf numFmtId="0" fontId="4" fillId="5" borderId="1" xfId="0" applyNumberFormat="1" applyFont="1" applyFill="1" applyBorder="1" applyAlignment="1">
      <alignment vertical="center"/>
    </xf>
    <xf numFmtId="0" fontId="7" fillId="5" borderId="1" xfId="0" applyNumberFormat="1" applyFont="1" applyFill="1" applyBorder="1" applyAlignment="1">
      <alignment vertical="center"/>
    </xf>
    <xf numFmtId="0" fontId="2" fillId="3" borderId="4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7" xfId="0" applyNumberFormat="1" applyFont="1" applyFill="1" applyBorder="1"/>
    <xf numFmtId="0" fontId="2" fillId="3" borderId="2" xfId="0" applyNumberFormat="1" applyFont="1" applyFill="1" applyBorder="1"/>
    <xf numFmtId="0" fontId="2" fillId="3" borderId="8" xfId="0" applyNumberFormat="1" applyFont="1" applyFill="1" applyBorder="1"/>
    <xf numFmtId="0" fontId="2" fillId="3" borderId="4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wrapText="1"/>
    </xf>
    <xf numFmtId="0" fontId="2" fillId="3" borderId="6" xfId="0" applyNumberFormat="1" applyFont="1" applyFill="1" applyBorder="1" applyAlignment="1">
      <alignment wrapText="1"/>
    </xf>
    <xf numFmtId="0" fontId="2" fillId="3" borderId="7" xfId="0" applyNumberFormat="1" applyFont="1" applyFill="1" applyBorder="1" applyAlignment="1">
      <alignment wrapText="1"/>
    </xf>
    <xf numFmtId="0" fontId="2" fillId="3" borderId="2" xfId="0" applyNumberFormat="1" applyFont="1" applyFill="1" applyBorder="1" applyAlignment="1">
      <alignment wrapText="1"/>
    </xf>
    <xf numFmtId="0" fontId="2" fillId="3" borderId="8" xfId="0" applyNumberFormat="1" applyFont="1" applyFill="1" applyBorder="1" applyAlignment="1">
      <alignment wrapText="1"/>
    </xf>
    <xf numFmtId="0" fontId="2" fillId="3" borderId="4" xfId="0" applyNumberFormat="1" applyFont="1" applyFill="1" applyBorder="1" applyAlignment="1">
      <alignment vertical="center" wrapText="1"/>
    </xf>
    <xf numFmtId="0" fontId="2" fillId="3" borderId="5" xfId="0" applyNumberFormat="1" applyFont="1" applyFill="1" applyBorder="1" applyAlignment="1">
      <alignment vertical="center" wrapText="1"/>
    </xf>
    <xf numFmtId="0" fontId="2" fillId="3" borderId="6" xfId="0" applyNumberFormat="1" applyFont="1" applyFill="1" applyBorder="1" applyAlignment="1">
      <alignment vertical="center" wrapText="1"/>
    </xf>
    <xf numFmtId="0" fontId="2" fillId="3" borderId="7" xfId="0" applyNumberFormat="1" applyFont="1" applyFill="1" applyBorder="1" applyAlignment="1">
      <alignment vertical="center" wrapText="1"/>
    </xf>
    <xf numFmtId="0" fontId="2" fillId="3" borderId="2" xfId="0" applyNumberFormat="1" applyFont="1" applyFill="1" applyBorder="1" applyAlignment="1">
      <alignment vertical="center" wrapText="1"/>
    </xf>
    <xf numFmtId="0" fontId="2" fillId="3" borderId="8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/>
    <xf numFmtId="0" fontId="4" fillId="0" borderId="1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/>
    <xf numFmtId="0" fontId="4" fillId="7" borderId="0" xfId="0" applyNumberFormat="1" applyFont="1" applyFill="1" applyBorder="1"/>
    <xf numFmtId="0" fontId="4" fillId="7" borderId="0" xfId="0" applyNumberFormat="1" applyFont="1" applyFill="1" applyBorder="1" applyAlignment="1">
      <alignment wrapText="1"/>
    </xf>
    <xf numFmtId="0" fontId="4" fillId="7" borderId="0" xfId="0" applyNumberFormat="1" applyFont="1" applyFill="1" applyBorder="1" applyAlignment="1">
      <alignment vertical="center" wrapText="1"/>
    </xf>
    <xf numFmtId="204" fontId="4" fillId="0" borderId="2" xfId="0" applyNumberFormat="1" applyFont="1" applyFill="1" applyBorder="1" applyAlignment="1">
      <alignment vertical="center"/>
    </xf>
    <xf numFmtId="204" fontId="4" fillId="0" borderId="3" xfId="0" applyNumberFormat="1" applyFont="1" applyFill="1" applyBorder="1" applyAlignment="1">
      <alignment vertical="center"/>
    </xf>
  </cellXfs>
  <cellStyles count="1">
    <cellStyle name="Normal" xfId="0"/>
  </cellStyles>
  <dxfs count="23">
    <dxf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ada4df67a4926" /><Relationship Type="http://schemas.openxmlformats.org/officeDocument/2006/relationships/theme" Target="/xl/theme/theme1.xml" Id="Rf38f162783224374" /><Relationship Type="http://schemas.openxmlformats.org/officeDocument/2006/relationships/sharedStrings" Target="/xl/sharedStrings.xml" Id="Rc9eb6ece00ce4f98" /><Relationship Type="http://schemas.openxmlformats.org/officeDocument/2006/relationships/worksheet" Target="/xl/worksheets/sheet1.xml" Id="Rf6578872341740a2" /><Relationship Type="http://schemas.openxmlformats.org/officeDocument/2006/relationships/worksheet" Target="/xl/worksheets/sheet2.xml" Id="Rf5f0f1dd8e954bd0" /><Relationship Type="http://schemas.openxmlformats.org/officeDocument/2006/relationships/worksheet" Target="/xl/worksheets/sheet3.xml" Id="Rb0a4e7f53afd4d00" /><Relationship Type="http://schemas.openxmlformats.org/officeDocument/2006/relationships/worksheet" Target="/xl/worksheets/sheet4.xml" Id="R0d9234d9aacd408b" /><Relationship Type="http://schemas.openxmlformats.org/officeDocument/2006/relationships/worksheet" Target="/xl/worksheets/sheet5.xml" Id="R8b5abd9ee5854c91" /><Relationship Type="http://schemas.openxmlformats.org/officeDocument/2006/relationships/worksheet" Target="/xl/worksheets/sheet6.xml" Id="R4b384ed847984003" /><Relationship Type="http://schemas.openxmlformats.org/officeDocument/2006/relationships/worksheet" Target="/xl/worksheets/sheet7.xml" Id="Rede990f1b4a0472d" /><Relationship Type="http://schemas.openxmlformats.org/officeDocument/2006/relationships/worksheet" Target="/xl/worksheets/sheet8.xml" Id="Ra3f6aaa18bff4225" /><Relationship Type="http://schemas.openxmlformats.org/officeDocument/2006/relationships/worksheet" Target="/xl/worksheets/sheet9.xml" Id="R97a26115d33a4908" /><Relationship Type="http://schemas.openxmlformats.org/officeDocument/2006/relationships/worksheet" Target="/xl/worksheets/sheet10.xml" Id="R44e51a6fcb3848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a1472ded014c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欧洲4-6月关键履约与保障指标</a:t>
            </a:r>
          </a:p>
        </c:rich>
      </c:tx>
    </c:title>
    <c:plotArea>
      <c:lineChart>
        <c:grouping val="standard"/>
        <c:ser>
          <c:idx val="0"/>
          <c:order val="0"/>
          <c:tx>
            <c:v>原始接单兑现率</c:v>
          </c:tx>
          <c:marker>
            <c:symbol val="none"/>
          </c:marker>
          <c:cat>
            <c:strRef>
              <c:f>'管理摘要'!$A$6:$A$8</c:f>
              <c:strCache>
                <c:ptCount val="0"/>
              </c:strCache>
            </c:strRef>
          </c:cat>
          <c:val>
            <c:numRef>
              <c:f>'管理摘要'!$B$6:$B$8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超发校正率</c:v>
          </c:tx>
          <c:marker>
            <c:symbol val="none"/>
          </c:marker>
          <c:cat>
            <c:strRef>
              <c:f>'管理摘要'!$A$6:$A$8</c:f>
              <c:strCache>
                <c:ptCount val="0"/>
              </c:strCache>
            </c:strRef>
          </c:cat>
          <c:val>
            <c:numRef>
              <c:f>'管理摘要'!$C$6:$C$8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仓库真实满足率</c:v>
          </c:tx>
          <c:marker>
            <c:symbol val="none"/>
          </c:marker>
          <c:cat>
            <c:strRef>
              <c:f>'管理摘要'!$A$6:$A$8</c:f>
              <c:strCache>
                <c:ptCount val="0"/>
              </c:strCache>
            </c:strRef>
          </c:cat>
          <c:val>
            <c:numRef>
              <c:f>'管理摘要'!$D$6:$D$8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发单覆盖率</c:v>
          </c:tx>
          <c:marker>
            <c:symbol val="none"/>
          </c:marker>
          <c:cat>
            <c:strRef>
              <c:f>'管理摘要'!$A$6:$A$8</c:f>
              <c:strCache>
                <c:ptCount val="0"/>
              </c:strCache>
            </c:strRef>
          </c:cat>
          <c:val>
            <c:numRef>
              <c:f>'管理摘要'!$E$6:$E$8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1472ded014c0e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RawFulfillmentScorecard" displayName="RawFulfillmentScorecard" ref="A4:L155" headerRowCount="1" totalsRowCount="0" totalsRowShown="0">
  <autoFilter ref="A4:L155"/>
  <tableColumns count="12">
    <tableColumn id="1" name="区域"/>
    <tableColumn id="2" name="供应商名称"/>
    <tableColumn id="3" name="供应商ID"/>
    <tableColumn id="4" name="层级"/>
    <tableColumn id="5" name="工种"/>
    <tableColumn id="6" name="4月履约率"/>
    <tableColumn id="7" name="5月履约率"/>
    <tableColumn id="8" name="6月履约率"/>
    <tableColumn id="9" name="月度平均"/>
    <tableColumn id="10" name="Q2累计加权"/>
    <tableColumn id="11" name="Q2实际发单"/>
    <tableColumn id="12" name="Q2有效兑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AdjustedFulfillmentScorecard" displayName="AdjustedFulfillmentScorecard" ref="A4:M155" headerRowCount="1" totalsRowCount="0" totalsRowShown="0">
  <autoFilter ref="A4:M155"/>
  <tableColumns count="13">
    <tableColumn id="1" name="区域"/>
    <tableColumn id="2" name="供应商名称"/>
    <tableColumn id="3" name="供应商ID"/>
    <tableColumn id="4" name="层级"/>
    <tableColumn id="5" name="工种"/>
    <tableColumn id="6" name="4月履约率"/>
    <tableColumn id="7" name="5月履约率"/>
    <tableColumn id="8" name="6月履约率"/>
    <tableColumn id="9" name="月度平均"/>
    <tableColumn id="10" name="Q2累计加权"/>
    <tableColumn id="11" name="Q2合理责任"/>
    <tableColumn id="12" name="Q2校正兑现"/>
    <tableColumn id="13" name="Q2释放超发责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ierMonthlyMetrics" displayName="SupplierMonthlyMetrics" ref="A4:O155" headerRowCount="1" totalsRowCount="0" totalsRowShown="0">
  <autoFilter ref="A4:O155"/>
  <tableColumns count="15">
    <tableColumn id="1" name="区域"/>
    <tableColumn id="2" name="供应商名称"/>
    <tableColumn id="3" name="供应商ID"/>
    <tableColumn id="4" name="工种"/>
    <tableColumn id="5" name="月份"/>
    <tableColumn id="6" name="实际发单"/>
    <tableColumn id="7" name="实际派遣"/>
    <tableColumn id="8" name="原始有效兑现"/>
    <tableColumn id="9" name="原始兑现率"/>
    <tableColumn id="10" name="合理责任"/>
    <tableColumn id="11" name="校正有效兑现"/>
    <tableColumn id="12" name="超发校正率"/>
    <tableColumn id="13" name="释放超发责任"/>
    <tableColumn id="14" name="校正率变化"/>
    <tableColumn id="15" name="派遣超订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WarehouseAndAllocationSummary" displayName="WarehouseAndAllocationSummary" ref="A4:Q79" headerRowCount="1" totalsRowCount="0" totalsRowShown="0">
  <autoFilter ref="A4:Q79"/>
  <tableColumns count="17">
    <tableColumn id="1" name="区域"/>
    <tableColumn id="2" name="层级"/>
    <tableColumn id="3" name="工种"/>
    <tableColumn id="4" name="月份"/>
    <tableColumn id="5" name="真实需求"/>
    <tableColumn id="6" name="总发单"/>
    <tableColumn id="7" name="总派遣"/>
    <tableColumn id="8" name="发单覆盖量"/>
    <tableColumn id="9" name="仓库有效满足"/>
    <tableColumn id="10" name="超发人日"/>
    <tableColumn id="11" name="零需求发单"/>
    <tableColumn id="12" name="少发人日"/>
    <tableColumn id="13" name="冗余派遣"/>
    <tableColumn id="14" name="发单覆盖率"/>
    <tableColumn id="15" name="仓库满足率"/>
    <tableColumn id="16" name="原始兑现率"/>
    <tableColumn id="17" name="超发校正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SupplierAtomicResponsibility" displayName="SupplierAtomicResponsibility" ref="A4:V1541" headerRowCount="1" totalsRowCount="0" totalsRowShown="0">
  <autoFilter ref="A4:V1541"/>
  <tableColumns count="22">
    <tableColumn id="1" name="区域"/>
    <tableColumn id="2" name="仓库"/>
    <tableColumn id="3" name="组"/>
    <tableColumn id="4" name="日期"/>
    <tableColumn id="5" name="月份"/>
    <tableColumn id="6" name="工种"/>
    <tableColumn id="7" name="班次"/>
    <tableColumn id="8" name="供应商ID"/>
    <tableColumn id="9" name="供应商名称"/>
    <tableColumn id="10" name="原始需求"/>
    <tableColumn id="11" name="补员"/>
    <tableColumn id="12" name="真实需求"/>
    <tableColumn id="13" name="单元总发单"/>
    <tableColumn id="14" name="单元总派遣"/>
    <tableColumn id="15" name="供应商发单"/>
    <tableColumn id="16" name="供应商派遣"/>
    <tableColumn id="17" name="原始有效兑现"/>
    <tableColumn id="18" name="责任折算因子"/>
    <tableColumn id="19" name="合理责任"/>
    <tableColumn id="20" name="校正有效兑现"/>
    <tableColumn id="21" name="释放超发责任"/>
    <tableColumn id="22" name="派遣超订单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WarehouseAtomicFacts" displayName="WarehouseAtomicFacts" ref="A4:S1321" headerRowCount="1" totalsRowCount="0" totalsRowShown="0">
  <autoFilter ref="A4:S1321"/>
  <tableColumns count="19">
    <tableColumn id="1" name="区域"/>
    <tableColumn id="2" name="仓库"/>
    <tableColumn id="3" name="组"/>
    <tableColumn id="4" name="日期"/>
    <tableColumn id="5" name="月份"/>
    <tableColumn id="6" name="工种"/>
    <tableColumn id="7" name="班次"/>
    <tableColumn id="8" name="原始需求"/>
    <tableColumn id="9" name="补员"/>
    <tableColumn id="10" name="真实需求"/>
    <tableColumn id="11" name="总发单"/>
    <tableColumn id="12" name="总派遣"/>
    <tableColumn id="13" name="发单覆盖量"/>
    <tableColumn id="14" name="仓库有效满足"/>
    <tableColumn id="15" name="责任折算因子"/>
    <tableColumn id="16" name="超发人日"/>
    <tableColumn id="17" name="零需求发单"/>
    <tableColumn id="18" name="少发人日"/>
    <tableColumn id="19" name="冗余派遣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onthlyThreeWayReconciliation" displayName="MonthlyThreeWayReconciliation" ref="A4:N21" headerRowCount="1" totalsRowCount="0" totalsRowShown="0">
  <autoFilter ref="A4:N21"/>
  <tableColumns count="14">
    <tableColumn id="1" name="月份"/>
    <tableColumn id="2" name="区域"/>
    <tableColumn id="3" name="基本需求"/>
    <tableColumn id="4" name="需求详情需求"/>
    <tableColumn id="5" name="需求差"/>
    <tableColumn id="6" name="基本发单"/>
    <tableColumn id="7" name="需求详情发单"/>
    <tableColumn id="8" name="发单详情发单"/>
    <tableColumn id="9" name="发单最大差"/>
    <tableColumn id="10" name="基本派遣"/>
    <tableColumn id="11" name="需求详情派遣"/>
    <tableColumn id="12" name="发单详情派遣"/>
    <tableColumn id="13" name="派遣最大差"/>
    <tableColumn id="14" name="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FileRegistry" displayName="SourceFileRegistry" ref="A4:F11" headerRowCount="1" totalsRowCount="0" totalsRowShown="0">
  <autoFilter ref="A4:F11"/>
  <tableColumns count="6">
    <tableColumn id="1" name="文件"/>
    <tableColumn id="2" name="期间开始"/>
    <tableColumn id="3" name="期间结束"/>
    <tableColumn id="4" name="大小(Bytes)"/>
    <tableColumn id="5" name="修改时间"/>
    <tableColumn id="6" name="SHA-2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6e8d7a20e94b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0c7323297a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9a2451dcdc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f204ce0a645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6cd7134bae48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714ac0ddaf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4bd93c6d4a49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4654422a5847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6f41138203d4401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</cols>
  <sheetData>
    <row r="1" ht="34" customHeight="1">
      <c r="A1" s="4" t="str">
        <v>欧洲供应商履约率管理摘要（2026年4-6月）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8" customHeight="1">
      <c r="A2" s="8" t="str">
        <v>主指标是原始接单兑现率；超发校正率用于判断HR超发是否稀释供应商表现；仓库满足率和发单覆盖率分别反映最终保障与HR发单质量。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>
      <c r="A4" s="50" t="str">
        <v>欧洲月度趋势</v>
      </c>
      <c r="B4" s="50"/>
      <c r="C4" s="50"/>
      <c r="D4" s="50"/>
      <c r="E4" s="50"/>
      <c r="F4" s="50"/>
      <c r="G4" s="50"/>
    </row>
    <row r="5" ht="32" customHeight="1">
      <c r="A5" s="14" t="str">
        <v>月份</v>
      </c>
      <c r="B5" s="14" t="str">
        <v>原始接单兑现率</v>
      </c>
      <c r="C5" s="14" t="str">
        <v>超发校正率</v>
      </c>
      <c r="D5" s="14" t="str">
        <v>仓库真实满足率</v>
      </c>
      <c r="E5" s="14" t="str">
        <v>发单覆盖率</v>
      </c>
      <c r="F5" s="14" t="str">
        <v>实际发单/真实需求</v>
      </c>
      <c r="G5" s="14" t="str">
        <v>派遣/真实需求</v>
      </c>
    </row>
    <row r="6">
      <c r="A6" s="18" t="str">
        <v>2026-04</v>
      </c>
      <c r="B6" s="26" t="n">
        <f>SUMIFS('供应商月度明细'!$H$5:$H$155,'供应商月度明细'!$E$5:$E$155,$A6)/SUMIFS('供应商月度明细'!$F$5:$F$155,'供应商月度明细'!$E$5:$E$155,$A6)</f>
        <v>0.8557175748273216</v>
      </c>
      <c r="C6" s="26" t="n">
        <f>SUMIFS('供应商月度明细'!$K$5:$K$155,'供应商月度明细'!$E$5:$E$155,$A6)/SUMIFS('供应商月度明细'!$J$5:$J$155,'供应商月度明细'!$E$5:$E$155,$A6)</f>
        <v>0.9026240768903143</v>
      </c>
      <c r="D6" s="26" t="n">
        <f>SUMIFS('仓库单元底表'!$N$5:$N$1321,'仓库单元底表'!$E$5:$E$1321,$A6)/SUMIFS('仓库单元底表'!$J$5:$J$1321,'仓库单元底表'!$E$5:$E$1321,$A6)</f>
        <v>0.872895622895623</v>
      </c>
      <c r="E6" s="26" t="n">
        <f>SUMIFS('仓库单元底表'!$M$5:$M$1321,'仓库单元底表'!$E$5:$E$1321,$A6)/SUMIFS('仓库单元底表'!$J$5:$J$1321,'仓库单元底表'!$E$5:$E$1321,$A6)</f>
        <v>0.9570707070707071</v>
      </c>
      <c r="F6" s="26" t="n">
        <f>SUMIFS('仓库单元底表'!$K$5:$K$1321,'仓库单元底表'!$E$5:$E$1321,$A6)/SUMIFS('仓库单元底表'!$J$5:$J$1321,'仓库单元底表'!$E$5:$E$1321,$A6)</f>
        <v>1.0968013468013469</v>
      </c>
      <c r="G6" s="26" t="n">
        <f>SUMIFS('仓库单元底表'!$L$5:$L$1321,'仓库单元底表'!$E$5:$E$1321,$A6)/SUMIFS('仓库单元底表'!$J$5:$J$1321,'仓库单元底表'!$E$5:$E$1321,$A6)</f>
        <v>0.9385521885521886</v>
      </c>
    </row>
    <row r="7">
      <c r="A7" s="19" t="str">
        <v>2026-05</v>
      </c>
      <c r="B7" s="27" t="n">
        <f>SUMIFS('供应商月度明细'!$H$5:$H$155,'供应商月度明细'!$E$5:$E$155,$A7)/SUMIFS('供应商月度明细'!$F$5:$F$155,'供应商月度明细'!$E$5:$E$155,$A7)</f>
        <v>0.7117206982543641</v>
      </c>
      <c r="C7" s="27" t="n">
        <f>SUMIFS('供应商月度明细'!$K$5:$K$155,'供应商月度明细'!$E$5:$E$155,$A7)/SUMIFS('供应商月度明细'!$J$5:$J$155,'供应商月度明细'!$E$5:$E$155,$A7)</f>
        <v>0.7734946077578104</v>
      </c>
      <c r="D7" s="27" t="n">
        <f>SUMIFS('仓库单元底表'!$N$5:$N$1321,'仓库单元底表'!$E$5:$E$1321,$A7)/SUMIFS('仓库单元底表'!$J$5:$J$1321,'仓库单元底表'!$E$5:$E$1321,$A7)</f>
        <v>0.688877755511022</v>
      </c>
      <c r="E7" s="27" t="n">
        <f>SUMIFS('仓库单元底表'!$M$5:$M$1321,'仓库单元底表'!$E$5:$E$1321,$A7)/SUMIFS('仓库单元底表'!$J$5:$J$1321,'仓库单元底表'!$E$5:$E$1321,$A7)</f>
        <v>0.8607214428857716</v>
      </c>
      <c r="F7" s="27" t="n">
        <f>SUMIFS('仓库单元底表'!$K$5:$K$1321,'仓库单元底表'!$E$5:$E$1321,$A7)/SUMIFS('仓库单元底表'!$J$5:$J$1321,'仓库单元底表'!$E$5:$E$1321,$A7)</f>
        <v>1.004509018036072</v>
      </c>
      <c r="G7" s="27" t="n">
        <f>SUMIFS('仓库单元底表'!$L$5:$L$1321,'仓库单元底表'!$E$5:$E$1321,$A7)/SUMIFS('仓库单元底表'!$J$5:$J$1321,'仓库单元底表'!$E$5:$E$1321,$A7)</f>
        <v>0.7149298597194389</v>
      </c>
    </row>
    <row r="8">
      <c r="A8" s="19" t="str">
        <v>2026-06</v>
      </c>
      <c r="B8" s="27" t="n">
        <f>SUMIFS('供应商月度明细'!$H$5:$H$155,'供应商月度明细'!$E$5:$E$155,$A8)/SUMIFS('供应商月度明细'!$F$5:$F$155,'供应商月度明细'!$E$5:$E$155,$A8)</f>
        <v>0.7387669801462905</v>
      </c>
      <c r="C8" s="27" t="n">
        <f>SUMIFS('供应商月度明细'!$K$5:$K$155,'供应商月度明细'!$E$5:$E$155,$A8)/SUMIFS('供应商月度明细'!$J$5:$J$155,'供应商月度明细'!$E$5:$E$155,$A8)</f>
        <v>0.7572604607024729</v>
      </c>
      <c r="D8" s="27" t="n">
        <f>SUMIFS('仓库单元底表'!$N$5:$N$1321,'仓库单元底表'!$E$5:$E$1321,$A8)/SUMIFS('仓库单元底表'!$J$5:$J$1321,'仓库单元底表'!$E$5:$E$1321,$A8)</f>
        <v>0.5472276400111452</v>
      </c>
      <c r="E8" s="27" t="n">
        <f>SUMIFS('仓库单元底表'!$M$5:$M$1321,'仓库单元底表'!$E$5:$E$1321,$A8)/SUMIFS('仓库单元底表'!$J$5:$J$1321,'仓库单元底表'!$E$5:$E$1321,$A8)</f>
        <v>0.7149623850654778</v>
      </c>
      <c r="F8" s="27" t="n">
        <f>SUMIFS('仓库单元底表'!$K$5:$K$1321,'仓库单元底表'!$E$5:$E$1321,$A8)/SUMIFS('仓库单元底表'!$J$5:$J$1321,'仓库单元底表'!$E$5:$E$1321,$A8)</f>
        <v>0.7999442741710783</v>
      </c>
      <c r="G8" s="27" t="n">
        <f>SUMIFS('仓库单元底表'!$L$5:$L$1321,'仓库单元底表'!$E$5:$E$1321,$A8)/SUMIFS('仓库单元底表'!$J$5:$J$1321,'仓库单元底表'!$E$5:$E$1321,$A8)</f>
        <v>0.5909724157146837</v>
      </c>
    </row>
    <row r="9">
      <c r="A9" s="53" t="str">
        <v>三个月算术平均</v>
      </c>
      <c r="B9" s="54" t="n">
        <f>AVERAGE(B6:B8)</f>
        <v>0.7687350844093254</v>
      </c>
      <c r="C9" s="54" t="n">
        <f>AVERAGE(C6:C8)</f>
        <v>0.8111263817835326</v>
      </c>
      <c r="D9" s="54" t="n">
        <f>AVERAGE(D6:D8)</f>
        <v>0.7030003394725967</v>
      </c>
      <c r="E9" s="54" t="n">
        <f>AVERAGE(E6:E8)</f>
        <v>0.8442515116739854</v>
      </c>
      <c r="F9" s="54" t="n">
        <f>AVERAGE(F6:F8)</f>
        <v>0.967084879669499</v>
      </c>
      <c r="G9" s="54" t="n">
        <f>AVERAGE(G6:G8)</f>
        <v>0.7481514879954371</v>
      </c>
    </row>
    <row r="10">
      <c r="A10" s="53" t="str">
        <v>Q2累计加权</v>
      </c>
      <c r="B10" s="54" t="n">
        <f>SUM('供应商月度明细'!$H$5:$H$155)/SUM('供应商月度明细'!$F$5:$F$155)</f>
        <v>0.7546528564492636</v>
      </c>
      <c r="C10" s="54" t="n">
        <f>SUM('供应商月度明细'!$K$5:$K$155)/SUM('供应商月度明细'!$J$5:$J$155)</f>
        <v>0.7928938671305574</v>
      </c>
      <c r="D10" s="54" t="n">
        <f>SUM('仓库单元底表'!$N$5:$N$1321)/SUM('仓库单元底表'!$J$5:$J$1321)</f>
        <v>0.6460947881293371</v>
      </c>
      <c r="E10" s="54" t="n">
        <f>SUM('仓库单元底表'!$M$5:$M$1321)/SUM('仓库单元底表'!$J$5:$J$1321)</f>
        <v>0.800383877159309</v>
      </c>
      <c r="F10" s="54" t="n">
        <f>SUM('仓库单元底表'!$K$5:$K$1321)/SUM('仓库单元底表'!$J$5:$J$1321)</f>
        <v>0.912298833604016</v>
      </c>
      <c r="G10" s="54" t="n">
        <f>SUM('仓库单元底表'!$L$5:$L$1321)/SUM('仓库单元底表'!$J$5:$J$1321)</f>
        <v>0.6884689207146021</v>
      </c>
    </row>
    <row r="12">
      <c r="A12" s="50" t="str">
        <v>Q2关键人日与风险</v>
      </c>
      <c r="B12" s="50"/>
      <c r="C12" s="50"/>
      <c r="D12" s="50"/>
      <c r="E12" s="50"/>
      <c r="F12" s="50"/>
      <c r="G12" s="50"/>
      <c r="H12" s="50"/>
    </row>
    <row r="13">
      <c r="A13" s="57" t="str">
        <v>真实需求</v>
      </c>
      <c r="B13" s="58" t="n">
        <f>SUM('仓库单元底表'!$J$5:$J$1321)</f>
        <v>6773</v>
      </c>
      <c r="C13" s="59" t="str">
        <v>实际发单</v>
      </c>
      <c r="D13" s="58" t="n">
        <f>SUM('仓库单元底表'!$K$5:$K$1321)</f>
        <v>6179</v>
      </c>
      <c r="E13" s="59" t="str">
        <v>实际派遣</v>
      </c>
      <c r="F13" s="58" t="n">
        <f>SUM('仓库单元底表'!$L$5:$L$1321)</f>
        <v>4663</v>
      </c>
      <c r="G13" s="59" t="str">
        <v>合理责任</v>
      </c>
      <c r="H13" s="58" t="n">
        <f>SUM('供应商月度明细'!$J$5:$J$155)</f>
        <v>5420.999999999999</v>
      </c>
    </row>
    <row r="14">
      <c r="A14" s="57" t="str">
        <v>少发人日</v>
      </c>
      <c r="B14" s="58" t="n">
        <f>SUM('仓库单元底表'!$R$5:$R$1321)</f>
        <v>1352</v>
      </c>
      <c r="C14" s="59" t="str">
        <v>超发人日</v>
      </c>
      <c r="D14" s="58" t="n">
        <f>SUM('仓库单元底表'!$P$5:$P$1321)</f>
        <v>622</v>
      </c>
      <c r="E14" s="59" t="str">
        <v>零需求发单</v>
      </c>
      <c r="F14" s="58" t="n">
        <f>SUM('仓库单元底表'!$Q$5:$Q$1321)</f>
        <v>136</v>
      </c>
      <c r="G14" s="59" t="str">
        <v>冗余派遣</v>
      </c>
      <c r="H14" s="58" t="n">
        <f>SUM('仓库单元底表'!$S$5:$S$1321)</f>
        <v>287</v>
      </c>
    </row>
    <row r="15">
      <c r="A15" s="57" t="str">
        <v>原始Q2加权</v>
      </c>
      <c r="B15" s="60" t="n">
        <f>B10</f>
        <v>0.7546528564492636</v>
      </c>
      <c r="C15" s="61" t="str">
        <v>校正Q2加权</v>
      </c>
      <c r="D15" s="60" t="n">
        <f>C10</f>
        <v>0.7928938671305574</v>
      </c>
      <c r="E15" s="61" t="str">
        <v>仓库Q2满足</v>
      </c>
      <c r="F15" s="60" t="n">
        <f>D10</f>
        <v>0.6460947881293371</v>
      </c>
      <c r="G15" s="57" t="str">
        <v>独立复核</v>
      </c>
      <c r="H15" s="63" t="str">
        <v>PASS</v>
      </c>
    </row>
    <row r="17">
      <c r="A17" s="50" t="str">
        <v>区域对比</v>
      </c>
      <c r="B17" s="50"/>
      <c r="C17" s="50"/>
      <c r="D17" s="50"/>
      <c r="E17" s="50"/>
      <c r="F17" s="50"/>
      <c r="G17" s="50"/>
      <c r="H17" s="50"/>
    </row>
    <row r="18" ht="32" customHeight="1">
      <c r="A18" s="14" t="str">
        <v>区域</v>
      </c>
      <c r="B18" s="14" t="str">
        <v>原始月均</v>
      </c>
      <c r="C18" s="14" t="str">
        <v>校正月均</v>
      </c>
      <c r="D18" s="14" t="str">
        <v>月均变化</v>
      </c>
      <c r="E18" s="14" t="str">
        <v>仓库月均</v>
      </c>
      <c r="F18" s="14" t="str">
        <v>覆盖月均</v>
      </c>
      <c r="G18" s="14" t="str">
        <v>Q2超发人日</v>
      </c>
      <c r="H18" s="14" t="str">
        <v>Q2少发人日</v>
      </c>
    </row>
    <row r="19">
      <c r="A19" s="18" t="str">
        <v>英国区</v>
      </c>
      <c r="B19" s="26" t="n">
        <f>'主指标_原始兑现率'!I37</f>
        <v>0.8767358577477267</v>
      </c>
      <c r="C19" s="26" t="n">
        <f>'对照_超发校正率'!I37</f>
        <v>0.8837770681830088</v>
      </c>
      <c r="D19" s="26" t="n">
        <f>C19-B19</f>
        <v>0.007041210435282164</v>
      </c>
      <c r="E19" s="26" t="n">
        <f>AVERAGE('仓库满足与发单质量'!O15,'仓库满足与发单质量'!O16,'仓库满足与发单质量'!O17)</f>
        <v>0.8701137211641413</v>
      </c>
      <c r="F19" s="26" t="n">
        <f>AVERAGE('仓库满足与发单质量'!N15,'仓库满足与发单质量'!N16,'仓库满足与发单质量'!N17)</f>
        <v>0.9819005895388028</v>
      </c>
      <c r="G19" s="22" t="n">
        <f>SUMIFS('仓库单元底表'!$P$5:$P$1321,'仓库单元底表'!$A$5:$A$1321,$A19)</f>
        <v>78</v>
      </c>
      <c r="H19" s="22" t="n">
        <f>SUMIFS('仓库单元底表'!$R$5:$R$1321,'仓库单元底表'!$A$5:$A$1321,$A19)</f>
        <v>43</v>
      </c>
    </row>
    <row r="20">
      <c r="A20" s="19" t="str">
        <v>德国区</v>
      </c>
      <c r="B20" s="27" t="n">
        <f>'主指标_原始兑现率'!I73</f>
        <v>0.814997214007115</v>
      </c>
      <c r="C20" s="27" t="n">
        <f>'对照_超发校正率'!I73</f>
        <v>0.8442916220597615</v>
      </c>
      <c r="D20" s="27" t="n">
        <f>C20-B20</f>
        <v>0.029294408052646492</v>
      </c>
      <c r="E20" s="27" t="n">
        <f>AVERAGE('仓库满足与发单质量'!O27,'仓库满足与发单质量'!O28,'仓库满足与发单质量'!O29)</f>
        <v>0.6692103649710227</v>
      </c>
      <c r="F20" s="27" t="n">
        <f>AVERAGE('仓库满足与发单质量'!N27,'仓库满足与发单质量'!N28,'仓库满足与发单质量'!N29)</f>
        <v>0.7785188600006109</v>
      </c>
      <c r="G20" s="23" t="n">
        <f>SUMIFS('仓库单元底表'!$P$5:$P$1321,'仓库单元底表'!$A$5:$A$1321,$A20)</f>
        <v>221</v>
      </c>
      <c r="H20" s="23" t="n">
        <f>SUMIFS('仓库单元底表'!$R$5:$R$1321,'仓库单元底表'!$A$5:$A$1321,$A20)</f>
        <v>330</v>
      </c>
    </row>
    <row r="21">
      <c r="A21" s="19" t="str">
        <v>波兰区</v>
      </c>
      <c r="B21" s="27" t="n">
        <f>'主指标_原始兑现率'!I107</f>
        <v>0.5978533879175592</v>
      </c>
      <c r="C21" s="27" t="n">
        <f>'对照_超发校正率'!I107</f>
        <v>0.6947406167668279</v>
      </c>
      <c r="D21" s="27" t="n">
        <f>C21-B21</f>
        <v>0.0968872288492687</v>
      </c>
      <c r="E21" s="27" t="n">
        <f>AVERAGE('仓库满足与发单质量'!O33,'仓库满足与发单质量'!O34,'仓库满足与发单质量'!O35)</f>
        <v>0.5865486674366415</v>
      </c>
      <c r="F21" s="27" t="n">
        <f>AVERAGE('仓库满足与发单质量'!N33,'仓库满足与发单质量'!N34,'仓库满足与发单质量'!N35)</f>
        <v>0.7375029976323714</v>
      </c>
      <c r="G21" s="23" t="n">
        <f>SUMIFS('仓库单元底表'!$P$5:$P$1321,'仓库单元底表'!$A$5:$A$1321,$A21)</f>
        <v>319</v>
      </c>
      <c r="H21" s="23" t="n">
        <f>SUMIFS('仓库单元底表'!$R$5:$R$1321,'仓库单元底表'!$A$5:$A$1321,$A21)</f>
        <v>959</v>
      </c>
    </row>
    <row r="22">
      <c r="A22" s="19" t="str">
        <v>捷克区</v>
      </c>
      <c r="B22" s="27" t="n">
        <f>'主指标_原始兑现率'!I131</f>
        <v>0.3999848105111263</v>
      </c>
      <c r="C22" s="27" t="n">
        <f>'对照_超发校正率'!I131</f>
        <v>0.4007704446300937</v>
      </c>
      <c r="D22" s="27" t="n">
        <f>C22-B22</f>
        <v>0.0007856341189674265</v>
      </c>
      <c r="E22" s="27" t="n">
        <f>AVERAGE('仓库满足与发单质量'!O43,'仓库满足与发单质量'!O44,'仓库满足与发单质量'!O45)</f>
        <v>0.35572675911658963</v>
      </c>
      <c r="F22" s="27" t="n">
        <f>AVERAGE('仓库满足与发单质量'!N43,'仓库满足与发单质量'!N44,'仓库满足与发单质量'!N45)</f>
        <v>0.9038520801232667</v>
      </c>
      <c r="G22" s="23" t="n">
        <f>SUMIFS('仓库单元底表'!$P$5:$P$1321,'仓库单元底表'!$A$5:$A$1321,$A22)</f>
        <v>0</v>
      </c>
      <c r="H22" s="23" t="n">
        <f>SUMIFS('仓库单元底表'!$R$5:$R$1321,'仓库单元底表'!$A$5:$A$1321,$A22)</f>
        <v>20</v>
      </c>
    </row>
    <row r="23">
      <c r="A23" s="19" t="str">
        <v>西班牙区</v>
      </c>
      <c r="B23" s="27" t="n">
        <f>'主指标_原始兑现率'!I141</f>
        <v>1</v>
      </c>
      <c r="C23" s="27" t="n">
        <f>'对照_超发校正率'!I141</f>
        <v>1</v>
      </c>
      <c r="D23" s="27" t="n">
        <f>C23-B23</f>
        <v>0</v>
      </c>
      <c r="E23" s="27" t="n">
        <f>AVERAGE('仓库满足与发单质量'!O53,'仓库满足与发单质量'!O54,'仓库满足与发单质量'!O55)</f>
        <v>1</v>
      </c>
      <c r="F23" s="27" t="n">
        <f>AVERAGE('仓库满足与发单质量'!N53,'仓库满足与发单质量'!N54,'仓库满足与发单质量'!N55)</f>
        <v>1</v>
      </c>
      <c r="G23" s="23" t="n">
        <f>SUMIFS('仓库单元底表'!$P$5:$P$1321,'仓库单元底表'!$A$5:$A$1321,$A23)</f>
        <v>0</v>
      </c>
      <c r="H23" s="23" t="n">
        <f>SUMIFS('仓库单元底表'!$R$5:$R$1321,'仓库单元底表'!$A$5:$A$1321,$A23)</f>
        <v>0</v>
      </c>
    </row>
    <row r="24">
      <c r="A24" s="19" t="str">
        <v>意大利区</v>
      </c>
      <c r="B24" s="27" t="n">
        <f>'主指标_原始兑现率'!I147</f>
        <v>0.45394736842105265</v>
      </c>
      <c r="C24" s="27" t="n">
        <f>'对照_超发校正率'!I147</f>
        <v>0.46621621621621623</v>
      </c>
      <c r="D24" s="27" t="n">
        <f>C24-B24</f>
        <v>0.012268847795163573</v>
      </c>
      <c r="E24" s="27" t="n">
        <f>AVERAGE('仓库满足与发单质量'!O58,'仓库满足与发单质量'!O59)</f>
        <v>0.46621621621621623</v>
      </c>
      <c r="F24" s="27" t="n">
        <f>AVERAGE('仓库满足与发单质量'!N58,'仓库满足与发单质量'!N59)</f>
        <v>1</v>
      </c>
      <c r="G24" s="23" t="n">
        <f>SUMIFS('仓库单元底表'!$P$5:$P$1321,'仓库单元底表'!$A$5:$A$1321,$A24)</f>
        <v>4</v>
      </c>
      <c r="H24" s="23" t="n">
        <f>SUMIFS('仓库单元底表'!$R$5:$R$1321,'仓库单元底表'!$A$5:$A$1321,$A24)</f>
        <v>0</v>
      </c>
    </row>
    <row r="27" ht="28" customHeight="1">
      <c r="A27" s="76" t="str">
        <v>重要审查结论：超发校正率并非机械加分。原子单元内校正不会降低履约率，但跨单元汇总后，高履约且严重超发的单元权重会下降，因此有14个供应商×工种×月份的校正率低于原始率。这反映责任重新加权，不是计算错误。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ht="28" customHeight="1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1"/>
    </row>
  </sheetData>
  <mergeCells>
    <mergeCell ref="A1:L1"/>
    <mergeCell ref="A2:L2"/>
    <mergeCell ref="A4:G4"/>
    <mergeCell ref="A12:H12"/>
    <mergeCell ref="A17:H17"/>
    <mergeCell ref="A27:L28"/>
  </mergeCells>
  <conditionalFormatting sqref="D19:D24">
    <cfRule type="cellIs" dxfId="19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drawing xmlns:r="http://schemas.openxmlformats.org/officeDocument/2006/relationships" r:id="R226e8d7a20e94bcc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38" hidden="0" customWidth="1"/>
    <col min="3" max="3" width="14" hidden="0" customWidth="1"/>
    <col min="4" max="4" width="14" hidden="0" customWidth="1"/>
    <col min="5" max="5" width="15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3" hidden="0" customWidth="1"/>
    <col min="11" max="11" width="13" hidden="0" customWidth="1"/>
    <col min="12" max="12" width="13" hidden="0" customWidth="1"/>
  </cols>
  <sheetData>
    <row r="1" ht="34" customHeight="1">
      <c r="A1" s="4" t="str">
        <v>2026年4-6月欧洲供应商履约率：原始接单兑现率（主指标）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8" customHeight="1">
      <c r="A2" s="8" t="str">
        <v>主指标 = Σmin(供应商派遣,供应商发单) ÷ Σ供应商发单。保留HR超发对实际订单兑现的影响，用于供应商盘点评分；月度无有效发单显示“—”。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ht="32" customHeight="1">
      <c r="A4" s="14" t="str">
        <v>区域</v>
      </c>
      <c r="B4" s="14" t="str">
        <v>供应商名称</v>
      </c>
      <c r="C4" s="14" t="str">
        <v>供应商ID</v>
      </c>
      <c r="D4" s="14" t="str">
        <v>层级</v>
      </c>
      <c r="E4" s="14" t="str">
        <v>工种</v>
      </c>
      <c r="F4" s="14" t="str">
        <v>4月履约率</v>
      </c>
      <c r="G4" s="14" t="str">
        <v>5月履约率</v>
      </c>
      <c r="H4" s="14" t="str">
        <v>6月履约率</v>
      </c>
      <c r="I4" s="14" t="str">
        <v>月度平均</v>
      </c>
      <c r="J4" s="14" t="str">
        <v>Q2累计加权</v>
      </c>
      <c r="K4" s="14" t="str">
        <v>Q2实际发单</v>
      </c>
      <c r="L4" s="14" t="str">
        <v>Q2有效兑现</v>
      </c>
    </row>
    <row r="5">
      <c r="A5" s="18" t="str">
        <v>英国区</v>
      </c>
      <c r="B5" s="18" t="str">
        <v>Employment of London Limited</v>
      </c>
      <c r="C5" s="18" t="str">
        <v>S000331</v>
      </c>
      <c r="D5" s="18" t="str">
        <v>工种明细</v>
      </c>
      <c r="E5" s="18" t="str">
        <v>操作员</v>
      </c>
      <c r="F5" s="26" t="n">
        <f>IF(SUMIFS('供应商月度明细'!$F$5:$F$155,'供应商月度明细'!$A$5:$A$155,$A5,'供应商月度明细'!$C$5:$C$155,$C5,'供应商月度明细'!$D$5:$D$155,$E5,'供应商月度明细'!$E$5:$E$155,"2026-04")=0,"",SUMIFS('供应商月度明细'!$H$5:$H$155,'供应商月度明细'!$A$5:$A$155,$A5,'供应商月度明细'!$C$5:$C$155,$C5,'供应商月度明细'!$D$5:$D$155,$E5,'供应商月度明细'!$E$5:$E$155,"2026-04")/SUMIFS('供应商月度明细'!$F$5:$F$155,'供应商月度明细'!$A$5:$A$155,$A5,'供应商月度明细'!$C$5:$C$155,$C5,'供应商月度明细'!$D$5:$D$155,$E5,'供应商月度明细'!$E$5:$E$155,"2026-04"))</f>
        <v>0.9333333333333333</v>
      </c>
      <c r="G5" s="26" t="n">
        <f>IF(SUMIFS('供应商月度明细'!$F$5:$F$155,'供应商月度明细'!$A$5:$A$155,$A5,'供应商月度明细'!$C$5:$C$155,$C5,'供应商月度明细'!$D$5:$D$155,$E5,'供应商月度明细'!$E$5:$E$155,"2026-05")=0,"",SUMIFS('供应商月度明细'!$H$5:$H$155,'供应商月度明细'!$A$5:$A$155,$A5,'供应商月度明细'!$C$5:$C$155,$C5,'供应商月度明细'!$D$5:$D$155,$E5,'供应商月度明细'!$E$5:$E$155,"2026-05")/SUMIFS('供应商月度明细'!$F$5:$F$155,'供应商月度明细'!$A$5:$A$155,$A5,'供应商月度明细'!$C$5:$C$155,$C5,'供应商月度明细'!$D$5:$D$155,$E5,'供应商月度明细'!$E$5:$E$155,"2026-05"))</f>
        <v>0.8032258064516129</v>
      </c>
      <c r="H5" s="26" t="n">
        <f>IF(SUMIFS('供应商月度明细'!$F$5:$F$155,'供应商月度明细'!$A$5:$A$155,$A5,'供应商月度明细'!$C$5:$C$155,$C5,'供应商月度明细'!$D$5:$D$155,$E5,'供应商月度明细'!$E$5:$E$155,"2026-06")=0,"",SUMIFS('供应商月度明细'!$H$5:$H$155,'供应商月度明细'!$A$5:$A$155,$A5,'供应商月度明细'!$C$5:$C$155,$C5,'供应商月度明细'!$D$5:$D$155,$E5,'供应商月度明细'!$E$5:$E$155,"2026-06")/SUMIFS('供应商月度明细'!$F$5:$F$155,'供应商月度明细'!$A$5:$A$155,$A5,'供应商月度明细'!$C$5:$C$155,$C5,'供应商月度明细'!$D$5:$D$155,$E5,'供应商月度明细'!$E$5:$E$155,"2026-06"))</f>
        <v>0.9571865443425076</v>
      </c>
      <c r="I5" s="26" t="n">
        <f>IF(COUNT(F5:H5)=0,"",AVERAGE(F5:H5))</f>
        <v>0.8979152280424847</v>
      </c>
      <c r="J5" s="26" t="n">
        <f>IF(K5=0,"",L5/K5)</f>
        <v>0.8845577211394303</v>
      </c>
      <c r="K5" s="22" t="n">
        <f>SUMIFS('供应商月度明细'!$F$5:$F$155,'供应商月度明细'!$A$5:$A$155,$A5,'供应商月度明细'!$C$5:$C$155,$C5,'供应商月度明细'!$D$5:$D$155,$E5)</f>
        <v>667</v>
      </c>
      <c r="L5" s="22" t="n">
        <f>SUMIFS('供应商月度明细'!$H$5:$H$155,'供应商月度明细'!$A$5:$A$155,$A5,'供应商月度明细'!$C$5:$C$155,$C5,'供应商月度明细'!$D$5:$D$155,$E5)</f>
        <v>590</v>
      </c>
    </row>
    <row r="6">
      <c r="A6" s="31" t="str">
        <v>英国区</v>
      </c>
      <c r="B6" s="31" t="str">
        <v>Employment of London Limited</v>
      </c>
      <c r="C6" s="31" t="str">
        <v>S000331</v>
      </c>
      <c r="D6" s="31" t="str">
        <v>供应商汇总</v>
      </c>
      <c r="E6" s="31" t="str">
        <v>全部工种</v>
      </c>
      <c r="F6" s="32" t="n">
        <f>IF(SUMIFS('供应商月度明细'!$F$5:$F$155,'供应商月度明细'!$A$5:$A$155,$A6,'供应商月度明细'!$C$5:$C$155,$C6,'供应商月度明细'!$E$5:$E$155,"2026-04")=0,"",SUMIFS('供应商月度明细'!$H$5:$H$155,'供应商月度明细'!$A$5:$A$155,$A6,'供应商月度明细'!$C$5:$C$155,$C6,'供应商月度明细'!$E$5:$E$155,"2026-04")/SUMIFS('供应商月度明细'!$F$5:$F$155,'供应商月度明细'!$A$5:$A$155,$A6,'供应商月度明细'!$C$5:$C$155,$C6,'供应商月度明细'!$E$5:$E$155,"2026-04"))</f>
        <v>0.9333333333333333</v>
      </c>
      <c r="G6" s="32" t="n">
        <f>IF(SUMIFS('供应商月度明细'!$F$5:$F$155,'供应商月度明细'!$A$5:$A$155,$A6,'供应商月度明细'!$C$5:$C$155,$C6,'供应商月度明细'!$E$5:$E$155,"2026-05")=0,"",SUMIFS('供应商月度明细'!$H$5:$H$155,'供应商月度明细'!$A$5:$A$155,$A6,'供应商月度明细'!$C$5:$C$155,$C6,'供应商月度明细'!$E$5:$E$155,"2026-05")/SUMIFS('供应商月度明细'!$F$5:$F$155,'供应商月度明细'!$A$5:$A$155,$A6,'供应商月度明细'!$C$5:$C$155,$C6,'供应商月度明细'!$E$5:$E$155,"2026-05"))</f>
        <v>0.8032258064516129</v>
      </c>
      <c r="H6" s="32" t="n">
        <f>IF(SUMIFS('供应商月度明细'!$F$5:$F$155,'供应商月度明细'!$A$5:$A$155,$A6,'供应商月度明细'!$C$5:$C$155,$C6,'供应商月度明细'!$E$5:$E$155,"2026-06")=0,"",SUMIFS('供应商月度明细'!$H$5:$H$155,'供应商月度明细'!$A$5:$A$155,$A6,'供应商月度明细'!$C$5:$C$155,$C6,'供应商月度明细'!$E$5:$E$155,"2026-06")/SUMIFS('供应商月度明细'!$F$5:$F$155,'供应商月度明细'!$A$5:$A$155,$A6,'供应商月度明细'!$C$5:$C$155,$C6,'供应商月度明细'!$E$5:$E$155,"2026-06"))</f>
        <v>0.9571865443425076</v>
      </c>
      <c r="I6" s="32" t="n">
        <f>IF(COUNT(F6:H6)=0,"",AVERAGE(F6:H6))</f>
        <v>0.8979152280424847</v>
      </c>
      <c r="J6" s="32" t="n">
        <f>IF(K6=0,"",L6/K6)</f>
        <v>0.8845577211394303</v>
      </c>
      <c r="K6" s="33" t="n">
        <f>SUMIFS('供应商月度明细'!$F$5:$F$155,'供应商月度明细'!$A$5:$A$155,$A6,'供应商月度明细'!$C$5:$C$155,$C6)</f>
        <v>667</v>
      </c>
      <c r="L6" s="33" t="n">
        <f>SUMIFS('供应商月度明细'!$H$5:$H$155,'供应商月度明细'!$A$5:$A$155,$A6,'供应商月度明细'!$C$5:$C$155,$C6)</f>
        <v>590</v>
      </c>
    </row>
    <row r="7">
      <c r="A7" s="19" t="str">
        <v>英国区</v>
      </c>
      <c r="B7" s="19" t="str">
        <v>HRA Recruitment Services</v>
      </c>
      <c r="C7" s="19" t="str">
        <v>S000132</v>
      </c>
      <c r="D7" s="19" t="str">
        <v>工种明细</v>
      </c>
      <c r="E7" s="19" t="str">
        <v>操作员</v>
      </c>
      <c r="F7" s="27" t="n">
        <f>IF(SUMIFS('供应商月度明细'!$F$5:$F$155,'供应商月度明细'!$A$5:$A$155,$A7,'供应商月度明细'!$C$5:$C$155,$C7,'供应商月度明细'!$D$5:$D$155,$E7,'供应商月度明细'!$E$5:$E$155,"2026-04")=0,"",SUMIFS('供应商月度明细'!$H$5:$H$155,'供应商月度明细'!$A$5:$A$155,$A7,'供应商月度明细'!$C$5:$C$155,$C7,'供应商月度明细'!$D$5:$D$155,$E7,'供应商月度明细'!$E$5:$E$155,"2026-04")/SUMIFS('供应商月度明细'!$F$5:$F$155,'供应商月度明细'!$A$5:$A$155,$A7,'供应商月度明细'!$C$5:$C$155,$C7,'供应商月度明细'!$D$5:$D$155,$E7,'供应商月度明细'!$E$5:$E$155,"2026-04"))</f>
        <v>0.994413407821229</v>
      </c>
      <c r="G7" s="27" t="n">
        <f>IF(SUMIFS('供应商月度明细'!$F$5:$F$155,'供应商月度明细'!$A$5:$A$155,$A7,'供应商月度明细'!$C$5:$C$155,$C7,'供应商月度明细'!$D$5:$D$155,$E7,'供应商月度明细'!$E$5:$E$155,"2026-05")=0,"",SUMIFS('供应商月度明细'!$H$5:$H$155,'供应商月度明细'!$A$5:$A$155,$A7,'供应商月度明细'!$C$5:$C$155,$C7,'供应商月度明细'!$D$5:$D$155,$E7,'供应商月度明细'!$E$5:$E$155,"2026-05")/SUMIFS('供应商月度明细'!$F$5:$F$155,'供应商月度明细'!$A$5:$A$155,$A7,'供应商月度明细'!$C$5:$C$155,$C7,'供应商月度明细'!$D$5:$D$155,$E7,'供应商月度明细'!$E$5:$E$155,"2026-05"))</f>
        <v>0.8173913043478261</v>
      </c>
      <c r="H7" s="27" t="n">
        <f>IF(SUMIFS('供应商月度明细'!$F$5:$F$155,'供应商月度明细'!$A$5:$A$155,$A7,'供应商月度明细'!$C$5:$C$155,$C7,'供应商月度明细'!$D$5:$D$155,$E7,'供应商月度明细'!$E$5:$E$155,"2026-06")=0,"",SUMIFS('供应商月度明细'!$H$5:$H$155,'供应商月度明细'!$A$5:$A$155,$A7,'供应商月度明细'!$C$5:$C$155,$C7,'供应商月度明细'!$D$5:$D$155,$E7,'供应商月度明细'!$E$5:$E$155,"2026-06")/SUMIFS('供应商月度明细'!$F$5:$F$155,'供应商月度明细'!$A$5:$A$155,$A7,'供应商月度明细'!$C$5:$C$155,$C7,'供应商月度明细'!$D$5:$D$155,$E7,'供应商月度明细'!$E$5:$E$155,"2026-06"))</f>
        <v>0.7909836065573771</v>
      </c>
      <c r="I7" s="27" t="n">
        <f>IF(COUNT(F7:H7)=0,"",AVERAGE(F7:H7))</f>
        <v>0.8675961062421441</v>
      </c>
      <c r="J7" s="27" t="n">
        <f>IF(K7=0,"",L7/K7)</f>
        <v>0.8643122676579925</v>
      </c>
      <c r="K7" s="23" t="n">
        <f>SUMIFS('供应商月度明细'!$F$5:$F$155,'供应商月度明细'!$A$5:$A$155,$A7,'供应商月度明细'!$C$5:$C$155,$C7,'供应商月度明细'!$D$5:$D$155,$E7)</f>
        <v>538</v>
      </c>
      <c r="L7" s="23" t="n">
        <f>SUMIFS('供应商月度明细'!$H$5:$H$155,'供应商月度明细'!$A$5:$A$155,$A7,'供应商月度明细'!$C$5:$C$155,$C7,'供应商月度明细'!$D$5:$D$155,$E7)</f>
        <v>465</v>
      </c>
    </row>
    <row r="8">
      <c r="A8" s="19" t="str">
        <v>英国区</v>
      </c>
      <c r="B8" s="19" t="str">
        <v>HRA Recruitment Services</v>
      </c>
      <c r="C8" s="19" t="str">
        <v>S000132</v>
      </c>
      <c r="D8" s="19" t="str">
        <v>工种明细</v>
      </c>
      <c r="E8" s="19" t="str">
        <v>叉车司机</v>
      </c>
      <c r="F8" s="27" t="str">
        <f>IF(SUMIFS('供应商月度明细'!$F$5:$F$155,'供应商月度明细'!$A$5:$A$155,$A8,'供应商月度明细'!$C$5:$C$155,$C8,'供应商月度明细'!$D$5:$D$155,$E8,'供应商月度明细'!$E$5:$E$155,"2026-04")=0,"",SUMIFS('供应商月度明细'!$H$5:$H$155,'供应商月度明细'!$A$5:$A$155,$A8,'供应商月度明细'!$C$5:$C$155,$C8,'供应商月度明细'!$D$5:$D$155,$E8,'供应商月度明细'!$E$5:$E$155,"2026-04")/SUMIFS('供应商月度明细'!$F$5:$F$155,'供应商月度明细'!$A$5:$A$155,$A8,'供应商月度明细'!$C$5:$C$155,$C8,'供应商月度明细'!$D$5:$D$155,$E8,'供应商月度明细'!$E$5:$E$155,"2026-04"))</f>
      </c>
      <c r="G8" s="27" t="str">
        <f>IF(SUMIFS('供应商月度明细'!$F$5:$F$155,'供应商月度明细'!$A$5:$A$155,$A8,'供应商月度明细'!$C$5:$C$155,$C8,'供应商月度明细'!$D$5:$D$155,$E8,'供应商月度明细'!$E$5:$E$155,"2026-05")=0,"",SUMIFS('供应商月度明细'!$H$5:$H$155,'供应商月度明细'!$A$5:$A$155,$A8,'供应商月度明细'!$C$5:$C$155,$C8,'供应商月度明细'!$D$5:$D$155,$E8,'供应商月度明细'!$E$5:$E$155,"2026-05")/SUMIFS('供应商月度明细'!$F$5:$F$155,'供应商月度明细'!$A$5:$A$155,$A8,'供应商月度明细'!$C$5:$C$155,$C8,'供应商月度明细'!$D$5:$D$155,$E8,'供应商月度明细'!$E$5:$E$155,"2026-05"))</f>
      </c>
      <c r="H8" s="27" t="n">
        <f>IF(SUMIFS('供应商月度明细'!$F$5:$F$155,'供应商月度明细'!$A$5:$A$155,$A8,'供应商月度明细'!$C$5:$C$155,$C8,'供应商月度明细'!$D$5:$D$155,$E8,'供应商月度明细'!$E$5:$E$155,"2026-06")=0,"",SUMIFS('供应商月度明细'!$H$5:$H$155,'供应商月度明细'!$A$5:$A$155,$A8,'供应商月度明细'!$C$5:$C$155,$C8,'供应商月度明细'!$D$5:$D$155,$E8,'供应商月度明细'!$E$5:$E$155,"2026-06")/SUMIFS('供应商月度明细'!$F$5:$F$155,'供应商月度明细'!$A$5:$A$155,$A8,'供应商月度明细'!$C$5:$C$155,$C8,'供应商月度明细'!$D$5:$D$155,$E8,'供应商月度明细'!$E$5:$E$155,"2026-06"))</f>
        <v>0.3333333333333333</v>
      </c>
      <c r="I8" s="27" t="n">
        <f>IF(COUNT(F8:H8)=0,"",AVERAGE(F8:H8))</f>
        <v>0.3333333333333333</v>
      </c>
      <c r="J8" s="27" t="n">
        <f>IF(K8=0,"",L8/K8)</f>
        <v>0.3333333333333333</v>
      </c>
      <c r="K8" s="23" t="n">
        <f>SUMIFS('供应商月度明细'!$F$5:$F$155,'供应商月度明细'!$A$5:$A$155,$A8,'供应商月度明细'!$C$5:$C$155,$C8,'供应商月度明细'!$D$5:$D$155,$E8)</f>
        <v>3</v>
      </c>
      <c r="L8" s="23" t="n">
        <f>SUMIFS('供应商月度明细'!$H$5:$H$155,'供应商月度明细'!$A$5:$A$155,$A8,'供应商月度明细'!$C$5:$C$155,$C8,'供应商月度明细'!$D$5:$D$155,$E8)</f>
        <v>1</v>
      </c>
    </row>
    <row r="9">
      <c r="A9" s="19" t="str">
        <v>英国区</v>
      </c>
      <c r="B9" s="19" t="str">
        <v>HRA Recruitment Services</v>
      </c>
      <c r="C9" s="19" t="str">
        <v>S000132</v>
      </c>
      <c r="D9" s="19" t="str">
        <v>工种明细</v>
      </c>
      <c r="E9" s="19" t="str">
        <v>售后处理员</v>
      </c>
      <c r="F9" s="27" t="n">
        <f>IF(SUMIFS('供应商月度明细'!$F$5:$F$155,'供应商月度明细'!$A$5:$A$155,$A9,'供应商月度明细'!$C$5:$C$155,$C9,'供应商月度明细'!$D$5:$D$155,$E9,'供应商月度明细'!$E$5:$E$155,"2026-04")=0,"",SUMIFS('供应商月度明细'!$H$5:$H$155,'供应商月度明细'!$A$5:$A$155,$A9,'供应商月度明细'!$C$5:$C$155,$C9,'供应商月度明细'!$D$5:$D$155,$E9,'供应商月度明细'!$E$5:$E$155,"2026-04")/SUMIFS('供应商月度明细'!$F$5:$F$155,'供应商月度明细'!$A$5:$A$155,$A9,'供应商月度明细'!$C$5:$C$155,$C9,'供应商月度明细'!$D$5:$D$155,$E9,'供应商月度明细'!$E$5:$E$155,"2026-04"))</f>
        <v>1</v>
      </c>
      <c r="G9" s="27" t="str">
        <f>IF(SUMIFS('供应商月度明细'!$F$5:$F$155,'供应商月度明细'!$A$5:$A$155,$A9,'供应商月度明细'!$C$5:$C$155,$C9,'供应商月度明细'!$D$5:$D$155,$E9,'供应商月度明细'!$E$5:$E$155,"2026-05")=0,"",SUMIFS('供应商月度明细'!$H$5:$H$155,'供应商月度明细'!$A$5:$A$155,$A9,'供应商月度明细'!$C$5:$C$155,$C9,'供应商月度明细'!$D$5:$D$155,$E9,'供应商月度明细'!$E$5:$E$155,"2026-05")/SUMIFS('供应商月度明细'!$F$5:$F$155,'供应商月度明细'!$A$5:$A$155,$A9,'供应商月度明细'!$C$5:$C$155,$C9,'供应商月度明细'!$D$5:$D$155,$E9,'供应商月度明细'!$E$5:$E$155,"2026-05"))</f>
      </c>
      <c r="H9" s="27" t="str">
        <f>IF(SUMIFS('供应商月度明细'!$F$5:$F$155,'供应商月度明细'!$A$5:$A$155,$A9,'供应商月度明细'!$C$5:$C$155,$C9,'供应商月度明细'!$D$5:$D$155,$E9,'供应商月度明细'!$E$5:$E$155,"2026-06")=0,"",SUMIFS('供应商月度明细'!$H$5:$H$155,'供应商月度明细'!$A$5:$A$155,$A9,'供应商月度明细'!$C$5:$C$155,$C9,'供应商月度明细'!$D$5:$D$155,$E9,'供应商月度明细'!$E$5:$E$155,"2026-06")/SUMIFS('供应商月度明细'!$F$5:$F$155,'供应商月度明细'!$A$5:$A$155,$A9,'供应商月度明细'!$C$5:$C$155,$C9,'供应商月度明细'!$D$5:$D$155,$E9,'供应商月度明细'!$E$5:$E$155,"2026-06"))</f>
      </c>
      <c r="I9" s="27" t="n">
        <f>IF(COUNT(F9:H9)=0,"",AVERAGE(F9:H9))</f>
        <v>1</v>
      </c>
      <c r="J9" s="27" t="n">
        <f>IF(K9=0,"",L9/K9)</f>
        <v>1</v>
      </c>
      <c r="K9" s="23" t="n">
        <f>SUMIFS('供应商月度明细'!$F$5:$F$155,'供应商月度明细'!$A$5:$A$155,$A9,'供应商月度明细'!$C$5:$C$155,$C9,'供应商月度明细'!$D$5:$D$155,$E9)</f>
        <v>1</v>
      </c>
      <c r="L9" s="23" t="n">
        <f>SUMIFS('供应商月度明细'!$H$5:$H$155,'供应商月度明细'!$A$5:$A$155,$A9,'供应商月度明细'!$C$5:$C$155,$C9,'供应商月度明细'!$D$5:$D$155,$E9)</f>
        <v>1</v>
      </c>
    </row>
    <row r="10">
      <c r="A10" s="19" t="str">
        <v>英国区</v>
      </c>
      <c r="B10" s="19" t="str">
        <v>HRA Recruitment Services</v>
      </c>
      <c r="C10" s="19" t="str">
        <v>S000132</v>
      </c>
      <c r="D10" s="19" t="str">
        <v>工种明细</v>
      </c>
      <c r="E10" s="19" t="str">
        <v>保洁员</v>
      </c>
      <c r="F10" s="27" t="n">
        <f>IF(SUMIFS('供应商月度明细'!$F$5:$F$155,'供应商月度明细'!$A$5:$A$155,$A10,'供应商月度明细'!$C$5:$C$155,$C10,'供应商月度明细'!$D$5:$D$155,$E10,'供应商月度明细'!$E$5:$E$155,"2026-04")=0,"",SUMIFS('供应商月度明细'!$H$5:$H$155,'供应商月度明细'!$A$5:$A$155,$A10,'供应商月度明细'!$C$5:$C$155,$C10,'供应商月度明细'!$D$5:$D$155,$E10,'供应商月度明细'!$E$5:$E$155,"2026-04")/SUMIFS('供应商月度明细'!$F$5:$F$155,'供应商月度明细'!$A$5:$A$155,$A10,'供应商月度明细'!$C$5:$C$155,$C10,'供应商月度明细'!$D$5:$D$155,$E10,'供应商月度明细'!$E$5:$E$155,"2026-04"))</f>
        <v>1</v>
      </c>
      <c r="G10" s="27" t="str">
        <f>IF(SUMIFS('供应商月度明细'!$F$5:$F$155,'供应商月度明细'!$A$5:$A$155,$A10,'供应商月度明细'!$C$5:$C$155,$C10,'供应商月度明细'!$D$5:$D$155,$E10,'供应商月度明细'!$E$5:$E$155,"2026-05")=0,"",SUMIFS('供应商月度明细'!$H$5:$H$155,'供应商月度明细'!$A$5:$A$155,$A10,'供应商月度明细'!$C$5:$C$155,$C10,'供应商月度明细'!$D$5:$D$155,$E10,'供应商月度明细'!$E$5:$E$155,"2026-05")/SUMIFS('供应商月度明细'!$F$5:$F$155,'供应商月度明细'!$A$5:$A$155,$A10,'供应商月度明细'!$C$5:$C$155,$C10,'供应商月度明细'!$D$5:$D$155,$E10,'供应商月度明细'!$E$5:$E$155,"2026-05"))</f>
      </c>
      <c r="H10" s="27" t="str">
        <f>IF(SUMIFS('供应商月度明细'!$F$5:$F$155,'供应商月度明细'!$A$5:$A$155,$A10,'供应商月度明细'!$C$5:$C$155,$C10,'供应商月度明细'!$D$5:$D$155,$E10,'供应商月度明细'!$E$5:$E$155,"2026-06")=0,"",SUMIFS('供应商月度明细'!$H$5:$H$155,'供应商月度明细'!$A$5:$A$155,$A10,'供应商月度明细'!$C$5:$C$155,$C10,'供应商月度明细'!$D$5:$D$155,$E10,'供应商月度明细'!$E$5:$E$155,"2026-06")/SUMIFS('供应商月度明细'!$F$5:$F$155,'供应商月度明细'!$A$5:$A$155,$A10,'供应商月度明细'!$C$5:$C$155,$C10,'供应商月度明细'!$D$5:$D$155,$E10,'供应商月度明细'!$E$5:$E$155,"2026-06"))</f>
      </c>
      <c r="I10" s="27" t="n">
        <f>IF(COUNT(F10:H10)=0,"",AVERAGE(F10:H10))</f>
        <v>1</v>
      </c>
      <c r="J10" s="27" t="n">
        <f>IF(K10=0,"",L10/K10)</f>
        <v>1</v>
      </c>
      <c r="K10" s="23" t="n">
        <f>SUMIFS('供应商月度明细'!$F$5:$F$155,'供应商月度明细'!$A$5:$A$155,$A10,'供应商月度明细'!$C$5:$C$155,$C10,'供应商月度明细'!$D$5:$D$155,$E10)</f>
        <v>1</v>
      </c>
      <c r="L10" s="23" t="n">
        <f>SUMIFS('供应商月度明细'!$H$5:$H$155,'供应商月度明细'!$A$5:$A$155,$A10,'供应商月度明细'!$C$5:$C$155,$C10,'供应商月度明细'!$D$5:$D$155,$E10)</f>
        <v>1</v>
      </c>
    </row>
    <row r="11">
      <c r="A11" s="19" t="str">
        <v>英国区</v>
      </c>
      <c r="B11" s="19" t="str">
        <v>HRA Recruitment Services</v>
      </c>
      <c r="C11" s="19" t="str">
        <v>S000132</v>
      </c>
      <c r="D11" s="19" t="str">
        <v>工种明细</v>
      </c>
      <c r="E11" s="19" t="str">
        <v>保安</v>
      </c>
      <c r="F11" s="27" t="n">
        <f>IF(SUMIFS('供应商月度明细'!$F$5:$F$155,'供应商月度明细'!$A$5:$A$155,$A11,'供应商月度明细'!$C$5:$C$155,$C11,'供应商月度明细'!$D$5:$D$155,$E11,'供应商月度明细'!$E$5:$E$155,"2026-04")=0,"",SUMIFS('供应商月度明细'!$H$5:$H$155,'供应商月度明细'!$A$5:$A$155,$A11,'供应商月度明细'!$C$5:$C$155,$C11,'供应商月度明细'!$D$5:$D$155,$E11,'供应商月度明细'!$E$5:$E$155,"2026-04")/SUMIFS('供应商月度明细'!$F$5:$F$155,'供应商月度明细'!$A$5:$A$155,$A11,'供应商月度明细'!$C$5:$C$155,$C11,'供应商月度明细'!$D$5:$D$155,$E11,'供应商月度明细'!$E$5:$E$155,"2026-04"))</f>
        <v>1</v>
      </c>
      <c r="G11" s="27" t="n">
        <f>IF(SUMIFS('供应商月度明细'!$F$5:$F$155,'供应商月度明细'!$A$5:$A$155,$A11,'供应商月度明细'!$C$5:$C$155,$C11,'供应商月度明细'!$D$5:$D$155,$E11,'供应商月度明细'!$E$5:$E$155,"2026-05")=0,"",SUMIFS('供应商月度明细'!$H$5:$H$155,'供应商月度明细'!$A$5:$A$155,$A11,'供应商月度明细'!$C$5:$C$155,$C11,'供应商月度明细'!$D$5:$D$155,$E11,'供应商月度明细'!$E$5:$E$155,"2026-05")/SUMIFS('供应商月度明细'!$F$5:$F$155,'供应商月度明细'!$A$5:$A$155,$A11,'供应商月度明细'!$C$5:$C$155,$C11,'供应商月度明细'!$D$5:$D$155,$E11,'供应商月度明细'!$E$5:$E$155,"2026-05"))</f>
        <v>1</v>
      </c>
      <c r="H11" s="27" t="str">
        <f>IF(SUMIFS('供应商月度明细'!$F$5:$F$155,'供应商月度明细'!$A$5:$A$155,$A11,'供应商月度明细'!$C$5:$C$155,$C11,'供应商月度明细'!$D$5:$D$155,$E11,'供应商月度明细'!$E$5:$E$155,"2026-06")=0,"",SUMIFS('供应商月度明细'!$H$5:$H$155,'供应商月度明细'!$A$5:$A$155,$A11,'供应商月度明细'!$C$5:$C$155,$C11,'供应商月度明细'!$D$5:$D$155,$E11,'供应商月度明细'!$E$5:$E$155,"2026-06")/SUMIFS('供应商月度明细'!$F$5:$F$155,'供应商月度明细'!$A$5:$A$155,$A11,'供应商月度明细'!$C$5:$C$155,$C11,'供应商月度明细'!$D$5:$D$155,$E11,'供应商月度明细'!$E$5:$E$155,"2026-06"))</f>
      </c>
      <c r="I11" s="27" t="n">
        <f>IF(COUNT(F11:H11)=0,"",AVERAGE(F11:H11))</f>
        <v>1</v>
      </c>
      <c r="J11" s="27" t="n">
        <f>IF(K11=0,"",L11/K11)</f>
        <v>1</v>
      </c>
      <c r="K11" s="23" t="n">
        <f>SUMIFS('供应商月度明细'!$F$5:$F$155,'供应商月度明细'!$A$5:$A$155,$A11,'供应商月度明细'!$C$5:$C$155,$C11,'供应商月度明细'!$D$5:$D$155,$E11)</f>
        <v>6</v>
      </c>
      <c r="L11" s="23" t="n">
        <f>SUMIFS('供应商月度明细'!$H$5:$H$155,'供应商月度明细'!$A$5:$A$155,$A11,'供应商月度明细'!$C$5:$C$155,$C11,'供应商月度明细'!$D$5:$D$155,$E11)</f>
        <v>6</v>
      </c>
    </row>
    <row r="12">
      <c r="A12" s="31" t="str">
        <v>英国区</v>
      </c>
      <c r="B12" s="31" t="str">
        <v>HRA Recruitment Services</v>
      </c>
      <c r="C12" s="31" t="str">
        <v>S000132</v>
      </c>
      <c r="D12" s="31" t="str">
        <v>供应商汇总</v>
      </c>
      <c r="E12" s="31" t="str">
        <v>全部工种</v>
      </c>
      <c r="F12" s="32" t="n">
        <f>IF(SUMIFS('供应商月度明细'!$F$5:$F$155,'供应商月度明细'!$A$5:$A$155,$A12,'供应商月度明细'!$C$5:$C$155,$C12,'供应商月度明细'!$E$5:$E$155,"2026-04")=0,"",SUMIFS('供应商月度明细'!$H$5:$H$155,'供应商月度明细'!$A$5:$A$155,$A12,'供应商月度明细'!$C$5:$C$155,$C12,'供应商月度明细'!$E$5:$E$155,"2026-04")/SUMIFS('供应商月度明细'!$F$5:$F$155,'供应商月度明细'!$A$5:$A$155,$A12,'供应商月度明细'!$C$5:$C$155,$C12,'供应商月度明细'!$E$5:$E$155,"2026-04"))</f>
        <v>0.9945652173913043</v>
      </c>
      <c r="G12" s="32" t="n">
        <f>IF(SUMIFS('供应商月度明细'!$F$5:$F$155,'供应商月度明细'!$A$5:$A$155,$A12,'供应商月度明细'!$C$5:$C$155,$C12,'供应商月度明细'!$E$5:$E$155,"2026-05")=0,"",SUMIFS('供应商月度明细'!$H$5:$H$155,'供应商月度明细'!$A$5:$A$155,$A12,'供应商月度明细'!$C$5:$C$155,$C12,'供应商月度明细'!$E$5:$E$155,"2026-05")/SUMIFS('供应商月度明细'!$F$5:$F$155,'供应商月度明细'!$A$5:$A$155,$A12,'供应商月度明细'!$C$5:$C$155,$C12,'供应商月度明细'!$E$5:$E$155,"2026-05"))</f>
        <v>0.8220338983050848</v>
      </c>
      <c r="H12" s="32" t="n">
        <f>IF(SUMIFS('供应商月度明细'!$F$5:$F$155,'供应商月度明细'!$A$5:$A$155,$A12,'供应商月度明细'!$C$5:$C$155,$C12,'供应商月度明细'!$E$5:$E$155,"2026-06")=0,"",SUMIFS('供应商月度明细'!$H$5:$H$155,'供应商月度明细'!$A$5:$A$155,$A12,'供应商月度明细'!$C$5:$C$155,$C12,'供应商月度明细'!$E$5:$E$155,"2026-06")/SUMIFS('供应商月度明细'!$F$5:$F$155,'供应商月度明细'!$A$5:$A$155,$A12,'供应商月度明细'!$C$5:$C$155,$C12,'供应商月度明细'!$E$5:$E$155,"2026-06"))</f>
        <v>0.7854251012145749</v>
      </c>
      <c r="I12" s="32" t="n">
        <f>IF(COUNT(F12:H12)=0,"",AVERAGE(F12:H12))</f>
        <v>0.867341405636988</v>
      </c>
      <c r="J12" s="32" t="n">
        <f>IF(K12=0,"",L12/K12)</f>
        <v>0.8633879781420765</v>
      </c>
      <c r="K12" s="33" t="n">
        <f>SUMIFS('供应商月度明细'!$F$5:$F$155,'供应商月度明细'!$A$5:$A$155,$A12,'供应商月度明细'!$C$5:$C$155,$C12)</f>
        <v>549</v>
      </c>
      <c r="L12" s="33" t="n">
        <f>SUMIFS('供应商月度明细'!$H$5:$H$155,'供应商月度明细'!$A$5:$A$155,$A12,'供应商月度明细'!$C$5:$C$155,$C12)</f>
        <v>474</v>
      </c>
    </row>
    <row r="13">
      <c r="A13" s="19" t="str">
        <v>英国区</v>
      </c>
      <c r="B13" s="19" t="str">
        <v>Jobsworth Recruitment Solutions Limited</v>
      </c>
      <c r="C13" s="19" t="str">
        <v>S000274</v>
      </c>
      <c r="D13" s="19" t="str">
        <v>工种明细</v>
      </c>
      <c r="E13" s="19" t="str">
        <v>操作员</v>
      </c>
      <c r="F13" s="27" t="n">
        <f>IF(SUMIFS('供应商月度明细'!$F$5:$F$155,'供应商月度明细'!$A$5:$A$155,$A13,'供应商月度明细'!$C$5:$C$155,$C13,'供应商月度明细'!$D$5:$D$155,$E13,'供应商月度明细'!$E$5:$E$155,"2026-04")=0,"",SUMIFS('供应商月度明细'!$H$5:$H$155,'供应商月度明细'!$A$5:$A$155,$A13,'供应商月度明细'!$C$5:$C$155,$C13,'供应商月度明细'!$D$5:$D$155,$E13,'供应商月度明细'!$E$5:$E$155,"2026-04")/SUMIFS('供应商月度明细'!$F$5:$F$155,'供应商月度明细'!$A$5:$A$155,$A13,'供应商月度明细'!$C$5:$C$155,$C13,'供应商月度明细'!$D$5:$D$155,$E13,'供应商月度明细'!$E$5:$E$155,"2026-04"))</f>
        <v>0.8811188811188811</v>
      </c>
      <c r="G13" s="27" t="n">
        <f>IF(SUMIFS('供应商月度明细'!$F$5:$F$155,'供应商月度明细'!$A$5:$A$155,$A13,'供应商月度明细'!$C$5:$C$155,$C13,'供应商月度明细'!$D$5:$D$155,$E13,'供应商月度明细'!$E$5:$E$155,"2026-05")=0,"",SUMIFS('供应商月度明细'!$H$5:$H$155,'供应商月度明细'!$A$5:$A$155,$A13,'供应商月度明细'!$C$5:$C$155,$C13,'供应商月度明细'!$D$5:$D$155,$E13,'供应商月度明细'!$E$5:$E$155,"2026-05")/SUMIFS('供应商月度明细'!$F$5:$F$155,'供应商月度明细'!$A$5:$A$155,$A13,'供应商月度明细'!$C$5:$C$155,$C13,'供应商月度明细'!$D$5:$D$155,$E13,'供应商月度明细'!$E$5:$E$155,"2026-05"))</f>
        <v>0.9542857142857143</v>
      </c>
      <c r="H13" s="27" t="n">
        <f>IF(SUMIFS('供应商月度明细'!$F$5:$F$155,'供应商月度明细'!$A$5:$A$155,$A13,'供应商月度明细'!$C$5:$C$155,$C13,'供应商月度明细'!$D$5:$D$155,$E13,'供应商月度明细'!$E$5:$E$155,"2026-06")=0,"",SUMIFS('供应商月度明细'!$H$5:$H$155,'供应商月度明细'!$A$5:$A$155,$A13,'供应商月度明细'!$C$5:$C$155,$C13,'供应商月度明细'!$D$5:$D$155,$E13,'供应商月度明细'!$E$5:$E$155,"2026-06")/SUMIFS('供应商月度明细'!$F$5:$F$155,'供应商月度明细'!$A$5:$A$155,$A13,'供应商月度明细'!$C$5:$C$155,$C13,'供应商月度明细'!$D$5:$D$155,$E13,'供应商月度明细'!$E$5:$E$155,"2026-06"))</f>
        <v>0.9593023255813954</v>
      </c>
      <c r="I13" s="27" t="n">
        <f>IF(COUNT(F13:H13)=0,"",AVERAGE(F13:H13))</f>
        <v>0.9315689736619969</v>
      </c>
      <c r="J13" s="27" t="n">
        <f>IF(K13=0,"",L13/K13)</f>
        <v>0.9346938775510204</v>
      </c>
      <c r="K13" s="23" t="n">
        <f>SUMIFS('供应商月度明细'!$F$5:$F$155,'供应商月度明细'!$A$5:$A$155,$A13,'供应商月度明细'!$C$5:$C$155,$C13,'供应商月度明细'!$D$5:$D$155,$E13)</f>
        <v>490</v>
      </c>
      <c r="L13" s="23" t="n">
        <f>SUMIFS('供应商月度明细'!$H$5:$H$155,'供应商月度明细'!$A$5:$A$155,$A13,'供应商月度明细'!$C$5:$C$155,$C13,'供应商月度明细'!$D$5:$D$155,$E13)</f>
        <v>458</v>
      </c>
    </row>
    <row r="14">
      <c r="A14" s="19" t="str">
        <v>英国区</v>
      </c>
      <c r="B14" s="19" t="str">
        <v>Jobsworth Recruitment Solutions Limited</v>
      </c>
      <c r="C14" s="19" t="str">
        <v>S000274</v>
      </c>
      <c r="D14" s="19" t="str">
        <v>工种明细</v>
      </c>
      <c r="E14" s="19" t="str">
        <v>叉车司机</v>
      </c>
      <c r="F14" s="27" t="str">
        <f>IF(SUMIFS('供应商月度明细'!$F$5:$F$155,'供应商月度明细'!$A$5:$A$155,$A14,'供应商月度明细'!$C$5:$C$155,$C14,'供应商月度明细'!$D$5:$D$155,$E14,'供应商月度明细'!$E$5:$E$155,"2026-04")=0,"",SUMIFS('供应商月度明细'!$H$5:$H$155,'供应商月度明细'!$A$5:$A$155,$A14,'供应商月度明细'!$C$5:$C$155,$C14,'供应商月度明细'!$D$5:$D$155,$E14,'供应商月度明细'!$E$5:$E$155,"2026-04")/SUMIFS('供应商月度明细'!$F$5:$F$155,'供应商月度明细'!$A$5:$A$155,$A14,'供应商月度明细'!$C$5:$C$155,$C14,'供应商月度明细'!$D$5:$D$155,$E14,'供应商月度明细'!$E$5:$E$155,"2026-04"))</f>
      </c>
      <c r="G14" s="27" t="str">
        <f>IF(SUMIFS('供应商月度明细'!$F$5:$F$155,'供应商月度明细'!$A$5:$A$155,$A14,'供应商月度明细'!$C$5:$C$155,$C14,'供应商月度明细'!$D$5:$D$155,$E14,'供应商月度明细'!$E$5:$E$155,"2026-05")=0,"",SUMIFS('供应商月度明细'!$H$5:$H$155,'供应商月度明细'!$A$5:$A$155,$A14,'供应商月度明细'!$C$5:$C$155,$C14,'供应商月度明细'!$D$5:$D$155,$E14,'供应商月度明细'!$E$5:$E$155,"2026-05")/SUMIFS('供应商月度明细'!$F$5:$F$155,'供应商月度明细'!$A$5:$A$155,$A14,'供应商月度明细'!$C$5:$C$155,$C14,'供应商月度明细'!$D$5:$D$155,$E14,'供应商月度明细'!$E$5:$E$155,"2026-05"))</f>
      </c>
      <c r="H14" s="27" t="n">
        <f>IF(SUMIFS('供应商月度明细'!$F$5:$F$155,'供应商月度明细'!$A$5:$A$155,$A14,'供应商月度明细'!$C$5:$C$155,$C14,'供应商月度明细'!$D$5:$D$155,$E14,'供应商月度明细'!$E$5:$E$155,"2026-06")=0,"",SUMIFS('供应商月度明细'!$H$5:$H$155,'供应商月度明细'!$A$5:$A$155,$A14,'供应商月度明细'!$C$5:$C$155,$C14,'供应商月度明细'!$D$5:$D$155,$E14,'供应商月度明细'!$E$5:$E$155,"2026-06")/SUMIFS('供应商月度明细'!$F$5:$F$155,'供应商月度明细'!$A$5:$A$155,$A14,'供应商月度明细'!$C$5:$C$155,$C14,'供应商月度明细'!$D$5:$D$155,$E14,'供应商月度明细'!$E$5:$E$155,"2026-06"))</f>
        <v>1</v>
      </c>
      <c r="I14" s="27" t="n">
        <f>IF(COUNT(F14:H14)=0,"",AVERAGE(F14:H14))</f>
        <v>1</v>
      </c>
      <c r="J14" s="27" t="n">
        <f>IF(K14=0,"",L14/K14)</f>
        <v>1</v>
      </c>
      <c r="K14" s="23" t="n">
        <f>SUMIFS('供应商月度明细'!$F$5:$F$155,'供应商月度明细'!$A$5:$A$155,$A14,'供应商月度明细'!$C$5:$C$155,$C14,'供应商月度明细'!$D$5:$D$155,$E14)</f>
        <v>5</v>
      </c>
      <c r="L14" s="23" t="n">
        <f>SUMIFS('供应商月度明细'!$H$5:$H$155,'供应商月度明细'!$A$5:$A$155,$A14,'供应商月度明细'!$C$5:$C$155,$C14,'供应商月度明细'!$D$5:$D$155,$E14)</f>
        <v>5</v>
      </c>
    </row>
    <row r="15">
      <c r="A15" s="19" t="str">
        <v>英国区</v>
      </c>
      <c r="B15" s="19" t="str">
        <v>Jobsworth Recruitment Solutions Limited</v>
      </c>
      <c r="C15" s="19" t="str">
        <v>S000274</v>
      </c>
      <c r="D15" s="19" t="str">
        <v>工种明细</v>
      </c>
      <c r="E15" s="19" t="str">
        <v>售后处理员</v>
      </c>
      <c r="F15" s="27" t="str">
        <f>IF(SUMIFS('供应商月度明细'!$F$5:$F$155,'供应商月度明细'!$A$5:$A$155,$A15,'供应商月度明细'!$C$5:$C$155,$C15,'供应商月度明细'!$D$5:$D$155,$E15,'供应商月度明细'!$E$5:$E$155,"2026-04")=0,"",SUMIFS('供应商月度明细'!$H$5:$H$155,'供应商月度明细'!$A$5:$A$155,$A15,'供应商月度明细'!$C$5:$C$155,$C15,'供应商月度明细'!$D$5:$D$155,$E15,'供应商月度明细'!$E$5:$E$155,"2026-04")/SUMIFS('供应商月度明细'!$F$5:$F$155,'供应商月度明细'!$A$5:$A$155,$A15,'供应商月度明细'!$C$5:$C$155,$C15,'供应商月度明细'!$D$5:$D$155,$E15,'供应商月度明细'!$E$5:$E$155,"2026-04"))</f>
      </c>
      <c r="G15" s="27" t="n">
        <f>IF(SUMIFS('供应商月度明细'!$F$5:$F$155,'供应商月度明细'!$A$5:$A$155,$A15,'供应商月度明细'!$C$5:$C$155,$C15,'供应商月度明细'!$D$5:$D$155,$E15,'供应商月度明细'!$E$5:$E$155,"2026-05")=0,"",SUMIFS('供应商月度明细'!$H$5:$H$155,'供应商月度明细'!$A$5:$A$155,$A15,'供应商月度明细'!$C$5:$C$155,$C15,'供应商月度明细'!$D$5:$D$155,$E15,'供应商月度明细'!$E$5:$E$155,"2026-05")/SUMIFS('供应商月度明细'!$F$5:$F$155,'供应商月度明细'!$A$5:$A$155,$A15,'供应商月度明细'!$C$5:$C$155,$C15,'供应商月度明细'!$D$5:$D$155,$E15,'供应商月度明细'!$E$5:$E$155,"2026-05"))</f>
        <v>1</v>
      </c>
      <c r="H15" s="27" t="str">
        <f>IF(SUMIFS('供应商月度明细'!$F$5:$F$155,'供应商月度明细'!$A$5:$A$155,$A15,'供应商月度明细'!$C$5:$C$155,$C15,'供应商月度明细'!$D$5:$D$155,$E15,'供应商月度明细'!$E$5:$E$155,"2026-06")=0,"",SUMIFS('供应商月度明细'!$H$5:$H$155,'供应商月度明细'!$A$5:$A$155,$A15,'供应商月度明细'!$C$5:$C$155,$C15,'供应商月度明细'!$D$5:$D$155,$E15,'供应商月度明细'!$E$5:$E$155,"2026-06")/SUMIFS('供应商月度明细'!$F$5:$F$155,'供应商月度明细'!$A$5:$A$155,$A15,'供应商月度明细'!$C$5:$C$155,$C15,'供应商月度明细'!$D$5:$D$155,$E15,'供应商月度明细'!$E$5:$E$155,"2026-06"))</f>
      </c>
      <c r="I15" s="27" t="n">
        <f>IF(COUNT(F15:H15)=0,"",AVERAGE(F15:H15))</f>
        <v>1</v>
      </c>
      <c r="J15" s="27" t="n">
        <f>IF(K15=0,"",L15/K15)</f>
        <v>1</v>
      </c>
      <c r="K15" s="23" t="n">
        <f>SUMIFS('供应商月度明细'!$F$5:$F$155,'供应商月度明细'!$A$5:$A$155,$A15,'供应商月度明细'!$C$5:$C$155,$C15,'供应商月度明细'!$D$5:$D$155,$E15)</f>
        <v>2</v>
      </c>
      <c r="L15" s="23" t="n">
        <f>SUMIFS('供应商月度明细'!$H$5:$H$155,'供应商月度明细'!$A$5:$A$155,$A15,'供应商月度明细'!$C$5:$C$155,$C15,'供应商月度明细'!$D$5:$D$155,$E15)</f>
        <v>2</v>
      </c>
    </row>
    <row r="16">
      <c r="A16" s="19" t="str">
        <v>英国区</v>
      </c>
      <c r="B16" s="19" t="str">
        <v>Jobsworth Recruitment Solutions Limited</v>
      </c>
      <c r="C16" s="19" t="str">
        <v>S000274</v>
      </c>
      <c r="D16" s="19" t="str">
        <v>工种明细</v>
      </c>
      <c r="E16" s="19" t="str">
        <v>保洁员</v>
      </c>
      <c r="F16" s="27" t="n">
        <f>IF(SUMIFS('供应商月度明细'!$F$5:$F$155,'供应商月度明细'!$A$5:$A$155,$A16,'供应商月度明细'!$C$5:$C$155,$C16,'供应商月度明细'!$D$5:$D$155,$E16,'供应商月度明细'!$E$5:$E$155,"2026-04")=0,"",SUMIFS('供应商月度明细'!$H$5:$H$155,'供应商月度明细'!$A$5:$A$155,$A16,'供应商月度明细'!$C$5:$C$155,$C16,'供应商月度明细'!$D$5:$D$155,$E16,'供应商月度明细'!$E$5:$E$155,"2026-04")/SUMIFS('供应商月度明细'!$F$5:$F$155,'供应商月度明细'!$A$5:$A$155,$A16,'供应商月度明细'!$C$5:$C$155,$C16,'供应商月度明细'!$D$5:$D$155,$E16,'供应商月度明细'!$E$5:$E$155,"2026-04"))</f>
        <v>0</v>
      </c>
      <c r="G16" s="27" t="str">
        <f>IF(SUMIFS('供应商月度明细'!$F$5:$F$155,'供应商月度明细'!$A$5:$A$155,$A16,'供应商月度明细'!$C$5:$C$155,$C16,'供应商月度明细'!$D$5:$D$155,$E16,'供应商月度明细'!$E$5:$E$155,"2026-05")=0,"",SUMIFS('供应商月度明细'!$H$5:$H$155,'供应商月度明细'!$A$5:$A$155,$A16,'供应商月度明细'!$C$5:$C$155,$C16,'供应商月度明细'!$D$5:$D$155,$E16,'供应商月度明细'!$E$5:$E$155,"2026-05")/SUMIFS('供应商月度明细'!$F$5:$F$155,'供应商月度明细'!$A$5:$A$155,$A16,'供应商月度明细'!$C$5:$C$155,$C16,'供应商月度明细'!$D$5:$D$155,$E16,'供应商月度明细'!$E$5:$E$155,"2026-05"))</f>
      </c>
      <c r="H16" s="27" t="str">
        <f>IF(SUMIFS('供应商月度明细'!$F$5:$F$155,'供应商月度明细'!$A$5:$A$155,$A16,'供应商月度明细'!$C$5:$C$155,$C16,'供应商月度明细'!$D$5:$D$155,$E16,'供应商月度明细'!$E$5:$E$155,"2026-06")=0,"",SUMIFS('供应商月度明细'!$H$5:$H$155,'供应商月度明细'!$A$5:$A$155,$A16,'供应商月度明细'!$C$5:$C$155,$C16,'供应商月度明细'!$D$5:$D$155,$E16,'供应商月度明细'!$E$5:$E$155,"2026-06")/SUMIFS('供应商月度明细'!$F$5:$F$155,'供应商月度明细'!$A$5:$A$155,$A16,'供应商月度明细'!$C$5:$C$155,$C16,'供应商月度明细'!$D$5:$D$155,$E16,'供应商月度明细'!$E$5:$E$155,"2026-06"))</f>
      </c>
      <c r="I16" s="27" t="n">
        <f>IF(COUNT(F16:H16)=0,"",AVERAGE(F16:H16))</f>
        <v>0</v>
      </c>
      <c r="J16" s="27" t="n">
        <f>IF(K16=0,"",L16/K16)</f>
        <v>0</v>
      </c>
      <c r="K16" s="23" t="n">
        <f>SUMIFS('供应商月度明细'!$F$5:$F$155,'供应商月度明细'!$A$5:$A$155,$A16,'供应商月度明细'!$C$5:$C$155,$C16,'供应商月度明细'!$D$5:$D$155,$E16)</f>
        <v>1</v>
      </c>
      <c r="L16" s="23" t="n">
        <f>SUMIFS('供应商月度明细'!$H$5:$H$155,'供应商月度明细'!$A$5:$A$155,$A16,'供应商月度明细'!$C$5:$C$155,$C16,'供应商月度明细'!$D$5:$D$155,$E16)</f>
        <v>0</v>
      </c>
    </row>
    <row r="17">
      <c r="A17" s="31" t="str">
        <v>英国区</v>
      </c>
      <c r="B17" s="31" t="str">
        <v>Jobsworth Recruitment Solutions Limited</v>
      </c>
      <c r="C17" s="31" t="str">
        <v>S000274</v>
      </c>
      <c r="D17" s="31" t="str">
        <v>供应商汇总</v>
      </c>
      <c r="E17" s="31" t="str">
        <v>全部工种</v>
      </c>
      <c r="F17" s="32" t="n">
        <f>IF(SUMIFS('供应商月度明细'!$F$5:$F$155,'供应商月度明细'!$A$5:$A$155,$A17,'供应商月度明细'!$C$5:$C$155,$C17,'供应商月度明细'!$E$5:$E$155,"2026-04")=0,"",SUMIFS('供应商月度明细'!$H$5:$H$155,'供应商月度明细'!$A$5:$A$155,$A17,'供应商月度明细'!$C$5:$C$155,$C17,'供应商月度明细'!$E$5:$E$155,"2026-04")/SUMIFS('供应商月度明细'!$F$5:$F$155,'供应商月度明细'!$A$5:$A$155,$A17,'供应商月度明细'!$C$5:$C$155,$C17,'供应商月度明细'!$E$5:$E$155,"2026-04"))</f>
        <v>0.875</v>
      </c>
      <c r="G17" s="32" t="n">
        <f>IF(SUMIFS('供应商月度明细'!$F$5:$F$155,'供应商月度明细'!$A$5:$A$155,$A17,'供应商月度明细'!$C$5:$C$155,$C17,'供应商月度明细'!$E$5:$E$155,"2026-05")=0,"",SUMIFS('供应商月度明细'!$H$5:$H$155,'供应商月度明细'!$A$5:$A$155,$A17,'供应商月度明细'!$C$5:$C$155,$C17,'供应商月度明细'!$E$5:$E$155,"2026-05")/SUMIFS('供应商月度明细'!$F$5:$F$155,'供应商月度明细'!$A$5:$A$155,$A17,'供应商月度明细'!$C$5:$C$155,$C17,'供应商月度明细'!$E$5:$E$155,"2026-05"))</f>
        <v>0.9548022598870056</v>
      </c>
      <c r="H17" s="32" t="n">
        <f>IF(SUMIFS('供应商月度明细'!$F$5:$F$155,'供应商月度明细'!$A$5:$A$155,$A17,'供应商月度明细'!$C$5:$C$155,$C17,'供应商月度明细'!$E$5:$E$155,"2026-06")=0,"",SUMIFS('供应商月度明细'!$H$5:$H$155,'供应商月度明细'!$A$5:$A$155,$A17,'供应商月度明细'!$C$5:$C$155,$C17,'供应商月度明细'!$E$5:$E$155,"2026-06")/SUMIFS('供应商月度明细'!$F$5:$F$155,'供应商月度明细'!$A$5:$A$155,$A17,'供应商月度明细'!$C$5:$C$155,$C17,'供应商月度明细'!$E$5:$E$155,"2026-06"))</f>
        <v>0.96045197740113</v>
      </c>
      <c r="I17" s="32" t="n">
        <f>IF(COUNT(F17:H17)=0,"",AVERAGE(F17:H17))</f>
        <v>0.9300847457627119</v>
      </c>
      <c r="J17" s="32" t="n">
        <f>IF(K17=0,"",L17/K17)</f>
        <v>0.9337349397590361</v>
      </c>
      <c r="K17" s="33" t="n">
        <f>SUMIFS('供应商月度明细'!$F$5:$F$155,'供应商月度明细'!$A$5:$A$155,$A17,'供应商月度明细'!$C$5:$C$155,$C17)</f>
        <v>498</v>
      </c>
      <c r="L17" s="33" t="n">
        <f>SUMIFS('供应商月度明细'!$H$5:$H$155,'供应商月度明细'!$A$5:$A$155,$A17,'供应商月度明细'!$C$5:$C$155,$C17)</f>
        <v>465</v>
      </c>
    </row>
    <row r="18">
      <c r="A18" s="19" t="str">
        <v>英国区</v>
      </c>
      <c r="B18" s="19" t="str">
        <v>FT Recruitment</v>
      </c>
      <c r="C18" s="19" t="str">
        <v>S000013</v>
      </c>
      <c r="D18" s="19" t="str">
        <v>工种明细</v>
      </c>
      <c r="E18" s="19" t="str">
        <v>操作员</v>
      </c>
      <c r="F18" s="27" t="n">
        <f>IF(SUMIFS('供应商月度明细'!$F$5:$F$155,'供应商月度明细'!$A$5:$A$155,$A18,'供应商月度明细'!$C$5:$C$155,$C18,'供应商月度明细'!$D$5:$D$155,$E18,'供应商月度明细'!$E$5:$E$155,"2026-04")=0,"",SUMIFS('供应商月度明细'!$H$5:$H$155,'供应商月度明细'!$A$5:$A$155,$A18,'供应商月度明细'!$C$5:$C$155,$C18,'供应商月度明细'!$D$5:$D$155,$E18,'供应商月度明细'!$E$5:$E$155,"2026-04")/SUMIFS('供应商月度明细'!$F$5:$F$155,'供应商月度明细'!$A$5:$A$155,$A18,'供应商月度明细'!$C$5:$C$155,$C18,'供应商月度明细'!$D$5:$D$155,$E18,'供应商月度明细'!$E$5:$E$155,"2026-04"))</f>
        <v>0.9</v>
      </c>
      <c r="G18" s="27" t="n">
        <f>IF(SUMIFS('供应商月度明细'!$F$5:$F$155,'供应商月度明细'!$A$5:$A$155,$A18,'供应商月度明细'!$C$5:$C$155,$C18,'供应商月度明细'!$D$5:$D$155,$E18,'供应商月度明细'!$E$5:$E$155,"2026-05")=0,"",SUMIFS('供应商月度明细'!$H$5:$H$155,'供应商月度明细'!$A$5:$A$155,$A18,'供应商月度明细'!$C$5:$C$155,$C18,'供应商月度明细'!$D$5:$D$155,$E18,'供应商月度明细'!$E$5:$E$155,"2026-05")/SUMIFS('供应商月度明细'!$F$5:$F$155,'供应商月度明细'!$A$5:$A$155,$A18,'供应商月度明细'!$C$5:$C$155,$C18,'供应商月度明细'!$D$5:$D$155,$E18,'供应商月度明细'!$E$5:$E$155,"2026-05"))</f>
        <v>0.7586206896551724</v>
      </c>
      <c r="H18" s="27" t="n">
        <f>IF(SUMIFS('供应商月度明细'!$F$5:$F$155,'供应商月度明细'!$A$5:$A$155,$A18,'供应商月度明细'!$C$5:$C$155,$C18,'供应商月度明细'!$D$5:$D$155,$E18,'供应商月度明细'!$E$5:$E$155,"2026-06")=0,"",SUMIFS('供应商月度明细'!$H$5:$H$155,'供应商月度明细'!$A$5:$A$155,$A18,'供应商月度明细'!$C$5:$C$155,$C18,'供应商月度明细'!$D$5:$D$155,$E18,'供应商月度明细'!$E$5:$E$155,"2026-06")/SUMIFS('供应商月度明细'!$F$5:$F$155,'供应商月度明细'!$A$5:$A$155,$A18,'供应商月度明细'!$C$5:$C$155,$C18,'供应商月度明细'!$D$5:$D$155,$E18,'供应商月度明细'!$E$5:$E$155,"2026-06"))</f>
        <v>0.7848101265822784</v>
      </c>
      <c r="I18" s="27" t="n">
        <f>IF(COUNT(F18:H18)=0,"",AVERAGE(F18:H18))</f>
        <v>0.8144769387458171</v>
      </c>
      <c r="J18" s="27" t="n">
        <f>IF(K18=0,"",L18/K18)</f>
        <v>0.8270042194092827</v>
      </c>
      <c r="K18" s="23" t="n">
        <f>SUMIFS('供应商月度明细'!$F$5:$F$155,'供应商月度明细'!$A$5:$A$155,$A18,'供应商月度明细'!$C$5:$C$155,$C18,'供应商月度明细'!$D$5:$D$155,$E18)</f>
        <v>237</v>
      </c>
      <c r="L18" s="23" t="n">
        <f>SUMIFS('供应商月度明细'!$H$5:$H$155,'供应商月度明细'!$A$5:$A$155,$A18,'供应商月度明细'!$C$5:$C$155,$C18,'供应商月度明细'!$D$5:$D$155,$E18)</f>
        <v>196</v>
      </c>
    </row>
    <row r="19">
      <c r="A19" s="19" t="str">
        <v>英国区</v>
      </c>
      <c r="B19" s="19" t="str">
        <v>FT Recruitment</v>
      </c>
      <c r="C19" s="19" t="str">
        <v>S000013</v>
      </c>
      <c r="D19" s="19" t="str">
        <v>工种明细</v>
      </c>
      <c r="E19" s="19" t="str">
        <v>叉车司机</v>
      </c>
      <c r="F19" s="27" t="str">
        <f>IF(SUMIFS('供应商月度明细'!$F$5:$F$155,'供应商月度明细'!$A$5:$A$155,$A19,'供应商月度明细'!$C$5:$C$155,$C19,'供应商月度明细'!$D$5:$D$155,$E19,'供应商月度明细'!$E$5:$E$155,"2026-04")=0,"",SUMIFS('供应商月度明细'!$H$5:$H$155,'供应商月度明细'!$A$5:$A$155,$A19,'供应商月度明细'!$C$5:$C$155,$C19,'供应商月度明细'!$D$5:$D$155,$E19,'供应商月度明细'!$E$5:$E$155,"2026-04")/SUMIFS('供应商月度明细'!$F$5:$F$155,'供应商月度明细'!$A$5:$A$155,$A19,'供应商月度明细'!$C$5:$C$155,$C19,'供应商月度明细'!$D$5:$D$155,$E19,'供应商月度明细'!$E$5:$E$155,"2026-04"))</f>
      </c>
      <c r="G19" s="27" t="str">
        <f>IF(SUMIFS('供应商月度明细'!$F$5:$F$155,'供应商月度明细'!$A$5:$A$155,$A19,'供应商月度明细'!$C$5:$C$155,$C19,'供应商月度明细'!$D$5:$D$155,$E19,'供应商月度明细'!$E$5:$E$155,"2026-05")=0,"",SUMIFS('供应商月度明细'!$H$5:$H$155,'供应商月度明细'!$A$5:$A$155,$A19,'供应商月度明细'!$C$5:$C$155,$C19,'供应商月度明细'!$D$5:$D$155,$E19,'供应商月度明细'!$E$5:$E$155,"2026-05")/SUMIFS('供应商月度明细'!$F$5:$F$155,'供应商月度明细'!$A$5:$A$155,$A19,'供应商月度明细'!$C$5:$C$155,$C19,'供应商月度明细'!$D$5:$D$155,$E19,'供应商月度明细'!$E$5:$E$155,"2026-05"))</f>
      </c>
      <c r="H19" s="27" t="n">
        <f>IF(SUMIFS('供应商月度明细'!$F$5:$F$155,'供应商月度明细'!$A$5:$A$155,$A19,'供应商月度明细'!$C$5:$C$155,$C19,'供应商月度明细'!$D$5:$D$155,$E19,'供应商月度明细'!$E$5:$E$155,"2026-06")=0,"",SUMIFS('供应商月度明细'!$H$5:$H$155,'供应商月度明细'!$A$5:$A$155,$A19,'供应商月度明细'!$C$5:$C$155,$C19,'供应商月度明细'!$D$5:$D$155,$E19,'供应商月度明细'!$E$5:$E$155,"2026-06")/SUMIFS('供应商月度明细'!$F$5:$F$155,'供应商月度明细'!$A$5:$A$155,$A19,'供应商月度明细'!$C$5:$C$155,$C19,'供应商月度明细'!$D$5:$D$155,$E19,'供应商月度明细'!$E$5:$E$155,"2026-06"))</f>
        <v>0</v>
      </c>
      <c r="I19" s="27" t="n">
        <f>IF(COUNT(F19:H19)=0,"",AVERAGE(F19:H19))</f>
        <v>0</v>
      </c>
      <c r="J19" s="27" t="n">
        <f>IF(K19=0,"",L19/K19)</f>
        <v>0</v>
      </c>
      <c r="K19" s="23" t="n">
        <f>SUMIFS('供应商月度明细'!$F$5:$F$155,'供应商月度明细'!$A$5:$A$155,$A19,'供应商月度明细'!$C$5:$C$155,$C19,'供应商月度明细'!$D$5:$D$155,$E19)</f>
        <v>2</v>
      </c>
      <c r="L19" s="23" t="n">
        <f>SUMIFS('供应商月度明细'!$H$5:$H$155,'供应商月度明细'!$A$5:$A$155,$A19,'供应商月度明细'!$C$5:$C$155,$C19,'供应商月度明细'!$D$5:$D$155,$E19)</f>
        <v>0</v>
      </c>
    </row>
    <row r="20">
      <c r="A20" s="19" t="str">
        <v>英国区</v>
      </c>
      <c r="B20" s="19" t="str">
        <v>FT Recruitment</v>
      </c>
      <c r="C20" s="19" t="str">
        <v>S000013</v>
      </c>
      <c r="D20" s="19" t="str">
        <v>工种明细</v>
      </c>
      <c r="E20" s="19" t="str">
        <v>交运员 3.5T</v>
      </c>
      <c r="F20" s="27" t="str">
        <f>IF(SUMIFS('供应商月度明细'!$F$5:$F$155,'供应商月度明细'!$A$5:$A$155,$A20,'供应商月度明细'!$C$5:$C$155,$C20,'供应商月度明细'!$D$5:$D$155,$E20,'供应商月度明细'!$E$5:$E$155,"2026-04")=0,"",SUMIFS('供应商月度明细'!$H$5:$H$155,'供应商月度明细'!$A$5:$A$155,$A20,'供应商月度明细'!$C$5:$C$155,$C20,'供应商月度明细'!$D$5:$D$155,$E20,'供应商月度明细'!$E$5:$E$155,"2026-04")/SUMIFS('供应商月度明细'!$F$5:$F$155,'供应商月度明细'!$A$5:$A$155,$A20,'供应商月度明细'!$C$5:$C$155,$C20,'供应商月度明细'!$D$5:$D$155,$E20,'供应商月度明细'!$E$5:$E$155,"2026-04"))</f>
      </c>
      <c r="G20" s="27" t="n">
        <f>IF(SUMIFS('供应商月度明细'!$F$5:$F$155,'供应商月度明细'!$A$5:$A$155,$A20,'供应商月度明细'!$C$5:$C$155,$C20,'供应商月度明细'!$D$5:$D$155,$E20,'供应商月度明细'!$E$5:$E$155,"2026-05")=0,"",SUMIFS('供应商月度明细'!$H$5:$H$155,'供应商月度明细'!$A$5:$A$155,$A20,'供应商月度明细'!$C$5:$C$155,$C20,'供应商月度明细'!$D$5:$D$155,$E20,'供应商月度明细'!$E$5:$E$155,"2026-05")/SUMIFS('供应商月度明细'!$F$5:$F$155,'供应商月度明细'!$A$5:$A$155,$A20,'供应商月度明细'!$C$5:$C$155,$C20,'供应商月度明细'!$D$5:$D$155,$E20,'供应商月度明细'!$E$5:$E$155,"2026-05"))</f>
        <v>1</v>
      </c>
      <c r="H20" s="27" t="str">
        <f>IF(SUMIFS('供应商月度明细'!$F$5:$F$155,'供应商月度明细'!$A$5:$A$155,$A20,'供应商月度明细'!$C$5:$C$155,$C20,'供应商月度明细'!$D$5:$D$155,$E20,'供应商月度明细'!$E$5:$E$155,"2026-06")=0,"",SUMIFS('供应商月度明细'!$H$5:$H$155,'供应商月度明细'!$A$5:$A$155,$A20,'供应商月度明细'!$C$5:$C$155,$C20,'供应商月度明细'!$D$5:$D$155,$E20,'供应商月度明细'!$E$5:$E$155,"2026-06")/SUMIFS('供应商月度明细'!$F$5:$F$155,'供应商月度明细'!$A$5:$A$155,$A20,'供应商月度明细'!$C$5:$C$155,$C20,'供应商月度明细'!$D$5:$D$155,$E20,'供应商月度明细'!$E$5:$E$155,"2026-06"))</f>
      </c>
      <c r="I20" s="27" t="n">
        <f>IF(COUNT(F20:H20)=0,"",AVERAGE(F20:H20))</f>
        <v>1</v>
      </c>
      <c r="J20" s="27" t="n">
        <f>IF(K20=0,"",L20/K20)</f>
        <v>1</v>
      </c>
      <c r="K20" s="23" t="n">
        <f>SUMIFS('供应商月度明细'!$F$5:$F$155,'供应商月度明细'!$A$5:$A$155,$A20,'供应商月度明细'!$C$5:$C$155,$C20,'供应商月度明细'!$D$5:$D$155,$E20)</f>
        <v>2</v>
      </c>
      <c r="L20" s="23" t="n">
        <f>SUMIFS('供应商月度明细'!$H$5:$H$155,'供应商月度明细'!$A$5:$A$155,$A20,'供应商月度明细'!$C$5:$C$155,$C20,'供应商月度明细'!$D$5:$D$155,$E20)</f>
        <v>2</v>
      </c>
    </row>
    <row r="21">
      <c r="A21" s="31" t="str">
        <v>英国区</v>
      </c>
      <c r="B21" s="31" t="str">
        <v>FT Recruitment</v>
      </c>
      <c r="C21" s="31" t="str">
        <v>S000013</v>
      </c>
      <c r="D21" s="31" t="str">
        <v>供应商汇总</v>
      </c>
      <c r="E21" s="31" t="str">
        <v>全部工种</v>
      </c>
      <c r="F21" s="32" t="n">
        <f>IF(SUMIFS('供应商月度明细'!$F$5:$F$155,'供应商月度明细'!$A$5:$A$155,$A21,'供应商月度明细'!$C$5:$C$155,$C21,'供应商月度明细'!$E$5:$E$155,"2026-04")=0,"",SUMIFS('供应商月度明细'!$H$5:$H$155,'供应商月度明细'!$A$5:$A$155,$A21,'供应商月度明细'!$C$5:$C$155,$C21,'供应商月度明细'!$E$5:$E$155,"2026-04")/SUMIFS('供应商月度明细'!$F$5:$F$155,'供应商月度明细'!$A$5:$A$155,$A21,'供应商月度明细'!$C$5:$C$155,$C21,'供应商月度明细'!$E$5:$E$155,"2026-04"))</f>
        <v>0.9</v>
      </c>
      <c r="G21" s="32" t="n">
        <f>IF(SUMIFS('供应商月度明细'!$F$5:$F$155,'供应商月度明细'!$A$5:$A$155,$A21,'供应商月度明细'!$C$5:$C$155,$C21,'供应商月度明细'!$E$5:$E$155,"2026-05")=0,"",SUMIFS('供应商月度明细'!$H$5:$H$155,'供应商月度明细'!$A$5:$A$155,$A21,'供应商月度明细'!$C$5:$C$155,$C21,'供应商月度明细'!$E$5:$E$155,"2026-05")/SUMIFS('供应商月度明细'!$F$5:$F$155,'供应商月度明细'!$A$5:$A$155,$A21,'供应商月度明细'!$C$5:$C$155,$C21,'供应商月度明细'!$E$5:$E$155,"2026-05"))</f>
        <v>0.7666666666666667</v>
      </c>
      <c r="H21" s="32" t="n">
        <f>IF(SUMIFS('供应商月度明细'!$F$5:$F$155,'供应商月度明细'!$A$5:$A$155,$A21,'供应商月度明细'!$C$5:$C$155,$C21,'供应商月度明细'!$E$5:$E$155,"2026-06")=0,"",SUMIFS('供应商月度明细'!$H$5:$H$155,'供应商月度明细'!$A$5:$A$155,$A21,'供应商月度明细'!$C$5:$C$155,$C21,'供应商月度明细'!$E$5:$E$155,"2026-06")/SUMIFS('供应商月度明细'!$F$5:$F$155,'供应商月度明细'!$A$5:$A$155,$A21,'供应商月度明细'!$C$5:$C$155,$C21,'供应商月度明细'!$E$5:$E$155,"2026-06"))</f>
        <v>0.7654320987654321</v>
      </c>
      <c r="I21" s="32" t="n">
        <f>IF(COUNT(F21:H21)=0,"",AVERAGE(F21:H21))</f>
        <v>0.8106995884773663</v>
      </c>
      <c r="J21" s="32" t="n">
        <f>IF(K21=0,"",L21/K21)</f>
        <v>0.8215767634854771</v>
      </c>
      <c r="K21" s="33" t="n">
        <f>SUMIFS('供应商月度明细'!$F$5:$F$155,'供应商月度明细'!$A$5:$A$155,$A21,'供应商月度明细'!$C$5:$C$155,$C21)</f>
        <v>241</v>
      </c>
      <c r="L21" s="33" t="n">
        <f>SUMIFS('供应商月度明细'!$H$5:$H$155,'供应商月度明细'!$A$5:$A$155,$A21,'供应商月度明细'!$C$5:$C$155,$C21)</f>
        <v>198</v>
      </c>
    </row>
    <row r="22">
      <c r="A22" s="19" t="str">
        <v>英国区</v>
      </c>
      <c r="B22" s="19" t="str">
        <v>SD4U</v>
      </c>
      <c r="C22" s="19" t="str">
        <v>S000011</v>
      </c>
      <c r="D22" s="19" t="str">
        <v>工种明细</v>
      </c>
      <c r="E22" s="19" t="str">
        <v>操作员</v>
      </c>
      <c r="F22" s="27" t="n">
        <f>IF(SUMIFS('供应商月度明细'!$F$5:$F$155,'供应商月度明细'!$A$5:$A$155,$A22,'供应商月度明细'!$C$5:$C$155,$C22,'供应商月度明细'!$D$5:$D$155,$E22,'供应商月度明细'!$E$5:$E$155,"2026-04")=0,"",SUMIFS('供应商月度明细'!$H$5:$H$155,'供应商月度明细'!$A$5:$A$155,$A22,'供应商月度明细'!$C$5:$C$155,$C22,'供应商月度明细'!$D$5:$D$155,$E22,'供应商月度明细'!$E$5:$E$155,"2026-04")/SUMIFS('供应商月度明细'!$F$5:$F$155,'供应商月度明细'!$A$5:$A$155,$A22,'供应商月度明细'!$C$5:$C$155,$C22,'供应商月度明细'!$D$5:$D$155,$E22,'供应商月度明细'!$E$5:$E$155,"2026-04"))</f>
        <v>0.9384615384615385</v>
      </c>
      <c r="G22" s="27" t="n">
        <f>IF(SUMIFS('供应商月度明细'!$F$5:$F$155,'供应商月度明细'!$A$5:$A$155,$A22,'供应商月度明细'!$C$5:$C$155,$C22,'供应商月度明细'!$D$5:$D$155,$E22,'供应商月度明细'!$E$5:$E$155,"2026-05")=0,"",SUMIFS('供应商月度明细'!$H$5:$H$155,'供应商月度明细'!$A$5:$A$155,$A22,'供应商月度明细'!$C$5:$C$155,$C22,'供应商月度明细'!$D$5:$D$155,$E22,'供应商月度明细'!$E$5:$E$155,"2026-05")/SUMIFS('供应商月度明细'!$F$5:$F$155,'供应商月度明细'!$A$5:$A$155,$A22,'供应商月度明细'!$C$5:$C$155,$C22,'供应商月度明细'!$D$5:$D$155,$E22,'供应商月度明细'!$E$5:$E$155,"2026-05"))</f>
        <v>0.7435897435897436</v>
      </c>
      <c r="H22" s="27" t="n">
        <f>IF(SUMIFS('供应商月度明细'!$F$5:$F$155,'供应商月度明细'!$A$5:$A$155,$A22,'供应商月度明细'!$C$5:$C$155,$C22,'供应商月度明细'!$D$5:$D$155,$E22,'供应商月度明细'!$E$5:$E$155,"2026-06")=0,"",SUMIFS('供应商月度明细'!$H$5:$H$155,'供应商月度明细'!$A$5:$A$155,$A22,'供应商月度明细'!$C$5:$C$155,$C22,'供应商月度明细'!$D$5:$D$155,$E22,'供应商月度明细'!$E$5:$E$155,"2026-06")/SUMIFS('供应商月度明细'!$F$5:$F$155,'供应商月度明细'!$A$5:$A$155,$A22,'供应商月度明细'!$C$5:$C$155,$C22,'供应商月度明细'!$D$5:$D$155,$E22,'供应商月度明细'!$E$5:$E$155,"2026-06"))</f>
        <v>0.8026315789473685</v>
      </c>
      <c r="I22" s="27" t="n">
        <f>IF(COUNT(F22:H22)=0,"",AVERAGE(F22:H22))</f>
        <v>0.8282276203328834</v>
      </c>
      <c r="J22" s="27" t="n">
        <f>IF(K22=0,"",L22/K22)</f>
        <v>0.821917808219178</v>
      </c>
      <c r="K22" s="23" t="n">
        <f>SUMIFS('供应商月度明细'!$F$5:$F$155,'供应商月度明细'!$A$5:$A$155,$A22,'供应商月度明细'!$C$5:$C$155,$C22,'供应商月度明细'!$D$5:$D$155,$E22)</f>
        <v>219</v>
      </c>
      <c r="L22" s="23" t="n">
        <f>SUMIFS('供应商月度明细'!$H$5:$H$155,'供应商月度明细'!$A$5:$A$155,$A22,'供应商月度明细'!$C$5:$C$155,$C22,'供应商月度明细'!$D$5:$D$155,$E22)</f>
        <v>180</v>
      </c>
    </row>
    <row r="23">
      <c r="A23" s="19" t="str">
        <v>英国区</v>
      </c>
      <c r="B23" s="19" t="str">
        <v>SD4U</v>
      </c>
      <c r="C23" s="19" t="str">
        <v>S000011</v>
      </c>
      <c r="D23" s="19" t="str">
        <v>工种明细</v>
      </c>
      <c r="E23" s="19" t="str">
        <v>保安</v>
      </c>
      <c r="F23" s="27" t="n">
        <f>IF(SUMIFS('供应商月度明细'!$F$5:$F$155,'供应商月度明细'!$A$5:$A$155,$A23,'供应商月度明细'!$C$5:$C$155,$C23,'供应商月度明细'!$D$5:$D$155,$E23,'供应商月度明细'!$E$5:$E$155,"2026-04")=0,"",SUMIFS('供应商月度明细'!$H$5:$H$155,'供应商月度明细'!$A$5:$A$155,$A23,'供应商月度明细'!$C$5:$C$155,$C23,'供应商月度明细'!$D$5:$D$155,$E23,'供应商月度明细'!$E$5:$E$155,"2026-04")/SUMIFS('供应商月度明细'!$F$5:$F$155,'供应商月度明细'!$A$5:$A$155,$A23,'供应商月度明细'!$C$5:$C$155,$C23,'供应商月度明细'!$D$5:$D$155,$E23,'供应商月度明细'!$E$5:$E$155,"2026-04"))</f>
        <v>0</v>
      </c>
      <c r="G23" s="27" t="str">
        <f>IF(SUMIFS('供应商月度明细'!$F$5:$F$155,'供应商月度明细'!$A$5:$A$155,$A23,'供应商月度明细'!$C$5:$C$155,$C23,'供应商月度明细'!$D$5:$D$155,$E23,'供应商月度明细'!$E$5:$E$155,"2026-05")=0,"",SUMIFS('供应商月度明细'!$H$5:$H$155,'供应商月度明细'!$A$5:$A$155,$A23,'供应商月度明细'!$C$5:$C$155,$C23,'供应商月度明细'!$D$5:$D$155,$E23,'供应商月度明细'!$E$5:$E$155,"2026-05")/SUMIFS('供应商月度明细'!$F$5:$F$155,'供应商月度明细'!$A$5:$A$155,$A23,'供应商月度明细'!$C$5:$C$155,$C23,'供应商月度明细'!$D$5:$D$155,$E23,'供应商月度明细'!$E$5:$E$155,"2026-05"))</f>
      </c>
      <c r="H23" s="27" t="str">
        <f>IF(SUMIFS('供应商月度明细'!$F$5:$F$155,'供应商月度明细'!$A$5:$A$155,$A23,'供应商月度明细'!$C$5:$C$155,$C23,'供应商月度明细'!$D$5:$D$155,$E23,'供应商月度明细'!$E$5:$E$155,"2026-06")=0,"",SUMIFS('供应商月度明细'!$H$5:$H$155,'供应商月度明细'!$A$5:$A$155,$A23,'供应商月度明细'!$C$5:$C$155,$C23,'供应商月度明细'!$D$5:$D$155,$E23,'供应商月度明细'!$E$5:$E$155,"2026-06")/SUMIFS('供应商月度明细'!$F$5:$F$155,'供应商月度明细'!$A$5:$A$155,$A23,'供应商月度明细'!$C$5:$C$155,$C23,'供应商月度明细'!$D$5:$D$155,$E23,'供应商月度明细'!$E$5:$E$155,"2026-06"))</f>
      </c>
      <c r="I23" s="27" t="n">
        <f>IF(COUNT(F23:H23)=0,"",AVERAGE(F23:H23))</f>
        <v>0</v>
      </c>
      <c r="J23" s="27" t="n">
        <f>IF(K23=0,"",L23/K23)</f>
        <v>0</v>
      </c>
      <c r="K23" s="23" t="n">
        <f>SUMIFS('供应商月度明细'!$F$5:$F$155,'供应商月度明细'!$A$5:$A$155,$A23,'供应商月度明细'!$C$5:$C$155,$C23,'供应商月度明细'!$D$5:$D$155,$E23)</f>
        <v>1</v>
      </c>
      <c r="L23" s="23" t="n">
        <f>SUMIFS('供应商月度明细'!$H$5:$H$155,'供应商月度明细'!$A$5:$A$155,$A23,'供应商月度明细'!$C$5:$C$155,$C23,'供应商月度明细'!$D$5:$D$155,$E23)</f>
        <v>0</v>
      </c>
    </row>
    <row r="24">
      <c r="A24" s="31" t="str">
        <v>英国区</v>
      </c>
      <c r="B24" s="31" t="str">
        <v>SD4U</v>
      </c>
      <c r="C24" s="31" t="str">
        <v>S000011</v>
      </c>
      <c r="D24" s="31" t="str">
        <v>供应商汇总</v>
      </c>
      <c r="E24" s="31" t="str">
        <v>全部工种</v>
      </c>
      <c r="F24" s="32" t="n">
        <f>IF(SUMIFS('供应商月度明细'!$F$5:$F$155,'供应商月度明细'!$A$5:$A$155,$A24,'供应商月度明细'!$C$5:$C$155,$C24,'供应商月度明细'!$E$5:$E$155,"2026-04")=0,"",SUMIFS('供应商月度明细'!$H$5:$H$155,'供应商月度明细'!$A$5:$A$155,$A24,'供应商月度明细'!$C$5:$C$155,$C24,'供应商月度明细'!$E$5:$E$155,"2026-04")/SUMIFS('供应商月度明细'!$F$5:$F$155,'供应商月度明细'!$A$5:$A$155,$A24,'供应商月度明细'!$C$5:$C$155,$C24,'供应商月度明细'!$E$5:$E$155,"2026-04"))</f>
        <v>0.9242424242424242</v>
      </c>
      <c r="G24" s="32" t="n">
        <f>IF(SUMIFS('供应商月度明细'!$F$5:$F$155,'供应商月度明细'!$A$5:$A$155,$A24,'供应商月度明细'!$C$5:$C$155,$C24,'供应商月度明细'!$E$5:$E$155,"2026-05")=0,"",SUMIFS('供应商月度明细'!$H$5:$H$155,'供应商月度明细'!$A$5:$A$155,$A24,'供应商月度明细'!$C$5:$C$155,$C24,'供应商月度明细'!$E$5:$E$155,"2026-05")/SUMIFS('供应商月度明细'!$F$5:$F$155,'供应商月度明细'!$A$5:$A$155,$A24,'供应商月度明细'!$C$5:$C$155,$C24,'供应商月度明细'!$E$5:$E$155,"2026-05"))</f>
        <v>0.7435897435897436</v>
      </c>
      <c r="H24" s="32" t="n">
        <f>IF(SUMIFS('供应商月度明细'!$F$5:$F$155,'供应商月度明细'!$A$5:$A$155,$A24,'供应商月度明细'!$C$5:$C$155,$C24,'供应商月度明细'!$E$5:$E$155,"2026-06")=0,"",SUMIFS('供应商月度明细'!$H$5:$H$155,'供应商月度明细'!$A$5:$A$155,$A24,'供应商月度明细'!$C$5:$C$155,$C24,'供应商月度明细'!$E$5:$E$155,"2026-06")/SUMIFS('供应商月度明细'!$F$5:$F$155,'供应商月度明细'!$A$5:$A$155,$A24,'供应商月度明细'!$C$5:$C$155,$C24,'供应商月度明细'!$E$5:$E$155,"2026-06"))</f>
        <v>0.8026315789473685</v>
      </c>
      <c r="I24" s="32" t="n">
        <f>IF(COUNT(F24:H24)=0,"",AVERAGE(F24:H24))</f>
        <v>0.8234879155931788</v>
      </c>
      <c r="J24" s="32" t="n">
        <f>IF(K24=0,"",L24/K24)</f>
        <v>0.8181818181818182</v>
      </c>
      <c r="K24" s="33" t="n">
        <f>SUMIFS('供应商月度明细'!$F$5:$F$155,'供应商月度明细'!$A$5:$A$155,$A24,'供应商月度明细'!$C$5:$C$155,$C24)</f>
        <v>220</v>
      </c>
      <c r="L24" s="33" t="n">
        <f>SUMIFS('供应商月度明细'!$H$5:$H$155,'供应商月度明细'!$A$5:$A$155,$A24,'供应商月度明细'!$C$5:$C$155,$C24)</f>
        <v>180</v>
      </c>
    </row>
    <row r="25">
      <c r="A25" s="19" t="str">
        <v>英国区</v>
      </c>
      <c r="B25" s="19" t="str">
        <v>Kenect</v>
      </c>
      <c r="C25" s="19" t="str">
        <v>S000007</v>
      </c>
      <c r="D25" s="19" t="str">
        <v>工种明细</v>
      </c>
      <c r="E25" s="19" t="str">
        <v>操作员</v>
      </c>
      <c r="F25" s="27" t="n">
        <f>IF(SUMIFS('供应商月度明细'!$F$5:$F$155,'供应商月度明细'!$A$5:$A$155,$A25,'供应商月度明细'!$C$5:$C$155,$C25,'供应商月度明细'!$D$5:$D$155,$E25,'供应商月度明细'!$E$5:$E$155,"2026-04")=0,"",SUMIFS('供应商月度明细'!$H$5:$H$155,'供应商月度明细'!$A$5:$A$155,$A25,'供应商月度明细'!$C$5:$C$155,$C25,'供应商月度明细'!$D$5:$D$155,$E25,'供应商月度明细'!$E$5:$E$155,"2026-04")/SUMIFS('供应商月度明细'!$F$5:$F$155,'供应商月度明细'!$A$5:$A$155,$A25,'供应商月度明细'!$C$5:$C$155,$C25,'供应商月度明细'!$D$5:$D$155,$E25,'供应商月度明细'!$E$5:$E$155,"2026-04"))</f>
        <v>0.9</v>
      </c>
      <c r="G25" s="27" t="n">
        <f>IF(SUMIFS('供应商月度明细'!$F$5:$F$155,'供应商月度明细'!$A$5:$A$155,$A25,'供应商月度明细'!$C$5:$C$155,$C25,'供应商月度明细'!$D$5:$D$155,$E25,'供应商月度明细'!$E$5:$E$155,"2026-05")=0,"",SUMIFS('供应商月度明细'!$H$5:$H$155,'供应商月度明细'!$A$5:$A$155,$A25,'供应商月度明细'!$C$5:$C$155,$C25,'供应商月度明细'!$D$5:$D$155,$E25,'供应商月度明细'!$E$5:$E$155,"2026-05")/SUMIFS('供应商月度明细'!$F$5:$F$155,'供应商月度明细'!$A$5:$A$155,$A25,'供应商月度明细'!$C$5:$C$155,$C25,'供应商月度明细'!$D$5:$D$155,$E25,'供应商月度明细'!$E$5:$E$155,"2026-05"))</f>
        <v>0.7714285714285715</v>
      </c>
      <c r="H25" s="27" t="n">
        <f>IF(SUMIFS('供应商月度明细'!$F$5:$F$155,'供应商月度明细'!$A$5:$A$155,$A25,'供应商月度明细'!$C$5:$C$155,$C25,'供应商月度明细'!$D$5:$D$155,$E25,'供应商月度明细'!$E$5:$E$155,"2026-06")=0,"",SUMIFS('供应商月度明细'!$H$5:$H$155,'供应商月度明细'!$A$5:$A$155,$A25,'供应商月度明细'!$C$5:$C$155,$C25,'供应商月度明细'!$D$5:$D$155,$E25,'供应商月度明细'!$E$5:$E$155,"2026-06")/SUMIFS('供应商月度明细'!$F$5:$F$155,'供应商月度明细'!$A$5:$A$155,$A25,'供应商月度明细'!$C$5:$C$155,$C25,'供应商月度明细'!$D$5:$D$155,$E25,'供应商月度明细'!$E$5:$E$155,"2026-06"))</f>
        <v>0.8387096774193549</v>
      </c>
      <c r="I25" s="27" t="n">
        <f>IF(COUNT(F25:H25)=0,"",AVERAGE(F25:H25))</f>
        <v>0.8367127496159754</v>
      </c>
      <c r="J25" s="27" t="n">
        <f>IF(K25=0,"",L25/K25)</f>
        <v>0.8435374149659864</v>
      </c>
      <c r="K25" s="23" t="n">
        <f>SUMIFS('供应商月度明细'!$F$5:$F$155,'供应商月度明细'!$A$5:$A$155,$A25,'供应商月度明细'!$C$5:$C$155,$C25,'供应商月度明细'!$D$5:$D$155,$E25)</f>
        <v>147</v>
      </c>
      <c r="L25" s="23" t="n">
        <f>SUMIFS('供应商月度明细'!$H$5:$H$155,'供应商月度明细'!$A$5:$A$155,$A25,'供应商月度明细'!$C$5:$C$155,$C25,'供应商月度明细'!$D$5:$D$155,$E25)</f>
        <v>124</v>
      </c>
    </row>
    <row r="26">
      <c r="A26" s="19" t="str">
        <v>英国区</v>
      </c>
      <c r="B26" s="19" t="str">
        <v>Kenect</v>
      </c>
      <c r="C26" s="19" t="str">
        <v>S000007</v>
      </c>
      <c r="D26" s="19" t="str">
        <v>工种明细</v>
      </c>
      <c r="E26" s="19" t="str">
        <v>叉车司机</v>
      </c>
      <c r="F26" s="27" t="str">
        <f>IF(SUMIFS('供应商月度明细'!$F$5:$F$155,'供应商月度明细'!$A$5:$A$155,$A26,'供应商月度明细'!$C$5:$C$155,$C26,'供应商月度明细'!$D$5:$D$155,$E26,'供应商月度明细'!$E$5:$E$155,"2026-04")=0,"",SUMIFS('供应商月度明细'!$H$5:$H$155,'供应商月度明细'!$A$5:$A$155,$A26,'供应商月度明细'!$C$5:$C$155,$C26,'供应商月度明细'!$D$5:$D$155,$E26,'供应商月度明细'!$E$5:$E$155,"2026-04")/SUMIFS('供应商月度明细'!$F$5:$F$155,'供应商月度明细'!$A$5:$A$155,$A26,'供应商月度明细'!$C$5:$C$155,$C26,'供应商月度明细'!$D$5:$D$155,$E26,'供应商月度明细'!$E$5:$E$155,"2026-04"))</f>
      </c>
      <c r="G26" s="27" t="str">
        <f>IF(SUMIFS('供应商月度明细'!$F$5:$F$155,'供应商月度明细'!$A$5:$A$155,$A26,'供应商月度明细'!$C$5:$C$155,$C26,'供应商月度明细'!$D$5:$D$155,$E26,'供应商月度明细'!$E$5:$E$155,"2026-05")=0,"",SUMIFS('供应商月度明细'!$H$5:$H$155,'供应商月度明细'!$A$5:$A$155,$A26,'供应商月度明细'!$C$5:$C$155,$C26,'供应商月度明细'!$D$5:$D$155,$E26,'供应商月度明细'!$E$5:$E$155,"2026-05")/SUMIFS('供应商月度明细'!$F$5:$F$155,'供应商月度明细'!$A$5:$A$155,$A26,'供应商月度明细'!$C$5:$C$155,$C26,'供应商月度明细'!$D$5:$D$155,$E26,'供应商月度明细'!$E$5:$E$155,"2026-05"))</f>
      </c>
      <c r="H26" s="27" t="n">
        <f>IF(SUMIFS('供应商月度明细'!$F$5:$F$155,'供应商月度明细'!$A$5:$A$155,$A26,'供应商月度明细'!$C$5:$C$155,$C26,'供应商月度明细'!$D$5:$D$155,$E26,'供应商月度明细'!$E$5:$E$155,"2026-06")=0,"",SUMIFS('供应商月度明细'!$H$5:$H$155,'供应商月度明细'!$A$5:$A$155,$A26,'供应商月度明细'!$C$5:$C$155,$C26,'供应商月度明细'!$D$5:$D$155,$E26,'供应商月度明细'!$E$5:$E$155,"2026-06")/SUMIFS('供应商月度明细'!$F$5:$F$155,'供应商月度明细'!$A$5:$A$155,$A26,'供应商月度明细'!$C$5:$C$155,$C26,'供应商月度明细'!$D$5:$D$155,$E26,'供应商月度明细'!$E$5:$E$155,"2026-06"))</f>
        <v>0</v>
      </c>
      <c r="I26" s="27" t="n">
        <f>IF(COUNT(F26:H26)=0,"",AVERAGE(F26:H26))</f>
        <v>0</v>
      </c>
      <c r="J26" s="27" t="n">
        <f>IF(K26=0,"",L26/K26)</f>
        <v>0</v>
      </c>
      <c r="K26" s="23" t="n">
        <f>SUMIFS('供应商月度明细'!$F$5:$F$155,'供应商月度明细'!$A$5:$A$155,$A26,'供应商月度明细'!$C$5:$C$155,$C26,'供应商月度明细'!$D$5:$D$155,$E26)</f>
        <v>2</v>
      </c>
      <c r="L26" s="23" t="n">
        <f>SUMIFS('供应商月度明细'!$H$5:$H$155,'供应商月度明细'!$A$5:$A$155,$A26,'供应商月度明细'!$C$5:$C$155,$C26,'供应商月度明细'!$D$5:$D$155,$E26)</f>
        <v>0</v>
      </c>
    </row>
    <row r="27">
      <c r="A27" s="19" t="str">
        <v>英国区</v>
      </c>
      <c r="B27" s="19" t="str">
        <v>Kenect</v>
      </c>
      <c r="C27" s="19" t="str">
        <v>S000007</v>
      </c>
      <c r="D27" s="19" t="str">
        <v>工种明细</v>
      </c>
      <c r="E27" s="19" t="str">
        <v>交运员 3.5T</v>
      </c>
      <c r="F27" s="27" t="str">
        <f>IF(SUMIFS('供应商月度明细'!$F$5:$F$155,'供应商月度明细'!$A$5:$A$155,$A27,'供应商月度明细'!$C$5:$C$155,$C27,'供应商月度明细'!$D$5:$D$155,$E27,'供应商月度明细'!$E$5:$E$155,"2026-04")=0,"",SUMIFS('供应商月度明细'!$H$5:$H$155,'供应商月度明细'!$A$5:$A$155,$A27,'供应商月度明细'!$C$5:$C$155,$C27,'供应商月度明细'!$D$5:$D$155,$E27,'供应商月度明细'!$E$5:$E$155,"2026-04")/SUMIFS('供应商月度明细'!$F$5:$F$155,'供应商月度明细'!$A$5:$A$155,$A27,'供应商月度明细'!$C$5:$C$155,$C27,'供应商月度明细'!$D$5:$D$155,$E27,'供应商月度明细'!$E$5:$E$155,"2026-04"))</f>
      </c>
      <c r="G27" s="27" t="n">
        <f>IF(SUMIFS('供应商月度明细'!$F$5:$F$155,'供应商月度明细'!$A$5:$A$155,$A27,'供应商月度明细'!$C$5:$C$155,$C27,'供应商月度明细'!$D$5:$D$155,$E27,'供应商月度明细'!$E$5:$E$155,"2026-05")=0,"",SUMIFS('供应商月度明细'!$H$5:$H$155,'供应商月度明细'!$A$5:$A$155,$A27,'供应商月度明细'!$C$5:$C$155,$C27,'供应商月度明细'!$D$5:$D$155,$E27,'供应商月度明细'!$E$5:$E$155,"2026-05")/SUMIFS('供应商月度明细'!$F$5:$F$155,'供应商月度明细'!$A$5:$A$155,$A27,'供应商月度明细'!$C$5:$C$155,$C27,'供应商月度明细'!$D$5:$D$155,$E27,'供应商月度明细'!$E$5:$E$155,"2026-05"))</f>
        <v>1</v>
      </c>
      <c r="H27" s="27" t="str">
        <f>IF(SUMIFS('供应商月度明细'!$F$5:$F$155,'供应商月度明细'!$A$5:$A$155,$A27,'供应商月度明细'!$C$5:$C$155,$C27,'供应商月度明细'!$D$5:$D$155,$E27,'供应商月度明细'!$E$5:$E$155,"2026-06")=0,"",SUMIFS('供应商月度明细'!$H$5:$H$155,'供应商月度明细'!$A$5:$A$155,$A27,'供应商月度明细'!$C$5:$C$155,$C27,'供应商月度明细'!$D$5:$D$155,$E27,'供应商月度明细'!$E$5:$E$155,"2026-06")/SUMIFS('供应商月度明细'!$F$5:$F$155,'供应商月度明细'!$A$5:$A$155,$A27,'供应商月度明细'!$C$5:$C$155,$C27,'供应商月度明细'!$D$5:$D$155,$E27,'供应商月度明细'!$E$5:$E$155,"2026-06"))</f>
      </c>
      <c r="I27" s="27" t="n">
        <f>IF(COUNT(F27:H27)=0,"",AVERAGE(F27:H27))</f>
        <v>1</v>
      </c>
      <c r="J27" s="27" t="n">
        <f>IF(K27=0,"",L27/K27)</f>
        <v>1</v>
      </c>
      <c r="K27" s="23" t="n">
        <f>SUMIFS('供应商月度明细'!$F$5:$F$155,'供应商月度明细'!$A$5:$A$155,$A27,'供应商月度明细'!$C$5:$C$155,$C27,'供应商月度明细'!$D$5:$D$155,$E27)</f>
        <v>2</v>
      </c>
      <c r="L27" s="23" t="n">
        <f>SUMIFS('供应商月度明细'!$H$5:$H$155,'供应商月度明细'!$A$5:$A$155,$A27,'供应商月度明细'!$C$5:$C$155,$C27,'供应商月度明细'!$D$5:$D$155,$E27)</f>
        <v>2</v>
      </c>
    </row>
    <row r="28">
      <c r="A28" s="31" t="str">
        <v>英国区</v>
      </c>
      <c r="B28" s="31" t="str">
        <v>Kenect</v>
      </c>
      <c r="C28" s="31" t="str">
        <v>S000007</v>
      </c>
      <c r="D28" s="31" t="str">
        <v>供应商汇总</v>
      </c>
      <c r="E28" s="31" t="str">
        <v>全部工种</v>
      </c>
      <c r="F28" s="32" t="n">
        <f>IF(SUMIFS('供应商月度明细'!$F$5:$F$155,'供应商月度明细'!$A$5:$A$155,$A28,'供应商月度明细'!$C$5:$C$155,$C28,'供应商月度明细'!$E$5:$E$155,"2026-04")=0,"",SUMIFS('供应商月度明细'!$H$5:$H$155,'供应商月度明细'!$A$5:$A$155,$A28,'供应商月度明细'!$C$5:$C$155,$C28,'供应商月度明细'!$E$5:$E$155,"2026-04")/SUMIFS('供应商月度明细'!$F$5:$F$155,'供应商月度明细'!$A$5:$A$155,$A28,'供应商月度明细'!$C$5:$C$155,$C28,'供应商月度明细'!$E$5:$E$155,"2026-04"))</f>
        <v>0.9</v>
      </c>
      <c r="G28" s="32" t="n">
        <f>IF(SUMIFS('供应商月度明细'!$F$5:$F$155,'供应商月度明细'!$A$5:$A$155,$A28,'供应商月度明细'!$C$5:$C$155,$C28,'供应商月度明细'!$E$5:$E$155,"2026-05")=0,"",SUMIFS('供应商月度明细'!$H$5:$H$155,'供应商月度明细'!$A$5:$A$155,$A28,'供应商月度明细'!$C$5:$C$155,$C28,'供应商月度明细'!$E$5:$E$155,"2026-05")/SUMIFS('供应商月度明细'!$F$5:$F$155,'供应商月度明细'!$A$5:$A$155,$A28,'供应商月度明细'!$C$5:$C$155,$C28,'供应商月度明细'!$E$5:$E$155,"2026-05"))</f>
        <v>0.7837837837837838</v>
      </c>
      <c r="H28" s="32" t="n">
        <f>IF(SUMIFS('供应商月度明细'!$F$5:$F$155,'供应商月度明细'!$A$5:$A$155,$A28,'供应商月度明细'!$C$5:$C$155,$C28,'供应商月度明细'!$E$5:$E$155,"2026-06")=0,"",SUMIFS('供应商月度明细'!$H$5:$H$155,'供应商月度明细'!$A$5:$A$155,$A28,'供应商月度明细'!$C$5:$C$155,$C28,'供应商月度明细'!$E$5:$E$155,"2026-06")/SUMIFS('供应商月度明细'!$F$5:$F$155,'供应商月度明细'!$A$5:$A$155,$A28,'供应商月度明细'!$C$5:$C$155,$C28,'供应商月度明细'!$E$5:$E$155,"2026-06"))</f>
        <v>0.8125</v>
      </c>
      <c r="I28" s="32" t="n">
        <f>IF(COUNT(F28:H28)=0,"",AVERAGE(F28:H28))</f>
        <v>0.8320945945945946</v>
      </c>
      <c r="J28" s="32" t="n">
        <f>IF(K28=0,"",L28/K28)</f>
        <v>0.8344370860927153</v>
      </c>
      <c r="K28" s="33" t="n">
        <f>SUMIFS('供应商月度明细'!$F$5:$F$155,'供应商月度明细'!$A$5:$A$155,$A28,'供应商月度明细'!$C$5:$C$155,$C28)</f>
        <v>151</v>
      </c>
      <c r="L28" s="33" t="n">
        <f>SUMIFS('供应商月度明细'!$H$5:$H$155,'供应商月度明细'!$A$5:$A$155,$A28,'供应商月度明细'!$C$5:$C$155,$C28)</f>
        <v>126</v>
      </c>
    </row>
    <row r="29">
      <c r="A29" s="19" t="str">
        <v>英国区</v>
      </c>
      <c r="B29" s="19" t="str">
        <v>Staffzilla Limited</v>
      </c>
      <c r="C29" s="19" t="str">
        <v>S000289</v>
      </c>
      <c r="D29" s="19" t="str">
        <v>工种明细</v>
      </c>
      <c r="E29" s="19" t="str">
        <v>操作员</v>
      </c>
      <c r="F29" s="27" t="n">
        <f>IF(SUMIFS('供应商月度明细'!$F$5:$F$155,'供应商月度明细'!$A$5:$A$155,$A29,'供应商月度明细'!$C$5:$C$155,$C29,'供应商月度明细'!$D$5:$D$155,$E29,'供应商月度明细'!$E$5:$E$155,"2026-04")=0,"",SUMIFS('供应商月度明细'!$H$5:$H$155,'供应商月度明细'!$A$5:$A$155,$A29,'供应商月度明细'!$C$5:$C$155,$C29,'供应商月度明细'!$D$5:$D$155,$E29,'供应商月度明细'!$E$5:$E$155,"2026-04")/SUMIFS('供应商月度明细'!$F$5:$F$155,'供应商月度明细'!$A$5:$A$155,$A29,'供应商月度明细'!$C$5:$C$155,$C29,'供应商月度明细'!$D$5:$D$155,$E29,'供应商月度明细'!$E$5:$E$155,"2026-04"))</f>
        <v>0.8837209302325582</v>
      </c>
      <c r="G29" s="27" t="n">
        <f>IF(SUMIFS('供应商月度明细'!$F$5:$F$155,'供应商月度明细'!$A$5:$A$155,$A29,'供应商月度明细'!$C$5:$C$155,$C29,'供应商月度明细'!$D$5:$D$155,$E29,'供应商月度明细'!$E$5:$E$155,"2026-05")=0,"",SUMIFS('供应商月度明细'!$H$5:$H$155,'供应商月度明细'!$A$5:$A$155,$A29,'供应商月度明细'!$C$5:$C$155,$C29,'供应商月度明细'!$D$5:$D$155,$E29,'供应商月度明细'!$E$5:$E$155,"2026-05")/SUMIFS('供应商月度明细'!$F$5:$F$155,'供应商月度明细'!$A$5:$A$155,$A29,'供应商月度明细'!$C$5:$C$155,$C29,'供应商月度明细'!$D$5:$D$155,$E29,'供应商月度明细'!$E$5:$E$155,"2026-05"))</f>
        <v>0.7058823529411765</v>
      </c>
      <c r="H29" s="27" t="n">
        <f>IF(SUMIFS('供应商月度明细'!$F$5:$F$155,'供应商月度明细'!$A$5:$A$155,$A29,'供应商月度明细'!$C$5:$C$155,$C29,'供应商月度明细'!$D$5:$D$155,$E29,'供应商月度明细'!$E$5:$E$155,"2026-06")=0,"",SUMIFS('供应商月度明细'!$H$5:$H$155,'供应商月度明细'!$A$5:$A$155,$A29,'供应商月度明细'!$C$5:$C$155,$C29,'供应商月度明细'!$D$5:$D$155,$E29,'供应商月度明细'!$E$5:$E$155,"2026-06")/SUMIFS('供应商月度明细'!$F$5:$F$155,'供应商月度明细'!$A$5:$A$155,$A29,'供应商月度明细'!$C$5:$C$155,$C29,'供应商月度明细'!$D$5:$D$155,$E29,'供应商月度明细'!$E$5:$E$155,"2026-06"))</f>
        <v>0.8888888888888888</v>
      </c>
      <c r="I29" s="27" t="n">
        <f>IF(COUNT(F29:H29)=0,"",AVERAGE(F29:H29))</f>
        <v>0.8261640573542078</v>
      </c>
      <c r="J29" s="27" t="n">
        <f>IF(K29=0,"",L29/K29)</f>
        <v>0.8405797101449275</v>
      </c>
      <c r="K29" s="23" t="n">
        <f>SUMIFS('供应商月度明细'!$F$5:$F$155,'供应商月度明细'!$A$5:$A$155,$A29,'供应商月度明细'!$C$5:$C$155,$C29,'供应商月度明细'!$D$5:$D$155,$E29)</f>
        <v>69</v>
      </c>
      <c r="L29" s="23" t="n">
        <f>SUMIFS('供应商月度明细'!$H$5:$H$155,'供应商月度明细'!$A$5:$A$155,$A29,'供应商月度明细'!$C$5:$C$155,$C29,'供应商月度明细'!$D$5:$D$155,$E29)</f>
        <v>58</v>
      </c>
    </row>
    <row r="30">
      <c r="A30" s="31" t="str">
        <v>英国区</v>
      </c>
      <c r="B30" s="31" t="str">
        <v>Staffzilla Limited</v>
      </c>
      <c r="C30" s="31" t="str">
        <v>S000289</v>
      </c>
      <c r="D30" s="31" t="str">
        <v>供应商汇总</v>
      </c>
      <c r="E30" s="31" t="str">
        <v>全部工种</v>
      </c>
      <c r="F30" s="32" t="n">
        <f>IF(SUMIFS('供应商月度明细'!$F$5:$F$155,'供应商月度明细'!$A$5:$A$155,$A30,'供应商月度明细'!$C$5:$C$155,$C30,'供应商月度明细'!$E$5:$E$155,"2026-04")=0,"",SUMIFS('供应商月度明细'!$H$5:$H$155,'供应商月度明细'!$A$5:$A$155,$A30,'供应商月度明细'!$C$5:$C$155,$C30,'供应商月度明细'!$E$5:$E$155,"2026-04")/SUMIFS('供应商月度明细'!$F$5:$F$155,'供应商月度明细'!$A$5:$A$155,$A30,'供应商月度明细'!$C$5:$C$155,$C30,'供应商月度明细'!$E$5:$E$155,"2026-04"))</f>
        <v>0.8837209302325582</v>
      </c>
      <c r="G30" s="32" t="n">
        <f>IF(SUMIFS('供应商月度明细'!$F$5:$F$155,'供应商月度明细'!$A$5:$A$155,$A30,'供应商月度明细'!$C$5:$C$155,$C30,'供应商月度明细'!$E$5:$E$155,"2026-05")=0,"",SUMIFS('供应商月度明细'!$H$5:$H$155,'供应商月度明细'!$A$5:$A$155,$A30,'供应商月度明细'!$C$5:$C$155,$C30,'供应商月度明细'!$E$5:$E$155,"2026-05")/SUMIFS('供应商月度明细'!$F$5:$F$155,'供应商月度明细'!$A$5:$A$155,$A30,'供应商月度明细'!$C$5:$C$155,$C30,'供应商月度明细'!$E$5:$E$155,"2026-05"))</f>
        <v>0.7058823529411765</v>
      </c>
      <c r="H30" s="32" t="n">
        <f>IF(SUMIFS('供应商月度明细'!$F$5:$F$155,'供应商月度明细'!$A$5:$A$155,$A30,'供应商月度明细'!$C$5:$C$155,$C30,'供应商月度明细'!$E$5:$E$155,"2026-06")=0,"",SUMIFS('供应商月度明细'!$H$5:$H$155,'供应商月度明细'!$A$5:$A$155,$A30,'供应商月度明细'!$C$5:$C$155,$C30,'供应商月度明细'!$E$5:$E$155,"2026-06")/SUMIFS('供应商月度明细'!$F$5:$F$155,'供应商月度明细'!$A$5:$A$155,$A30,'供应商月度明细'!$C$5:$C$155,$C30,'供应商月度明细'!$E$5:$E$155,"2026-06"))</f>
        <v>0.8888888888888888</v>
      </c>
      <c r="I30" s="32" t="n">
        <f>IF(COUNT(F30:H30)=0,"",AVERAGE(F30:H30))</f>
        <v>0.8261640573542078</v>
      </c>
      <c r="J30" s="32" t="n">
        <f>IF(K30=0,"",L30/K30)</f>
        <v>0.8405797101449275</v>
      </c>
      <c r="K30" s="33" t="n">
        <f>SUMIFS('供应商月度明细'!$F$5:$F$155,'供应商月度明细'!$A$5:$A$155,$A30,'供应商月度明细'!$C$5:$C$155,$C30)</f>
        <v>69</v>
      </c>
      <c r="L30" s="33" t="n">
        <f>SUMIFS('供应商月度明细'!$H$5:$H$155,'供应商月度明细'!$A$5:$A$155,$A30,'供应商月度明细'!$C$5:$C$155,$C30)</f>
        <v>58</v>
      </c>
    </row>
    <row r="31">
      <c r="A31" s="34" t="str">
        <v>英国区</v>
      </c>
      <c r="B31" s="34" t="str">
        <v>全区</v>
      </c>
      <c r="C31" s="34" t="str"/>
      <c r="D31" s="34" t="str">
        <v>区域汇总</v>
      </c>
      <c r="E31" s="34" t="str">
        <v>操作员</v>
      </c>
      <c r="F31" s="35" t="n">
        <f>IF(SUMIFS('供应商月度明细'!$F$5:$F$155,'供应商月度明细'!$A$5:$A$155,$A31,'供应商月度明细'!$D$5:$D$155,$E31,'供应商月度明细'!$E$5:$E$155,"2026-04")=0,"",SUMIFS('供应商月度明细'!$H$5:$H$155,'供应商月度明细'!$A$5:$A$155,$A31,'供应商月度明细'!$D$5:$D$155,$E31,'供应商月度明细'!$E$5:$E$155,"2026-04")/SUMIFS('供应商月度明细'!$F$5:$F$155,'供应商月度明细'!$A$5:$A$155,$A31,'供应商月度明细'!$D$5:$D$155,$E31,'供应商月度明细'!$E$5:$E$155,"2026-04"))</f>
        <v>0.9278688524590164</v>
      </c>
      <c r="G31" s="35" t="n">
        <f>IF(SUMIFS('供应商月度明细'!$F$5:$F$155,'供应商月度明细'!$A$5:$A$155,$A31,'供应商月度明细'!$D$5:$D$155,$E31,'供应商月度明细'!$E$5:$E$155,"2026-05")=0,"",SUMIFS('供应商月度明细'!$H$5:$H$155,'供应商月度明细'!$A$5:$A$155,$A31,'供应商月度明细'!$D$5:$D$155,$E31,'供应商月度明细'!$E$5:$E$155,"2026-05")/SUMIFS('供应商月度明细'!$F$5:$F$155,'供应商月度明细'!$A$5:$A$155,$A31,'供应商月度明细'!$D$5:$D$155,$E31,'供应商月度明细'!$E$5:$E$155,"2026-05"))</f>
        <v>0.8261421319796954</v>
      </c>
      <c r="H31" s="35" t="n">
        <f>IF(SUMIFS('供应商月度明细'!$F$5:$F$155,'供应商月度明细'!$A$5:$A$155,$A31,'供应商月度明细'!$D$5:$D$155,$E31,'供应商月度明细'!$E$5:$E$155,"2026-06")=0,"",SUMIFS('供应商月度明细'!$H$5:$H$155,'供应商月度明细'!$A$5:$A$155,$A31,'供应商月度明细'!$D$5:$D$155,$E31,'供应商月度明细'!$E$5:$E$155,"2026-06")/SUMIFS('供应商月度明细'!$F$5:$F$155,'供应商月度明细'!$A$5:$A$155,$A31,'供应商月度明细'!$D$5:$D$155,$E31,'供应商月度明细'!$E$5:$E$155,"2026-06"))</f>
        <v>0.8813209494324046</v>
      </c>
      <c r="I31" s="35" t="n">
        <f>IF(COUNT(F31:H31)=0,"",AVERAGE(F31:H31))</f>
        <v>0.8784439779570388</v>
      </c>
      <c r="J31" s="35" t="n">
        <f>IF(K31=0,"",L31/K31)</f>
        <v>0.8749471905365441</v>
      </c>
      <c r="K31" s="36" t="n">
        <f>SUMIFS('供应商月度明细'!$F$5:$F$155,'供应商月度明细'!$A$5:$A$155,$A31,'供应商月度明细'!$D$5:$D$155,$E31)</f>
        <v>2367</v>
      </c>
      <c r="L31" s="36" t="n">
        <f>SUMIFS('供应商月度明细'!$H$5:$H$155,'供应商月度明细'!$A$5:$A$155,$A31,'供应商月度明细'!$D$5:$D$155,$E31)</f>
        <v>2071</v>
      </c>
    </row>
    <row r="32">
      <c r="A32" s="34" t="str">
        <v>英国区</v>
      </c>
      <c r="B32" s="34" t="str">
        <v>全区</v>
      </c>
      <c r="C32" s="34" t="str"/>
      <c r="D32" s="34" t="str">
        <v>区域汇总</v>
      </c>
      <c r="E32" s="34" t="str">
        <v>叉车司机</v>
      </c>
      <c r="F32" s="35" t="str">
        <f>IF(SUMIFS('供应商月度明细'!$F$5:$F$155,'供应商月度明细'!$A$5:$A$155,$A32,'供应商月度明细'!$D$5:$D$155,$E32,'供应商月度明细'!$E$5:$E$155,"2026-04")=0,"",SUMIFS('供应商月度明细'!$H$5:$H$155,'供应商月度明细'!$A$5:$A$155,$A32,'供应商月度明细'!$D$5:$D$155,$E32,'供应商月度明细'!$E$5:$E$155,"2026-04")/SUMIFS('供应商月度明细'!$F$5:$F$155,'供应商月度明细'!$A$5:$A$155,$A32,'供应商月度明细'!$D$5:$D$155,$E32,'供应商月度明细'!$E$5:$E$155,"2026-04"))</f>
      </c>
      <c r="G32" s="35" t="str">
        <f>IF(SUMIFS('供应商月度明细'!$F$5:$F$155,'供应商月度明细'!$A$5:$A$155,$A32,'供应商月度明细'!$D$5:$D$155,$E32,'供应商月度明细'!$E$5:$E$155,"2026-05")=0,"",SUMIFS('供应商月度明细'!$H$5:$H$155,'供应商月度明细'!$A$5:$A$155,$A32,'供应商月度明细'!$D$5:$D$155,$E32,'供应商月度明细'!$E$5:$E$155,"2026-05")/SUMIFS('供应商月度明细'!$F$5:$F$155,'供应商月度明细'!$A$5:$A$155,$A32,'供应商月度明细'!$D$5:$D$155,$E32,'供应商月度明细'!$E$5:$E$155,"2026-05"))</f>
      </c>
      <c r="H32" s="35" t="n">
        <f>IF(SUMIFS('供应商月度明细'!$F$5:$F$155,'供应商月度明细'!$A$5:$A$155,$A32,'供应商月度明细'!$D$5:$D$155,$E32,'供应商月度明细'!$E$5:$E$155,"2026-06")=0,"",SUMIFS('供应商月度明细'!$H$5:$H$155,'供应商月度明细'!$A$5:$A$155,$A32,'供应商月度明细'!$D$5:$D$155,$E32,'供应商月度明细'!$E$5:$E$155,"2026-06")/SUMIFS('供应商月度明细'!$F$5:$F$155,'供应商月度明细'!$A$5:$A$155,$A32,'供应商月度明细'!$D$5:$D$155,$E32,'供应商月度明细'!$E$5:$E$155,"2026-06"))</f>
        <v>0.5</v>
      </c>
      <c r="I32" s="35" t="n">
        <f>IF(COUNT(F32:H32)=0,"",AVERAGE(F32:H32))</f>
        <v>0.5</v>
      </c>
      <c r="J32" s="35" t="n">
        <f>IF(K32=0,"",L32/K32)</f>
        <v>0.5</v>
      </c>
      <c r="K32" s="36" t="n">
        <f>SUMIFS('供应商月度明细'!$F$5:$F$155,'供应商月度明细'!$A$5:$A$155,$A32,'供应商月度明细'!$D$5:$D$155,$E32)</f>
        <v>12</v>
      </c>
      <c r="L32" s="36" t="n">
        <f>SUMIFS('供应商月度明细'!$H$5:$H$155,'供应商月度明细'!$A$5:$A$155,$A32,'供应商月度明细'!$D$5:$D$155,$E32)</f>
        <v>6</v>
      </c>
    </row>
    <row r="33">
      <c r="A33" s="34" t="str">
        <v>英国区</v>
      </c>
      <c r="B33" s="34" t="str">
        <v>全区</v>
      </c>
      <c r="C33" s="34" t="str"/>
      <c r="D33" s="34" t="str">
        <v>区域汇总</v>
      </c>
      <c r="E33" s="34" t="str">
        <v>售后处理员</v>
      </c>
      <c r="F33" s="35" t="n">
        <f>IF(SUMIFS('供应商月度明细'!$F$5:$F$155,'供应商月度明细'!$A$5:$A$155,$A33,'供应商月度明细'!$D$5:$D$155,$E33,'供应商月度明细'!$E$5:$E$155,"2026-04")=0,"",SUMIFS('供应商月度明细'!$H$5:$H$155,'供应商月度明细'!$A$5:$A$155,$A33,'供应商月度明细'!$D$5:$D$155,$E33,'供应商月度明细'!$E$5:$E$155,"2026-04")/SUMIFS('供应商月度明细'!$F$5:$F$155,'供应商月度明细'!$A$5:$A$155,$A33,'供应商月度明细'!$D$5:$D$155,$E33,'供应商月度明细'!$E$5:$E$155,"2026-04"))</f>
        <v>1</v>
      </c>
      <c r="G33" s="35" t="n">
        <f>IF(SUMIFS('供应商月度明细'!$F$5:$F$155,'供应商月度明细'!$A$5:$A$155,$A33,'供应商月度明细'!$D$5:$D$155,$E33,'供应商月度明细'!$E$5:$E$155,"2026-05")=0,"",SUMIFS('供应商月度明细'!$H$5:$H$155,'供应商月度明细'!$A$5:$A$155,$A33,'供应商月度明细'!$D$5:$D$155,$E33,'供应商月度明细'!$E$5:$E$155,"2026-05")/SUMIFS('供应商月度明细'!$F$5:$F$155,'供应商月度明细'!$A$5:$A$155,$A33,'供应商月度明细'!$D$5:$D$155,$E33,'供应商月度明细'!$E$5:$E$155,"2026-05"))</f>
        <v>1</v>
      </c>
      <c r="H33" s="35" t="str">
        <f>IF(SUMIFS('供应商月度明细'!$F$5:$F$155,'供应商月度明细'!$A$5:$A$155,$A33,'供应商月度明细'!$D$5:$D$155,$E33,'供应商月度明细'!$E$5:$E$155,"2026-06")=0,"",SUMIFS('供应商月度明细'!$H$5:$H$155,'供应商月度明细'!$A$5:$A$155,$A33,'供应商月度明细'!$D$5:$D$155,$E33,'供应商月度明细'!$E$5:$E$155,"2026-06")/SUMIFS('供应商月度明细'!$F$5:$F$155,'供应商月度明细'!$A$5:$A$155,$A33,'供应商月度明细'!$D$5:$D$155,$E33,'供应商月度明细'!$E$5:$E$155,"2026-06"))</f>
      </c>
      <c r="I33" s="35" t="n">
        <f>IF(COUNT(F33:H33)=0,"",AVERAGE(F33:H33))</f>
        <v>1</v>
      </c>
      <c r="J33" s="35" t="n">
        <f>IF(K33=0,"",L33/K33)</f>
        <v>1</v>
      </c>
      <c r="K33" s="36" t="n">
        <f>SUMIFS('供应商月度明细'!$F$5:$F$155,'供应商月度明细'!$A$5:$A$155,$A33,'供应商月度明细'!$D$5:$D$155,$E33)</f>
        <v>3</v>
      </c>
      <c r="L33" s="36" t="n">
        <f>SUMIFS('供应商月度明细'!$H$5:$H$155,'供应商月度明细'!$A$5:$A$155,$A33,'供应商月度明细'!$D$5:$D$155,$E33)</f>
        <v>3</v>
      </c>
    </row>
    <row r="34">
      <c r="A34" s="34" t="str">
        <v>英国区</v>
      </c>
      <c r="B34" s="34" t="str">
        <v>全区</v>
      </c>
      <c r="C34" s="34" t="str"/>
      <c r="D34" s="34" t="str">
        <v>区域汇总</v>
      </c>
      <c r="E34" s="34" t="str">
        <v>保洁员</v>
      </c>
      <c r="F34" s="35" t="n">
        <f>IF(SUMIFS('供应商月度明细'!$F$5:$F$155,'供应商月度明细'!$A$5:$A$155,$A34,'供应商月度明细'!$D$5:$D$155,$E34,'供应商月度明细'!$E$5:$E$155,"2026-04")=0,"",SUMIFS('供应商月度明细'!$H$5:$H$155,'供应商月度明细'!$A$5:$A$155,$A34,'供应商月度明细'!$D$5:$D$155,$E34,'供应商月度明细'!$E$5:$E$155,"2026-04")/SUMIFS('供应商月度明细'!$F$5:$F$155,'供应商月度明细'!$A$5:$A$155,$A34,'供应商月度明细'!$D$5:$D$155,$E34,'供应商月度明细'!$E$5:$E$155,"2026-04"))</f>
        <v>0.5</v>
      </c>
      <c r="G34" s="35" t="str">
        <f>IF(SUMIFS('供应商月度明细'!$F$5:$F$155,'供应商月度明细'!$A$5:$A$155,$A34,'供应商月度明细'!$D$5:$D$155,$E34,'供应商月度明细'!$E$5:$E$155,"2026-05")=0,"",SUMIFS('供应商月度明细'!$H$5:$H$155,'供应商月度明细'!$A$5:$A$155,$A34,'供应商月度明细'!$D$5:$D$155,$E34,'供应商月度明细'!$E$5:$E$155,"2026-05")/SUMIFS('供应商月度明细'!$F$5:$F$155,'供应商月度明细'!$A$5:$A$155,$A34,'供应商月度明细'!$D$5:$D$155,$E34,'供应商月度明细'!$E$5:$E$155,"2026-05"))</f>
      </c>
      <c r="H34" s="35" t="str">
        <f>IF(SUMIFS('供应商月度明细'!$F$5:$F$155,'供应商月度明细'!$A$5:$A$155,$A34,'供应商月度明细'!$D$5:$D$155,$E34,'供应商月度明细'!$E$5:$E$155,"2026-06")=0,"",SUMIFS('供应商月度明细'!$H$5:$H$155,'供应商月度明细'!$A$5:$A$155,$A34,'供应商月度明细'!$D$5:$D$155,$E34,'供应商月度明细'!$E$5:$E$155,"2026-06")/SUMIFS('供应商月度明细'!$F$5:$F$155,'供应商月度明细'!$A$5:$A$155,$A34,'供应商月度明细'!$D$5:$D$155,$E34,'供应商月度明细'!$E$5:$E$155,"2026-06"))</f>
      </c>
      <c r="I34" s="35" t="n">
        <f>IF(COUNT(F34:H34)=0,"",AVERAGE(F34:H34))</f>
        <v>0.5</v>
      </c>
      <c r="J34" s="35" t="n">
        <f>IF(K34=0,"",L34/K34)</f>
        <v>0.5</v>
      </c>
      <c r="K34" s="36" t="n">
        <f>SUMIFS('供应商月度明细'!$F$5:$F$155,'供应商月度明细'!$A$5:$A$155,$A34,'供应商月度明细'!$D$5:$D$155,$E34)</f>
        <v>2</v>
      </c>
      <c r="L34" s="36" t="n">
        <f>SUMIFS('供应商月度明细'!$H$5:$H$155,'供应商月度明细'!$A$5:$A$155,$A34,'供应商月度明细'!$D$5:$D$155,$E34)</f>
        <v>1</v>
      </c>
    </row>
    <row r="35">
      <c r="A35" s="34" t="str">
        <v>英国区</v>
      </c>
      <c r="B35" s="34" t="str">
        <v>全区</v>
      </c>
      <c r="C35" s="34" t="str"/>
      <c r="D35" s="34" t="str">
        <v>区域汇总</v>
      </c>
      <c r="E35" s="34" t="str">
        <v>交运员 3.5T</v>
      </c>
      <c r="F35" s="35" t="str">
        <f>IF(SUMIFS('供应商月度明细'!$F$5:$F$155,'供应商月度明细'!$A$5:$A$155,$A35,'供应商月度明细'!$D$5:$D$155,$E35,'供应商月度明细'!$E$5:$E$155,"2026-04")=0,"",SUMIFS('供应商月度明细'!$H$5:$H$155,'供应商月度明细'!$A$5:$A$155,$A35,'供应商月度明细'!$D$5:$D$155,$E35,'供应商月度明细'!$E$5:$E$155,"2026-04")/SUMIFS('供应商月度明细'!$F$5:$F$155,'供应商月度明细'!$A$5:$A$155,$A35,'供应商月度明细'!$D$5:$D$155,$E35,'供应商月度明细'!$E$5:$E$155,"2026-04"))</f>
      </c>
      <c r="G35" s="35" t="n">
        <f>IF(SUMIFS('供应商月度明细'!$F$5:$F$155,'供应商月度明细'!$A$5:$A$155,$A35,'供应商月度明细'!$D$5:$D$155,$E35,'供应商月度明细'!$E$5:$E$155,"2026-05")=0,"",SUMIFS('供应商月度明细'!$H$5:$H$155,'供应商月度明细'!$A$5:$A$155,$A35,'供应商月度明细'!$D$5:$D$155,$E35,'供应商月度明细'!$E$5:$E$155,"2026-05")/SUMIFS('供应商月度明细'!$F$5:$F$155,'供应商月度明细'!$A$5:$A$155,$A35,'供应商月度明细'!$D$5:$D$155,$E35,'供应商月度明细'!$E$5:$E$155,"2026-05"))</f>
        <v>1</v>
      </c>
      <c r="H35" s="35" t="str">
        <f>IF(SUMIFS('供应商月度明细'!$F$5:$F$155,'供应商月度明细'!$A$5:$A$155,$A35,'供应商月度明细'!$D$5:$D$155,$E35,'供应商月度明细'!$E$5:$E$155,"2026-06")=0,"",SUMIFS('供应商月度明细'!$H$5:$H$155,'供应商月度明细'!$A$5:$A$155,$A35,'供应商月度明细'!$D$5:$D$155,$E35,'供应商月度明细'!$E$5:$E$155,"2026-06")/SUMIFS('供应商月度明细'!$F$5:$F$155,'供应商月度明细'!$A$5:$A$155,$A35,'供应商月度明细'!$D$5:$D$155,$E35,'供应商月度明细'!$E$5:$E$155,"2026-06"))</f>
      </c>
      <c r="I35" s="35" t="n">
        <f>IF(COUNT(F35:H35)=0,"",AVERAGE(F35:H35))</f>
        <v>1</v>
      </c>
      <c r="J35" s="35" t="n">
        <f>IF(K35=0,"",L35/K35)</f>
        <v>1</v>
      </c>
      <c r="K35" s="36" t="n">
        <f>SUMIFS('供应商月度明细'!$F$5:$F$155,'供应商月度明细'!$A$5:$A$155,$A35,'供应商月度明细'!$D$5:$D$155,$E35)</f>
        <v>4</v>
      </c>
      <c r="L35" s="36" t="n">
        <f>SUMIFS('供应商月度明细'!$H$5:$H$155,'供应商月度明细'!$A$5:$A$155,$A35,'供应商月度明细'!$D$5:$D$155,$E35)</f>
        <v>4</v>
      </c>
    </row>
    <row r="36">
      <c r="A36" s="34" t="str">
        <v>英国区</v>
      </c>
      <c r="B36" s="34" t="str">
        <v>全区</v>
      </c>
      <c r="C36" s="34" t="str"/>
      <c r="D36" s="34" t="str">
        <v>区域汇总</v>
      </c>
      <c r="E36" s="34" t="str">
        <v>保安</v>
      </c>
      <c r="F36" s="35" t="n">
        <f>IF(SUMIFS('供应商月度明细'!$F$5:$F$155,'供应商月度明细'!$A$5:$A$155,$A36,'供应商月度明细'!$D$5:$D$155,$E36,'供应商月度明细'!$E$5:$E$155,"2026-04")=0,"",SUMIFS('供应商月度明细'!$H$5:$H$155,'供应商月度明细'!$A$5:$A$155,$A36,'供应商月度明细'!$D$5:$D$155,$E36,'供应商月度明细'!$E$5:$E$155,"2026-04")/SUMIFS('供应商月度明细'!$F$5:$F$155,'供应商月度明细'!$A$5:$A$155,$A36,'供应商月度明细'!$D$5:$D$155,$E36,'供应商月度明细'!$E$5:$E$155,"2026-04"))</f>
        <v>0.75</v>
      </c>
      <c r="G36" s="35" t="n">
        <f>IF(SUMIFS('供应商月度明细'!$F$5:$F$155,'供应商月度明细'!$A$5:$A$155,$A36,'供应商月度明细'!$D$5:$D$155,$E36,'供应商月度明细'!$E$5:$E$155,"2026-05")=0,"",SUMIFS('供应商月度明细'!$H$5:$H$155,'供应商月度明细'!$A$5:$A$155,$A36,'供应商月度明细'!$D$5:$D$155,$E36,'供应商月度明细'!$E$5:$E$155,"2026-05")/SUMIFS('供应商月度明细'!$F$5:$F$155,'供应商月度明细'!$A$5:$A$155,$A36,'供应商月度明细'!$D$5:$D$155,$E36,'供应商月度明细'!$E$5:$E$155,"2026-05"))</f>
        <v>1</v>
      </c>
      <c r="H36" s="35" t="str">
        <f>IF(SUMIFS('供应商月度明细'!$F$5:$F$155,'供应商月度明细'!$A$5:$A$155,$A36,'供应商月度明细'!$D$5:$D$155,$E36,'供应商月度明细'!$E$5:$E$155,"2026-06")=0,"",SUMIFS('供应商月度明细'!$H$5:$H$155,'供应商月度明细'!$A$5:$A$155,$A36,'供应商月度明细'!$D$5:$D$155,$E36,'供应商月度明细'!$E$5:$E$155,"2026-06")/SUMIFS('供应商月度明细'!$F$5:$F$155,'供应商月度明细'!$A$5:$A$155,$A36,'供应商月度明细'!$D$5:$D$155,$E36,'供应商月度明细'!$E$5:$E$155,"2026-06"))</f>
      </c>
      <c r="I36" s="35" t="n">
        <f>IF(COUNT(F36:H36)=0,"",AVERAGE(F36:H36))</f>
        <v>0.875</v>
      </c>
      <c r="J36" s="35" t="n">
        <f>IF(K36=0,"",L36/K36)</f>
        <v>0.8571428571428571</v>
      </c>
      <c r="K36" s="36" t="n">
        <f>SUMIFS('供应商月度明细'!$F$5:$F$155,'供应商月度明细'!$A$5:$A$155,$A36,'供应商月度明细'!$D$5:$D$155,$E36)</f>
        <v>7</v>
      </c>
      <c r="L36" s="36" t="n">
        <f>SUMIFS('供应商月度明细'!$H$5:$H$155,'供应商月度明细'!$A$5:$A$155,$A36,'供应商月度明细'!$D$5:$D$155,$E36)</f>
        <v>6</v>
      </c>
    </row>
    <row r="37">
      <c r="A37" s="37" t="str">
        <v>英国区</v>
      </c>
      <c r="B37" s="37" t="str">
        <v>全区</v>
      </c>
      <c r="C37" s="37" t="str"/>
      <c r="D37" s="37" t="str">
        <v>区域汇总</v>
      </c>
      <c r="E37" s="37" t="str">
        <v>全部工种</v>
      </c>
      <c r="F37" s="38" t="n">
        <f>IF(SUMIFS('供应商月度明细'!$F$5:$F$155,'供应商月度明细'!$A$5:$A$155,$A37,'供应商月度明细'!$E$5:$E$155,"2026-04")=0,"",SUMIFS('供应商月度明细'!$H$5:$H$155,'供应商月度明细'!$A$5:$A$155,$A37,'供应商月度明细'!$E$5:$E$155,"2026-04")/SUMIFS('供应商月度明细'!$F$5:$F$155,'供应商月度明细'!$A$5:$A$155,$A37,'供应商月度明细'!$E$5:$E$155,"2026-04"))</f>
        <v>0.9254457050243112</v>
      </c>
      <c r="G37" s="38" t="n">
        <f>IF(SUMIFS('供应商月度明细'!$F$5:$F$155,'供应商月度明细'!$A$5:$A$155,$A37,'供应商月度明细'!$E$5:$E$155,"2026-05")=0,"",SUMIFS('供应商月度明细'!$H$5:$H$155,'供应商月度明细'!$A$5:$A$155,$A37,'供应商月度明细'!$E$5:$E$155,"2026-05")/SUMIFS('供应商月度明细'!$F$5:$F$155,'供应商月度明细'!$A$5:$A$155,$A37,'供应商月度明细'!$E$5:$E$155,"2026-05"))</f>
        <v>0.8281053952321205</v>
      </c>
      <c r="H37" s="38" t="n">
        <f>IF(SUMIFS('供应商月度明细'!$F$5:$F$155,'供应商月度明细'!$A$5:$A$155,$A37,'供应商月度明细'!$E$5:$E$155,"2026-06")=0,"",SUMIFS('供应商月度明细'!$H$5:$H$155,'供应商月度明细'!$A$5:$A$155,$A37,'供应商月度明细'!$E$5:$E$155,"2026-06")/SUMIFS('供应商月度明细'!$F$5:$F$155,'供应商月度明细'!$A$5:$A$155,$A37,'供应商月度明细'!$E$5:$E$155,"2026-06"))</f>
        <v>0.8766564729867482</v>
      </c>
      <c r="I37" s="38" t="n">
        <f>IF(COUNT(F37:H37)=0,"",AVERAGE(F37:H37))</f>
        <v>0.8767358577477267</v>
      </c>
      <c r="J37" s="38" t="n">
        <f>IF(K37=0,"",L37/K37)</f>
        <v>0.8730688935281837</v>
      </c>
      <c r="K37" s="39" t="n">
        <f>SUMIFS('供应商月度明细'!$F$5:$F$155,'供应商月度明细'!$A$5:$A$155,$A37)</f>
        <v>2395</v>
      </c>
      <c r="L37" s="39" t="n">
        <f>SUMIFS('供应商月度明细'!$H$5:$H$155,'供应商月度明细'!$A$5:$A$155,$A37)</f>
        <v>2091</v>
      </c>
    </row>
    <row r="38">
      <c r="A38" s="19" t="str">
        <v>德国区</v>
      </c>
      <c r="B38" s="19" t="str">
        <v>Armz GmbH</v>
      </c>
      <c r="C38" s="19" t="str">
        <v>S000279</v>
      </c>
      <c r="D38" s="19" t="str">
        <v>工种明细</v>
      </c>
      <c r="E38" s="19" t="str">
        <v>操作员</v>
      </c>
      <c r="F38" s="27" t="n">
        <f>IF(SUMIFS('供应商月度明细'!$F$5:$F$155,'供应商月度明细'!$A$5:$A$155,$A38,'供应商月度明细'!$C$5:$C$155,$C38,'供应商月度明细'!$D$5:$D$155,$E38,'供应商月度明细'!$E$5:$E$155,"2026-04")=0,"",SUMIFS('供应商月度明细'!$H$5:$H$155,'供应商月度明细'!$A$5:$A$155,$A38,'供应商月度明细'!$C$5:$C$155,$C38,'供应商月度明细'!$D$5:$D$155,$E38,'供应商月度明细'!$E$5:$E$155,"2026-04")/SUMIFS('供应商月度明细'!$F$5:$F$155,'供应商月度明细'!$A$5:$A$155,$A38,'供应商月度明细'!$C$5:$C$155,$C38,'供应商月度明细'!$D$5:$D$155,$E38,'供应商月度明细'!$E$5:$E$155,"2026-04"))</f>
        <v>0.7954545454545454</v>
      </c>
      <c r="G38" s="27" t="n">
        <f>IF(SUMIFS('供应商月度明细'!$F$5:$F$155,'供应商月度明细'!$A$5:$A$155,$A38,'供应商月度明细'!$C$5:$C$155,$C38,'供应商月度明细'!$D$5:$D$155,$E38,'供应商月度明细'!$E$5:$E$155,"2026-05")=0,"",SUMIFS('供应商月度明细'!$H$5:$H$155,'供应商月度明细'!$A$5:$A$155,$A38,'供应商月度明细'!$C$5:$C$155,$C38,'供应商月度明细'!$D$5:$D$155,$E38,'供应商月度明细'!$E$5:$E$155,"2026-05")/SUMIFS('供应商月度明细'!$F$5:$F$155,'供应商月度明细'!$A$5:$A$155,$A38,'供应商月度明细'!$C$5:$C$155,$C38,'供应商月度明细'!$D$5:$D$155,$E38,'供应商月度明细'!$E$5:$E$155,"2026-05"))</f>
        <v>0.9052631578947369</v>
      </c>
      <c r="H38" s="27" t="n">
        <f>IF(SUMIFS('供应商月度明细'!$F$5:$F$155,'供应商月度明细'!$A$5:$A$155,$A38,'供应商月度明细'!$C$5:$C$155,$C38,'供应商月度明细'!$D$5:$D$155,$E38,'供应商月度明细'!$E$5:$E$155,"2026-06")=0,"",SUMIFS('供应商月度明细'!$H$5:$H$155,'供应商月度明细'!$A$5:$A$155,$A38,'供应商月度明细'!$C$5:$C$155,$C38,'供应商月度明细'!$D$5:$D$155,$E38,'供应商月度明细'!$E$5:$E$155,"2026-06")/SUMIFS('供应商月度明细'!$F$5:$F$155,'供应商月度明细'!$A$5:$A$155,$A38,'供应商月度明细'!$C$5:$C$155,$C38,'供应商月度明细'!$D$5:$D$155,$E38,'供应商月度明细'!$E$5:$E$155,"2026-06"))</f>
        <v>0.7329545454545454</v>
      </c>
      <c r="I38" s="27" t="n">
        <f>IF(COUNT(F38:H38)=0,"",AVERAGE(F38:H38))</f>
        <v>0.8112240829346092</v>
      </c>
      <c r="J38" s="27" t="n">
        <f>IF(K38=0,"",L38/K38)</f>
        <v>0.7936507936507936</v>
      </c>
      <c r="K38" s="23" t="n">
        <f>SUMIFS('供应商月度明细'!$F$5:$F$155,'供应商月度明细'!$A$5:$A$155,$A38,'供应商月度明细'!$C$5:$C$155,$C38,'供应商月度明细'!$D$5:$D$155,$E38)</f>
        <v>315</v>
      </c>
      <c r="L38" s="23" t="n">
        <f>SUMIFS('供应商月度明细'!$H$5:$H$155,'供应商月度明细'!$A$5:$A$155,$A38,'供应商月度明细'!$C$5:$C$155,$C38,'供应商月度明细'!$D$5:$D$155,$E38)</f>
        <v>250</v>
      </c>
    </row>
    <row r="39">
      <c r="A39" s="19" t="str">
        <v>德国区</v>
      </c>
      <c r="B39" s="19" t="str">
        <v>Armz GmbH</v>
      </c>
      <c r="C39" s="19" t="str">
        <v>S000279</v>
      </c>
      <c r="D39" s="19" t="str">
        <v>工种明细</v>
      </c>
      <c r="E39" s="19" t="str">
        <v>售后处理员</v>
      </c>
      <c r="F39" s="27" t="str">
        <f>IF(SUMIFS('供应商月度明细'!$F$5:$F$155,'供应商月度明细'!$A$5:$A$155,$A39,'供应商月度明细'!$C$5:$C$155,$C39,'供应商月度明细'!$D$5:$D$155,$E39,'供应商月度明细'!$E$5:$E$155,"2026-04")=0,"",SUMIFS('供应商月度明细'!$H$5:$H$155,'供应商月度明细'!$A$5:$A$155,$A39,'供应商月度明细'!$C$5:$C$155,$C39,'供应商月度明细'!$D$5:$D$155,$E39,'供应商月度明细'!$E$5:$E$155,"2026-04")/SUMIFS('供应商月度明细'!$F$5:$F$155,'供应商月度明细'!$A$5:$A$155,$A39,'供应商月度明细'!$C$5:$C$155,$C39,'供应商月度明细'!$D$5:$D$155,$E39,'供应商月度明细'!$E$5:$E$155,"2026-04"))</f>
      </c>
      <c r="G39" s="27" t="n">
        <f>IF(SUMIFS('供应商月度明细'!$F$5:$F$155,'供应商月度明细'!$A$5:$A$155,$A39,'供应商月度明细'!$C$5:$C$155,$C39,'供应商月度明细'!$D$5:$D$155,$E39,'供应商月度明细'!$E$5:$E$155,"2026-05")=0,"",SUMIFS('供应商月度明细'!$H$5:$H$155,'供应商月度明细'!$A$5:$A$155,$A39,'供应商月度明细'!$C$5:$C$155,$C39,'供应商月度明细'!$D$5:$D$155,$E39,'供应商月度明细'!$E$5:$E$155,"2026-05")/SUMIFS('供应商月度明细'!$F$5:$F$155,'供应商月度明细'!$A$5:$A$155,$A39,'供应商月度明细'!$C$5:$C$155,$C39,'供应商月度明细'!$D$5:$D$155,$E39,'供应商月度明细'!$E$5:$E$155,"2026-05"))</f>
        <v>0.5</v>
      </c>
      <c r="H39" s="27" t="n">
        <f>IF(SUMIFS('供应商月度明细'!$F$5:$F$155,'供应商月度明细'!$A$5:$A$155,$A39,'供应商月度明细'!$C$5:$C$155,$C39,'供应商月度明细'!$D$5:$D$155,$E39,'供应商月度明细'!$E$5:$E$155,"2026-06")=0,"",SUMIFS('供应商月度明细'!$H$5:$H$155,'供应商月度明细'!$A$5:$A$155,$A39,'供应商月度明细'!$C$5:$C$155,$C39,'供应商月度明细'!$D$5:$D$155,$E39,'供应商月度明细'!$E$5:$E$155,"2026-06")/SUMIFS('供应商月度明细'!$F$5:$F$155,'供应商月度明细'!$A$5:$A$155,$A39,'供应商月度明细'!$C$5:$C$155,$C39,'供应商月度明细'!$D$5:$D$155,$E39,'供应商月度明细'!$E$5:$E$155,"2026-06"))</f>
        <v>0.6666666666666666</v>
      </c>
      <c r="I39" s="27" t="n">
        <f>IF(COUNT(F39:H39)=0,"",AVERAGE(F39:H39))</f>
        <v>0.5833333333333333</v>
      </c>
      <c r="J39" s="27" t="n">
        <f>IF(K39=0,"",L39/K39)</f>
        <v>0.5555555555555556</v>
      </c>
      <c r="K39" s="23" t="n">
        <f>SUMIFS('供应商月度明细'!$F$5:$F$155,'供应商月度明细'!$A$5:$A$155,$A39,'供应商月度明细'!$C$5:$C$155,$C39,'供应商月度明细'!$D$5:$D$155,$E39)</f>
        <v>9</v>
      </c>
      <c r="L39" s="23" t="n">
        <f>SUMIFS('供应商月度明细'!$H$5:$H$155,'供应商月度明细'!$A$5:$A$155,$A39,'供应商月度明细'!$C$5:$C$155,$C39,'供应商月度明细'!$D$5:$D$155,$E39)</f>
        <v>5</v>
      </c>
    </row>
    <row r="40">
      <c r="A40" s="19" t="str">
        <v>德国区</v>
      </c>
      <c r="B40" s="19" t="str">
        <v>Armz GmbH</v>
      </c>
      <c r="C40" s="19" t="str">
        <v>S000279</v>
      </c>
      <c r="D40" s="19" t="str">
        <v>工种明细</v>
      </c>
      <c r="E40" s="19" t="str">
        <v>保洁员</v>
      </c>
      <c r="F40" s="27" t="str">
        <f>IF(SUMIFS('供应商月度明细'!$F$5:$F$155,'供应商月度明细'!$A$5:$A$155,$A40,'供应商月度明细'!$C$5:$C$155,$C40,'供应商月度明细'!$D$5:$D$155,$E40,'供应商月度明细'!$E$5:$E$155,"2026-04")=0,"",SUMIFS('供应商月度明细'!$H$5:$H$155,'供应商月度明细'!$A$5:$A$155,$A40,'供应商月度明细'!$C$5:$C$155,$C40,'供应商月度明细'!$D$5:$D$155,$E40,'供应商月度明细'!$E$5:$E$155,"2026-04")/SUMIFS('供应商月度明细'!$F$5:$F$155,'供应商月度明细'!$A$5:$A$155,$A40,'供应商月度明细'!$C$5:$C$155,$C40,'供应商月度明细'!$D$5:$D$155,$E40,'供应商月度明细'!$E$5:$E$155,"2026-04"))</f>
      </c>
      <c r="G40" s="27" t="str">
        <f>IF(SUMIFS('供应商月度明细'!$F$5:$F$155,'供应商月度明细'!$A$5:$A$155,$A40,'供应商月度明细'!$C$5:$C$155,$C40,'供应商月度明细'!$D$5:$D$155,$E40,'供应商月度明细'!$E$5:$E$155,"2026-05")=0,"",SUMIFS('供应商月度明细'!$H$5:$H$155,'供应商月度明细'!$A$5:$A$155,$A40,'供应商月度明细'!$C$5:$C$155,$C40,'供应商月度明细'!$D$5:$D$155,$E40,'供应商月度明细'!$E$5:$E$155,"2026-05")/SUMIFS('供应商月度明细'!$F$5:$F$155,'供应商月度明细'!$A$5:$A$155,$A40,'供应商月度明细'!$C$5:$C$155,$C40,'供应商月度明细'!$D$5:$D$155,$E40,'供应商月度明细'!$E$5:$E$155,"2026-05"))</f>
      </c>
      <c r="H40" s="27" t="n">
        <f>IF(SUMIFS('供应商月度明细'!$F$5:$F$155,'供应商月度明细'!$A$5:$A$155,$A40,'供应商月度明细'!$C$5:$C$155,$C40,'供应商月度明细'!$D$5:$D$155,$E40,'供应商月度明细'!$E$5:$E$155,"2026-06")=0,"",SUMIFS('供应商月度明细'!$H$5:$H$155,'供应商月度明细'!$A$5:$A$155,$A40,'供应商月度明细'!$C$5:$C$155,$C40,'供应商月度明细'!$D$5:$D$155,$E40,'供应商月度明细'!$E$5:$E$155,"2026-06")/SUMIFS('供应商月度明细'!$F$5:$F$155,'供应商月度明细'!$A$5:$A$155,$A40,'供应商月度明细'!$C$5:$C$155,$C40,'供应商月度明细'!$D$5:$D$155,$E40,'供应商月度明细'!$E$5:$E$155,"2026-06"))</f>
        <v>1</v>
      </c>
      <c r="I40" s="27" t="n">
        <f>IF(COUNT(F40:H40)=0,"",AVERAGE(F40:H40))</f>
        <v>1</v>
      </c>
      <c r="J40" s="27" t="n">
        <f>IF(K40=0,"",L40/K40)</f>
        <v>1</v>
      </c>
      <c r="K40" s="23" t="n">
        <f>SUMIFS('供应商月度明细'!$F$5:$F$155,'供应商月度明细'!$A$5:$A$155,$A40,'供应商月度明细'!$C$5:$C$155,$C40,'供应商月度明细'!$D$5:$D$155,$E40)</f>
        <v>2</v>
      </c>
      <c r="L40" s="23" t="n">
        <f>SUMIFS('供应商月度明细'!$H$5:$H$155,'供应商月度明细'!$A$5:$A$155,$A40,'供应商月度明细'!$C$5:$C$155,$C40,'供应商月度明细'!$D$5:$D$155,$E40)</f>
        <v>2</v>
      </c>
    </row>
    <row r="41">
      <c r="A41" s="31" t="str">
        <v>德国区</v>
      </c>
      <c r="B41" s="31" t="str">
        <v>Armz GmbH</v>
      </c>
      <c r="C41" s="31" t="str">
        <v>S000279</v>
      </c>
      <c r="D41" s="31" t="str">
        <v>供应商汇总</v>
      </c>
      <c r="E41" s="31" t="str">
        <v>全部工种</v>
      </c>
      <c r="F41" s="32" t="n">
        <f>IF(SUMIFS('供应商月度明细'!$F$5:$F$155,'供应商月度明细'!$A$5:$A$155,$A41,'供应商月度明细'!$C$5:$C$155,$C41,'供应商月度明细'!$E$5:$E$155,"2026-04")=0,"",SUMIFS('供应商月度明细'!$H$5:$H$155,'供应商月度明细'!$A$5:$A$155,$A41,'供应商月度明细'!$C$5:$C$155,$C41,'供应商月度明细'!$E$5:$E$155,"2026-04")/SUMIFS('供应商月度明细'!$F$5:$F$155,'供应商月度明细'!$A$5:$A$155,$A41,'供应商月度明细'!$C$5:$C$155,$C41,'供应商月度明细'!$E$5:$E$155,"2026-04"))</f>
        <v>0.7954545454545454</v>
      </c>
      <c r="G41" s="32" t="n">
        <f>IF(SUMIFS('供应商月度明细'!$F$5:$F$155,'供应商月度明细'!$A$5:$A$155,$A41,'供应商月度明细'!$C$5:$C$155,$C41,'供应商月度明细'!$E$5:$E$155,"2026-05")=0,"",SUMIFS('供应商月度明细'!$H$5:$H$155,'供应商月度明细'!$A$5:$A$155,$A41,'供应商月度明细'!$C$5:$C$155,$C41,'供应商月度明细'!$E$5:$E$155,"2026-05")/SUMIFS('供应商月度明细'!$F$5:$F$155,'供应商月度明细'!$A$5:$A$155,$A41,'供应商月度明细'!$C$5:$C$155,$C41,'供应商月度明细'!$E$5:$E$155,"2026-05"))</f>
        <v>0.8811881188118812</v>
      </c>
      <c r="H41" s="32" t="n">
        <f>IF(SUMIFS('供应商月度明细'!$F$5:$F$155,'供应商月度明细'!$A$5:$A$155,$A41,'供应商月度明细'!$C$5:$C$155,$C41,'供应商月度明细'!$E$5:$E$155,"2026-06")=0,"",SUMIFS('供应商月度明细'!$H$5:$H$155,'供应商月度明细'!$A$5:$A$155,$A41,'供应商月度明细'!$C$5:$C$155,$C41,'供应商月度明细'!$E$5:$E$155,"2026-06")/SUMIFS('供应商月度明细'!$F$5:$F$155,'供应商月度明细'!$A$5:$A$155,$A41,'供应商月度明细'!$C$5:$C$155,$C41,'供应商月度明细'!$E$5:$E$155,"2026-06"))</f>
        <v>0.7348066298342542</v>
      </c>
      <c r="I41" s="32" t="n">
        <f>IF(COUNT(F41:H41)=0,"",AVERAGE(F41:H41))</f>
        <v>0.8038164313668936</v>
      </c>
      <c r="J41" s="32" t="n">
        <f>IF(K41=0,"",L41/K41)</f>
        <v>0.7883435582822086</v>
      </c>
      <c r="K41" s="33" t="n">
        <f>SUMIFS('供应商月度明细'!$F$5:$F$155,'供应商月度明细'!$A$5:$A$155,$A41,'供应商月度明细'!$C$5:$C$155,$C41)</f>
        <v>326</v>
      </c>
      <c r="L41" s="33" t="n">
        <f>SUMIFS('供应商月度明细'!$H$5:$H$155,'供应商月度明细'!$A$5:$A$155,$A41,'供应商月度明细'!$C$5:$C$155,$C41)</f>
        <v>257</v>
      </c>
    </row>
    <row r="42">
      <c r="A42" s="19" t="str">
        <v>德国区</v>
      </c>
      <c r="B42" s="19" t="str">
        <v>Nivux Estate e.Kfm</v>
      </c>
      <c r="C42" s="19" t="str">
        <v>S000316</v>
      </c>
      <c r="D42" s="19" t="str">
        <v>工种明细</v>
      </c>
      <c r="E42" s="19" t="str">
        <v>操作员</v>
      </c>
      <c r="F42" s="27" t="n">
        <f>IF(SUMIFS('供应商月度明细'!$F$5:$F$155,'供应商月度明细'!$A$5:$A$155,$A42,'供应商月度明细'!$C$5:$C$155,$C42,'供应商月度明细'!$D$5:$D$155,$E42,'供应商月度明细'!$E$5:$E$155,"2026-04")=0,"",SUMIFS('供应商月度明细'!$H$5:$H$155,'供应商月度明细'!$A$5:$A$155,$A42,'供应商月度明细'!$C$5:$C$155,$C42,'供应商月度明细'!$D$5:$D$155,$E42,'供应商月度明细'!$E$5:$E$155,"2026-04")/SUMIFS('供应商月度明细'!$F$5:$F$155,'供应商月度明细'!$A$5:$A$155,$A42,'供应商月度明细'!$C$5:$C$155,$C42,'供应商月度明细'!$D$5:$D$155,$E42,'供应商月度明细'!$E$5:$E$155,"2026-04"))</f>
        <v>0.972972972972973</v>
      </c>
      <c r="G42" s="27" t="n">
        <f>IF(SUMIFS('供应商月度明细'!$F$5:$F$155,'供应商月度明细'!$A$5:$A$155,$A42,'供应商月度明细'!$C$5:$C$155,$C42,'供应商月度明细'!$D$5:$D$155,$E42,'供应商月度明细'!$E$5:$E$155,"2026-05")=0,"",SUMIFS('供应商月度明细'!$H$5:$H$155,'供应商月度明细'!$A$5:$A$155,$A42,'供应商月度明细'!$C$5:$C$155,$C42,'供应商月度明细'!$D$5:$D$155,$E42,'供应商月度明细'!$E$5:$E$155,"2026-05")/SUMIFS('供应商月度明细'!$F$5:$F$155,'供应商月度明细'!$A$5:$A$155,$A42,'供应商月度明细'!$C$5:$C$155,$C42,'供应商月度明细'!$D$5:$D$155,$E42,'供应商月度明细'!$E$5:$E$155,"2026-05"))</f>
        <v>0.7666666666666667</v>
      </c>
      <c r="H42" s="27" t="n">
        <f>IF(SUMIFS('供应商月度明细'!$F$5:$F$155,'供应商月度明细'!$A$5:$A$155,$A42,'供应商月度明细'!$C$5:$C$155,$C42,'供应商月度明细'!$D$5:$D$155,$E42,'供应商月度明细'!$E$5:$E$155,"2026-06")=0,"",SUMIFS('供应商月度明细'!$H$5:$H$155,'供应商月度明细'!$A$5:$A$155,$A42,'供应商月度明细'!$C$5:$C$155,$C42,'供应商月度明细'!$D$5:$D$155,$E42,'供应商月度明细'!$E$5:$E$155,"2026-06")/SUMIFS('供应商月度明细'!$F$5:$F$155,'供应商月度明细'!$A$5:$A$155,$A42,'供应商月度明细'!$C$5:$C$155,$C42,'供应商月度明细'!$D$5:$D$155,$E42,'供应商月度明细'!$E$5:$E$155,"2026-06"))</f>
        <v>0.9661016949152542</v>
      </c>
      <c r="I42" s="27" t="n">
        <f>IF(COUNT(F42:H42)=0,"",AVERAGE(F42:H42))</f>
        <v>0.9019137781849648</v>
      </c>
      <c r="J42" s="27" t="n">
        <f>IF(K42=0,"",L42/K42)</f>
        <v>0.9116279069767442</v>
      </c>
      <c r="K42" s="23" t="n">
        <f>SUMIFS('供应商月度明细'!$F$5:$F$155,'供应商月度明细'!$A$5:$A$155,$A42,'供应商月度明细'!$C$5:$C$155,$C42,'供应商月度明细'!$D$5:$D$155,$E42)</f>
        <v>215</v>
      </c>
      <c r="L42" s="23" t="n">
        <f>SUMIFS('供应商月度明细'!$H$5:$H$155,'供应商月度明细'!$A$5:$A$155,$A42,'供应商月度明细'!$C$5:$C$155,$C42,'供应商月度明细'!$D$5:$D$155,$E42)</f>
        <v>196</v>
      </c>
    </row>
    <row r="43">
      <c r="A43" s="19" t="str">
        <v>德国区</v>
      </c>
      <c r="B43" s="19" t="str">
        <v>Nivux Estate e.Kfm</v>
      </c>
      <c r="C43" s="19" t="str">
        <v>S000316</v>
      </c>
      <c r="D43" s="19" t="str">
        <v>工种明细</v>
      </c>
      <c r="E43" s="19" t="str">
        <v>售后处理员</v>
      </c>
      <c r="F43" s="27" t="n">
        <f>IF(SUMIFS('供应商月度明细'!$F$5:$F$155,'供应商月度明细'!$A$5:$A$155,$A43,'供应商月度明细'!$C$5:$C$155,$C43,'供应商月度明细'!$D$5:$D$155,$E43,'供应商月度明细'!$E$5:$E$155,"2026-04")=0,"",SUMIFS('供应商月度明细'!$H$5:$H$155,'供应商月度明细'!$A$5:$A$155,$A43,'供应商月度明细'!$C$5:$C$155,$C43,'供应商月度明细'!$D$5:$D$155,$E43,'供应商月度明细'!$E$5:$E$155,"2026-04")/SUMIFS('供应商月度明细'!$F$5:$F$155,'供应商月度明细'!$A$5:$A$155,$A43,'供应商月度明细'!$C$5:$C$155,$C43,'供应商月度明细'!$D$5:$D$155,$E43,'供应商月度明细'!$E$5:$E$155,"2026-04"))</f>
        <v>0.4</v>
      </c>
      <c r="G43" s="27" t="n">
        <f>IF(SUMIFS('供应商月度明细'!$F$5:$F$155,'供应商月度明细'!$A$5:$A$155,$A43,'供应商月度明细'!$C$5:$C$155,$C43,'供应商月度明细'!$D$5:$D$155,$E43,'供应商月度明细'!$E$5:$E$155,"2026-05")=0,"",SUMIFS('供应商月度明细'!$H$5:$H$155,'供应商月度明细'!$A$5:$A$155,$A43,'供应商月度明细'!$C$5:$C$155,$C43,'供应商月度明细'!$D$5:$D$155,$E43,'供应商月度明细'!$E$5:$E$155,"2026-05")/SUMIFS('供应商月度明细'!$F$5:$F$155,'供应商月度明细'!$A$5:$A$155,$A43,'供应商月度明细'!$C$5:$C$155,$C43,'供应商月度明细'!$D$5:$D$155,$E43,'供应商月度明细'!$E$5:$E$155,"2026-05"))</f>
        <v>0.625</v>
      </c>
      <c r="H43" s="27" t="str">
        <f>IF(SUMIFS('供应商月度明细'!$F$5:$F$155,'供应商月度明细'!$A$5:$A$155,$A43,'供应商月度明细'!$C$5:$C$155,$C43,'供应商月度明细'!$D$5:$D$155,$E43,'供应商月度明细'!$E$5:$E$155,"2026-06")=0,"",SUMIFS('供应商月度明细'!$H$5:$H$155,'供应商月度明细'!$A$5:$A$155,$A43,'供应商月度明细'!$C$5:$C$155,$C43,'供应商月度明细'!$D$5:$D$155,$E43,'供应商月度明细'!$E$5:$E$155,"2026-06")/SUMIFS('供应商月度明细'!$F$5:$F$155,'供应商月度明细'!$A$5:$A$155,$A43,'供应商月度明细'!$C$5:$C$155,$C43,'供应商月度明细'!$D$5:$D$155,$E43,'供应商月度明细'!$E$5:$E$155,"2026-06"))</f>
      </c>
      <c r="I43" s="27" t="n">
        <f>IF(COUNT(F43:H43)=0,"",AVERAGE(F43:H43))</f>
        <v>0.5125</v>
      </c>
      <c r="J43" s="27" t="n">
        <f>IF(K43=0,"",L43/K43)</f>
        <v>0.5384615384615384</v>
      </c>
      <c r="K43" s="23" t="n">
        <f>SUMIFS('供应商月度明细'!$F$5:$F$155,'供应商月度明细'!$A$5:$A$155,$A43,'供应商月度明细'!$C$5:$C$155,$C43,'供应商月度明细'!$D$5:$D$155,$E43)</f>
        <v>13</v>
      </c>
      <c r="L43" s="23" t="n">
        <f>SUMIFS('供应商月度明细'!$H$5:$H$155,'供应商月度明细'!$A$5:$A$155,$A43,'供应商月度明细'!$C$5:$C$155,$C43,'供应商月度明细'!$D$5:$D$155,$E43)</f>
        <v>7</v>
      </c>
    </row>
    <row r="44">
      <c r="A44" s="19" t="str">
        <v>德国区</v>
      </c>
      <c r="B44" s="19" t="str">
        <v>Nivux Estate e.Kfm</v>
      </c>
      <c r="C44" s="19" t="str">
        <v>S000316</v>
      </c>
      <c r="D44" s="19" t="str">
        <v>工种明细</v>
      </c>
      <c r="E44" s="19" t="str">
        <v>保洁员</v>
      </c>
      <c r="F44" s="27" t="str">
        <f>IF(SUMIFS('供应商月度明细'!$F$5:$F$155,'供应商月度明细'!$A$5:$A$155,$A44,'供应商月度明细'!$C$5:$C$155,$C44,'供应商月度明细'!$D$5:$D$155,$E44,'供应商月度明细'!$E$5:$E$155,"2026-04")=0,"",SUMIFS('供应商月度明细'!$H$5:$H$155,'供应商月度明细'!$A$5:$A$155,$A44,'供应商月度明细'!$C$5:$C$155,$C44,'供应商月度明细'!$D$5:$D$155,$E44,'供应商月度明细'!$E$5:$E$155,"2026-04")/SUMIFS('供应商月度明细'!$F$5:$F$155,'供应商月度明细'!$A$5:$A$155,$A44,'供应商月度明细'!$C$5:$C$155,$C44,'供应商月度明细'!$D$5:$D$155,$E44,'供应商月度明细'!$E$5:$E$155,"2026-04"))</f>
      </c>
      <c r="G44" s="27" t="str">
        <f>IF(SUMIFS('供应商月度明细'!$F$5:$F$155,'供应商月度明细'!$A$5:$A$155,$A44,'供应商月度明细'!$C$5:$C$155,$C44,'供应商月度明细'!$D$5:$D$155,$E44,'供应商月度明细'!$E$5:$E$155,"2026-05")=0,"",SUMIFS('供应商月度明细'!$H$5:$H$155,'供应商月度明细'!$A$5:$A$155,$A44,'供应商月度明细'!$C$5:$C$155,$C44,'供应商月度明细'!$D$5:$D$155,$E44,'供应商月度明细'!$E$5:$E$155,"2026-05")/SUMIFS('供应商月度明细'!$F$5:$F$155,'供应商月度明细'!$A$5:$A$155,$A44,'供应商月度明细'!$C$5:$C$155,$C44,'供应商月度明细'!$D$5:$D$155,$E44,'供应商月度明细'!$E$5:$E$155,"2026-05"))</f>
      </c>
      <c r="H44" s="27" t="n">
        <f>IF(SUMIFS('供应商月度明细'!$F$5:$F$155,'供应商月度明细'!$A$5:$A$155,$A44,'供应商月度明细'!$C$5:$C$155,$C44,'供应商月度明细'!$D$5:$D$155,$E44,'供应商月度明细'!$E$5:$E$155,"2026-06")=0,"",SUMIFS('供应商月度明细'!$H$5:$H$155,'供应商月度明细'!$A$5:$A$155,$A44,'供应商月度明细'!$C$5:$C$155,$C44,'供应商月度明细'!$D$5:$D$155,$E44,'供应商月度明细'!$E$5:$E$155,"2026-06")/SUMIFS('供应商月度明细'!$F$5:$F$155,'供应商月度明细'!$A$5:$A$155,$A44,'供应商月度明细'!$C$5:$C$155,$C44,'供应商月度明细'!$D$5:$D$155,$E44,'供应商月度明细'!$E$5:$E$155,"2026-06"))</f>
        <v>0</v>
      </c>
      <c r="I44" s="27" t="n">
        <f>IF(COUNT(F44:H44)=0,"",AVERAGE(F44:H44))</f>
        <v>0</v>
      </c>
      <c r="J44" s="27" t="n">
        <f>IF(K44=0,"",L44/K44)</f>
        <v>0</v>
      </c>
      <c r="K44" s="23" t="n">
        <f>SUMIFS('供应商月度明细'!$F$5:$F$155,'供应商月度明细'!$A$5:$A$155,$A44,'供应商月度明细'!$C$5:$C$155,$C44,'供应商月度明细'!$D$5:$D$155,$E44)</f>
        <v>1</v>
      </c>
      <c r="L44" s="23" t="n">
        <f>SUMIFS('供应商月度明细'!$H$5:$H$155,'供应商月度明细'!$A$5:$A$155,$A44,'供应商月度明细'!$C$5:$C$155,$C44,'供应商月度明细'!$D$5:$D$155,$E44)</f>
        <v>0</v>
      </c>
    </row>
    <row r="45">
      <c r="A45" s="31" t="str">
        <v>德国区</v>
      </c>
      <c r="B45" s="31" t="str">
        <v>Nivux Estate e.Kfm</v>
      </c>
      <c r="C45" s="31" t="str">
        <v>S000316</v>
      </c>
      <c r="D45" s="31" t="str">
        <v>供应商汇总</v>
      </c>
      <c r="E45" s="31" t="str">
        <v>全部工种</v>
      </c>
      <c r="F45" s="32" t="n">
        <f>IF(SUMIFS('供应商月度明细'!$F$5:$F$155,'供应商月度明细'!$A$5:$A$155,$A45,'供应商月度明细'!$C$5:$C$155,$C45,'供应商月度明细'!$E$5:$E$155,"2026-04")=0,"",SUMIFS('供应商月度明细'!$H$5:$H$155,'供应商月度明细'!$A$5:$A$155,$A45,'供应商月度明细'!$C$5:$C$155,$C45,'供应商月度明细'!$E$5:$E$155,"2026-04")/SUMIFS('供应商月度明细'!$F$5:$F$155,'供应商月度明细'!$A$5:$A$155,$A45,'供应商月度明细'!$C$5:$C$155,$C45,'供应商月度明细'!$E$5:$E$155,"2026-04"))</f>
        <v>0.9047619047619048</v>
      </c>
      <c r="G45" s="32" t="n">
        <f>IF(SUMIFS('供应商月度明细'!$F$5:$F$155,'供应商月度明细'!$A$5:$A$155,$A45,'供应商月度明细'!$C$5:$C$155,$C45,'供应商月度明细'!$E$5:$E$155,"2026-05")=0,"",SUMIFS('供应商月度明细'!$H$5:$H$155,'供应商月度明细'!$A$5:$A$155,$A45,'供应商月度明细'!$C$5:$C$155,$C45,'供应商月度明细'!$E$5:$E$155,"2026-05")/SUMIFS('供应商月度明细'!$F$5:$F$155,'供应商月度明细'!$A$5:$A$155,$A45,'供应商月度明细'!$C$5:$C$155,$C45,'供应商月度明细'!$E$5:$E$155,"2026-05"))</f>
        <v>0.75</v>
      </c>
      <c r="H45" s="32" t="n">
        <f>IF(SUMIFS('供应商月度明细'!$F$5:$F$155,'供应商月度明细'!$A$5:$A$155,$A45,'供应商月度明细'!$C$5:$C$155,$C45,'供应商月度明细'!$E$5:$E$155,"2026-06")=0,"",SUMIFS('供应商月度明细'!$H$5:$H$155,'供应商月度明细'!$A$5:$A$155,$A45,'供应商月度明细'!$C$5:$C$155,$C45,'供应商月度明细'!$E$5:$E$155,"2026-06")/SUMIFS('供应商月度明细'!$F$5:$F$155,'供应商月度明细'!$A$5:$A$155,$A45,'供应商月度明细'!$C$5:$C$155,$C45,'供应商月度明细'!$E$5:$E$155,"2026-06"))</f>
        <v>0.957983193277311</v>
      </c>
      <c r="I45" s="32" t="n">
        <f>IF(COUNT(F45:H45)=0,"",AVERAGE(F45:H45))</f>
        <v>0.8709150326797386</v>
      </c>
      <c r="J45" s="32" t="n">
        <f>IF(K45=0,"",L45/K45)</f>
        <v>0.8864628820960698</v>
      </c>
      <c r="K45" s="33" t="n">
        <f>SUMIFS('供应商月度明细'!$F$5:$F$155,'供应商月度明细'!$A$5:$A$155,$A45,'供应商月度明细'!$C$5:$C$155,$C45)</f>
        <v>229</v>
      </c>
      <c r="L45" s="33" t="n">
        <f>SUMIFS('供应商月度明细'!$H$5:$H$155,'供应商月度明细'!$A$5:$A$155,$A45,'供应商月度明细'!$C$5:$C$155,$C45)</f>
        <v>203</v>
      </c>
    </row>
    <row r="46">
      <c r="A46" s="19" t="str">
        <v>德国区</v>
      </c>
      <c r="B46" s="19" t="str">
        <v>Gohar GmbH</v>
      </c>
      <c r="C46" s="19" t="str">
        <v>S000327</v>
      </c>
      <c r="D46" s="19" t="str">
        <v>工种明细</v>
      </c>
      <c r="E46" s="19" t="str">
        <v>操作员</v>
      </c>
      <c r="F46" s="27" t="n">
        <f>IF(SUMIFS('供应商月度明细'!$F$5:$F$155,'供应商月度明细'!$A$5:$A$155,$A46,'供应商月度明细'!$C$5:$C$155,$C46,'供应商月度明细'!$D$5:$D$155,$E46,'供应商月度明细'!$E$5:$E$155,"2026-04")=0,"",SUMIFS('供应商月度明细'!$H$5:$H$155,'供应商月度明细'!$A$5:$A$155,$A46,'供应商月度明细'!$C$5:$C$155,$C46,'供应商月度明细'!$D$5:$D$155,$E46,'供应商月度明细'!$E$5:$E$155,"2026-04")/SUMIFS('供应商月度明细'!$F$5:$F$155,'供应商月度明细'!$A$5:$A$155,$A46,'供应商月度明细'!$C$5:$C$155,$C46,'供应商月度明细'!$D$5:$D$155,$E46,'供应商月度明细'!$E$5:$E$155,"2026-04"))</f>
        <v>0.8571428571428571</v>
      </c>
      <c r="G46" s="27" t="n">
        <f>IF(SUMIFS('供应商月度明细'!$F$5:$F$155,'供应商月度明细'!$A$5:$A$155,$A46,'供应商月度明细'!$C$5:$C$155,$C46,'供应商月度明细'!$D$5:$D$155,$E46,'供应商月度明细'!$E$5:$E$155,"2026-05")=0,"",SUMIFS('供应商月度明细'!$H$5:$H$155,'供应商月度明细'!$A$5:$A$155,$A46,'供应商月度明细'!$C$5:$C$155,$C46,'供应商月度明细'!$D$5:$D$155,$E46,'供应商月度明细'!$E$5:$E$155,"2026-05")/SUMIFS('供应商月度明细'!$F$5:$F$155,'供应商月度明细'!$A$5:$A$155,$A46,'供应商月度明细'!$C$5:$C$155,$C46,'供应商月度明细'!$D$5:$D$155,$E46,'供应商月度明细'!$E$5:$E$155,"2026-05"))</f>
        <v>0.9795918367346939</v>
      </c>
      <c r="H46" s="27" t="n">
        <f>IF(SUMIFS('供应商月度明细'!$F$5:$F$155,'供应商月度明细'!$A$5:$A$155,$A46,'供应商月度明细'!$C$5:$C$155,$C46,'供应商月度明细'!$D$5:$D$155,$E46,'供应商月度明细'!$E$5:$E$155,"2026-06")=0,"",SUMIFS('供应商月度明细'!$H$5:$H$155,'供应商月度明细'!$A$5:$A$155,$A46,'供应商月度明细'!$C$5:$C$155,$C46,'供应商月度明细'!$D$5:$D$155,$E46,'供应商月度明细'!$E$5:$E$155,"2026-06")/SUMIFS('供应商月度明细'!$F$5:$F$155,'供应商月度明细'!$A$5:$A$155,$A46,'供应商月度明细'!$C$5:$C$155,$C46,'供应商月度明细'!$D$5:$D$155,$E46,'供应商月度明细'!$E$5:$E$155,"2026-06"))</f>
        <v>0.9482758620689655</v>
      </c>
      <c r="I46" s="27" t="n">
        <f>IF(COUNT(F46:H46)=0,"",AVERAGE(F46:H46))</f>
        <v>0.9283368519821721</v>
      </c>
      <c r="J46" s="27" t="n">
        <f>IF(K46=0,"",L46/K46)</f>
        <v>0.9510869565217391</v>
      </c>
      <c r="K46" s="23" t="n">
        <f>SUMIFS('供应商月度明细'!$F$5:$F$155,'供应商月度明细'!$A$5:$A$155,$A46,'供应商月度明细'!$C$5:$C$155,$C46,'供应商月度明细'!$D$5:$D$155,$E46)</f>
        <v>184</v>
      </c>
      <c r="L46" s="23" t="n">
        <f>SUMIFS('供应商月度明细'!$H$5:$H$155,'供应商月度明细'!$A$5:$A$155,$A46,'供应商月度明细'!$C$5:$C$155,$C46,'供应商月度明细'!$D$5:$D$155,$E46)</f>
        <v>175</v>
      </c>
    </row>
    <row r="47">
      <c r="A47" s="19" t="str">
        <v>德国区</v>
      </c>
      <c r="B47" s="19" t="str">
        <v>Gohar GmbH</v>
      </c>
      <c r="C47" s="19" t="str">
        <v>S000327</v>
      </c>
      <c r="D47" s="19" t="str">
        <v>工种明细</v>
      </c>
      <c r="E47" s="19" t="str">
        <v>售后处理员</v>
      </c>
      <c r="F47" s="27" t="n">
        <f>IF(SUMIFS('供应商月度明细'!$F$5:$F$155,'供应商月度明细'!$A$5:$A$155,$A47,'供应商月度明细'!$C$5:$C$155,$C47,'供应商月度明细'!$D$5:$D$155,$E47,'供应商月度明细'!$E$5:$E$155,"2026-04")=0,"",SUMIFS('供应商月度明细'!$H$5:$H$155,'供应商月度明细'!$A$5:$A$155,$A47,'供应商月度明细'!$C$5:$C$155,$C47,'供应商月度明细'!$D$5:$D$155,$E47,'供应商月度明细'!$E$5:$E$155,"2026-04")/SUMIFS('供应商月度明细'!$F$5:$F$155,'供应商月度明细'!$A$5:$A$155,$A47,'供应商月度明细'!$C$5:$C$155,$C47,'供应商月度明细'!$D$5:$D$155,$E47,'供应商月度明细'!$E$5:$E$155,"2026-04"))</f>
        <v>0</v>
      </c>
      <c r="G47" s="27" t="n">
        <f>IF(SUMIFS('供应商月度明细'!$F$5:$F$155,'供应商月度明细'!$A$5:$A$155,$A47,'供应商月度明细'!$C$5:$C$155,$C47,'供应商月度明细'!$D$5:$D$155,$E47,'供应商月度明细'!$E$5:$E$155,"2026-05")=0,"",SUMIFS('供应商月度明细'!$H$5:$H$155,'供应商月度明细'!$A$5:$A$155,$A47,'供应商月度明细'!$C$5:$C$155,$C47,'供应商月度明细'!$D$5:$D$155,$E47,'供应商月度明细'!$E$5:$E$155,"2026-05")/SUMIFS('供应商月度明细'!$F$5:$F$155,'供应商月度明细'!$A$5:$A$155,$A47,'供应商月度明细'!$C$5:$C$155,$C47,'供应商月度明细'!$D$5:$D$155,$E47,'供应商月度明细'!$E$5:$E$155,"2026-05"))</f>
        <v>1</v>
      </c>
      <c r="H47" s="27" t="str">
        <f>IF(SUMIFS('供应商月度明细'!$F$5:$F$155,'供应商月度明细'!$A$5:$A$155,$A47,'供应商月度明细'!$C$5:$C$155,$C47,'供应商月度明细'!$D$5:$D$155,$E47,'供应商月度明细'!$E$5:$E$155,"2026-06")=0,"",SUMIFS('供应商月度明细'!$H$5:$H$155,'供应商月度明细'!$A$5:$A$155,$A47,'供应商月度明细'!$C$5:$C$155,$C47,'供应商月度明细'!$D$5:$D$155,$E47,'供应商月度明细'!$E$5:$E$155,"2026-06")/SUMIFS('供应商月度明细'!$F$5:$F$155,'供应商月度明细'!$A$5:$A$155,$A47,'供应商月度明细'!$C$5:$C$155,$C47,'供应商月度明细'!$D$5:$D$155,$E47,'供应商月度明细'!$E$5:$E$155,"2026-06"))</f>
      </c>
      <c r="I47" s="27" t="n">
        <f>IF(COUNT(F47:H47)=0,"",AVERAGE(F47:H47))</f>
        <v>0.5</v>
      </c>
      <c r="J47" s="27" t="n">
        <f>IF(K47=0,"",L47/K47)</f>
        <v>0.5</v>
      </c>
      <c r="K47" s="23" t="n">
        <f>SUMIFS('供应商月度明细'!$F$5:$F$155,'供应商月度明细'!$A$5:$A$155,$A47,'供应商月度明细'!$C$5:$C$155,$C47,'供应商月度明细'!$D$5:$D$155,$E47)</f>
        <v>4</v>
      </c>
      <c r="L47" s="23" t="n">
        <f>SUMIFS('供应商月度明细'!$H$5:$H$155,'供应商月度明细'!$A$5:$A$155,$A47,'供应商月度明细'!$C$5:$C$155,$C47,'供应商月度明细'!$D$5:$D$155,$E47)</f>
        <v>2</v>
      </c>
    </row>
    <row r="48">
      <c r="A48" s="19" t="str">
        <v>德国区</v>
      </c>
      <c r="B48" s="19" t="str">
        <v>Gohar GmbH</v>
      </c>
      <c r="C48" s="19" t="str">
        <v>S000327</v>
      </c>
      <c r="D48" s="19" t="str">
        <v>工种明细</v>
      </c>
      <c r="E48" s="19" t="str">
        <v>保洁员</v>
      </c>
      <c r="F48" s="27" t="n">
        <f>IF(SUMIFS('供应商月度明细'!$F$5:$F$155,'供应商月度明细'!$A$5:$A$155,$A48,'供应商月度明细'!$C$5:$C$155,$C48,'供应商月度明细'!$D$5:$D$155,$E48,'供应商月度明细'!$E$5:$E$155,"2026-04")=0,"",SUMIFS('供应商月度明细'!$H$5:$H$155,'供应商月度明细'!$A$5:$A$155,$A48,'供应商月度明细'!$C$5:$C$155,$C48,'供应商月度明细'!$D$5:$D$155,$E48,'供应商月度明细'!$E$5:$E$155,"2026-04")/SUMIFS('供应商月度明细'!$F$5:$F$155,'供应商月度明细'!$A$5:$A$155,$A48,'供应商月度明细'!$C$5:$C$155,$C48,'供应商月度明细'!$D$5:$D$155,$E48,'供应商月度明细'!$E$5:$E$155,"2026-04"))</f>
        <v>1</v>
      </c>
      <c r="G48" s="27" t="str">
        <f>IF(SUMIFS('供应商月度明细'!$F$5:$F$155,'供应商月度明细'!$A$5:$A$155,$A48,'供应商月度明细'!$C$5:$C$155,$C48,'供应商月度明细'!$D$5:$D$155,$E48,'供应商月度明细'!$E$5:$E$155,"2026-05")=0,"",SUMIFS('供应商月度明细'!$H$5:$H$155,'供应商月度明细'!$A$5:$A$155,$A48,'供应商月度明细'!$C$5:$C$155,$C48,'供应商月度明细'!$D$5:$D$155,$E48,'供应商月度明细'!$E$5:$E$155,"2026-05")/SUMIFS('供应商月度明细'!$F$5:$F$155,'供应商月度明细'!$A$5:$A$155,$A48,'供应商月度明细'!$C$5:$C$155,$C48,'供应商月度明细'!$D$5:$D$155,$E48,'供应商月度明细'!$E$5:$E$155,"2026-05"))</f>
      </c>
      <c r="H48" s="27" t="str">
        <f>IF(SUMIFS('供应商月度明细'!$F$5:$F$155,'供应商月度明细'!$A$5:$A$155,$A48,'供应商月度明细'!$C$5:$C$155,$C48,'供应商月度明细'!$D$5:$D$155,$E48,'供应商月度明细'!$E$5:$E$155,"2026-06")=0,"",SUMIFS('供应商月度明细'!$H$5:$H$155,'供应商月度明细'!$A$5:$A$155,$A48,'供应商月度明细'!$C$5:$C$155,$C48,'供应商月度明细'!$D$5:$D$155,$E48,'供应商月度明细'!$E$5:$E$155,"2026-06")/SUMIFS('供应商月度明细'!$F$5:$F$155,'供应商月度明细'!$A$5:$A$155,$A48,'供应商月度明细'!$C$5:$C$155,$C48,'供应商月度明细'!$D$5:$D$155,$E48,'供应商月度明细'!$E$5:$E$155,"2026-06"))</f>
      </c>
      <c r="I48" s="27" t="n">
        <f>IF(COUNT(F48:H48)=0,"",AVERAGE(F48:H48))</f>
        <v>1</v>
      </c>
      <c r="J48" s="27" t="n">
        <f>IF(K48=0,"",L48/K48)</f>
        <v>1</v>
      </c>
      <c r="K48" s="23" t="n">
        <f>SUMIFS('供应商月度明细'!$F$5:$F$155,'供应商月度明细'!$A$5:$A$155,$A48,'供应商月度明细'!$C$5:$C$155,$C48,'供应商月度明细'!$D$5:$D$155,$E48)</f>
        <v>1</v>
      </c>
      <c r="L48" s="23" t="n">
        <f>SUMIFS('供应商月度明细'!$H$5:$H$155,'供应商月度明细'!$A$5:$A$155,$A48,'供应商月度明细'!$C$5:$C$155,$C48,'供应商月度明细'!$D$5:$D$155,$E48)</f>
        <v>1</v>
      </c>
    </row>
    <row r="49">
      <c r="A49" s="31" t="str">
        <v>德国区</v>
      </c>
      <c r="B49" s="31" t="str">
        <v>Gohar GmbH</v>
      </c>
      <c r="C49" s="31" t="str">
        <v>S000327</v>
      </c>
      <c r="D49" s="31" t="str">
        <v>供应商汇总</v>
      </c>
      <c r="E49" s="31" t="str">
        <v>全部工种</v>
      </c>
      <c r="F49" s="32" t="n">
        <f>IF(SUMIFS('供应商月度明细'!$F$5:$F$155,'供应商月度明细'!$A$5:$A$155,$A49,'供应商月度明细'!$C$5:$C$155,$C49,'供应商月度明细'!$E$5:$E$155,"2026-04")=0,"",SUMIFS('供应商月度明细'!$H$5:$H$155,'供应商月度明细'!$A$5:$A$155,$A49,'供应商月度明细'!$C$5:$C$155,$C49,'供应商月度明细'!$E$5:$E$155,"2026-04")/SUMIFS('供应商月度明细'!$F$5:$F$155,'供应商月度明细'!$A$5:$A$155,$A49,'供应商月度明细'!$C$5:$C$155,$C49,'供应商月度明细'!$E$5:$E$155,"2026-04"))</f>
        <v>0.8064516129032258</v>
      </c>
      <c r="G49" s="32" t="n">
        <f>IF(SUMIFS('供应商月度明细'!$F$5:$F$155,'供应商月度明细'!$A$5:$A$155,$A49,'供应商月度明细'!$C$5:$C$155,$C49,'供应商月度明细'!$E$5:$E$155,"2026-05")=0,"",SUMIFS('供应商月度明细'!$H$5:$H$155,'供应商月度明细'!$A$5:$A$155,$A49,'供应商月度明细'!$C$5:$C$155,$C49,'供应商月度明细'!$E$5:$E$155,"2026-05")/SUMIFS('供应商月度明细'!$F$5:$F$155,'供应商月度明细'!$A$5:$A$155,$A49,'供应商月度明细'!$C$5:$C$155,$C49,'供应商月度明细'!$E$5:$E$155,"2026-05"))</f>
        <v>0.98</v>
      </c>
      <c r="H49" s="32" t="n">
        <f>IF(SUMIFS('供应商月度明细'!$F$5:$F$155,'供应商月度明细'!$A$5:$A$155,$A49,'供应商月度明细'!$C$5:$C$155,$C49,'供应商月度明细'!$E$5:$E$155,"2026-06")=0,"",SUMIFS('供应商月度明细'!$H$5:$H$155,'供应商月度明细'!$A$5:$A$155,$A49,'供应商月度明细'!$C$5:$C$155,$C49,'供应商月度明细'!$E$5:$E$155,"2026-06")/SUMIFS('供应商月度明细'!$F$5:$F$155,'供应商月度明细'!$A$5:$A$155,$A49,'供应商月度明细'!$C$5:$C$155,$C49,'供应商月度明细'!$E$5:$E$155,"2026-06"))</f>
        <v>0.9482758620689655</v>
      </c>
      <c r="I49" s="32" t="n">
        <f>IF(COUNT(F49:H49)=0,"",AVERAGE(F49:H49))</f>
        <v>0.9115758249907304</v>
      </c>
      <c r="J49" s="32" t="n">
        <f>IF(K49=0,"",L49/K49)</f>
        <v>0.9417989417989417</v>
      </c>
      <c r="K49" s="33" t="n">
        <f>SUMIFS('供应商月度明细'!$F$5:$F$155,'供应商月度明细'!$A$5:$A$155,$A49,'供应商月度明细'!$C$5:$C$155,$C49)</f>
        <v>189</v>
      </c>
      <c r="L49" s="33" t="n">
        <f>SUMIFS('供应商月度明细'!$H$5:$H$155,'供应商月度明细'!$A$5:$A$155,$A49,'供应商月度明细'!$C$5:$C$155,$C49)</f>
        <v>178</v>
      </c>
    </row>
    <row r="50">
      <c r="A50" s="19" t="str">
        <v>德国区</v>
      </c>
      <c r="B50" s="19" t="str">
        <v>TimePartner Personalmanagement GmbH</v>
      </c>
      <c r="C50" s="19" t="str">
        <v>S000191</v>
      </c>
      <c r="D50" s="19" t="str">
        <v>工种明细</v>
      </c>
      <c r="E50" s="19" t="str">
        <v>操作员</v>
      </c>
      <c r="F50" s="27" t="str">
        <f>IF(SUMIFS('供应商月度明细'!$F$5:$F$155,'供应商月度明细'!$A$5:$A$155,$A50,'供应商月度明细'!$C$5:$C$155,$C50,'供应商月度明细'!$D$5:$D$155,$E50,'供应商月度明细'!$E$5:$E$155,"2026-04")=0,"",SUMIFS('供应商月度明细'!$H$5:$H$155,'供应商月度明细'!$A$5:$A$155,$A50,'供应商月度明细'!$C$5:$C$155,$C50,'供应商月度明细'!$D$5:$D$155,$E50,'供应商月度明细'!$E$5:$E$155,"2026-04")/SUMIFS('供应商月度明细'!$F$5:$F$155,'供应商月度明细'!$A$5:$A$155,$A50,'供应商月度明细'!$C$5:$C$155,$C50,'供应商月度明细'!$D$5:$D$155,$E50,'供应商月度明细'!$E$5:$E$155,"2026-04"))</f>
      </c>
      <c r="G50" s="27" t="n">
        <f>IF(SUMIFS('供应商月度明细'!$F$5:$F$155,'供应商月度明细'!$A$5:$A$155,$A50,'供应商月度明细'!$C$5:$C$155,$C50,'供应商月度明细'!$D$5:$D$155,$E50,'供应商月度明细'!$E$5:$E$155,"2026-05")=0,"",SUMIFS('供应商月度明细'!$H$5:$H$155,'供应商月度明细'!$A$5:$A$155,$A50,'供应商月度明细'!$C$5:$C$155,$C50,'供应商月度明细'!$D$5:$D$155,$E50,'供应商月度明细'!$E$5:$E$155,"2026-05")/SUMIFS('供应商月度明细'!$F$5:$F$155,'供应商月度明细'!$A$5:$A$155,$A50,'供应商月度明细'!$C$5:$C$155,$C50,'供应商月度明细'!$D$5:$D$155,$E50,'供应商月度明细'!$E$5:$E$155,"2026-05"))</f>
        <v>0.65</v>
      </c>
      <c r="H50" s="27" t="n">
        <f>IF(SUMIFS('供应商月度明细'!$F$5:$F$155,'供应商月度明细'!$A$5:$A$155,$A50,'供应商月度明细'!$C$5:$C$155,$C50,'供应商月度明细'!$D$5:$D$155,$E50,'供应商月度明细'!$E$5:$E$155,"2026-06")=0,"",SUMIFS('供应商月度明细'!$H$5:$H$155,'供应商月度明细'!$A$5:$A$155,$A50,'供应商月度明细'!$C$5:$C$155,$C50,'供应商月度明细'!$D$5:$D$155,$E50,'供应商月度明细'!$E$5:$E$155,"2026-06")/SUMIFS('供应商月度明细'!$F$5:$F$155,'供应商月度明细'!$A$5:$A$155,$A50,'供应商月度明细'!$C$5:$C$155,$C50,'供应商月度明细'!$D$5:$D$155,$E50,'供应商月度明细'!$E$5:$E$155,"2026-06"))</f>
        <v>0.8558558558558559</v>
      </c>
      <c r="I50" s="27" t="n">
        <f>IF(COUNT(F50:H50)=0,"",AVERAGE(F50:H50))</f>
        <v>0.752927927927928</v>
      </c>
      <c r="J50" s="27" t="n">
        <f>IF(K50=0,"",L50/K50)</f>
        <v>0.8244274809160306</v>
      </c>
      <c r="K50" s="23" t="n">
        <f>SUMIFS('供应商月度明细'!$F$5:$F$155,'供应商月度明细'!$A$5:$A$155,$A50,'供应商月度明细'!$C$5:$C$155,$C50,'供应商月度明细'!$D$5:$D$155,$E50)</f>
        <v>131</v>
      </c>
      <c r="L50" s="23" t="n">
        <f>SUMIFS('供应商月度明细'!$H$5:$H$155,'供应商月度明细'!$A$5:$A$155,$A50,'供应商月度明细'!$C$5:$C$155,$C50,'供应商月度明细'!$D$5:$D$155,$E50)</f>
        <v>108</v>
      </c>
    </row>
    <row r="51">
      <c r="A51" s="31" t="str">
        <v>德国区</v>
      </c>
      <c r="B51" s="31" t="str">
        <v>TimePartner Personalmanagement GmbH</v>
      </c>
      <c r="C51" s="31" t="str">
        <v>S000191</v>
      </c>
      <c r="D51" s="31" t="str">
        <v>供应商汇总</v>
      </c>
      <c r="E51" s="31" t="str">
        <v>全部工种</v>
      </c>
      <c r="F51" s="32" t="str">
        <f>IF(SUMIFS('供应商月度明细'!$F$5:$F$155,'供应商月度明细'!$A$5:$A$155,$A51,'供应商月度明细'!$C$5:$C$155,$C51,'供应商月度明细'!$E$5:$E$155,"2026-04")=0,"",SUMIFS('供应商月度明细'!$H$5:$H$155,'供应商月度明细'!$A$5:$A$155,$A51,'供应商月度明细'!$C$5:$C$155,$C51,'供应商月度明细'!$E$5:$E$155,"2026-04")/SUMIFS('供应商月度明细'!$F$5:$F$155,'供应商月度明细'!$A$5:$A$155,$A51,'供应商月度明细'!$C$5:$C$155,$C51,'供应商月度明细'!$E$5:$E$155,"2026-04"))</f>
      </c>
      <c r="G51" s="32" t="n">
        <f>IF(SUMIFS('供应商月度明细'!$F$5:$F$155,'供应商月度明细'!$A$5:$A$155,$A51,'供应商月度明细'!$C$5:$C$155,$C51,'供应商月度明细'!$E$5:$E$155,"2026-05")=0,"",SUMIFS('供应商月度明细'!$H$5:$H$155,'供应商月度明细'!$A$5:$A$155,$A51,'供应商月度明细'!$C$5:$C$155,$C51,'供应商月度明细'!$E$5:$E$155,"2026-05")/SUMIFS('供应商月度明细'!$F$5:$F$155,'供应商月度明细'!$A$5:$A$155,$A51,'供应商月度明细'!$C$5:$C$155,$C51,'供应商月度明细'!$E$5:$E$155,"2026-05"))</f>
        <v>0.65</v>
      </c>
      <c r="H51" s="32" t="n">
        <f>IF(SUMIFS('供应商月度明细'!$F$5:$F$155,'供应商月度明细'!$A$5:$A$155,$A51,'供应商月度明细'!$C$5:$C$155,$C51,'供应商月度明细'!$E$5:$E$155,"2026-06")=0,"",SUMIFS('供应商月度明细'!$H$5:$H$155,'供应商月度明细'!$A$5:$A$155,$A51,'供应商月度明细'!$C$5:$C$155,$C51,'供应商月度明细'!$E$5:$E$155,"2026-06")/SUMIFS('供应商月度明细'!$F$5:$F$155,'供应商月度明细'!$A$5:$A$155,$A51,'供应商月度明细'!$C$5:$C$155,$C51,'供应商月度明细'!$E$5:$E$155,"2026-06"))</f>
        <v>0.8558558558558559</v>
      </c>
      <c r="I51" s="32" t="n">
        <f>IF(COUNT(F51:H51)=0,"",AVERAGE(F51:H51))</f>
        <v>0.752927927927928</v>
      </c>
      <c r="J51" s="32" t="n">
        <f>IF(K51=0,"",L51/K51)</f>
        <v>0.8244274809160306</v>
      </c>
      <c r="K51" s="33" t="n">
        <f>SUMIFS('供应商月度明细'!$F$5:$F$155,'供应商月度明细'!$A$5:$A$155,$A51,'供应商月度明细'!$C$5:$C$155,$C51)</f>
        <v>131</v>
      </c>
      <c r="L51" s="33" t="n">
        <f>SUMIFS('供应商月度明细'!$H$5:$H$155,'供应商月度明细'!$A$5:$A$155,$A51,'供应商月度明细'!$C$5:$C$155,$C51)</f>
        <v>108</v>
      </c>
    </row>
    <row r="52">
      <c r="A52" s="19" t="str">
        <v>德国区</v>
      </c>
      <c r="B52" s="19" t="str">
        <v>Go4PrimeJobs GmbH</v>
      </c>
      <c r="C52" s="19" t="str">
        <v>S000276</v>
      </c>
      <c r="D52" s="19" t="str">
        <v>工种明细</v>
      </c>
      <c r="E52" s="19" t="str">
        <v>操作员</v>
      </c>
      <c r="F52" s="27" t="n">
        <f>IF(SUMIFS('供应商月度明细'!$F$5:$F$155,'供应商月度明细'!$A$5:$A$155,$A52,'供应商月度明细'!$C$5:$C$155,$C52,'供应商月度明细'!$D$5:$D$155,$E52,'供应商月度明细'!$E$5:$E$155,"2026-04")=0,"",SUMIFS('供应商月度明细'!$H$5:$H$155,'供应商月度明细'!$A$5:$A$155,$A52,'供应商月度明细'!$C$5:$C$155,$C52,'供应商月度明细'!$D$5:$D$155,$E52,'供应商月度明细'!$E$5:$E$155,"2026-04")/SUMIFS('供应商月度明细'!$F$5:$F$155,'供应商月度明细'!$A$5:$A$155,$A52,'供应商月度明细'!$C$5:$C$155,$C52,'供应商月度明细'!$D$5:$D$155,$E52,'供应商月度明细'!$E$5:$E$155,"2026-04"))</f>
        <v>0.4166666666666667</v>
      </c>
      <c r="G52" s="27" t="n">
        <f>IF(SUMIFS('供应商月度明细'!$F$5:$F$155,'供应商月度明细'!$A$5:$A$155,$A52,'供应商月度明细'!$C$5:$C$155,$C52,'供应商月度明细'!$D$5:$D$155,$E52,'供应商月度明细'!$E$5:$E$155,"2026-05")=0,"",SUMIFS('供应商月度明细'!$H$5:$H$155,'供应商月度明细'!$A$5:$A$155,$A52,'供应商月度明细'!$C$5:$C$155,$C52,'供应商月度明细'!$D$5:$D$155,$E52,'供应商月度明细'!$E$5:$E$155,"2026-05")/SUMIFS('供应商月度明细'!$F$5:$F$155,'供应商月度明细'!$A$5:$A$155,$A52,'供应商月度明细'!$C$5:$C$155,$C52,'供应商月度明细'!$D$5:$D$155,$E52,'供应商月度明细'!$E$5:$E$155,"2026-05"))</f>
        <v>0.5161290322580645</v>
      </c>
      <c r="H52" s="27" t="n">
        <f>IF(SUMIFS('供应商月度明细'!$F$5:$F$155,'供应商月度明细'!$A$5:$A$155,$A52,'供应商月度明细'!$C$5:$C$155,$C52,'供应商月度明细'!$D$5:$D$155,$E52,'供应商月度明细'!$E$5:$E$155,"2026-06")=0,"",SUMIFS('供应商月度明细'!$H$5:$H$155,'供应商月度明细'!$A$5:$A$155,$A52,'供应商月度明细'!$C$5:$C$155,$C52,'供应商月度明细'!$D$5:$D$155,$E52,'供应商月度明细'!$E$5:$E$155,"2026-06")/SUMIFS('供应商月度明细'!$F$5:$F$155,'供应商月度明细'!$A$5:$A$155,$A52,'供应商月度明细'!$C$5:$C$155,$C52,'供应商月度明细'!$D$5:$D$155,$E52,'供应商月度明细'!$E$5:$E$155,"2026-06"))</f>
        <v>0.6621621621621622</v>
      </c>
      <c r="I52" s="27" t="n">
        <f>IF(COUNT(F52:H52)=0,"",AVERAGE(F52:H52))</f>
        <v>0.5316526203622978</v>
      </c>
      <c r="J52" s="27" t="n">
        <f>IF(K52=0,"",L52/K52)</f>
        <v>0.5982905982905983</v>
      </c>
      <c r="K52" s="23" t="n">
        <f>SUMIFS('供应商月度明细'!$F$5:$F$155,'供应商月度明细'!$A$5:$A$155,$A52,'供应商月度明细'!$C$5:$C$155,$C52,'供应商月度明细'!$D$5:$D$155,$E52)</f>
        <v>117</v>
      </c>
      <c r="L52" s="23" t="n">
        <f>SUMIFS('供应商月度明细'!$H$5:$H$155,'供应商月度明细'!$A$5:$A$155,$A52,'供应商月度明细'!$C$5:$C$155,$C52,'供应商月度明细'!$D$5:$D$155,$E52)</f>
        <v>70</v>
      </c>
    </row>
    <row r="53">
      <c r="A53" s="19" t="str">
        <v>德国区</v>
      </c>
      <c r="B53" s="19" t="str">
        <v>Go4PrimeJobs GmbH</v>
      </c>
      <c r="C53" s="19" t="str">
        <v>S000276</v>
      </c>
      <c r="D53" s="19" t="str">
        <v>工种明细</v>
      </c>
      <c r="E53" s="19" t="str">
        <v>保洁员</v>
      </c>
      <c r="F53" s="27" t="str">
        <f>IF(SUMIFS('供应商月度明细'!$F$5:$F$155,'供应商月度明细'!$A$5:$A$155,$A53,'供应商月度明细'!$C$5:$C$155,$C53,'供应商月度明细'!$D$5:$D$155,$E53,'供应商月度明细'!$E$5:$E$155,"2026-04")=0,"",SUMIFS('供应商月度明细'!$H$5:$H$155,'供应商月度明细'!$A$5:$A$155,$A53,'供应商月度明细'!$C$5:$C$155,$C53,'供应商月度明细'!$D$5:$D$155,$E53,'供应商月度明细'!$E$5:$E$155,"2026-04")/SUMIFS('供应商月度明细'!$F$5:$F$155,'供应商月度明细'!$A$5:$A$155,$A53,'供应商月度明细'!$C$5:$C$155,$C53,'供应商月度明细'!$D$5:$D$155,$E53,'供应商月度明细'!$E$5:$E$155,"2026-04"))</f>
      </c>
      <c r="G53" s="27" t="n">
        <f>IF(SUMIFS('供应商月度明细'!$F$5:$F$155,'供应商月度明细'!$A$5:$A$155,$A53,'供应商月度明细'!$C$5:$C$155,$C53,'供应商月度明细'!$D$5:$D$155,$E53,'供应商月度明细'!$E$5:$E$155,"2026-05")=0,"",SUMIFS('供应商月度明细'!$H$5:$H$155,'供应商月度明细'!$A$5:$A$155,$A53,'供应商月度明细'!$C$5:$C$155,$C53,'供应商月度明细'!$D$5:$D$155,$E53,'供应商月度明细'!$E$5:$E$155,"2026-05")/SUMIFS('供应商月度明细'!$F$5:$F$155,'供应商月度明细'!$A$5:$A$155,$A53,'供应商月度明细'!$C$5:$C$155,$C53,'供应商月度明细'!$D$5:$D$155,$E53,'供应商月度明细'!$E$5:$E$155,"2026-05"))</f>
        <v>1</v>
      </c>
      <c r="H53" s="27" t="str">
        <f>IF(SUMIFS('供应商月度明细'!$F$5:$F$155,'供应商月度明细'!$A$5:$A$155,$A53,'供应商月度明细'!$C$5:$C$155,$C53,'供应商月度明细'!$D$5:$D$155,$E53,'供应商月度明细'!$E$5:$E$155,"2026-06")=0,"",SUMIFS('供应商月度明细'!$H$5:$H$155,'供应商月度明细'!$A$5:$A$155,$A53,'供应商月度明细'!$C$5:$C$155,$C53,'供应商月度明细'!$D$5:$D$155,$E53,'供应商月度明细'!$E$5:$E$155,"2026-06")/SUMIFS('供应商月度明细'!$F$5:$F$155,'供应商月度明细'!$A$5:$A$155,$A53,'供应商月度明细'!$C$5:$C$155,$C53,'供应商月度明细'!$D$5:$D$155,$E53,'供应商月度明细'!$E$5:$E$155,"2026-06"))</f>
      </c>
      <c r="I53" s="27" t="n">
        <f>IF(COUNT(F53:H53)=0,"",AVERAGE(F53:H53))</f>
        <v>1</v>
      </c>
      <c r="J53" s="27" t="n">
        <f>IF(K53=0,"",L53/K53)</f>
        <v>1</v>
      </c>
      <c r="K53" s="23" t="n">
        <f>SUMIFS('供应商月度明细'!$F$5:$F$155,'供应商月度明细'!$A$5:$A$155,$A53,'供应商月度明细'!$C$5:$C$155,$C53,'供应商月度明细'!$D$5:$D$155,$E53)</f>
        <v>2</v>
      </c>
      <c r="L53" s="23" t="n">
        <f>SUMIFS('供应商月度明细'!$H$5:$H$155,'供应商月度明细'!$A$5:$A$155,$A53,'供应商月度明细'!$C$5:$C$155,$C53,'供应商月度明细'!$D$5:$D$155,$E53)</f>
        <v>2</v>
      </c>
    </row>
    <row r="54">
      <c r="A54" s="31" t="str">
        <v>德国区</v>
      </c>
      <c r="B54" s="31" t="str">
        <v>Go4PrimeJobs GmbH</v>
      </c>
      <c r="C54" s="31" t="str">
        <v>S000276</v>
      </c>
      <c r="D54" s="31" t="str">
        <v>供应商汇总</v>
      </c>
      <c r="E54" s="31" t="str">
        <v>全部工种</v>
      </c>
      <c r="F54" s="32" t="n">
        <f>IF(SUMIFS('供应商月度明细'!$F$5:$F$155,'供应商月度明细'!$A$5:$A$155,$A54,'供应商月度明细'!$C$5:$C$155,$C54,'供应商月度明细'!$E$5:$E$155,"2026-04")=0,"",SUMIFS('供应商月度明细'!$H$5:$H$155,'供应商月度明细'!$A$5:$A$155,$A54,'供应商月度明细'!$C$5:$C$155,$C54,'供应商月度明细'!$E$5:$E$155,"2026-04")/SUMIFS('供应商月度明细'!$F$5:$F$155,'供应商月度明细'!$A$5:$A$155,$A54,'供应商月度明细'!$C$5:$C$155,$C54,'供应商月度明细'!$E$5:$E$155,"2026-04"))</f>
        <v>0.4166666666666667</v>
      </c>
      <c r="G54" s="32" t="n">
        <f>IF(SUMIFS('供应商月度明细'!$F$5:$F$155,'供应商月度明细'!$A$5:$A$155,$A54,'供应商月度明细'!$C$5:$C$155,$C54,'供应商月度明细'!$E$5:$E$155,"2026-05")=0,"",SUMIFS('供应商月度明细'!$H$5:$H$155,'供应商月度明细'!$A$5:$A$155,$A54,'供应商月度明细'!$C$5:$C$155,$C54,'供应商月度明细'!$E$5:$E$155,"2026-05")/SUMIFS('供应商月度明细'!$F$5:$F$155,'供应商月度明细'!$A$5:$A$155,$A54,'供应商月度明细'!$C$5:$C$155,$C54,'供应商月度明细'!$E$5:$E$155,"2026-05"))</f>
        <v>0.5454545454545454</v>
      </c>
      <c r="H54" s="32" t="n">
        <f>IF(SUMIFS('供应商月度明细'!$F$5:$F$155,'供应商月度明细'!$A$5:$A$155,$A54,'供应商月度明细'!$C$5:$C$155,$C54,'供应商月度明细'!$E$5:$E$155,"2026-06")=0,"",SUMIFS('供应商月度明细'!$H$5:$H$155,'供应商月度明细'!$A$5:$A$155,$A54,'供应商月度明细'!$C$5:$C$155,$C54,'供应商月度明细'!$E$5:$E$155,"2026-06")/SUMIFS('供应商月度明细'!$F$5:$F$155,'供应商月度明细'!$A$5:$A$155,$A54,'供应商月度明细'!$C$5:$C$155,$C54,'供应商月度明细'!$E$5:$E$155,"2026-06"))</f>
        <v>0.6621621621621622</v>
      </c>
      <c r="I54" s="32" t="n">
        <f>IF(COUNT(F54:H54)=0,"",AVERAGE(F54:H54))</f>
        <v>0.5414277914277914</v>
      </c>
      <c r="J54" s="32" t="n">
        <f>IF(K54=0,"",L54/K54)</f>
        <v>0.6050420168067226</v>
      </c>
      <c r="K54" s="33" t="n">
        <f>SUMIFS('供应商月度明细'!$F$5:$F$155,'供应商月度明细'!$A$5:$A$155,$A54,'供应商月度明细'!$C$5:$C$155,$C54)</f>
        <v>119</v>
      </c>
      <c r="L54" s="33" t="n">
        <f>SUMIFS('供应商月度明细'!$H$5:$H$155,'供应商月度明细'!$A$5:$A$155,$A54,'供应商月度明细'!$C$5:$C$155,$C54)</f>
        <v>72</v>
      </c>
    </row>
    <row r="55">
      <c r="A55" s="19" t="str">
        <v>德国区</v>
      </c>
      <c r="B55" s="19" t="str">
        <v>Koetter Personal Service SE Co. KG</v>
      </c>
      <c r="C55" s="19" t="str">
        <v>S000110</v>
      </c>
      <c r="D55" s="19" t="str">
        <v>工种明细</v>
      </c>
      <c r="E55" s="19" t="str">
        <v>操作员</v>
      </c>
      <c r="F55" s="27" t="str">
        <f>IF(SUMIFS('供应商月度明细'!$F$5:$F$155,'供应商月度明细'!$A$5:$A$155,$A55,'供应商月度明细'!$C$5:$C$155,$C55,'供应商月度明细'!$D$5:$D$155,$E55,'供应商月度明细'!$E$5:$E$155,"2026-04")=0,"",SUMIFS('供应商月度明细'!$H$5:$H$155,'供应商月度明细'!$A$5:$A$155,$A55,'供应商月度明细'!$C$5:$C$155,$C55,'供应商月度明细'!$D$5:$D$155,$E55,'供应商月度明细'!$E$5:$E$155,"2026-04")/SUMIFS('供应商月度明细'!$F$5:$F$155,'供应商月度明细'!$A$5:$A$155,$A55,'供应商月度明细'!$C$5:$C$155,$C55,'供应商月度明细'!$D$5:$D$155,$E55,'供应商月度明细'!$E$5:$E$155,"2026-04"))</f>
      </c>
      <c r="G55" s="27" t="n">
        <f>IF(SUMIFS('供应商月度明细'!$F$5:$F$155,'供应商月度明细'!$A$5:$A$155,$A55,'供应商月度明细'!$C$5:$C$155,$C55,'供应商月度明细'!$D$5:$D$155,$E55,'供应商月度明细'!$E$5:$E$155,"2026-05")=0,"",SUMIFS('供应商月度明细'!$H$5:$H$155,'供应商月度明细'!$A$5:$A$155,$A55,'供应商月度明细'!$C$5:$C$155,$C55,'供应商月度明细'!$D$5:$D$155,$E55,'供应商月度明细'!$E$5:$E$155,"2026-05")/SUMIFS('供应商月度明细'!$F$5:$F$155,'供应商月度明细'!$A$5:$A$155,$A55,'供应商月度明细'!$C$5:$C$155,$C55,'供应商月度明细'!$D$5:$D$155,$E55,'供应商月度明细'!$E$5:$E$155,"2026-05"))</f>
        <v>1</v>
      </c>
      <c r="H55" s="27" t="n">
        <f>IF(SUMIFS('供应商月度明细'!$F$5:$F$155,'供应商月度明细'!$A$5:$A$155,$A55,'供应商月度明细'!$C$5:$C$155,$C55,'供应商月度明细'!$D$5:$D$155,$E55,'供应商月度明细'!$E$5:$E$155,"2026-06")=0,"",SUMIFS('供应商月度明细'!$H$5:$H$155,'供应商月度明细'!$A$5:$A$155,$A55,'供应商月度明细'!$C$5:$C$155,$C55,'供应商月度明细'!$D$5:$D$155,$E55,'供应商月度明细'!$E$5:$E$155,"2026-06")/SUMIFS('供应商月度明细'!$F$5:$F$155,'供应商月度明细'!$A$5:$A$155,$A55,'供应商月度明细'!$C$5:$C$155,$C55,'供应商月度明细'!$D$5:$D$155,$E55,'供应商月度明细'!$E$5:$E$155,"2026-06"))</f>
        <v>0.9875</v>
      </c>
      <c r="I55" s="27" t="n">
        <f>IF(COUNT(F55:H55)=0,"",AVERAGE(F55:H55))</f>
        <v>0.99375</v>
      </c>
      <c r="J55" s="27" t="n">
        <f>IF(K55=0,"",L55/K55)</f>
        <v>0.98989898989899</v>
      </c>
      <c r="K55" s="23" t="n">
        <f>SUMIFS('供应商月度明细'!$F$5:$F$155,'供应商月度明细'!$A$5:$A$155,$A55,'供应商月度明细'!$C$5:$C$155,$C55,'供应商月度明细'!$D$5:$D$155,$E55)</f>
        <v>99</v>
      </c>
      <c r="L55" s="23" t="n">
        <f>SUMIFS('供应商月度明细'!$H$5:$H$155,'供应商月度明细'!$A$5:$A$155,$A55,'供应商月度明细'!$C$5:$C$155,$C55,'供应商月度明细'!$D$5:$D$155,$E55)</f>
        <v>98</v>
      </c>
    </row>
    <row r="56">
      <c r="A56" s="19" t="str">
        <v>德国区</v>
      </c>
      <c r="B56" s="19" t="str">
        <v>Koetter Personal Service SE Co. KG</v>
      </c>
      <c r="C56" s="19" t="str">
        <v>S000110</v>
      </c>
      <c r="D56" s="19" t="str">
        <v>工种明细</v>
      </c>
      <c r="E56" s="19" t="str">
        <v>保洁员</v>
      </c>
      <c r="F56" s="27" t="str">
        <f>IF(SUMIFS('供应商月度明细'!$F$5:$F$155,'供应商月度明细'!$A$5:$A$155,$A56,'供应商月度明细'!$C$5:$C$155,$C56,'供应商月度明细'!$D$5:$D$155,$E56,'供应商月度明细'!$E$5:$E$155,"2026-04")=0,"",SUMIFS('供应商月度明细'!$H$5:$H$155,'供应商月度明细'!$A$5:$A$155,$A56,'供应商月度明细'!$C$5:$C$155,$C56,'供应商月度明细'!$D$5:$D$155,$E56,'供应商月度明细'!$E$5:$E$155,"2026-04")/SUMIFS('供应商月度明细'!$F$5:$F$155,'供应商月度明细'!$A$5:$A$155,$A56,'供应商月度明细'!$C$5:$C$155,$C56,'供应商月度明细'!$D$5:$D$155,$E56,'供应商月度明细'!$E$5:$E$155,"2026-04"))</f>
      </c>
      <c r="G56" s="27" t="str">
        <f>IF(SUMIFS('供应商月度明细'!$F$5:$F$155,'供应商月度明细'!$A$5:$A$155,$A56,'供应商月度明细'!$C$5:$C$155,$C56,'供应商月度明细'!$D$5:$D$155,$E56,'供应商月度明细'!$E$5:$E$155,"2026-05")=0,"",SUMIFS('供应商月度明细'!$H$5:$H$155,'供应商月度明细'!$A$5:$A$155,$A56,'供应商月度明细'!$C$5:$C$155,$C56,'供应商月度明细'!$D$5:$D$155,$E56,'供应商月度明细'!$E$5:$E$155,"2026-05")/SUMIFS('供应商月度明细'!$F$5:$F$155,'供应商月度明细'!$A$5:$A$155,$A56,'供应商月度明细'!$C$5:$C$155,$C56,'供应商月度明细'!$D$5:$D$155,$E56,'供应商月度明细'!$E$5:$E$155,"2026-05"))</f>
      </c>
      <c r="H56" s="27" t="n">
        <f>IF(SUMIFS('供应商月度明细'!$F$5:$F$155,'供应商月度明细'!$A$5:$A$155,$A56,'供应商月度明细'!$C$5:$C$155,$C56,'供应商月度明细'!$D$5:$D$155,$E56,'供应商月度明细'!$E$5:$E$155,"2026-06")=0,"",SUMIFS('供应商月度明细'!$H$5:$H$155,'供应商月度明细'!$A$5:$A$155,$A56,'供应商月度明细'!$C$5:$C$155,$C56,'供应商月度明细'!$D$5:$D$155,$E56,'供应商月度明细'!$E$5:$E$155,"2026-06")/SUMIFS('供应商月度明细'!$F$5:$F$155,'供应商月度明细'!$A$5:$A$155,$A56,'供应商月度明细'!$C$5:$C$155,$C56,'供应商月度明细'!$D$5:$D$155,$E56,'供应商月度明细'!$E$5:$E$155,"2026-06"))</f>
        <v>1</v>
      </c>
      <c r="I56" s="27" t="n">
        <f>IF(COUNT(F56:H56)=0,"",AVERAGE(F56:H56))</f>
        <v>1</v>
      </c>
      <c r="J56" s="27" t="n">
        <f>IF(K56=0,"",L56/K56)</f>
        <v>1</v>
      </c>
      <c r="K56" s="23" t="n">
        <f>SUMIFS('供应商月度明细'!$F$5:$F$155,'供应商月度明细'!$A$5:$A$155,$A56,'供应商月度明细'!$C$5:$C$155,$C56,'供应商月度明细'!$D$5:$D$155,$E56)</f>
        <v>2</v>
      </c>
      <c r="L56" s="23" t="n">
        <f>SUMIFS('供应商月度明细'!$H$5:$H$155,'供应商月度明细'!$A$5:$A$155,$A56,'供应商月度明细'!$C$5:$C$155,$C56,'供应商月度明细'!$D$5:$D$155,$E56)</f>
        <v>2</v>
      </c>
    </row>
    <row r="57">
      <c r="A57" s="31" t="str">
        <v>德国区</v>
      </c>
      <c r="B57" s="31" t="str">
        <v>Koetter Personal Service SE Co. KG</v>
      </c>
      <c r="C57" s="31" t="str">
        <v>S000110</v>
      </c>
      <c r="D57" s="31" t="str">
        <v>供应商汇总</v>
      </c>
      <c r="E57" s="31" t="str">
        <v>全部工种</v>
      </c>
      <c r="F57" s="32" t="str">
        <f>IF(SUMIFS('供应商月度明细'!$F$5:$F$155,'供应商月度明细'!$A$5:$A$155,$A57,'供应商月度明细'!$C$5:$C$155,$C57,'供应商月度明细'!$E$5:$E$155,"2026-04")=0,"",SUMIFS('供应商月度明细'!$H$5:$H$155,'供应商月度明细'!$A$5:$A$155,$A57,'供应商月度明细'!$C$5:$C$155,$C57,'供应商月度明细'!$E$5:$E$155,"2026-04")/SUMIFS('供应商月度明细'!$F$5:$F$155,'供应商月度明细'!$A$5:$A$155,$A57,'供应商月度明细'!$C$5:$C$155,$C57,'供应商月度明细'!$E$5:$E$155,"2026-04"))</f>
      </c>
      <c r="G57" s="32" t="n">
        <f>IF(SUMIFS('供应商月度明细'!$F$5:$F$155,'供应商月度明细'!$A$5:$A$155,$A57,'供应商月度明细'!$C$5:$C$155,$C57,'供应商月度明细'!$E$5:$E$155,"2026-05")=0,"",SUMIFS('供应商月度明细'!$H$5:$H$155,'供应商月度明细'!$A$5:$A$155,$A57,'供应商月度明细'!$C$5:$C$155,$C57,'供应商月度明细'!$E$5:$E$155,"2026-05")/SUMIFS('供应商月度明细'!$F$5:$F$155,'供应商月度明细'!$A$5:$A$155,$A57,'供应商月度明细'!$C$5:$C$155,$C57,'供应商月度明细'!$E$5:$E$155,"2026-05"))</f>
        <v>1</v>
      </c>
      <c r="H57" s="32" t="n">
        <f>IF(SUMIFS('供应商月度明细'!$F$5:$F$155,'供应商月度明细'!$A$5:$A$155,$A57,'供应商月度明细'!$C$5:$C$155,$C57,'供应商月度明细'!$E$5:$E$155,"2026-06")=0,"",SUMIFS('供应商月度明细'!$H$5:$H$155,'供应商月度明细'!$A$5:$A$155,$A57,'供应商月度明细'!$C$5:$C$155,$C57,'供应商月度明细'!$E$5:$E$155,"2026-06")/SUMIFS('供应商月度明细'!$F$5:$F$155,'供应商月度明细'!$A$5:$A$155,$A57,'供应商月度明细'!$C$5:$C$155,$C57,'供应商月度明细'!$E$5:$E$155,"2026-06"))</f>
        <v>0.9878048780487805</v>
      </c>
      <c r="I57" s="32" t="n">
        <f>IF(COUNT(F57:H57)=0,"",AVERAGE(F57:H57))</f>
        <v>0.9939024390243902</v>
      </c>
      <c r="J57" s="32" t="n">
        <f>IF(K57=0,"",L57/K57)</f>
        <v>0.9900990099009901</v>
      </c>
      <c r="K57" s="33" t="n">
        <f>SUMIFS('供应商月度明细'!$F$5:$F$155,'供应商月度明细'!$A$5:$A$155,$A57,'供应商月度明细'!$C$5:$C$155,$C57)</f>
        <v>101</v>
      </c>
      <c r="L57" s="33" t="n">
        <f>SUMIFS('供应商月度明细'!$H$5:$H$155,'供应商月度明细'!$A$5:$A$155,$A57,'供应商月度明细'!$C$5:$C$155,$C57)</f>
        <v>100</v>
      </c>
    </row>
    <row r="58">
      <c r="A58" s="19" t="str">
        <v>德国区</v>
      </c>
      <c r="B58" s="19" t="str">
        <v>ProQuality GmbH</v>
      </c>
      <c r="C58" s="19" t="str">
        <v>S000261</v>
      </c>
      <c r="D58" s="19" t="str">
        <v>工种明细</v>
      </c>
      <c r="E58" s="19" t="str">
        <v>操作员</v>
      </c>
      <c r="F58" s="27" t="n">
        <f>IF(SUMIFS('供应商月度明细'!$F$5:$F$155,'供应商月度明细'!$A$5:$A$155,$A58,'供应商月度明细'!$C$5:$C$155,$C58,'供应商月度明细'!$D$5:$D$155,$E58,'供应商月度明细'!$E$5:$E$155,"2026-04")=0,"",SUMIFS('供应商月度明细'!$H$5:$H$155,'供应商月度明细'!$A$5:$A$155,$A58,'供应商月度明细'!$C$5:$C$155,$C58,'供应商月度明细'!$D$5:$D$155,$E58,'供应商月度明细'!$E$5:$E$155,"2026-04")/SUMIFS('供应商月度明细'!$F$5:$F$155,'供应商月度明细'!$A$5:$A$155,$A58,'供应商月度明细'!$C$5:$C$155,$C58,'供应商月度明细'!$D$5:$D$155,$E58,'供应商月度明细'!$E$5:$E$155,"2026-04"))</f>
        <v>0.75</v>
      </c>
      <c r="G58" s="27" t="n">
        <f>IF(SUMIFS('供应商月度明细'!$F$5:$F$155,'供应商月度明细'!$A$5:$A$155,$A58,'供应商月度明细'!$C$5:$C$155,$C58,'供应商月度明细'!$D$5:$D$155,$E58,'供应商月度明细'!$E$5:$E$155,"2026-05")=0,"",SUMIFS('供应商月度明细'!$H$5:$H$155,'供应商月度明细'!$A$5:$A$155,$A58,'供应商月度明细'!$C$5:$C$155,$C58,'供应商月度明细'!$D$5:$D$155,$E58,'供应商月度明细'!$E$5:$E$155,"2026-05")/SUMIFS('供应商月度明细'!$F$5:$F$155,'供应商月度明细'!$A$5:$A$155,$A58,'供应商月度明细'!$C$5:$C$155,$C58,'供应商月度明细'!$D$5:$D$155,$E58,'供应商月度明细'!$E$5:$E$155,"2026-05"))</f>
        <v>0.8666666666666667</v>
      </c>
      <c r="H58" s="27" t="n">
        <f>IF(SUMIFS('供应商月度明细'!$F$5:$F$155,'供应商月度明细'!$A$5:$A$155,$A58,'供应商月度明细'!$C$5:$C$155,$C58,'供应商月度明细'!$D$5:$D$155,$E58,'供应商月度明细'!$E$5:$E$155,"2026-06")=0,"",SUMIFS('供应商月度明细'!$H$5:$H$155,'供应商月度明细'!$A$5:$A$155,$A58,'供应商月度明细'!$C$5:$C$155,$C58,'供应商月度明细'!$D$5:$D$155,$E58,'供应商月度明细'!$E$5:$E$155,"2026-06")/SUMIFS('供应商月度明细'!$F$5:$F$155,'供应商月度明细'!$A$5:$A$155,$A58,'供应商月度明细'!$C$5:$C$155,$C58,'供应商月度明细'!$D$5:$D$155,$E58,'供应商月度明细'!$E$5:$E$155,"2026-06"))</f>
        <v>0.9811320754716981</v>
      </c>
      <c r="I58" s="27" t="n">
        <f>IF(COUNT(F58:H58)=0,"",AVERAGE(F58:H58))</f>
        <v>0.8659329140461217</v>
      </c>
      <c r="J58" s="27" t="n">
        <f>IF(K58=0,"",L58/K58)</f>
        <v>0.9444444444444444</v>
      </c>
      <c r="K58" s="23" t="n">
        <f>SUMIFS('供应商月度明细'!$F$5:$F$155,'供应商月度明细'!$A$5:$A$155,$A58,'供应商月度明细'!$C$5:$C$155,$C58,'供应商月度明细'!$D$5:$D$155,$E58)</f>
        <v>72</v>
      </c>
      <c r="L58" s="23" t="n">
        <f>SUMIFS('供应商月度明细'!$H$5:$H$155,'供应商月度明细'!$A$5:$A$155,$A58,'供应商月度明细'!$C$5:$C$155,$C58,'供应商月度明细'!$D$5:$D$155,$E58)</f>
        <v>68</v>
      </c>
    </row>
    <row r="59">
      <c r="A59" s="31" t="str">
        <v>德国区</v>
      </c>
      <c r="B59" s="31" t="str">
        <v>ProQuality GmbH</v>
      </c>
      <c r="C59" s="31" t="str">
        <v>S000261</v>
      </c>
      <c r="D59" s="31" t="str">
        <v>供应商汇总</v>
      </c>
      <c r="E59" s="31" t="str">
        <v>全部工种</v>
      </c>
      <c r="F59" s="32" t="n">
        <f>IF(SUMIFS('供应商月度明细'!$F$5:$F$155,'供应商月度明细'!$A$5:$A$155,$A59,'供应商月度明细'!$C$5:$C$155,$C59,'供应商月度明细'!$E$5:$E$155,"2026-04")=0,"",SUMIFS('供应商月度明细'!$H$5:$H$155,'供应商月度明细'!$A$5:$A$155,$A59,'供应商月度明细'!$C$5:$C$155,$C59,'供应商月度明细'!$E$5:$E$155,"2026-04")/SUMIFS('供应商月度明细'!$F$5:$F$155,'供应商月度明细'!$A$5:$A$155,$A59,'供应商月度明细'!$C$5:$C$155,$C59,'供应商月度明细'!$E$5:$E$155,"2026-04"))</f>
        <v>0.75</v>
      </c>
      <c r="G59" s="32" t="n">
        <f>IF(SUMIFS('供应商月度明细'!$F$5:$F$155,'供应商月度明细'!$A$5:$A$155,$A59,'供应商月度明细'!$C$5:$C$155,$C59,'供应商月度明细'!$E$5:$E$155,"2026-05")=0,"",SUMIFS('供应商月度明细'!$H$5:$H$155,'供应商月度明细'!$A$5:$A$155,$A59,'供应商月度明细'!$C$5:$C$155,$C59,'供应商月度明细'!$E$5:$E$155,"2026-05")/SUMIFS('供应商月度明细'!$F$5:$F$155,'供应商月度明细'!$A$5:$A$155,$A59,'供应商月度明细'!$C$5:$C$155,$C59,'供应商月度明细'!$E$5:$E$155,"2026-05"))</f>
        <v>0.8666666666666667</v>
      </c>
      <c r="H59" s="32" t="n">
        <f>IF(SUMIFS('供应商月度明细'!$F$5:$F$155,'供应商月度明细'!$A$5:$A$155,$A59,'供应商月度明细'!$C$5:$C$155,$C59,'供应商月度明细'!$E$5:$E$155,"2026-06")=0,"",SUMIFS('供应商月度明细'!$H$5:$H$155,'供应商月度明细'!$A$5:$A$155,$A59,'供应商月度明细'!$C$5:$C$155,$C59,'供应商月度明细'!$E$5:$E$155,"2026-06")/SUMIFS('供应商月度明细'!$F$5:$F$155,'供应商月度明细'!$A$5:$A$155,$A59,'供应商月度明细'!$C$5:$C$155,$C59,'供应商月度明细'!$E$5:$E$155,"2026-06"))</f>
        <v>0.9811320754716981</v>
      </c>
      <c r="I59" s="32" t="n">
        <f>IF(COUNT(F59:H59)=0,"",AVERAGE(F59:H59))</f>
        <v>0.8659329140461217</v>
      </c>
      <c r="J59" s="32" t="n">
        <f>IF(K59=0,"",L59/K59)</f>
        <v>0.9444444444444444</v>
      </c>
      <c r="K59" s="33" t="n">
        <f>SUMIFS('供应商月度明细'!$F$5:$F$155,'供应商月度明细'!$A$5:$A$155,$A59,'供应商月度明细'!$C$5:$C$155,$C59)</f>
        <v>72</v>
      </c>
      <c r="L59" s="33" t="n">
        <f>SUMIFS('供应商月度明细'!$H$5:$H$155,'供应商月度明细'!$A$5:$A$155,$A59,'供应商月度明细'!$C$5:$C$155,$C59)</f>
        <v>68</v>
      </c>
    </row>
    <row r="60">
      <c r="A60" s="19" t="str">
        <v>德国区</v>
      </c>
      <c r="B60" s="19" t="str">
        <v>Topjob Zeitarbeit GmbH</v>
      </c>
      <c r="C60" s="19" t="str">
        <v>S000086</v>
      </c>
      <c r="D60" s="19" t="str">
        <v>工种明细</v>
      </c>
      <c r="E60" s="19" t="str">
        <v>操作员</v>
      </c>
      <c r="F60" s="27" t="n">
        <f>IF(SUMIFS('供应商月度明细'!$F$5:$F$155,'供应商月度明细'!$A$5:$A$155,$A60,'供应商月度明细'!$C$5:$C$155,$C60,'供应商月度明细'!$D$5:$D$155,$E60,'供应商月度明细'!$E$5:$E$155,"2026-04")=0,"",SUMIFS('供应商月度明细'!$H$5:$H$155,'供应商月度明细'!$A$5:$A$155,$A60,'供应商月度明细'!$C$5:$C$155,$C60,'供应商月度明细'!$D$5:$D$155,$E60,'供应商月度明细'!$E$5:$E$155,"2026-04")/SUMIFS('供应商月度明细'!$F$5:$F$155,'供应商月度明细'!$A$5:$A$155,$A60,'供应商月度明细'!$C$5:$C$155,$C60,'供应商月度明细'!$D$5:$D$155,$E60,'供应商月度明细'!$E$5:$E$155,"2026-04"))</f>
        <v>0.5</v>
      </c>
      <c r="G60" s="27" t="n">
        <f>IF(SUMIFS('供应商月度明细'!$F$5:$F$155,'供应商月度明细'!$A$5:$A$155,$A60,'供应商月度明细'!$C$5:$C$155,$C60,'供应商月度明细'!$D$5:$D$155,$E60,'供应商月度明细'!$E$5:$E$155,"2026-05")=0,"",SUMIFS('供应商月度明细'!$H$5:$H$155,'供应商月度明细'!$A$5:$A$155,$A60,'供应商月度明细'!$C$5:$C$155,$C60,'供应商月度明细'!$D$5:$D$155,$E60,'供应商月度明细'!$E$5:$E$155,"2026-05")/SUMIFS('供应商月度明细'!$F$5:$F$155,'供应商月度明细'!$A$5:$A$155,$A60,'供应商月度明细'!$C$5:$C$155,$C60,'供应商月度明细'!$D$5:$D$155,$E60,'供应商月度明细'!$E$5:$E$155,"2026-05"))</f>
        <v>1</v>
      </c>
      <c r="H60" s="27" t="n">
        <f>IF(SUMIFS('供应商月度明细'!$F$5:$F$155,'供应商月度明细'!$A$5:$A$155,$A60,'供应商月度明细'!$C$5:$C$155,$C60,'供应商月度明细'!$D$5:$D$155,$E60,'供应商月度明细'!$E$5:$E$155,"2026-06")=0,"",SUMIFS('供应商月度明细'!$H$5:$H$155,'供应商月度明细'!$A$5:$A$155,$A60,'供应商月度明细'!$C$5:$C$155,$C60,'供应商月度明细'!$D$5:$D$155,$E60,'供应商月度明细'!$E$5:$E$155,"2026-06")/SUMIFS('供应商月度明细'!$F$5:$F$155,'供应商月度明细'!$A$5:$A$155,$A60,'供应商月度明细'!$C$5:$C$155,$C60,'供应商月度明细'!$D$5:$D$155,$E60,'供应商月度明细'!$E$5:$E$155,"2026-06"))</f>
        <v>0.9767441860465116</v>
      </c>
      <c r="I60" s="27" t="n">
        <f>IF(COUNT(F60:H60)=0,"",AVERAGE(F60:H60))</f>
        <v>0.8255813953488372</v>
      </c>
      <c r="J60" s="27" t="n">
        <f>IF(K60=0,"",L60/K60)</f>
        <v>0.8484848484848485</v>
      </c>
      <c r="K60" s="23" t="n">
        <f>SUMIFS('供应商月度明细'!$F$5:$F$155,'供应商月度明细'!$A$5:$A$155,$A60,'供应商月度明细'!$C$5:$C$155,$C60,'供应商月度明细'!$D$5:$D$155,$E60)</f>
        <v>66</v>
      </c>
      <c r="L60" s="23" t="n">
        <f>SUMIFS('供应商月度明细'!$H$5:$H$155,'供应商月度明细'!$A$5:$A$155,$A60,'供应商月度明细'!$C$5:$C$155,$C60,'供应商月度明细'!$D$5:$D$155,$E60)</f>
        <v>56</v>
      </c>
    </row>
    <row r="61">
      <c r="A61" s="19" t="str">
        <v>德国区</v>
      </c>
      <c r="B61" s="19" t="str">
        <v>Topjob Zeitarbeit GmbH</v>
      </c>
      <c r="C61" s="19" t="str">
        <v>S000086</v>
      </c>
      <c r="D61" s="19" t="str">
        <v>工种明细</v>
      </c>
      <c r="E61" s="19" t="str">
        <v>保洁员</v>
      </c>
      <c r="F61" s="27" t="str">
        <f>IF(SUMIFS('供应商月度明细'!$F$5:$F$155,'供应商月度明细'!$A$5:$A$155,$A61,'供应商月度明细'!$C$5:$C$155,$C61,'供应商月度明细'!$D$5:$D$155,$E61,'供应商月度明细'!$E$5:$E$155,"2026-04")=0,"",SUMIFS('供应商月度明细'!$H$5:$H$155,'供应商月度明细'!$A$5:$A$155,$A61,'供应商月度明细'!$C$5:$C$155,$C61,'供应商月度明细'!$D$5:$D$155,$E61,'供应商月度明细'!$E$5:$E$155,"2026-04")/SUMIFS('供应商月度明细'!$F$5:$F$155,'供应商月度明细'!$A$5:$A$155,$A61,'供应商月度明细'!$C$5:$C$155,$C61,'供应商月度明细'!$D$5:$D$155,$E61,'供应商月度明细'!$E$5:$E$155,"2026-04"))</f>
      </c>
      <c r="G61" s="27" t="n">
        <f>IF(SUMIFS('供应商月度明细'!$F$5:$F$155,'供应商月度明细'!$A$5:$A$155,$A61,'供应商月度明细'!$C$5:$C$155,$C61,'供应商月度明细'!$D$5:$D$155,$E61,'供应商月度明细'!$E$5:$E$155,"2026-05")=0,"",SUMIFS('供应商月度明细'!$H$5:$H$155,'供应商月度明细'!$A$5:$A$155,$A61,'供应商月度明细'!$C$5:$C$155,$C61,'供应商月度明细'!$D$5:$D$155,$E61,'供应商月度明细'!$E$5:$E$155,"2026-05")/SUMIFS('供应商月度明细'!$F$5:$F$155,'供应商月度明细'!$A$5:$A$155,$A61,'供应商月度明细'!$C$5:$C$155,$C61,'供应商月度明细'!$D$5:$D$155,$E61,'供应商月度明细'!$E$5:$E$155,"2026-05"))</f>
        <v>1</v>
      </c>
      <c r="H61" s="27" t="str">
        <f>IF(SUMIFS('供应商月度明细'!$F$5:$F$155,'供应商月度明细'!$A$5:$A$155,$A61,'供应商月度明细'!$C$5:$C$155,$C61,'供应商月度明细'!$D$5:$D$155,$E61,'供应商月度明细'!$E$5:$E$155,"2026-06")=0,"",SUMIFS('供应商月度明细'!$H$5:$H$155,'供应商月度明细'!$A$5:$A$155,$A61,'供应商月度明细'!$C$5:$C$155,$C61,'供应商月度明细'!$D$5:$D$155,$E61,'供应商月度明细'!$E$5:$E$155,"2026-06")/SUMIFS('供应商月度明细'!$F$5:$F$155,'供应商月度明细'!$A$5:$A$155,$A61,'供应商月度明细'!$C$5:$C$155,$C61,'供应商月度明细'!$D$5:$D$155,$E61,'供应商月度明细'!$E$5:$E$155,"2026-06"))</f>
      </c>
      <c r="I61" s="27" t="n">
        <f>IF(COUNT(F61:H61)=0,"",AVERAGE(F61:H61))</f>
        <v>1</v>
      </c>
      <c r="J61" s="27" t="n">
        <f>IF(K61=0,"",L61/K61)</f>
        <v>1</v>
      </c>
      <c r="K61" s="23" t="n">
        <f>SUMIFS('供应商月度明细'!$F$5:$F$155,'供应商月度明细'!$A$5:$A$155,$A61,'供应商月度明细'!$C$5:$C$155,$C61,'供应商月度明细'!$D$5:$D$155,$E61)</f>
        <v>1</v>
      </c>
      <c r="L61" s="23" t="n">
        <f>SUMIFS('供应商月度明细'!$H$5:$H$155,'供应商月度明细'!$A$5:$A$155,$A61,'供应商月度明细'!$C$5:$C$155,$C61,'供应商月度明细'!$D$5:$D$155,$E61)</f>
        <v>1</v>
      </c>
    </row>
    <row r="62">
      <c r="A62" s="31" t="str">
        <v>德国区</v>
      </c>
      <c r="B62" s="31" t="str">
        <v>Topjob Zeitarbeit GmbH</v>
      </c>
      <c r="C62" s="31" t="str">
        <v>S000086</v>
      </c>
      <c r="D62" s="31" t="str">
        <v>供应商汇总</v>
      </c>
      <c r="E62" s="31" t="str">
        <v>全部工种</v>
      </c>
      <c r="F62" s="32" t="n">
        <f>IF(SUMIFS('供应商月度明细'!$F$5:$F$155,'供应商月度明细'!$A$5:$A$155,$A62,'供应商月度明细'!$C$5:$C$155,$C62,'供应商月度明细'!$E$5:$E$155,"2026-04")=0,"",SUMIFS('供应商月度明细'!$H$5:$H$155,'供应商月度明细'!$A$5:$A$155,$A62,'供应商月度明细'!$C$5:$C$155,$C62,'供应商月度明细'!$E$5:$E$155,"2026-04")/SUMIFS('供应商月度明细'!$F$5:$F$155,'供应商月度明细'!$A$5:$A$155,$A62,'供应商月度明细'!$C$5:$C$155,$C62,'供应商月度明细'!$E$5:$E$155,"2026-04"))</f>
        <v>0.5</v>
      </c>
      <c r="G62" s="32" t="n">
        <f>IF(SUMIFS('供应商月度明细'!$F$5:$F$155,'供应商月度明细'!$A$5:$A$155,$A62,'供应商月度明细'!$C$5:$C$155,$C62,'供应商月度明细'!$E$5:$E$155,"2026-05")=0,"",SUMIFS('供应商月度明细'!$H$5:$H$155,'供应商月度明细'!$A$5:$A$155,$A62,'供应商月度明细'!$C$5:$C$155,$C62,'供应商月度明细'!$E$5:$E$155,"2026-05")/SUMIFS('供应商月度明细'!$F$5:$F$155,'供应商月度明细'!$A$5:$A$155,$A62,'供应商月度明细'!$C$5:$C$155,$C62,'供应商月度明细'!$E$5:$E$155,"2026-05"))</f>
        <v>1</v>
      </c>
      <c r="H62" s="32" t="n">
        <f>IF(SUMIFS('供应商月度明细'!$F$5:$F$155,'供应商月度明细'!$A$5:$A$155,$A62,'供应商月度明细'!$C$5:$C$155,$C62,'供应商月度明细'!$E$5:$E$155,"2026-06")=0,"",SUMIFS('供应商月度明细'!$H$5:$H$155,'供应商月度明细'!$A$5:$A$155,$A62,'供应商月度明细'!$C$5:$C$155,$C62,'供应商月度明细'!$E$5:$E$155,"2026-06")/SUMIFS('供应商月度明细'!$F$5:$F$155,'供应商月度明细'!$A$5:$A$155,$A62,'供应商月度明细'!$C$5:$C$155,$C62,'供应商月度明细'!$E$5:$E$155,"2026-06"))</f>
        <v>0.9767441860465116</v>
      </c>
      <c r="I62" s="32" t="n">
        <f>IF(COUNT(F62:H62)=0,"",AVERAGE(F62:H62))</f>
        <v>0.8255813953488372</v>
      </c>
      <c r="J62" s="32" t="n">
        <f>IF(K62=0,"",L62/K62)</f>
        <v>0.8507462686567164</v>
      </c>
      <c r="K62" s="33" t="n">
        <f>SUMIFS('供应商月度明细'!$F$5:$F$155,'供应商月度明细'!$A$5:$A$155,$A62,'供应商月度明细'!$C$5:$C$155,$C62)</f>
        <v>67</v>
      </c>
      <c r="L62" s="33" t="n">
        <f>SUMIFS('供应商月度明细'!$H$5:$H$155,'供应商月度明细'!$A$5:$A$155,$A62,'供应商月度明细'!$C$5:$C$155,$C62)</f>
        <v>57</v>
      </c>
    </row>
    <row r="63">
      <c r="A63" s="19" t="str">
        <v>德国区</v>
      </c>
      <c r="B63" s="19" t="str">
        <v>LeXpersonal GmbH</v>
      </c>
      <c r="C63" s="19" t="str">
        <v>S000300</v>
      </c>
      <c r="D63" s="19" t="str">
        <v>工种明细</v>
      </c>
      <c r="E63" s="19" t="str">
        <v>操作员</v>
      </c>
      <c r="F63" s="27" t="str">
        <f>IF(SUMIFS('供应商月度明细'!$F$5:$F$155,'供应商月度明细'!$A$5:$A$155,$A63,'供应商月度明细'!$C$5:$C$155,$C63,'供应商月度明细'!$D$5:$D$155,$E63,'供应商月度明细'!$E$5:$E$155,"2026-04")=0,"",SUMIFS('供应商月度明细'!$H$5:$H$155,'供应商月度明细'!$A$5:$A$155,$A63,'供应商月度明细'!$C$5:$C$155,$C63,'供应商月度明细'!$D$5:$D$155,$E63,'供应商月度明细'!$E$5:$E$155,"2026-04")/SUMIFS('供应商月度明细'!$F$5:$F$155,'供应商月度明细'!$A$5:$A$155,$A63,'供应商月度明细'!$C$5:$C$155,$C63,'供应商月度明细'!$D$5:$D$155,$E63,'供应商月度明细'!$E$5:$E$155,"2026-04"))</f>
      </c>
      <c r="G63" s="27" t="n">
        <f>IF(SUMIFS('供应商月度明细'!$F$5:$F$155,'供应商月度明细'!$A$5:$A$155,$A63,'供应商月度明细'!$C$5:$C$155,$C63,'供应商月度明细'!$D$5:$D$155,$E63,'供应商月度明细'!$E$5:$E$155,"2026-05")=0,"",SUMIFS('供应商月度明细'!$H$5:$H$155,'供应商月度明细'!$A$5:$A$155,$A63,'供应商月度明细'!$C$5:$C$155,$C63,'供应商月度明细'!$D$5:$D$155,$E63,'供应商月度明细'!$E$5:$E$155,"2026-05")/SUMIFS('供应商月度明细'!$F$5:$F$155,'供应商月度明细'!$A$5:$A$155,$A63,'供应商月度明细'!$C$5:$C$155,$C63,'供应商月度明细'!$D$5:$D$155,$E63,'供应商月度明细'!$E$5:$E$155,"2026-05"))</f>
        <v>0.96875</v>
      </c>
      <c r="H63" s="27" t="n">
        <f>IF(SUMIFS('供应商月度明细'!$F$5:$F$155,'供应商月度明细'!$A$5:$A$155,$A63,'供应商月度明细'!$C$5:$C$155,$C63,'供应商月度明细'!$D$5:$D$155,$E63,'供应商月度明细'!$E$5:$E$155,"2026-06")=0,"",SUMIFS('供应商月度明细'!$H$5:$H$155,'供应商月度明细'!$A$5:$A$155,$A63,'供应商月度明细'!$C$5:$C$155,$C63,'供应商月度明细'!$D$5:$D$155,$E63,'供应商月度明细'!$E$5:$E$155,"2026-06")/SUMIFS('供应商月度明细'!$F$5:$F$155,'供应商月度明细'!$A$5:$A$155,$A63,'供应商月度明细'!$C$5:$C$155,$C63,'供应商月度明细'!$D$5:$D$155,$E63,'供应商月度明细'!$E$5:$E$155,"2026-06"))</f>
        <v>1</v>
      </c>
      <c r="I63" s="27" t="n">
        <f>IF(COUNT(F63:H63)=0,"",AVERAGE(F63:H63))</f>
        <v>0.984375</v>
      </c>
      <c r="J63" s="27" t="n">
        <f>IF(K63=0,"",L63/K63)</f>
        <v>0.9761904761904762</v>
      </c>
      <c r="K63" s="23" t="n">
        <f>SUMIFS('供应商月度明细'!$F$5:$F$155,'供应商月度明细'!$A$5:$A$155,$A63,'供应商月度明细'!$C$5:$C$155,$C63,'供应商月度明细'!$D$5:$D$155,$E63)</f>
        <v>42</v>
      </c>
      <c r="L63" s="23" t="n">
        <f>SUMIFS('供应商月度明细'!$H$5:$H$155,'供应商月度明细'!$A$5:$A$155,$A63,'供应商月度明细'!$C$5:$C$155,$C63,'供应商月度明细'!$D$5:$D$155,$E63)</f>
        <v>41</v>
      </c>
    </row>
    <row r="64">
      <c r="A64" s="19" t="str">
        <v>德国区</v>
      </c>
      <c r="B64" s="19" t="str">
        <v>LeXpersonal GmbH</v>
      </c>
      <c r="C64" s="19" t="str">
        <v>S000300</v>
      </c>
      <c r="D64" s="19" t="str">
        <v>工种明细</v>
      </c>
      <c r="E64" s="19" t="str">
        <v>售后处理员</v>
      </c>
      <c r="F64" s="27" t="str">
        <f>IF(SUMIFS('供应商月度明细'!$F$5:$F$155,'供应商月度明细'!$A$5:$A$155,$A64,'供应商月度明细'!$C$5:$C$155,$C64,'供应商月度明细'!$D$5:$D$155,$E64,'供应商月度明细'!$E$5:$E$155,"2026-04")=0,"",SUMIFS('供应商月度明细'!$H$5:$H$155,'供应商月度明细'!$A$5:$A$155,$A64,'供应商月度明细'!$C$5:$C$155,$C64,'供应商月度明细'!$D$5:$D$155,$E64,'供应商月度明细'!$E$5:$E$155,"2026-04")/SUMIFS('供应商月度明细'!$F$5:$F$155,'供应商月度明细'!$A$5:$A$155,$A64,'供应商月度明细'!$C$5:$C$155,$C64,'供应商月度明细'!$D$5:$D$155,$E64,'供应商月度明细'!$E$5:$E$155,"2026-04"))</f>
      </c>
      <c r="G64" s="27" t="n">
        <f>IF(SUMIFS('供应商月度明细'!$F$5:$F$155,'供应商月度明细'!$A$5:$A$155,$A64,'供应商月度明细'!$C$5:$C$155,$C64,'供应商月度明细'!$D$5:$D$155,$E64,'供应商月度明细'!$E$5:$E$155,"2026-05")=0,"",SUMIFS('供应商月度明细'!$H$5:$H$155,'供应商月度明细'!$A$5:$A$155,$A64,'供应商月度明细'!$C$5:$C$155,$C64,'供应商月度明细'!$D$5:$D$155,$E64,'供应商月度明细'!$E$5:$E$155,"2026-05")/SUMIFS('供应商月度明细'!$F$5:$F$155,'供应商月度明细'!$A$5:$A$155,$A64,'供应商月度明细'!$C$5:$C$155,$C64,'供应商月度明细'!$D$5:$D$155,$E64,'供应商月度明细'!$E$5:$E$155,"2026-05"))</f>
        <v>0</v>
      </c>
      <c r="H64" s="27" t="str">
        <f>IF(SUMIFS('供应商月度明细'!$F$5:$F$155,'供应商月度明细'!$A$5:$A$155,$A64,'供应商月度明细'!$C$5:$C$155,$C64,'供应商月度明细'!$D$5:$D$155,$E64,'供应商月度明细'!$E$5:$E$155,"2026-06")=0,"",SUMIFS('供应商月度明细'!$H$5:$H$155,'供应商月度明细'!$A$5:$A$155,$A64,'供应商月度明细'!$C$5:$C$155,$C64,'供应商月度明细'!$D$5:$D$155,$E64,'供应商月度明细'!$E$5:$E$155,"2026-06")/SUMIFS('供应商月度明细'!$F$5:$F$155,'供应商月度明细'!$A$5:$A$155,$A64,'供应商月度明细'!$C$5:$C$155,$C64,'供应商月度明细'!$D$5:$D$155,$E64,'供应商月度明细'!$E$5:$E$155,"2026-06"))</f>
      </c>
      <c r="I64" s="27" t="n">
        <f>IF(COUNT(F64:H64)=0,"",AVERAGE(F64:H64))</f>
        <v>0</v>
      </c>
      <c r="J64" s="27" t="n">
        <f>IF(K64=0,"",L64/K64)</f>
        <v>0</v>
      </c>
      <c r="K64" s="23" t="n">
        <f>SUMIFS('供应商月度明细'!$F$5:$F$155,'供应商月度明细'!$A$5:$A$155,$A64,'供应商月度明细'!$C$5:$C$155,$C64,'供应商月度明细'!$D$5:$D$155,$E64)</f>
        <v>4</v>
      </c>
      <c r="L64" s="23" t="n">
        <f>SUMIFS('供应商月度明细'!$H$5:$H$155,'供应商月度明细'!$A$5:$A$155,$A64,'供应商月度明细'!$C$5:$C$155,$C64,'供应商月度明细'!$D$5:$D$155,$E64)</f>
        <v>0</v>
      </c>
    </row>
    <row r="65">
      <c r="A65" s="31" t="str">
        <v>德国区</v>
      </c>
      <c r="B65" s="31" t="str">
        <v>LeXpersonal GmbH</v>
      </c>
      <c r="C65" s="31" t="str">
        <v>S000300</v>
      </c>
      <c r="D65" s="31" t="str">
        <v>供应商汇总</v>
      </c>
      <c r="E65" s="31" t="str">
        <v>全部工种</v>
      </c>
      <c r="F65" s="32" t="str">
        <f>IF(SUMIFS('供应商月度明细'!$F$5:$F$155,'供应商月度明细'!$A$5:$A$155,$A65,'供应商月度明细'!$C$5:$C$155,$C65,'供应商月度明细'!$E$5:$E$155,"2026-04")=0,"",SUMIFS('供应商月度明细'!$H$5:$H$155,'供应商月度明细'!$A$5:$A$155,$A65,'供应商月度明细'!$C$5:$C$155,$C65,'供应商月度明细'!$E$5:$E$155,"2026-04")/SUMIFS('供应商月度明细'!$F$5:$F$155,'供应商月度明细'!$A$5:$A$155,$A65,'供应商月度明细'!$C$5:$C$155,$C65,'供应商月度明细'!$E$5:$E$155,"2026-04"))</f>
      </c>
      <c r="G65" s="32" t="n">
        <f>IF(SUMIFS('供应商月度明细'!$F$5:$F$155,'供应商月度明细'!$A$5:$A$155,$A65,'供应商月度明细'!$C$5:$C$155,$C65,'供应商月度明细'!$E$5:$E$155,"2026-05")=0,"",SUMIFS('供应商月度明细'!$H$5:$H$155,'供应商月度明细'!$A$5:$A$155,$A65,'供应商月度明细'!$C$5:$C$155,$C65,'供应商月度明细'!$E$5:$E$155,"2026-05")/SUMIFS('供应商月度明细'!$F$5:$F$155,'供应商月度明细'!$A$5:$A$155,$A65,'供应商月度明细'!$C$5:$C$155,$C65,'供应商月度明细'!$E$5:$E$155,"2026-05"))</f>
        <v>0.8611111111111112</v>
      </c>
      <c r="H65" s="32" t="n">
        <f>IF(SUMIFS('供应商月度明细'!$F$5:$F$155,'供应商月度明细'!$A$5:$A$155,$A65,'供应商月度明细'!$C$5:$C$155,$C65,'供应商月度明细'!$E$5:$E$155,"2026-06")=0,"",SUMIFS('供应商月度明细'!$H$5:$H$155,'供应商月度明细'!$A$5:$A$155,$A65,'供应商月度明细'!$C$5:$C$155,$C65,'供应商月度明细'!$E$5:$E$155,"2026-06")/SUMIFS('供应商月度明细'!$F$5:$F$155,'供应商月度明细'!$A$5:$A$155,$A65,'供应商月度明细'!$C$5:$C$155,$C65,'供应商月度明细'!$E$5:$E$155,"2026-06"))</f>
        <v>1</v>
      </c>
      <c r="I65" s="32" t="n">
        <f>IF(COUNT(F65:H65)=0,"",AVERAGE(F65:H65))</f>
        <v>0.9305555555555556</v>
      </c>
      <c r="J65" s="32" t="n">
        <f>IF(K65=0,"",L65/K65)</f>
        <v>0.8913043478260869</v>
      </c>
      <c r="K65" s="33" t="n">
        <f>SUMIFS('供应商月度明细'!$F$5:$F$155,'供应商月度明细'!$A$5:$A$155,$A65,'供应商月度明细'!$C$5:$C$155,$C65)</f>
        <v>46</v>
      </c>
      <c r="L65" s="33" t="n">
        <f>SUMIFS('供应商月度明细'!$H$5:$H$155,'供应商月度明细'!$A$5:$A$155,$A65,'供应商月度明细'!$C$5:$C$155,$C65)</f>
        <v>41</v>
      </c>
    </row>
    <row r="66">
      <c r="A66" s="19" t="str">
        <v>德国区</v>
      </c>
      <c r="B66" s="19" t="str">
        <v>HP Personalmanagement</v>
      </c>
      <c r="C66" s="19" t="str">
        <v>S000020</v>
      </c>
      <c r="D66" s="19" t="str">
        <v>工种明细</v>
      </c>
      <c r="E66" s="19" t="str">
        <v>操作员</v>
      </c>
      <c r="F66" s="27" t="n">
        <f>IF(SUMIFS('供应商月度明细'!$F$5:$F$155,'供应商月度明细'!$A$5:$A$155,$A66,'供应商月度明细'!$C$5:$C$155,$C66,'供应商月度明细'!$D$5:$D$155,$E66,'供应商月度明细'!$E$5:$E$155,"2026-04")=0,"",SUMIFS('供应商月度明细'!$H$5:$H$155,'供应商月度明细'!$A$5:$A$155,$A66,'供应商月度明细'!$C$5:$C$155,$C66,'供应商月度明细'!$D$5:$D$155,$E66,'供应商月度明细'!$E$5:$E$155,"2026-04")/SUMIFS('供应商月度明细'!$F$5:$F$155,'供应商月度明细'!$A$5:$A$155,$A66,'供应商月度明细'!$C$5:$C$155,$C66,'供应商月度明细'!$D$5:$D$155,$E66,'供应商月度明细'!$E$5:$E$155,"2026-04"))</f>
        <v>0</v>
      </c>
      <c r="G66" s="27" t="n">
        <f>IF(SUMIFS('供应商月度明细'!$F$5:$F$155,'供应商月度明细'!$A$5:$A$155,$A66,'供应商月度明细'!$C$5:$C$155,$C66,'供应商月度明细'!$D$5:$D$155,$E66,'供应商月度明细'!$E$5:$E$155,"2026-05")=0,"",SUMIFS('供应商月度明细'!$H$5:$H$155,'供应商月度明细'!$A$5:$A$155,$A66,'供应商月度明细'!$C$5:$C$155,$C66,'供应商月度明细'!$D$5:$D$155,$E66,'供应商月度明细'!$E$5:$E$155,"2026-05")/SUMIFS('供应商月度明细'!$F$5:$F$155,'供应商月度明细'!$A$5:$A$155,$A66,'供应商月度明细'!$C$5:$C$155,$C66,'供应商月度明细'!$D$5:$D$155,$E66,'供应商月度明细'!$E$5:$E$155,"2026-05"))</f>
        <v>1</v>
      </c>
      <c r="H66" s="27" t="n">
        <f>IF(SUMIFS('供应商月度明细'!$F$5:$F$155,'供应商月度明细'!$A$5:$A$155,$A66,'供应商月度明细'!$C$5:$C$155,$C66,'供应商月度明细'!$D$5:$D$155,$E66,'供应商月度明细'!$E$5:$E$155,"2026-06")=0,"",SUMIFS('供应商月度明细'!$H$5:$H$155,'供应商月度明细'!$A$5:$A$155,$A66,'供应商月度明细'!$C$5:$C$155,$C66,'供应商月度明细'!$D$5:$D$155,$E66,'供应商月度明细'!$E$5:$E$155,"2026-06")/SUMIFS('供应商月度明细'!$F$5:$F$155,'供应商月度明细'!$A$5:$A$155,$A66,'供应商月度明细'!$C$5:$C$155,$C66,'供应商月度明细'!$D$5:$D$155,$E66,'供应商月度明细'!$E$5:$E$155,"2026-06"))</f>
        <v>0.6</v>
      </c>
      <c r="I66" s="27" t="n">
        <f>IF(COUNT(F66:H66)=0,"",AVERAGE(F66:H66))</f>
        <v>0.5333333333333333</v>
      </c>
      <c r="J66" s="27" t="n">
        <f>IF(K66=0,"",L66/K66)</f>
        <v>0.5925925925925926</v>
      </c>
      <c r="K66" s="23" t="n">
        <f>SUMIFS('供应商月度明细'!$F$5:$F$155,'供应商月度明细'!$A$5:$A$155,$A66,'供应商月度明细'!$C$5:$C$155,$C66,'供应商月度明细'!$D$5:$D$155,$E66)</f>
        <v>27</v>
      </c>
      <c r="L66" s="23" t="n">
        <f>SUMIFS('供应商月度明细'!$H$5:$H$155,'供应商月度明细'!$A$5:$A$155,$A66,'供应商月度明细'!$C$5:$C$155,$C66,'供应商月度明细'!$D$5:$D$155,$E66)</f>
        <v>16</v>
      </c>
    </row>
    <row r="67">
      <c r="A67" s="31" t="str">
        <v>德国区</v>
      </c>
      <c r="B67" s="31" t="str">
        <v>HP Personalmanagement</v>
      </c>
      <c r="C67" s="31" t="str">
        <v>S000020</v>
      </c>
      <c r="D67" s="31" t="str">
        <v>供应商汇总</v>
      </c>
      <c r="E67" s="31" t="str">
        <v>全部工种</v>
      </c>
      <c r="F67" s="32" t="n">
        <f>IF(SUMIFS('供应商月度明细'!$F$5:$F$155,'供应商月度明细'!$A$5:$A$155,$A67,'供应商月度明细'!$C$5:$C$155,$C67,'供应商月度明细'!$E$5:$E$155,"2026-04")=0,"",SUMIFS('供应商月度明细'!$H$5:$H$155,'供应商月度明细'!$A$5:$A$155,$A67,'供应商月度明细'!$C$5:$C$155,$C67,'供应商月度明细'!$E$5:$E$155,"2026-04")/SUMIFS('供应商月度明细'!$F$5:$F$155,'供应商月度明细'!$A$5:$A$155,$A67,'供应商月度明细'!$C$5:$C$155,$C67,'供应商月度明细'!$E$5:$E$155,"2026-04"))</f>
        <v>0</v>
      </c>
      <c r="G67" s="32" t="n">
        <f>IF(SUMIFS('供应商月度明细'!$F$5:$F$155,'供应商月度明细'!$A$5:$A$155,$A67,'供应商月度明细'!$C$5:$C$155,$C67,'供应商月度明细'!$E$5:$E$155,"2026-05")=0,"",SUMIFS('供应商月度明细'!$H$5:$H$155,'供应商月度明细'!$A$5:$A$155,$A67,'供应商月度明细'!$C$5:$C$155,$C67,'供应商月度明细'!$E$5:$E$155,"2026-05")/SUMIFS('供应商月度明细'!$F$5:$F$155,'供应商月度明细'!$A$5:$A$155,$A67,'供应商月度明细'!$C$5:$C$155,$C67,'供应商月度明细'!$E$5:$E$155,"2026-05"))</f>
        <v>1</v>
      </c>
      <c r="H67" s="32" t="n">
        <f>IF(SUMIFS('供应商月度明细'!$F$5:$F$155,'供应商月度明细'!$A$5:$A$155,$A67,'供应商月度明细'!$C$5:$C$155,$C67,'供应商月度明细'!$E$5:$E$155,"2026-06")=0,"",SUMIFS('供应商月度明细'!$H$5:$H$155,'供应商月度明细'!$A$5:$A$155,$A67,'供应商月度明细'!$C$5:$C$155,$C67,'供应商月度明细'!$E$5:$E$155,"2026-06")/SUMIFS('供应商月度明细'!$F$5:$F$155,'供应商月度明细'!$A$5:$A$155,$A67,'供应商月度明细'!$C$5:$C$155,$C67,'供应商月度明细'!$E$5:$E$155,"2026-06"))</f>
        <v>0.6</v>
      </c>
      <c r="I67" s="32" t="n">
        <f>IF(COUNT(F67:H67)=0,"",AVERAGE(F67:H67))</f>
        <v>0.5333333333333333</v>
      </c>
      <c r="J67" s="32" t="n">
        <f>IF(K67=0,"",L67/K67)</f>
        <v>0.5925925925925926</v>
      </c>
      <c r="K67" s="33" t="n">
        <f>SUMIFS('供应商月度明细'!$F$5:$F$155,'供应商月度明细'!$A$5:$A$155,$A67,'供应商月度明细'!$C$5:$C$155,$C67)</f>
        <v>27</v>
      </c>
      <c r="L67" s="33" t="n">
        <f>SUMIFS('供应商月度明细'!$H$5:$H$155,'供应商月度明细'!$A$5:$A$155,$A67,'供应商月度明细'!$C$5:$C$155,$C67)</f>
        <v>16</v>
      </c>
    </row>
    <row r="68">
      <c r="A68" s="19" t="str">
        <v>德国区</v>
      </c>
      <c r="B68" s="19" t="str">
        <v>JS Logistik GmbH</v>
      </c>
      <c r="C68" s="19" t="str">
        <v>S000328</v>
      </c>
      <c r="D68" s="19" t="str">
        <v>工种明细</v>
      </c>
      <c r="E68" s="19" t="str">
        <v>操作员</v>
      </c>
      <c r="F68" s="27" t="str">
        <f>IF(SUMIFS('供应商月度明细'!$F$5:$F$155,'供应商月度明细'!$A$5:$A$155,$A68,'供应商月度明细'!$C$5:$C$155,$C68,'供应商月度明细'!$D$5:$D$155,$E68,'供应商月度明细'!$E$5:$E$155,"2026-04")=0,"",SUMIFS('供应商月度明细'!$H$5:$H$155,'供应商月度明细'!$A$5:$A$155,$A68,'供应商月度明细'!$C$5:$C$155,$C68,'供应商月度明细'!$D$5:$D$155,$E68,'供应商月度明细'!$E$5:$E$155,"2026-04")/SUMIFS('供应商月度明细'!$F$5:$F$155,'供应商月度明细'!$A$5:$A$155,$A68,'供应商月度明细'!$C$5:$C$155,$C68,'供应商月度明细'!$D$5:$D$155,$E68,'供应商月度明细'!$E$5:$E$155,"2026-04"))</f>
      </c>
      <c r="G68" s="27" t="n">
        <f>IF(SUMIFS('供应商月度明细'!$F$5:$F$155,'供应商月度明细'!$A$5:$A$155,$A68,'供应商月度明细'!$C$5:$C$155,$C68,'供应商月度明细'!$D$5:$D$155,$E68,'供应商月度明细'!$E$5:$E$155,"2026-05")=0,"",SUMIFS('供应商月度明细'!$H$5:$H$155,'供应商月度明细'!$A$5:$A$155,$A68,'供应商月度明细'!$C$5:$C$155,$C68,'供应商月度明细'!$D$5:$D$155,$E68,'供应商月度明细'!$E$5:$E$155,"2026-05")/SUMIFS('供应商月度明细'!$F$5:$F$155,'供应商月度明细'!$A$5:$A$155,$A68,'供应商月度明细'!$C$5:$C$155,$C68,'供应商月度明细'!$D$5:$D$155,$E68,'供应商月度明细'!$E$5:$E$155,"2026-05"))</f>
        <v>1</v>
      </c>
      <c r="H68" s="27" t="n">
        <f>IF(SUMIFS('供应商月度明细'!$F$5:$F$155,'供应商月度明细'!$A$5:$A$155,$A68,'供应商月度明细'!$C$5:$C$155,$C68,'供应商月度明细'!$D$5:$D$155,$E68,'供应商月度明细'!$E$5:$E$155,"2026-06")=0,"",SUMIFS('供应商月度明细'!$H$5:$H$155,'供应商月度明细'!$A$5:$A$155,$A68,'供应商月度明细'!$C$5:$C$155,$C68,'供应商月度明细'!$D$5:$D$155,$E68,'供应商月度明细'!$E$5:$E$155,"2026-06")/SUMIFS('供应商月度明细'!$F$5:$F$155,'供应商月度明细'!$A$5:$A$155,$A68,'供应商月度明细'!$C$5:$C$155,$C68,'供应商月度明细'!$D$5:$D$155,$E68,'供应商月度明细'!$E$5:$E$155,"2026-06"))</f>
        <v>0.47368421052631576</v>
      </c>
      <c r="I68" s="27" t="n">
        <f>IF(COUNT(F68:H68)=0,"",AVERAGE(F68:H68))</f>
        <v>0.7368421052631579</v>
      </c>
      <c r="J68" s="27" t="n">
        <f>IF(K68=0,"",L68/K68)</f>
        <v>0.5238095238095238</v>
      </c>
      <c r="K68" s="23" t="n">
        <f>SUMIFS('供应商月度明细'!$F$5:$F$155,'供应商月度明细'!$A$5:$A$155,$A68,'供应商月度明细'!$C$5:$C$155,$C68,'供应商月度明细'!$D$5:$D$155,$E68)</f>
        <v>21</v>
      </c>
      <c r="L68" s="23" t="n">
        <f>SUMIFS('供应商月度明细'!$H$5:$H$155,'供应商月度明细'!$A$5:$A$155,$A68,'供应商月度明细'!$C$5:$C$155,$C68,'供应商月度明细'!$D$5:$D$155,$E68)</f>
        <v>11</v>
      </c>
    </row>
    <row r="69">
      <c r="A69" s="31" t="str">
        <v>德国区</v>
      </c>
      <c r="B69" s="31" t="str">
        <v>JS Logistik GmbH</v>
      </c>
      <c r="C69" s="31" t="str">
        <v>S000328</v>
      </c>
      <c r="D69" s="31" t="str">
        <v>供应商汇总</v>
      </c>
      <c r="E69" s="31" t="str">
        <v>全部工种</v>
      </c>
      <c r="F69" s="32" t="str">
        <f>IF(SUMIFS('供应商月度明细'!$F$5:$F$155,'供应商月度明细'!$A$5:$A$155,$A69,'供应商月度明细'!$C$5:$C$155,$C69,'供应商月度明细'!$E$5:$E$155,"2026-04")=0,"",SUMIFS('供应商月度明细'!$H$5:$H$155,'供应商月度明细'!$A$5:$A$155,$A69,'供应商月度明细'!$C$5:$C$155,$C69,'供应商月度明细'!$E$5:$E$155,"2026-04")/SUMIFS('供应商月度明细'!$F$5:$F$155,'供应商月度明细'!$A$5:$A$155,$A69,'供应商月度明细'!$C$5:$C$155,$C69,'供应商月度明细'!$E$5:$E$155,"2026-04"))</f>
      </c>
      <c r="G69" s="32" t="n">
        <f>IF(SUMIFS('供应商月度明细'!$F$5:$F$155,'供应商月度明细'!$A$5:$A$155,$A69,'供应商月度明细'!$C$5:$C$155,$C69,'供应商月度明细'!$E$5:$E$155,"2026-05")=0,"",SUMIFS('供应商月度明细'!$H$5:$H$155,'供应商月度明细'!$A$5:$A$155,$A69,'供应商月度明细'!$C$5:$C$155,$C69,'供应商月度明细'!$E$5:$E$155,"2026-05")/SUMIFS('供应商月度明细'!$F$5:$F$155,'供应商月度明细'!$A$5:$A$155,$A69,'供应商月度明细'!$C$5:$C$155,$C69,'供应商月度明细'!$E$5:$E$155,"2026-05"))</f>
        <v>1</v>
      </c>
      <c r="H69" s="32" t="n">
        <f>IF(SUMIFS('供应商月度明细'!$F$5:$F$155,'供应商月度明细'!$A$5:$A$155,$A69,'供应商月度明细'!$C$5:$C$155,$C69,'供应商月度明细'!$E$5:$E$155,"2026-06")=0,"",SUMIFS('供应商月度明细'!$H$5:$H$155,'供应商月度明细'!$A$5:$A$155,$A69,'供应商月度明细'!$C$5:$C$155,$C69,'供应商月度明细'!$E$5:$E$155,"2026-06")/SUMIFS('供应商月度明细'!$F$5:$F$155,'供应商月度明细'!$A$5:$A$155,$A69,'供应商月度明细'!$C$5:$C$155,$C69,'供应商月度明细'!$E$5:$E$155,"2026-06"))</f>
        <v>0.47368421052631576</v>
      </c>
      <c r="I69" s="32" t="n">
        <f>IF(COUNT(F69:H69)=0,"",AVERAGE(F69:H69))</f>
        <v>0.7368421052631579</v>
      </c>
      <c r="J69" s="32" t="n">
        <f>IF(K69=0,"",L69/K69)</f>
        <v>0.5238095238095238</v>
      </c>
      <c r="K69" s="33" t="n">
        <f>SUMIFS('供应商月度明细'!$F$5:$F$155,'供应商月度明细'!$A$5:$A$155,$A69,'供应商月度明细'!$C$5:$C$155,$C69)</f>
        <v>21</v>
      </c>
      <c r="L69" s="33" t="n">
        <f>SUMIFS('供应商月度明细'!$H$5:$H$155,'供应商月度明细'!$A$5:$A$155,$A69,'供应商月度明细'!$C$5:$C$155,$C69)</f>
        <v>11</v>
      </c>
    </row>
    <row r="70">
      <c r="A70" s="34" t="str">
        <v>德国区</v>
      </c>
      <c r="B70" s="34" t="str">
        <v>全区</v>
      </c>
      <c r="C70" s="34" t="str"/>
      <c r="D70" s="34" t="str">
        <v>区域汇总</v>
      </c>
      <c r="E70" s="34" t="str">
        <v>操作员</v>
      </c>
      <c r="F70" s="35" t="n">
        <f>IF(SUMIFS('供应商月度明细'!$F$5:$F$155,'供应商月度明细'!$A$5:$A$155,$A70,'供应商月度明细'!$D$5:$D$155,$E70,'供应商月度明细'!$E$5:$E$155,"2026-04")=0,"",SUMIFS('供应商月度明细'!$H$5:$H$155,'供应商月度明细'!$A$5:$A$155,$A70,'供应商月度明细'!$D$5:$D$155,$E70,'供应商月度明细'!$E$5:$E$155,"2026-04")/SUMIFS('供应商月度明细'!$F$5:$F$155,'供应商月度明细'!$A$5:$A$155,$A70,'供应商月度明细'!$D$5:$D$155,$E70,'供应商月度明细'!$E$5:$E$155,"2026-04"))</f>
        <v>0.7671232876712328</v>
      </c>
      <c r="G70" s="35" t="n">
        <f>IF(SUMIFS('供应商月度明细'!$F$5:$F$155,'供应商月度明细'!$A$5:$A$155,$A70,'供应商月度明细'!$D$5:$D$155,$E70,'供应商月度明细'!$E$5:$E$155,"2026-05")=0,"",SUMIFS('供应商月度明细'!$H$5:$H$155,'供应商月度明细'!$A$5:$A$155,$A70,'供应商月度明细'!$D$5:$D$155,$E70,'供应商月度明细'!$E$5:$E$155,"2026-05")/SUMIFS('供应商月度明细'!$F$5:$F$155,'供应商月度明细'!$A$5:$A$155,$A70,'供应商月度明细'!$D$5:$D$155,$E70,'供应商月度明细'!$E$5:$E$155,"2026-05"))</f>
        <v>0.868766404199475</v>
      </c>
      <c r="H70" s="35" t="n">
        <f>IF(SUMIFS('供应商月度明细'!$F$5:$F$155,'供应商月度明细'!$A$5:$A$155,$A70,'供应商月度明细'!$D$5:$D$155,$E70,'供应商月度明细'!$E$5:$E$155,"2026-06")=0,"",SUMIFS('供应商月度明细'!$H$5:$H$155,'供应商月度明细'!$A$5:$A$155,$A70,'供应商月度明细'!$D$5:$D$155,$E70,'供应商月度明细'!$E$5:$E$155,"2026-06")/SUMIFS('供应商月度明细'!$F$5:$F$155,'供应商月度明细'!$A$5:$A$155,$A70,'供应商月度明细'!$D$5:$D$155,$E70,'供应商月度明细'!$E$5:$E$155,"2026-06"))</f>
        <v>0.847769028871391</v>
      </c>
      <c r="I70" s="35" t="n">
        <f>IF(COUNT(F70:H70)=0,"",AVERAGE(F70:H70))</f>
        <v>0.8278862402473663</v>
      </c>
      <c r="J70" s="35" t="n">
        <f>IF(K70=0,"",L70/K70)</f>
        <v>0.8448409619860356</v>
      </c>
      <c r="K70" s="36" t="n">
        <f>SUMIFS('供应商月度明细'!$F$5:$F$155,'供应商月度明细'!$A$5:$A$155,$A70,'供应商月度明细'!$D$5:$D$155,$E70)</f>
        <v>1289</v>
      </c>
      <c r="L70" s="36" t="n">
        <f>SUMIFS('供应商月度明细'!$H$5:$H$155,'供应商月度明细'!$A$5:$A$155,$A70,'供应商月度明细'!$D$5:$D$155,$E70)</f>
        <v>1089</v>
      </c>
    </row>
    <row r="71">
      <c r="A71" s="34" t="str">
        <v>德国区</v>
      </c>
      <c r="B71" s="34" t="str">
        <v>全区</v>
      </c>
      <c r="C71" s="34" t="str"/>
      <c r="D71" s="34" t="str">
        <v>区域汇总</v>
      </c>
      <c r="E71" s="34" t="str">
        <v>售后处理员</v>
      </c>
      <c r="F71" s="35" t="n">
        <f>IF(SUMIFS('供应商月度明细'!$F$5:$F$155,'供应商月度明细'!$A$5:$A$155,$A71,'供应商月度明细'!$D$5:$D$155,$E71,'供应商月度明细'!$E$5:$E$155,"2026-04")=0,"",SUMIFS('供应商月度明细'!$H$5:$H$155,'供应商月度明细'!$A$5:$A$155,$A71,'供应商月度明细'!$D$5:$D$155,$E71,'供应商月度明细'!$E$5:$E$155,"2026-04")/SUMIFS('供应商月度明细'!$F$5:$F$155,'供应商月度明细'!$A$5:$A$155,$A71,'供应商月度明细'!$D$5:$D$155,$E71,'供应商月度明细'!$E$5:$E$155,"2026-04"))</f>
        <v>0.2857142857142857</v>
      </c>
      <c r="G71" s="35" t="n">
        <f>IF(SUMIFS('供应商月度明细'!$F$5:$F$155,'供应商月度明细'!$A$5:$A$155,$A71,'供应商月度明细'!$D$5:$D$155,$E71,'供应商月度明细'!$E$5:$E$155,"2026-05")=0,"",SUMIFS('供应商月度明细'!$H$5:$H$155,'供应商月度明细'!$A$5:$A$155,$A71,'供应商月度明细'!$D$5:$D$155,$E71,'供应商月度明细'!$E$5:$E$155,"2026-05")/SUMIFS('供应商月度明细'!$F$5:$F$155,'供应商月度明细'!$A$5:$A$155,$A71,'供应商月度明细'!$D$5:$D$155,$E71,'供应商月度明细'!$E$5:$E$155,"2026-05"))</f>
        <v>0.5</v>
      </c>
      <c r="H71" s="35" t="n">
        <f>IF(SUMIFS('供应商月度明细'!$F$5:$F$155,'供应商月度明细'!$A$5:$A$155,$A71,'供应商月度明细'!$D$5:$D$155,$E71,'供应商月度明细'!$E$5:$E$155,"2026-06")=0,"",SUMIFS('供应商月度明细'!$H$5:$H$155,'供应商月度明细'!$A$5:$A$155,$A71,'供应商月度明细'!$D$5:$D$155,$E71,'供应商月度明细'!$E$5:$E$155,"2026-06")/SUMIFS('供应商月度明细'!$F$5:$F$155,'供应商月度明细'!$A$5:$A$155,$A71,'供应商月度明细'!$D$5:$D$155,$E71,'供应商月度明细'!$E$5:$E$155,"2026-06"))</f>
        <v>0.6666666666666666</v>
      </c>
      <c r="I71" s="35" t="n">
        <f>IF(COUNT(F71:H71)=0,"",AVERAGE(F71:H71))</f>
        <v>0.48412698412698413</v>
      </c>
      <c r="J71" s="35" t="n">
        <f>IF(K71=0,"",L71/K71)</f>
        <v>0.4666666666666667</v>
      </c>
      <c r="K71" s="36" t="n">
        <f>SUMIFS('供应商月度明细'!$F$5:$F$155,'供应商月度明细'!$A$5:$A$155,$A71,'供应商月度明细'!$D$5:$D$155,$E71)</f>
        <v>30</v>
      </c>
      <c r="L71" s="36" t="n">
        <f>SUMIFS('供应商月度明细'!$H$5:$H$155,'供应商月度明细'!$A$5:$A$155,$A71,'供应商月度明细'!$D$5:$D$155,$E71)</f>
        <v>14</v>
      </c>
    </row>
    <row r="72">
      <c r="A72" s="34" t="str">
        <v>德国区</v>
      </c>
      <c r="B72" s="34" t="str">
        <v>全区</v>
      </c>
      <c r="C72" s="34" t="str"/>
      <c r="D72" s="34" t="str">
        <v>区域汇总</v>
      </c>
      <c r="E72" s="34" t="str">
        <v>保洁员</v>
      </c>
      <c r="F72" s="35" t="n">
        <f>IF(SUMIFS('供应商月度明细'!$F$5:$F$155,'供应商月度明细'!$A$5:$A$155,$A72,'供应商月度明细'!$D$5:$D$155,$E72,'供应商月度明细'!$E$5:$E$155,"2026-04")=0,"",SUMIFS('供应商月度明细'!$H$5:$H$155,'供应商月度明细'!$A$5:$A$155,$A72,'供应商月度明细'!$D$5:$D$155,$E72,'供应商月度明细'!$E$5:$E$155,"2026-04")/SUMIFS('供应商月度明细'!$F$5:$F$155,'供应商月度明细'!$A$5:$A$155,$A72,'供应商月度明细'!$D$5:$D$155,$E72,'供应商月度明细'!$E$5:$E$155,"2026-04"))</f>
        <v>1</v>
      </c>
      <c r="G72" s="35" t="n">
        <f>IF(SUMIFS('供应商月度明细'!$F$5:$F$155,'供应商月度明细'!$A$5:$A$155,$A72,'供应商月度明细'!$D$5:$D$155,$E72,'供应商月度明细'!$E$5:$E$155,"2026-05")=0,"",SUMIFS('供应商月度明细'!$H$5:$H$155,'供应商月度明细'!$A$5:$A$155,$A72,'供应商月度明细'!$D$5:$D$155,$E72,'供应商月度明细'!$E$5:$E$155,"2026-05")/SUMIFS('供应商月度明细'!$F$5:$F$155,'供应商月度明细'!$A$5:$A$155,$A72,'供应商月度明细'!$D$5:$D$155,$E72,'供应商月度明细'!$E$5:$E$155,"2026-05"))</f>
        <v>1</v>
      </c>
      <c r="H72" s="35" t="n">
        <f>IF(SUMIFS('供应商月度明细'!$F$5:$F$155,'供应商月度明细'!$A$5:$A$155,$A72,'供应商月度明细'!$D$5:$D$155,$E72,'供应商月度明细'!$E$5:$E$155,"2026-06")=0,"",SUMIFS('供应商月度明细'!$H$5:$H$155,'供应商月度明细'!$A$5:$A$155,$A72,'供应商月度明细'!$D$5:$D$155,$E72,'供应商月度明细'!$E$5:$E$155,"2026-06")/SUMIFS('供应商月度明细'!$F$5:$F$155,'供应商月度明细'!$A$5:$A$155,$A72,'供应商月度明细'!$D$5:$D$155,$E72,'供应商月度明细'!$E$5:$E$155,"2026-06"))</f>
        <v>0.8</v>
      </c>
      <c r="I72" s="35" t="n">
        <f>IF(COUNT(F72:H72)=0,"",AVERAGE(F72:H72))</f>
        <v>0.9333333333333332</v>
      </c>
      <c r="J72" s="35" t="n">
        <f>IF(K72=0,"",L72/K72)</f>
        <v>0.8888888888888888</v>
      </c>
      <c r="K72" s="36" t="n">
        <f>SUMIFS('供应商月度明细'!$F$5:$F$155,'供应商月度明细'!$A$5:$A$155,$A72,'供应商月度明细'!$D$5:$D$155,$E72)</f>
        <v>9</v>
      </c>
      <c r="L72" s="36" t="n">
        <f>SUMIFS('供应商月度明细'!$H$5:$H$155,'供应商月度明细'!$A$5:$A$155,$A72,'供应商月度明细'!$D$5:$D$155,$E72)</f>
        <v>8</v>
      </c>
    </row>
    <row r="73">
      <c r="A73" s="37" t="str">
        <v>德国区</v>
      </c>
      <c r="B73" s="37" t="str">
        <v>全区</v>
      </c>
      <c r="C73" s="37" t="str"/>
      <c r="D73" s="37" t="str">
        <v>区域汇总</v>
      </c>
      <c r="E73" s="37" t="str">
        <v>全部工种</v>
      </c>
      <c r="F73" s="38" t="n">
        <f>IF(SUMIFS('供应商月度明细'!$F$5:$F$155,'供应商月度明细'!$A$5:$A$155,$A73,'供应商月度明细'!$E$5:$E$155,"2026-04")=0,"",SUMIFS('供应商月度明细'!$H$5:$H$155,'供应商月度明细'!$A$5:$A$155,$A73,'供应商月度明细'!$E$5:$E$155,"2026-04")/SUMIFS('供应商月度明细'!$F$5:$F$155,'供应商月度明细'!$A$5:$A$155,$A73,'供应商月度明细'!$E$5:$E$155,"2026-04"))</f>
        <v>0.7467532467532467</v>
      </c>
      <c r="G73" s="38" t="n">
        <f>IF(SUMIFS('供应商月度明细'!$F$5:$F$155,'供应商月度明细'!$A$5:$A$155,$A73,'供应商月度明细'!$E$5:$E$155,"2026-05")=0,"",SUMIFS('供应商月度明细'!$H$5:$H$155,'供应商月度明细'!$A$5:$A$155,$A73,'供应商月度明细'!$E$5:$E$155,"2026-05")/SUMIFS('供应商月度明细'!$F$5:$F$155,'供应商月度明细'!$A$5:$A$155,$A73,'供应商月度明细'!$E$5:$E$155,"2026-05"))</f>
        <v>0.8514851485148515</v>
      </c>
      <c r="H73" s="38" t="n">
        <f>IF(SUMIFS('供应商月度明细'!$F$5:$F$155,'供应商月度明细'!$A$5:$A$155,$A73,'供应商月度明细'!$E$5:$E$155,"2026-06")=0,"",SUMIFS('供应商月度明细'!$H$5:$H$155,'供应商月度明细'!$A$5:$A$155,$A73,'供应商月度明细'!$E$5:$E$155,"2026-06")/SUMIFS('供应商月度明细'!$F$5:$F$155,'供应商月度明细'!$A$5:$A$155,$A73,'供应商月度明细'!$E$5:$E$155,"2026-06"))</f>
        <v>0.8467532467532467</v>
      </c>
      <c r="I73" s="38" t="n">
        <f>IF(COUNT(F73:H73)=0,"",AVERAGE(F73:H73))</f>
        <v>0.814997214007115</v>
      </c>
      <c r="J73" s="38" t="n">
        <f>IF(K73=0,"",L73/K73)</f>
        <v>0.8365963855421686</v>
      </c>
      <c r="K73" s="39" t="n">
        <f>SUMIFS('供应商月度明细'!$F$5:$F$155,'供应商月度明细'!$A$5:$A$155,$A73)</f>
        <v>1328</v>
      </c>
      <c r="L73" s="39" t="n">
        <f>SUMIFS('供应商月度明细'!$H$5:$H$155,'供应商月度明细'!$A$5:$A$155,$A73)</f>
        <v>1111</v>
      </c>
    </row>
    <row r="74">
      <c r="A74" s="19" t="str">
        <v>波兰区</v>
      </c>
      <c r="B74" s="19" t="str">
        <v>Tez sp z o.o.</v>
      </c>
      <c r="C74" s="19" t="str">
        <v>S000298</v>
      </c>
      <c r="D74" s="19" t="str">
        <v>工种明细</v>
      </c>
      <c r="E74" s="19" t="str">
        <v>操作员</v>
      </c>
      <c r="F74" s="27" t="n">
        <f>IF(SUMIFS('供应商月度明细'!$F$5:$F$155,'供应商月度明细'!$A$5:$A$155,$A74,'供应商月度明细'!$C$5:$C$155,$C74,'供应商月度明细'!$D$5:$D$155,$E74,'供应商月度明细'!$E$5:$E$155,"2026-04")=0,"",SUMIFS('供应商月度明细'!$H$5:$H$155,'供应商月度明细'!$A$5:$A$155,$A74,'供应商月度明细'!$C$5:$C$155,$C74,'供应商月度明细'!$D$5:$D$155,$E74,'供应商月度明细'!$E$5:$E$155,"2026-04")/SUMIFS('供应商月度明细'!$F$5:$F$155,'供应商月度明细'!$A$5:$A$155,$A74,'供应商月度明细'!$C$5:$C$155,$C74,'供应商月度明细'!$D$5:$D$155,$E74,'供应商月度明细'!$E$5:$E$155,"2026-04"))</f>
        <v>1</v>
      </c>
      <c r="G74" s="27" t="n">
        <f>IF(SUMIFS('供应商月度明细'!$F$5:$F$155,'供应商月度明细'!$A$5:$A$155,$A74,'供应商月度明细'!$C$5:$C$155,$C74,'供应商月度明细'!$D$5:$D$155,$E74,'供应商月度明细'!$E$5:$E$155,"2026-05")=0,"",SUMIFS('供应商月度明细'!$H$5:$H$155,'供应商月度明细'!$A$5:$A$155,$A74,'供应商月度明细'!$C$5:$C$155,$C74,'供应商月度明细'!$D$5:$D$155,$E74,'供应商月度明细'!$E$5:$E$155,"2026-05")/SUMIFS('供应商月度明细'!$F$5:$F$155,'供应商月度明细'!$A$5:$A$155,$A74,'供应商月度明细'!$C$5:$C$155,$C74,'供应商月度明细'!$D$5:$D$155,$E74,'供应商月度明细'!$E$5:$E$155,"2026-05"))</f>
        <v>0.5026178010471204</v>
      </c>
      <c r="H74" s="27" t="n">
        <f>IF(SUMIFS('供应商月度明细'!$F$5:$F$155,'供应商月度明细'!$A$5:$A$155,$A74,'供应商月度明细'!$C$5:$C$155,$C74,'供应商月度明细'!$D$5:$D$155,$E74,'供应商月度明细'!$E$5:$E$155,"2026-06")=0,"",SUMIFS('供应商月度明细'!$H$5:$H$155,'供应商月度明细'!$A$5:$A$155,$A74,'供应商月度明细'!$C$5:$C$155,$C74,'供应商月度明细'!$D$5:$D$155,$E74,'供应商月度明细'!$E$5:$E$155,"2026-06")/SUMIFS('供应商月度明细'!$F$5:$F$155,'供应商月度明细'!$A$5:$A$155,$A74,'供应商月度明细'!$C$5:$C$155,$C74,'供应商月度明细'!$D$5:$D$155,$E74,'供应商月度明细'!$E$5:$E$155,"2026-06"))</f>
        <v>0.33793103448275863</v>
      </c>
      <c r="I74" s="27" t="n">
        <f>IF(COUNT(F74:H74)=0,"",AVERAGE(F74:H74))</f>
        <v>0.6135162785099597</v>
      </c>
      <c r="J74" s="27" t="n">
        <f>IF(K74=0,"",L74/K74)</f>
        <v>0.49066666666666664</v>
      </c>
      <c r="K74" s="23" t="n">
        <f>SUMIFS('供应商月度明细'!$F$5:$F$155,'供应商月度明细'!$A$5:$A$155,$A74,'供应商月度明细'!$C$5:$C$155,$C74,'供应商月度明细'!$D$5:$D$155,$E74)</f>
        <v>375</v>
      </c>
      <c r="L74" s="23" t="n">
        <f>SUMIFS('供应商月度明细'!$H$5:$H$155,'供应商月度明细'!$A$5:$A$155,$A74,'供应商月度明细'!$C$5:$C$155,$C74,'供应商月度明细'!$D$5:$D$155,$E74)</f>
        <v>184</v>
      </c>
    </row>
    <row r="75">
      <c r="A75" s="31" t="str">
        <v>波兰区</v>
      </c>
      <c r="B75" s="31" t="str">
        <v>Tez sp z o.o.</v>
      </c>
      <c r="C75" s="31" t="str">
        <v>S000298</v>
      </c>
      <c r="D75" s="31" t="str">
        <v>供应商汇总</v>
      </c>
      <c r="E75" s="31" t="str">
        <v>全部工种</v>
      </c>
      <c r="F75" s="32" t="n">
        <f>IF(SUMIFS('供应商月度明细'!$F$5:$F$155,'供应商月度明细'!$A$5:$A$155,$A75,'供应商月度明细'!$C$5:$C$155,$C75,'供应商月度明细'!$E$5:$E$155,"2026-04")=0,"",SUMIFS('供应商月度明细'!$H$5:$H$155,'供应商月度明细'!$A$5:$A$155,$A75,'供应商月度明细'!$C$5:$C$155,$C75,'供应商月度明细'!$E$5:$E$155,"2026-04")/SUMIFS('供应商月度明细'!$F$5:$F$155,'供应商月度明细'!$A$5:$A$155,$A75,'供应商月度明细'!$C$5:$C$155,$C75,'供应商月度明细'!$E$5:$E$155,"2026-04"))</f>
        <v>1</v>
      </c>
      <c r="G75" s="32" t="n">
        <f>IF(SUMIFS('供应商月度明细'!$F$5:$F$155,'供应商月度明细'!$A$5:$A$155,$A75,'供应商月度明细'!$C$5:$C$155,$C75,'供应商月度明细'!$E$5:$E$155,"2026-05")=0,"",SUMIFS('供应商月度明细'!$H$5:$H$155,'供应商月度明细'!$A$5:$A$155,$A75,'供应商月度明细'!$C$5:$C$155,$C75,'供应商月度明细'!$E$5:$E$155,"2026-05")/SUMIFS('供应商月度明细'!$F$5:$F$155,'供应商月度明细'!$A$5:$A$155,$A75,'供应商月度明细'!$C$5:$C$155,$C75,'供应商月度明细'!$E$5:$E$155,"2026-05"))</f>
        <v>0.5026178010471204</v>
      </c>
      <c r="H75" s="32" t="n">
        <f>IF(SUMIFS('供应商月度明细'!$F$5:$F$155,'供应商月度明细'!$A$5:$A$155,$A75,'供应商月度明细'!$C$5:$C$155,$C75,'供应商月度明细'!$E$5:$E$155,"2026-06")=0,"",SUMIFS('供应商月度明细'!$H$5:$H$155,'供应商月度明细'!$A$5:$A$155,$A75,'供应商月度明细'!$C$5:$C$155,$C75,'供应商月度明细'!$E$5:$E$155,"2026-06")/SUMIFS('供应商月度明细'!$F$5:$F$155,'供应商月度明细'!$A$5:$A$155,$A75,'供应商月度明细'!$C$5:$C$155,$C75,'供应商月度明细'!$E$5:$E$155,"2026-06"))</f>
        <v>0.33793103448275863</v>
      </c>
      <c r="I75" s="32" t="n">
        <f>IF(COUNT(F75:H75)=0,"",AVERAGE(F75:H75))</f>
        <v>0.6135162785099597</v>
      </c>
      <c r="J75" s="32" t="n">
        <f>IF(K75=0,"",L75/K75)</f>
        <v>0.49066666666666664</v>
      </c>
      <c r="K75" s="33" t="n">
        <f>SUMIFS('供应商月度明细'!$F$5:$F$155,'供应商月度明细'!$A$5:$A$155,$A75,'供应商月度明细'!$C$5:$C$155,$C75)</f>
        <v>375</v>
      </c>
      <c r="L75" s="33" t="n">
        <f>SUMIFS('供应商月度明细'!$H$5:$H$155,'供应商月度明细'!$A$5:$A$155,$A75,'供应商月度明细'!$C$5:$C$155,$C75)</f>
        <v>184</v>
      </c>
    </row>
    <row r="76">
      <c r="A76" s="19" t="str">
        <v>波兰区</v>
      </c>
      <c r="B76" s="19" t="str">
        <v>Work-up sp. z o.o. sp. k.</v>
      </c>
      <c r="C76" s="19" t="str">
        <v>S000286</v>
      </c>
      <c r="D76" s="19" t="str">
        <v>工种明细</v>
      </c>
      <c r="E76" s="19" t="str">
        <v>操作员</v>
      </c>
      <c r="F76" s="27" t="n">
        <f>IF(SUMIFS('供应商月度明细'!$F$5:$F$155,'供应商月度明细'!$A$5:$A$155,$A76,'供应商月度明细'!$C$5:$C$155,$C76,'供应商月度明细'!$D$5:$D$155,$E76,'供应商月度明细'!$E$5:$E$155,"2026-04")=0,"",SUMIFS('供应商月度明细'!$H$5:$H$155,'供应商月度明细'!$A$5:$A$155,$A76,'供应商月度明细'!$C$5:$C$155,$C76,'供应商月度明细'!$D$5:$D$155,$E76,'供应商月度明细'!$E$5:$E$155,"2026-04")/SUMIFS('供应商月度明细'!$F$5:$F$155,'供应商月度明细'!$A$5:$A$155,$A76,'供应商月度明细'!$C$5:$C$155,$C76,'供应商月度明细'!$D$5:$D$155,$E76,'供应商月度明细'!$E$5:$E$155,"2026-04"))</f>
        <v>0.8333333333333334</v>
      </c>
      <c r="G76" s="27" t="n">
        <f>IF(SUMIFS('供应商月度明细'!$F$5:$F$155,'供应商月度明细'!$A$5:$A$155,$A76,'供应商月度明细'!$C$5:$C$155,$C76,'供应商月度明细'!$D$5:$D$155,$E76,'供应商月度明细'!$E$5:$E$155,"2026-05")=0,"",SUMIFS('供应商月度明细'!$H$5:$H$155,'供应商月度明细'!$A$5:$A$155,$A76,'供应商月度明细'!$C$5:$C$155,$C76,'供应商月度明细'!$D$5:$D$155,$E76,'供应商月度明细'!$E$5:$E$155,"2026-05")/SUMIFS('供应商月度明细'!$F$5:$F$155,'供应商月度明细'!$A$5:$A$155,$A76,'供应商月度明细'!$C$5:$C$155,$C76,'供应商月度明细'!$D$5:$D$155,$E76,'供应商月度明细'!$E$5:$E$155,"2026-05"))</f>
        <v>0.6842105263157895</v>
      </c>
      <c r="H76" s="27" t="n">
        <f>IF(SUMIFS('供应商月度明细'!$F$5:$F$155,'供应商月度明细'!$A$5:$A$155,$A76,'供应商月度明细'!$C$5:$C$155,$C76,'供应商月度明细'!$D$5:$D$155,$E76,'供应商月度明细'!$E$5:$E$155,"2026-06")=0,"",SUMIFS('供应商月度明细'!$H$5:$H$155,'供应商月度明细'!$A$5:$A$155,$A76,'供应商月度明细'!$C$5:$C$155,$C76,'供应商月度明细'!$D$5:$D$155,$E76,'供应商月度明细'!$E$5:$E$155,"2026-06")/SUMIFS('供应商月度明细'!$F$5:$F$155,'供应商月度明细'!$A$5:$A$155,$A76,'供应商月度明细'!$C$5:$C$155,$C76,'供应商月度明细'!$D$5:$D$155,$E76,'供应商月度明细'!$E$5:$E$155,"2026-06"))</f>
        <v>0.4888888888888889</v>
      </c>
      <c r="I76" s="27" t="n">
        <f>IF(COUNT(F76:H76)=0,"",AVERAGE(F76:H76))</f>
        <v>0.6688109161793373</v>
      </c>
      <c r="J76" s="27" t="n">
        <f>IF(K76=0,"",L76/K76)</f>
        <v>0.6401273885350318</v>
      </c>
      <c r="K76" s="23" t="n">
        <f>SUMIFS('供应商月度明细'!$F$5:$F$155,'供应商月度明细'!$A$5:$A$155,$A76,'供应商月度明细'!$C$5:$C$155,$C76,'供应商月度明细'!$D$5:$D$155,$E76)</f>
        <v>314</v>
      </c>
      <c r="L76" s="23" t="n">
        <f>SUMIFS('供应商月度明细'!$H$5:$H$155,'供应商月度明细'!$A$5:$A$155,$A76,'供应商月度明细'!$C$5:$C$155,$C76,'供应商月度明细'!$D$5:$D$155,$E76)</f>
        <v>201</v>
      </c>
    </row>
    <row r="77">
      <c r="A77" s="31" t="str">
        <v>波兰区</v>
      </c>
      <c r="B77" s="31" t="str">
        <v>Work-up sp. z o.o. sp. k.</v>
      </c>
      <c r="C77" s="31" t="str">
        <v>S000286</v>
      </c>
      <c r="D77" s="31" t="str">
        <v>供应商汇总</v>
      </c>
      <c r="E77" s="31" t="str">
        <v>全部工种</v>
      </c>
      <c r="F77" s="32" t="n">
        <f>IF(SUMIFS('供应商月度明细'!$F$5:$F$155,'供应商月度明细'!$A$5:$A$155,$A77,'供应商月度明细'!$C$5:$C$155,$C77,'供应商月度明细'!$E$5:$E$155,"2026-04")=0,"",SUMIFS('供应商月度明细'!$H$5:$H$155,'供应商月度明细'!$A$5:$A$155,$A77,'供应商月度明细'!$C$5:$C$155,$C77,'供应商月度明细'!$E$5:$E$155,"2026-04")/SUMIFS('供应商月度明细'!$F$5:$F$155,'供应商月度明细'!$A$5:$A$155,$A77,'供应商月度明细'!$C$5:$C$155,$C77,'供应商月度明细'!$E$5:$E$155,"2026-04"))</f>
        <v>0.8333333333333334</v>
      </c>
      <c r="G77" s="32" t="n">
        <f>IF(SUMIFS('供应商月度明细'!$F$5:$F$155,'供应商月度明细'!$A$5:$A$155,$A77,'供应商月度明细'!$C$5:$C$155,$C77,'供应商月度明细'!$E$5:$E$155,"2026-05")=0,"",SUMIFS('供应商月度明细'!$H$5:$H$155,'供应商月度明细'!$A$5:$A$155,$A77,'供应商月度明细'!$C$5:$C$155,$C77,'供应商月度明细'!$E$5:$E$155,"2026-05")/SUMIFS('供应商月度明细'!$F$5:$F$155,'供应商月度明细'!$A$5:$A$155,$A77,'供应商月度明细'!$C$5:$C$155,$C77,'供应商月度明细'!$E$5:$E$155,"2026-05"))</f>
        <v>0.6842105263157895</v>
      </c>
      <c r="H77" s="32" t="n">
        <f>IF(SUMIFS('供应商月度明细'!$F$5:$F$155,'供应商月度明细'!$A$5:$A$155,$A77,'供应商月度明细'!$C$5:$C$155,$C77,'供应商月度明细'!$E$5:$E$155,"2026-06")=0,"",SUMIFS('供应商月度明细'!$H$5:$H$155,'供应商月度明细'!$A$5:$A$155,$A77,'供应商月度明细'!$C$5:$C$155,$C77,'供应商月度明细'!$E$5:$E$155,"2026-06")/SUMIFS('供应商月度明细'!$F$5:$F$155,'供应商月度明细'!$A$5:$A$155,$A77,'供应商月度明细'!$C$5:$C$155,$C77,'供应商月度明细'!$E$5:$E$155,"2026-06"))</f>
        <v>0.4888888888888889</v>
      </c>
      <c r="I77" s="32" t="n">
        <f>IF(COUNT(F77:H77)=0,"",AVERAGE(F77:H77))</f>
        <v>0.6688109161793373</v>
      </c>
      <c r="J77" s="32" t="n">
        <f>IF(K77=0,"",L77/K77)</f>
        <v>0.6401273885350318</v>
      </c>
      <c r="K77" s="33" t="n">
        <f>SUMIFS('供应商月度明细'!$F$5:$F$155,'供应商月度明细'!$A$5:$A$155,$A77,'供应商月度明细'!$C$5:$C$155,$C77)</f>
        <v>314</v>
      </c>
      <c r="L77" s="33" t="n">
        <f>SUMIFS('供应商月度明细'!$H$5:$H$155,'供应商月度明细'!$A$5:$A$155,$A77,'供应商月度明细'!$C$5:$C$155,$C77)</f>
        <v>201</v>
      </c>
    </row>
    <row r="78">
      <c r="A78" s="19" t="str">
        <v>波兰区</v>
      </c>
      <c r="B78" s="19" t="str">
        <v>ATLAS WORK SPÓŁKA Z OGRANICZONĄ ODPOWIEDZIALNOŚCIĄ</v>
      </c>
      <c r="C78" s="19" t="str">
        <v>S000201</v>
      </c>
      <c r="D78" s="19" t="str">
        <v>工种明细</v>
      </c>
      <c r="E78" s="19" t="str">
        <v>操作员</v>
      </c>
      <c r="F78" s="27" t="n">
        <f>IF(SUMIFS('供应商月度明细'!$F$5:$F$155,'供应商月度明细'!$A$5:$A$155,$A78,'供应商月度明细'!$C$5:$C$155,$C78,'供应商月度明细'!$D$5:$D$155,$E78,'供应商月度明细'!$E$5:$E$155,"2026-04")=0,"",SUMIFS('供应商月度明细'!$H$5:$H$155,'供应商月度明细'!$A$5:$A$155,$A78,'供应商月度明细'!$C$5:$C$155,$C78,'供应商月度明细'!$D$5:$D$155,$E78,'供应商月度明细'!$E$5:$E$155,"2026-04")/SUMIFS('供应商月度明细'!$F$5:$F$155,'供应商月度明细'!$A$5:$A$155,$A78,'供应商月度明细'!$C$5:$C$155,$C78,'供应商月度明细'!$D$5:$D$155,$E78,'供应商月度明细'!$E$5:$E$155,"2026-04"))</f>
        <v>0.9183673469387755</v>
      </c>
      <c r="G78" s="27" t="n">
        <f>IF(SUMIFS('供应商月度明细'!$F$5:$F$155,'供应商月度明细'!$A$5:$A$155,$A78,'供应商月度明细'!$C$5:$C$155,$C78,'供应商月度明细'!$D$5:$D$155,$E78,'供应商月度明细'!$E$5:$E$155,"2026-05")=0,"",SUMIFS('供应商月度明细'!$H$5:$H$155,'供应商月度明细'!$A$5:$A$155,$A78,'供应商月度明细'!$C$5:$C$155,$C78,'供应商月度明细'!$D$5:$D$155,$E78,'供应商月度明细'!$E$5:$E$155,"2026-05")/SUMIFS('供应商月度明细'!$F$5:$F$155,'供应商月度明细'!$A$5:$A$155,$A78,'供应商月度明细'!$C$5:$C$155,$C78,'供应商月度明细'!$D$5:$D$155,$E78,'供应商月度明细'!$E$5:$E$155,"2026-05"))</f>
        <v>0.6774193548387096</v>
      </c>
      <c r="H78" s="27" t="n">
        <f>IF(SUMIFS('供应商月度明细'!$F$5:$F$155,'供应商月度明细'!$A$5:$A$155,$A78,'供应商月度明细'!$C$5:$C$155,$C78,'供应商月度明细'!$D$5:$D$155,$E78,'供应商月度明细'!$E$5:$E$155,"2026-06")=0,"",SUMIFS('供应商月度明细'!$H$5:$H$155,'供应商月度明细'!$A$5:$A$155,$A78,'供应商月度明细'!$C$5:$C$155,$C78,'供应商月度明细'!$D$5:$D$155,$E78,'供应商月度明细'!$E$5:$E$155,"2026-06")/SUMIFS('供应商月度明细'!$F$5:$F$155,'供应商月度明细'!$A$5:$A$155,$A78,'供应商月度明细'!$C$5:$C$155,$C78,'供应商月度明细'!$D$5:$D$155,$E78,'供应商月度明细'!$E$5:$E$155,"2026-06"))</f>
        <v>0.5420560747663551</v>
      </c>
      <c r="I78" s="27" t="n">
        <f>IF(COUNT(F78:H78)=0,"",AVERAGE(F78:H78))</f>
        <v>0.7126142588479468</v>
      </c>
      <c r="J78" s="27" t="n">
        <f>IF(K78=0,"",L78/K78)</f>
        <v>0.6666666666666666</v>
      </c>
      <c r="K78" s="23" t="n">
        <f>SUMIFS('供应商月度明细'!$F$5:$F$155,'供应商月度明细'!$A$5:$A$155,$A78,'供应商月度明细'!$C$5:$C$155,$C78,'供应商月度明细'!$D$5:$D$155,$E78)</f>
        <v>249</v>
      </c>
      <c r="L78" s="23" t="n">
        <f>SUMIFS('供应商月度明细'!$H$5:$H$155,'供应商月度明细'!$A$5:$A$155,$A78,'供应商月度明细'!$C$5:$C$155,$C78,'供应商月度明细'!$D$5:$D$155,$E78)</f>
        <v>166</v>
      </c>
    </row>
    <row r="79">
      <c r="A79" s="31" t="str">
        <v>波兰区</v>
      </c>
      <c r="B79" s="31" t="str">
        <v>ATLAS WORK SPÓŁKA Z OGRANICZONĄ ODPOWIEDZIALNOŚCIĄ</v>
      </c>
      <c r="C79" s="31" t="str">
        <v>S000201</v>
      </c>
      <c r="D79" s="31" t="str">
        <v>供应商汇总</v>
      </c>
      <c r="E79" s="31" t="str">
        <v>全部工种</v>
      </c>
      <c r="F79" s="32" t="n">
        <f>IF(SUMIFS('供应商月度明细'!$F$5:$F$155,'供应商月度明细'!$A$5:$A$155,$A79,'供应商月度明细'!$C$5:$C$155,$C79,'供应商月度明细'!$E$5:$E$155,"2026-04")=0,"",SUMIFS('供应商月度明细'!$H$5:$H$155,'供应商月度明细'!$A$5:$A$155,$A79,'供应商月度明细'!$C$5:$C$155,$C79,'供应商月度明细'!$E$5:$E$155,"2026-04")/SUMIFS('供应商月度明细'!$F$5:$F$155,'供应商月度明细'!$A$5:$A$155,$A79,'供应商月度明细'!$C$5:$C$155,$C79,'供应商月度明细'!$E$5:$E$155,"2026-04"))</f>
        <v>0.9183673469387755</v>
      </c>
      <c r="G79" s="32" t="n">
        <f>IF(SUMIFS('供应商月度明细'!$F$5:$F$155,'供应商月度明细'!$A$5:$A$155,$A79,'供应商月度明细'!$C$5:$C$155,$C79,'供应商月度明细'!$E$5:$E$155,"2026-05")=0,"",SUMIFS('供应商月度明细'!$H$5:$H$155,'供应商月度明细'!$A$5:$A$155,$A79,'供应商月度明细'!$C$5:$C$155,$C79,'供应商月度明细'!$E$5:$E$155,"2026-05")/SUMIFS('供应商月度明细'!$F$5:$F$155,'供应商月度明细'!$A$5:$A$155,$A79,'供应商月度明细'!$C$5:$C$155,$C79,'供应商月度明细'!$E$5:$E$155,"2026-05"))</f>
        <v>0.6774193548387096</v>
      </c>
      <c r="H79" s="32" t="n">
        <f>IF(SUMIFS('供应商月度明细'!$F$5:$F$155,'供应商月度明细'!$A$5:$A$155,$A79,'供应商月度明细'!$C$5:$C$155,$C79,'供应商月度明细'!$E$5:$E$155,"2026-06")=0,"",SUMIFS('供应商月度明细'!$H$5:$H$155,'供应商月度明细'!$A$5:$A$155,$A79,'供应商月度明细'!$C$5:$C$155,$C79,'供应商月度明细'!$E$5:$E$155,"2026-06")/SUMIFS('供应商月度明细'!$F$5:$F$155,'供应商月度明细'!$A$5:$A$155,$A79,'供应商月度明细'!$C$5:$C$155,$C79,'供应商月度明细'!$E$5:$E$155,"2026-06"))</f>
        <v>0.5420560747663551</v>
      </c>
      <c r="I79" s="32" t="n">
        <f>IF(COUNT(F79:H79)=0,"",AVERAGE(F79:H79))</f>
        <v>0.7126142588479468</v>
      </c>
      <c r="J79" s="32" t="n">
        <f>IF(K79=0,"",L79/K79)</f>
        <v>0.6666666666666666</v>
      </c>
      <c r="K79" s="33" t="n">
        <f>SUMIFS('供应商月度明细'!$F$5:$F$155,'供应商月度明细'!$A$5:$A$155,$A79,'供应商月度明细'!$C$5:$C$155,$C79)</f>
        <v>249</v>
      </c>
      <c r="L79" s="33" t="n">
        <f>SUMIFS('供应商月度明细'!$H$5:$H$155,'供应商月度明细'!$A$5:$A$155,$A79,'供应商月度明细'!$C$5:$C$155,$C79)</f>
        <v>166</v>
      </c>
    </row>
    <row r="80">
      <c r="A80" s="19" t="str">
        <v>波兰区</v>
      </c>
      <c r="B80" s="19" t="str">
        <v>Niden Service Sp. z o.o.</v>
      </c>
      <c r="C80" s="19" t="str">
        <v>S000207</v>
      </c>
      <c r="D80" s="19" t="str">
        <v>工种明细</v>
      </c>
      <c r="E80" s="19" t="str">
        <v>操作员</v>
      </c>
      <c r="F80" s="27" t="n">
        <f>IF(SUMIFS('供应商月度明细'!$F$5:$F$155,'供应商月度明细'!$A$5:$A$155,$A80,'供应商月度明细'!$C$5:$C$155,$C80,'供应商月度明细'!$D$5:$D$155,$E80,'供应商月度明细'!$E$5:$E$155,"2026-04")=0,"",SUMIFS('供应商月度明细'!$H$5:$H$155,'供应商月度明细'!$A$5:$A$155,$A80,'供应商月度明细'!$C$5:$C$155,$C80,'供应商月度明细'!$D$5:$D$155,$E80,'供应商月度明细'!$E$5:$E$155,"2026-04")/SUMIFS('供应商月度明细'!$F$5:$F$155,'供应商月度明细'!$A$5:$A$155,$A80,'供应商月度明细'!$C$5:$C$155,$C80,'供应商月度明细'!$D$5:$D$155,$E80,'供应商月度明细'!$E$5:$E$155,"2026-04"))</f>
        <v>0.8833333333333333</v>
      </c>
      <c r="G80" s="27" t="n">
        <f>IF(SUMIFS('供应商月度明细'!$F$5:$F$155,'供应商月度明细'!$A$5:$A$155,$A80,'供应商月度明细'!$C$5:$C$155,$C80,'供应商月度明细'!$D$5:$D$155,$E80,'供应商月度明细'!$E$5:$E$155,"2026-05")=0,"",SUMIFS('供应商月度明细'!$H$5:$H$155,'供应商月度明细'!$A$5:$A$155,$A80,'供应商月度明细'!$C$5:$C$155,$C80,'供应商月度明细'!$D$5:$D$155,$E80,'供应商月度明细'!$E$5:$E$155,"2026-05")/SUMIFS('供应商月度明细'!$F$5:$F$155,'供应商月度明细'!$A$5:$A$155,$A80,'供应商月度明细'!$C$5:$C$155,$C80,'供应商月度明细'!$D$5:$D$155,$E80,'供应商月度明细'!$E$5:$E$155,"2026-05"))</f>
        <v>0.2542372881355932</v>
      </c>
      <c r="H80" s="27" t="n">
        <f>IF(SUMIFS('供应商月度明细'!$F$5:$F$155,'供应商月度明细'!$A$5:$A$155,$A80,'供应商月度明细'!$C$5:$C$155,$C80,'供应商月度明细'!$D$5:$D$155,$E80,'供应商月度明细'!$E$5:$E$155,"2026-06")=0,"",SUMIFS('供应商月度明细'!$H$5:$H$155,'供应商月度明细'!$A$5:$A$155,$A80,'供应商月度明细'!$C$5:$C$155,$C80,'供应商月度明细'!$D$5:$D$155,$E80,'供应商月度明细'!$E$5:$E$155,"2026-06")/SUMIFS('供应商月度明细'!$F$5:$F$155,'供应商月度明细'!$A$5:$A$155,$A80,'供应商月度明细'!$C$5:$C$155,$C80,'供应商月度明细'!$D$5:$D$155,$E80,'供应商月度明细'!$E$5:$E$155,"2026-06"))</f>
        <v>0.4523809523809524</v>
      </c>
      <c r="I80" s="27" t="n">
        <f>IF(COUNT(F80:H80)=0,"",AVERAGE(F80:H80))</f>
        <v>0.5299838579499596</v>
      </c>
      <c r="J80" s="27" t="n">
        <f>IF(K80=0,"",L80/K80)</f>
        <v>0.5403726708074534</v>
      </c>
      <c r="K80" s="23" t="n">
        <f>SUMIFS('供应商月度明细'!$F$5:$F$155,'供应商月度明细'!$A$5:$A$155,$A80,'供应商月度明细'!$C$5:$C$155,$C80,'供应商月度明细'!$D$5:$D$155,$E80)</f>
        <v>161</v>
      </c>
      <c r="L80" s="23" t="n">
        <f>SUMIFS('供应商月度明细'!$H$5:$H$155,'供应商月度明细'!$A$5:$A$155,$A80,'供应商月度明细'!$C$5:$C$155,$C80,'供应商月度明细'!$D$5:$D$155,$E80)</f>
        <v>87</v>
      </c>
    </row>
    <row r="81">
      <c r="A81" s="31" t="str">
        <v>波兰区</v>
      </c>
      <c r="B81" s="31" t="str">
        <v>Niden Service Sp. z o.o.</v>
      </c>
      <c r="C81" s="31" t="str">
        <v>S000207</v>
      </c>
      <c r="D81" s="31" t="str">
        <v>供应商汇总</v>
      </c>
      <c r="E81" s="31" t="str">
        <v>全部工种</v>
      </c>
      <c r="F81" s="32" t="n">
        <f>IF(SUMIFS('供应商月度明细'!$F$5:$F$155,'供应商月度明细'!$A$5:$A$155,$A81,'供应商月度明细'!$C$5:$C$155,$C81,'供应商月度明细'!$E$5:$E$155,"2026-04")=0,"",SUMIFS('供应商月度明细'!$H$5:$H$155,'供应商月度明细'!$A$5:$A$155,$A81,'供应商月度明细'!$C$5:$C$155,$C81,'供应商月度明细'!$E$5:$E$155,"2026-04")/SUMIFS('供应商月度明细'!$F$5:$F$155,'供应商月度明细'!$A$5:$A$155,$A81,'供应商月度明细'!$C$5:$C$155,$C81,'供应商月度明细'!$E$5:$E$155,"2026-04"))</f>
        <v>0.8833333333333333</v>
      </c>
      <c r="G81" s="32" t="n">
        <f>IF(SUMIFS('供应商月度明细'!$F$5:$F$155,'供应商月度明细'!$A$5:$A$155,$A81,'供应商月度明细'!$C$5:$C$155,$C81,'供应商月度明细'!$E$5:$E$155,"2026-05")=0,"",SUMIFS('供应商月度明细'!$H$5:$H$155,'供应商月度明细'!$A$5:$A$155,$A81,'供应商月度明细'!$C$5:$C$155,$C81,'供应商月度明细'!$E$5:$E$155,"2026-05")/SUMIFS('供应商月度明细'!$F$5:$F$155,'供应商月度明细'!$A$5:$A$155,$A81,'供应商月度明细'!$C$5:$C$155,$C81,'供应商月度明细'!$E$5:$E$155,"2026-05"))</f>
        <v>0.2542372881355932</v>
      </c>
      <c r="H81" s="32" t="n">
        <f>IF(SUMIFS('供应商月度明细'!$F$5:$F$155,'供应商月度明细'!$A$5:$A$155,$A81,'供应商月度明细'!$C$5:$C$155,$C81,'供应商月度明细'!$E$5:$E$155,"2026-06")=0,"",SUMIFS('供应商月度明细'!$H$5:$H$155,'供应商月度明细'!$A$5:$A$155,$A81,'供应商月度明细'!$C$5:$C$155,$C81,'供应商月度明细'!$E$5:$E$155,"2026-06")/SUMIFS('供应商月度明细'!$F$5:$F$155,'供应商月度明细'!$A$5:$A$155,$A81,'供应商月度明细'!$C$5:$C$155,$C81,'供应商月度明细'!$E$5:$E$155,"2026-06"))</f>
        <v>0.4523809523809524</v>
      </c>
      <c r="I81" s="32" t="n">
        <f>IF(COUNT(F81:H81)=0,"",AVERAGE(F81:H81))</f>
        <v>0.5299838579499596</v>
      </c>
      <c r="J81" s="32" t="n">
        <f>IF(K81=0,"",L81/K81)</f>
        <v>0.5403726708074534</v>
      </c>
      <c r="K81" s="33" t="n">
        <f>SUMIFS('供应商月度明细'!$F$5:$F$155,'供应商月度明细'!$A$5:$A$155,$A81,'供应商月度明细'!$C$5:$C$155,$C81)</f>
        <v>161</v>
      </c>
      <c r="L81" s="33" t="n">
        <f>SUMIFS('供应商月度明细'!$H$5:$H$155,'供应商月度明细'!$A$5:$A$155,$A81,'供应商月度明细'!$C$5:$C$155,$C81)</f>
        <v>87</v>
      </c>
    </row>
    <row r="82">
      <c r="A82" s="19" t="str">
        <v>波兰区</v>
      </c>
      <c r="B82" s="19" t="str">
        <v>Dreman Sp. z o.o.</v>
      </c>
      <c r="C82" s="19" t="str">
        <v>S000212</v>
      </c>
      <c r="D82" s="19" t="str">
        <v>工种明细</v>
      </c>
      <c r="E82" s="19" t="str">
        <v>操作员</v>
      </c>
      <c r="F82" s="27" t="n">
        <f>IF(SUMIFS('供应商月度明细'!$F$5:$F$155,'供应商月度明细'!$A$5:$A$155,$A82,'供应商月度明细'!$C$5:$C$155,$C82,'供应商月度明细'!$D$5:$D$155,$E82,'供应商月度明细'!$E$5:$E$155,"2026-04")=0,"",SUMIFS('供应商月度明细'!$H$5:$H$155,'供应商月度明细'!$A$5:$A$155,$A82,'供应商月度明细'!$C$5:$C$155,$C82,'供应商月度明细'!$D$5:$D$155,$E82,'供应商月度明细'!$E$5:$E$155,"2026-04")/SUMIFS('供应商月度明细'!$F$5:$F$155,'供应商月度明细'!$A$5:$A$155,$A82,'供应商月度明细'!$C$5:$C$155,$C82,'供应商月度明细'!$D$5:$D$155,$E82,'供应商月度明细'!$E$5:$E$155,"2026-04"))</f>
        <v>0.9069767441860465</v>
      </c>
      <c r="G82" s="27" t="n">
        <f>IF(SUMIFS('供应商月度明细'!$F$5:$F$155,'供应商月度明细'!$A$5:$A$155,$A82,'供应商月度明细'!$C$5:$C$155,$C82,'供应商月度明细'!$D$5:$D$155,$E82,'供应商月度明细'!$E$5:$E$155,"2026-05")=0,"",SUMIFS('供应商月度明细'!$H$5:$H$155,'供应商月度明细'!$A$5:$A$155,$A82,'供应商月度明细'!$C$5:$C$155,$C82,'供应商月度明细'!$D$5:$D$155,$E82,'供应商月度明细'!$E$5:$E$155,"2026-05")/SUMIFS('供应商月度明细'!$F$5:$F$155,'供应商月度明细'!$A$5:$A$155,$A82,'供应商月度明细'!$C$5:$C$155,$C82,'供应商月度明细'!$D$5:$D$155,$E82,'供应商月度明细'!$E$5:$E$155,"2026-05"))</f>
        <v>0.7894736842105263</v>
      </c>
      <c r="H82" s="27" t="n">
        <f>IF(SUMIFS('供应商月度明细'!$F$5:$F$155,'供应商月度明细'!$A$5:$A$155,$A82,'供应商月度明细'!$C$5:$C$155,$C82,'供应商月度明细'!$D$5:$D$155,$E82,'供应商月度明细'!$E$5:$E$155,"2026-06")=0,"",SUMIFS('供应商月度明细'!$H$5:$H$155,'供应商月度明细'!$A$5:$A$155,$A82,'供应商月度明细'!$C$5:$C$155,$C82,'供应商月度明细'!$D$5:$D$155,$E82,'供应商月度明细'!$E$5:$E$155,"2026-06")/SUMIFS('供应商月度明细'!$F$5:$F$155,'供应商月度明细'!$A$5:$A$155,$A82,'供应商月度明细'!$C$5:$C$155,$C82,'供应商月度明细'!$D$5:$D$155,$E82,'供应商月度明细'!$E$5:$E$155,"2026-06"))</f>
        <v>0.36363636363636365</v>
      </c>
      <c r="I82" s="27" t="n">
        <f>IF(COUNT(F82:H82)=0,"",AVERAGE(F82:H82))</f>
        <v>0.6866955973443122</v>
      </c>
      <c r="J82" s="27" t="n">
        <f>IF(K82=0,"",L82/K82)</f>
        <v>0.68</v>
      </c>
      <c r="K82" s="23" t="n">
        <f>SUMIFS('供应商月度明细'!$F$5:$F$155,'供应商月度明细'!$A$5:$A$155,$A82,'供应商月度明细'!$C$5:$C$155,$C82,'供应商月度明细'!$D$5:$D$155,$E82)</f>
        <v>125</v>
      </c>
      <c r="L82" s="23" t="n">
        <f>SUMIFS('供应商月度明细'!$H$5:$H$155,'供应商月度明细'!$A$5:$A$155,$A82,'供应商月度明细'!$C$5:$C$155,$C82,'供应商月度明细'!$D$5:$D$155,$E82)</f>
        <v>85</v>
      </c>
    </row>
    <row r="83">
      <c r="A83" s="31" t="str">
        <v>波兰区</v>
      </c>
      <c r="B83" s="31" t="str">
        <v>Dreman Sp. z o.o.</v>
      </c>
      <c r="C83" s="31" t="str">
        <v>S000212</v>
      </c>
      <c r="D83" s="31" t="str">
        <v>供应商汇总</v>
      </c>
      <c r="E83" s="31" t="str">
        <v>全部工种</v>
      </c>
      <c r="F83" s="32" t="n">
        <f>IF(SUMIFS('供应商月度明细'!$F$5:$F$155,'供应商月度明细'!$A$5:$A$155,$A83,'供应商月度明细'!$C$5:$C$155,$C83,'供应商月度明细'!$E$5:$E$155,"2026-04")=0,"",SUMIFS('供应商月度明细'!$H$5:$H$155,'供应商月度明细'!$A$5:$A$155,$A83,'供应商月度明细'!$C$5:$C$155,$C83,'供应商月度明细'!$E$5:$E$155,"2026-04")/SUMIFS('供应商月度明细'!$F$5:$F$155,'供应商月度明细'!$A$5:$A$155,$A83,'供应商月度明细'!$C$5:$C$155,$C83,'供应商月度明细'!$E$5:$E$155,"2026-04"))</f>
        <v>0.9069767441860465</v>
      </c>
      <c r="G83" s="32" t="n">
        <f>IF(SUMIFS('供应商月度明细'!$F$5:$F$155,'供应商月度明细'!$A$5:$A$155,$A83,'供应商月度明细'!$C$5:$C$155,$C83,'供应商月度明细'!$E$5:$E$155,"2026-05")=0,"",SUMIFS('供应商月度明细'!$H$5:$H$155,'供应商月度明细'!$A$5:$A$155,$A83,'供应商月度明细'!$C$5:$C$155,$C83,'供应商月度明细'!$E$5:$E$155,"2026-05")/SUMIFS('供应商月度明细'!$F$5:$F$155,'供应商月度明细'!$A$5:$A$155,$A83,'供应商月度明细'!$C$5:$C$155,$C83,'供应商月度明细'!$E$5:$E$155,"2026-05"))</f>
        <v>0.7894736842105263</v>
      </c>
      <c r="H83" s="32" t="n">
        <f>IF(SUMIFS('供应商月度明细'!$F$5:$F$155,'供应商月度明细'!$A$5:$A$155,$A83,'供应商月度明细'!$C$5:$C$155,$C83,'供应商月度明细'!$E$5:$E$155,"2026-06")=0,"",SUMIFS('供应商月度明细'!$H$5:$H$155,'供应商月度明细'!$A$5:$A$155,$A83,'供应商月度明细'!$C$5:$C$155,$C83,'供应商月度明细'!$E$5:$E$155,"2026-06")/SUMIFS('供应商月度明细'!$F$5:$F$155,'供应商月度明细'!$A$5:$A$155,$A83,'供应商月度明细'!$C$5:$C$155,$C83,'供应商月度明细'!$E$5:$E$155,"2026-06"))</f>
        <v>0.36363636363636365</v>
      </c>
      <c r="I83" s="32" t="n">
        <f>IF(COUNT(F83:H83)=0,"",AVERAGE(F83:H83))</f>
        <v>0.6866955973443122</v>
      </c>
      <c r="J83" s="32" t="n">
        <f>IF(K83=0,"",L83/K83)</f>
        <v>0.68</v>
      </c>
      <c r="K83" s="33" t="n">
        <f>SUMIFS('供应商月度明细'!$F$5:$F$155,'供应商月度明细'!$A$5:$A$155,$A83,'供应商月度明细'!$C$5:$C$155,$C83)</f>
        <v>125</v>
      </c>
      <c r="L83" s="33" t="n">
        <f>SUMIFS('供应商月度明细'!$H$5:$H$155,'供应商月度明细'!$A$5:$A$155,$A83,'供应商月度明细'!$C$5:$C$155,$C83)</f>
        <v>85</v>
      </c>
    </row>
    <row r="84">
      <c r="A84" s="19" t="str">
        <v>波兰区</v>
      </c>
      <c r="B84" s="19" t="str">
        <v>Zenith Zone Sp. z o.o.</v>
      </c>
      <c r="C84" s="19" t="str">
        <v>S000206</v>
      </c>
      <c r="D84" s="19" t="str">
        <v>工种明细</v>
      </c>
      <c r="E84" s="19" t="str">
        <v>操作员</v>
      </c>
      <c r="F84" s="27" t="n">
        <f>IF(SUMIFS('供应商月度明细'!$F$5:$F$155,'供应商月度明细'!$A$5:$A$155,$A84,'供应商月度明细'!$C$5:$C$155,$C84,'供应商月度明细'!$D$5:$D$155,$E84,'供应商月度明细'!$E$5:$E$155,"2026-04")=0,"",SUMIFS('供应商月度明细'!$H$5:$H$155,'供应商月度明细'!$A$5:$A$155,$A84,'供应商月度明细'!$C$5:$C$155,$C84,'供应商月度明细'!$D$5:$D$155,$E84,'供应商月度明细'!$E$5:$E$155,"2026-04")/SUMIFS('供应商月度明细'!$F$5:$F$155,'供应商月度明细'!$A$5:$A$155,$A84,'供应商月度明细'!$C$5:$C$155,$C84,'供应商月度明细'!$D$5:$D$155,$E84,'供应商月度明细'!$E$5:$E$155,"2026-04"))</f>
        <v>0.64</v>
      </c>
      <c r="G84" s="27" t="n">
        <f>IF(SUMIFS('供应商月度明细'!$F$5:$F$155,'供应商月度明细'!$A$5:$A$155,$A84,'供应商月度明细'!$C$5:$C$155,$C84,'供应商月度明细'!$D$5:$D$155,$E84,'供应商月度明细'!$E$5:$E$155,"2026-05")=0,"",SUMIFS('供应商月度明细'!$H$5:$H$155,'供应商月度明细'!$A$5:$A$155,$A84,'供应商月度明细'!$C$5:$C$155,$C84,'供应商月度明细'!$D$5:$D$155,$E84,'供应商月度明细'!$E$5:$E$155,"2026-05")/SUMIFS('供应商月度明细'!$F$5:$F$155,'供应商月度明细'!$A$5:$A$155,$A84,'供应商月度明细'!$C$5:$C$155,$C84,'供应商月度明细'!$D$5:$D$155,$E84,'供应商月度明细'!$E$5:$E$155,"2026-05"))</f>
        <v>0.39705882352941174</v>
      </c>
      <c r="H84" s="27" t="n">
        <f>IF(SUMIFS('供应商月度明细'!$F$5:$F$155,'供应商月度明细'!$A$5:$A$155,$A84,'供应商月度明细'!$C$5:$C$155,$C84,'供应商月度明细'!$D$5:$D$155,$E84,'供应商月度明细'!$E$5:$E$155,"2026-06")=0,"",SUMIFS('供应商月度明细'!$H$5:$H$155,'供应商月度明细'!$A$5:$A$155,$A84,'供应商月度明细'!$C$5:$C$155,$C84,'供应商月度明细'!$D$5:$D$155,$E84,'供应商月度明细'!$E$5:$E$155,"2026-06")/SUMIFS('供应商月度明细'!$F$5:$F$155,'供应商月度明细'!$A$5:$A$155,$A84,'供应商月度明细'!$C$5:$C$155,$C84,'供应商月度明细'!$D$5:$D$155,$E84,'供应商月度明细'!$E$5:$E$155,"2026-06"))</f>
        <v>0.25806451612903225</v>
      </c>
      <c r="I84" s="27" t="n">
        <f>IF(COUNT(F84:H84)=0,"",AVERAGE(F84:H84))</f>
        <v>0.431707779886148</v>
      </c>
      <c r="J84" s="27" t="n">
        <f>IF(K84=0,"",L84/K84)</f>
        <v>0.4112903225806452</v>
      </c>
      <c r="K84" s="23" t="n">
        <f>SUMIFS('供应商月度明细'!$F$5:$F$155,'供应商月度明细'!$A$5:$A$155,$A84,'供应商月度明细'!$C$5:$C$155,$C84,'供应商月度明细'!$D$5:$D$155,$E84)</f>
        <v>124</v>
      </c>
      <c r="L84" s="23" t="n">
        <f>SUMIFS('供应商月度明细'!$H$5:$H$155,'供应商月度明细'!$A$5:$A$155,$A84,'供应商月度明细'!$C$5:$C$155,$C84,'供应商月度明细'!$D$5:$D$155,$E84)</f>
        <v>51</v>
      </c>
    </row>
    <row r="85">
      <c r="A85" s="31" t="str">
        <v>波兰区</v>
      </c>
      <c r="B85" s="31" t="str">
        <v>Zenith Zone Sp. z o.o.</v>
      </c>
      <c r="C85" s="31" t="str">
        <v>S000206</v>
      </c>
      <c r="D85" s="31" t="str">
        <v>供应商汇总</v>
      </c>
      <c r="E85" s="31" t="str">
        <v>全部工种</v>
      </c>
      <c r="F85" s="32" t="n">
        <f>IF(SUMIFS('供应商月度明细'!$F$5:$F$155,'供应商月度明细'!$A$5:$A$155,$A85,'供应商月度明细'!$C$5:$C$155,$C85,'供应商月度明细'!$E$5:$E$155,"2026-04")=0,"",SUMIFS('供应商月度明细'!$H$5:$H$155,'供应商月度明细'!$A$5:$A$155,$A85,'供应商月度明细'!$C$5:$C$155,$C85,'供应商月度明细'!$E$5:$E$155,"2026-04")/SUMIFS('供应商月度明细'!$F$5:$F$155,'供应商月度明细'!$A$5:$A$155,$A85,'供应商月度明细'!$C$5:$C$155,$C85,'供应商月度明细'!$E$5:$E$155,"2026-04"))</f>
        <v>0.64</v>
      </c>
      <c r="G85" s="32" t="n">
        <f>IF(SUMIFS('供应商月度明细'!$F$5:$F$155,'供应商月度明细'!$A$5:$A$155,$A85,'供应商月度明细'!$C$5:$C$155,$C85,'供应商月度明细'!$E$5:$E$155,"2026-05")=0,"",SUMIFS('供应商月度明细'!$H$5:$H$155,'供应商月度明细'!$A$5:$A$155,$A85,'供应商月度明细'!$C$5:$C$155,$C85,'供应商月度明细'!$E$5:$E$155,"2026-05")/SUMIFS('供应商月度明细'!$F$5:$F$155,'供应商月度明细'!$A$5:$A$155,$A85,'供应商月度明细'!$C$5:$C$155,$C85,'供应商月度明细'!$E$5:$E$155,"2026-05"))</f>
        <v>0.39705882352941174</v>
      </c>
      <c r="H85" s="32" t="n">
        <f>IF(SUMIFS('供应商月度明细'!$F$5:$F$155,'供应商月度明细'!$A$5:$A$155,$A85,'供应商月度明细'!$C$5:$C$155,$C85,'供应商月度明细'!$E$5:$E$155,"2026-06")=0,"",SUMIFS('供应商月度明细'!$H$5:$H$155,'供应商月度明细'!$A$5:$A$155,$A85,'供应商月度明细'!$C$5:$C$155,$C85,'供应商月度明细'!$E$5:$E$155,"2026-06")/SUMIFS('供应商月度明细'!$F$5:$F$155,'供应商月度明细'!$A$5:$A$155,$A85,'供应商月度明细'!$C$5:$C$155,$C85,'供应商月度明细'!$E$5:$E$155,"2026-06"))</f>
        <v>0.25806451612903225</v>
      </c>
      <c r="I85" s="32" t="n">
        <f>IF(COUNT(F85:H85)=0,"",AVERAGE(F85:H85))</f>
        <v>0.431707779886148</v>
      </c>
      <c r="J85" s="32" t="n">
        <f>IF(K85=0,"",L85/K85)</f>
        <v>0.4112903225806452</v>
      </c>
      <c r="K85" s="33" t="n">
        <f>SUMIFS('供应商月度明细'!$F$5:$F$155,'供应商月度明细'!$A$5:$A$155,$A85,'供应商月度明细'!$C$5:$C$155,$C85)</f>
        <v>124</v>
      </c>
      <c r="L85" s="33" t="n">
        <f>SUMIFS('供应商月度明细'!$H$5:$H$155,'供应商月度明细'!$A$5:$A$155,$A85,'供应商月度明细'!$C$5:$C$155,$C85)</f>
        <v>51</v>
      </c>
    </row>
    <row r="86">
      <c r="A86" s="19" t="str">
        <v>波兰区</v>
      </c>
      <c r="B86" s="19" t="str">
        <v>Gremi 2024.07</v>
      </c>
      <c r="C86" s="19" t="str">
        <v>S000249</v>
      </c>
      <c r="D86" s="19" t="str">
        <v>工种明细</v>
      </c>
      <c r="E86" s="19" t="str">
        <v>操作员</v>
      </c>
      <c r="F86" s="27" t="n">
        <f>IF(SUMIFS('供应商月度明细'!$F$5:$F$155,'供应商月度明细'!$A$5:$A$155,$A86,'供应商月度明细'!$C$5:$C$155,$C86,'供应商月度明细'!$D$5:$D$155,$E86,'供应商月度明细'!$E$5:$E$155,"2026-04")=0,"",SUMIFS('供应商月度明细'!$H$5:$H$155,'供应商月度明细'!$A$5:$A$155,$A86,'供应商月度明细'!$C$5:$C$155,$C86,'供应商月度明细'!$D$5:$D$155,$E86,'供应商月度明细'!$E$5:$E$155,"2026-04")/SUMIFS('供应商月度明细'!$F$5:$F$155,'供应商月度明细'!$A$5:$A$155,$A86,'供应商月度明细'!$C$5:$C$155,$C86,'供应商月度明细'!$D$5:$D$155,$E86,'供应商月度明细'!$E$5:$E$155,"2026-04"))</f>
        <v>0.9230769230769231</v>
      </c>
      <c r="G86" s="27" t="n">
        <f>IF(SUMIFS('供应商月度明细'!$F$5:$F$155,'供应商月度明细'!$A$5:$A$155,$A86,'供应商月度明细'!$C$5:$C$155,$C86,'供应商月度明细'!$D$5:$D$155,$E86,'供应商月度明细'!$E$5:$E$155,"2026-05")=0,"",SUMIFS('供应商月度明细'!$H$5:$H$155,'供应商月度明细'!$A$5:$A$155,$A86,'供应商月度明细'!$C$5:$C$155,$C86,'供应商月度明细'!$D$5:$D$155,$E86,'供应商月度明细'!$E$5:$E$155,"2026-05")/SUMIFS('供应商月度明细'!$F$5:$F$155,'供应商月度明细'!$A$5:$A$155,$A86,'供应商月度明细'!$C$5:$C$155,$C86,'供应商月度明细'!$D$5:$D$155,$E86,'供应商月度明细'!$E$5:$E$155,"2026-05"))</f>
        <v>0.7906976744186046</v>
      </c>
      <c r="H86" s="27" t="n">
        <f>IF(SUMIFS('供应商月度明细'!$F$5:$F$155,'供应商月度明细'!$A$5:$A$155,$A86,'供应商月度明细'!$C$5:$C$155,$C86,'供应商月度明细'!$D$5:$D$155,$E86,'供应商月度明细'!$E$5:$E$155,"2026-06")=0,"",SUMIFS('供应商月度明细'!$H$5:$H$155,'供应商月度明细'!$A$5:$A$155,$A86,'供应商月度明细'!$C$5:$C$155,$C86,'供应商月度明细'!$D$5:$D$155,$E86,'供应商月度明细'!$E$5:$E$155,"2026-06")/SUMIFS('供应商月度明细'!$F$5:$F$155,'供应商月度明细'!$A$5:$A$155,$A86,'供应商月度明细'!$C$5:$C$155,$C86,'供应商月度明细'!$D$5:$D$155,$E86,'供应商月度明细'!$E$5:$E$155,"2026-06"))</f>
        <v>0.5094339622641509</v>
      </c>
      <c r="I86" s="27" t="n">
        <f>IF(COUNT(F86:H86)=0,"",AVERAGE(F86:H86))</f>
        <v>0.7410695199198929</v>
      </c>
      <c r="J86" s="27" t="n">
        <f>IF(K86=0,"",L86/K86)</f>
        <v>0.6967213114754098</v>
      </c>
      <c r="K86" s="23" t="n">
        <f>SUMIFS('供应商月度明细'!$F$5:$F$155,'供应商月度明细'!$A$5:$A$155,$A86,'供应商月度明细'!$C$5:$C$155,$C86,'供应商月度明细'!$D$5:$D$155,$E86)</f>
        <v>122</v>
      </c>
      <c r="L86" s="23" t="n">
        <f>SUMIFS('供应商月度明细'!$H$5:$H$155,'供应商月度明细'!$A$5:$A$155,$A86,'供应商月度明细'!$C$5:$C$155,$C86,'供应商月度明细'!$D$5:$D$155,$E86)</f>
        <v>85</v>
      </c>
    </row>
    <row r="87">
      <c r="A87" s="31" t="str">
        <v>波兰区</v>
      </c>
      <c r="B87" s="31" t="str">
        <v>Gremi 2024.07</v>
      </c>
      <c r="C87" s="31" t="str">
        <v>S000249</v>
      </c>
      <c r="D87" s="31" t="str">
        <v>供应商汇总</v>
      </c>
      <c r="E87" s="31" t="str">
        <v>全部工种</v>
      </c>
      <c r="F87" s="32" t="n">
        <f>IF(SUMIFS('供应商月度明细'!$F$5:$F$155,'供应商月度明细'!$A$5:$A$155,$A87,'供应商月度明细'!$C$5:$C$155,$C87,'供应商月度明细'!$E$5:$E$155,"2026-04")=0,"",SUMIFS('供应商月度明细'!$H$5:$H$155,'供应商月度明细'!$A$5:$A$155,$A87,'供应商月度明细'!$C$5:$C$155,$C87,'供应商月度明细'!$E$5:$E$155,"2026-04")/SUMIFS('供应商月度明细'!$F$5:$F$155,'供应商月度明细'!$A$5:$A$155,$A87,'供应商月度明细'!$C$5:$C$155,$C87,'供应商月度明细'!$E$5:$E$155,"2026-04"))</f>
        <v>0.9230769230769231</v>
      </c>
      <c r="G87" s="32" t="n">
        <f>IF(SUMIFS('供应商月度明细'!$F$5:$F$155,'供应商月度明细'!$A$5:$A$155,$A87,'供应商月度明细'!$C$5:$C$155,$C87,'供应商月度明细'!$E$5:$E$155,"2026-05")=0,"",SUMIFS('供应商月度明细'!$H$5:$H$155,'供应商月度明细'!$A$5:$A$155,$A87,'供应商月度明细'!$C$5:$C$155,$C87,'供应商月度明细'!$E$5:$E$155,"2026-05")/SUMIFS('供应商月度明细'!$F$5:$F$155,'供应商月度明细'!$A$5:$A$155,$A87,'供应商月度明细'!$C$5:$C$155,$C87,'供应商月度明细'!$E$5:$E$155,"2026-05"))</f>
        <v>0.7906976744186046</v>
      </c>
      <c r="H87" s="32" t="n">
        <f>IF(SUMIFS('供应商月度明细'!$F$5:$F$155,'供应商月度明细'!$A$5:$A$155,$A87,'供应商月度明细'!$C$5:$C$155,$C87,'供应商月度明细'!$E$5:$E$155,"2026-06")=0,"",SUMIFS('供应商月度明细'!$H$5:$H$155,'供应商月度明细'!$A$5:$A$155,$A87,'供应商月度明细'!$C$5:$C$155,$C87,'供应商月度明细'!$E$5:$E$155,"2026-06")/SUMIFS('供应商月度明细'!$F$5:$F$155,'供应商月度明细'!$A$5:$A$155,$A87,'供应商月度明细'!$C$5:$C$155,$C87,'供应商月度明细'!$E$5:$E$155,"2026-06"))</f>
        <v>0.5094339622641509</v>
      </c>
      <c r="I87" s="32" t="n">
        <f>IF(COUNT(F87:H87)=0,"",AVERAGE(F87:H87))</f>
        <v>0.7410695199198929</v>
      </c>
      <c r="J87" s="32" t="n">
        <f>IF(K87=0,"",L87/K87)</f>
        <v>0.6967213114754098</v>
      </c>
      <c r="K87" s="33" t="n">
        <f>SUMIFS('供应商月度明细'!$F$5:$F$155,'供应商月度明细'!$A$5:$A$155,$A87,'供应商月度明细'!$C$5:$C$155,$C87)</f>
        <v>122</v>
      </c>
      <c r="L87" s="33" t="n">
        <f>SUMIFS('供应商月度明细'!$H$5:$H$155,'供应商月度明细'!$A$5:$A$155,$A87,'供应商月度明细'!$C$5:$C$155,$C87)</f>
        <v>85</v>
      </c>
    </row>
    <row r="88">
      <c r="A88" s="19" t="str">
        <v>波兰区</v>
      </c>
      <c r="B88" s="19" t="str">
        <v>Gi Group sp. z o.o.</v>
      </c>
      <c r="C88" s="19" t="str">
        <v>S000196</v>
      </c>
      <c r="D88" s="19" t="str">
        <v>工种明细</v>
      </c>
      <c r="E88" s="19" t="str">
        <v>操作员</v>
      </c>
      <c r="F88" s="27" t="n">
        <f>IF(SUMIFS('供应商月度明细'!$F$5:$F$155,'供应商月度明细'!$A$5:$A$155,$A88,'供应商月度明细'!$C$5:$C$155,$C88,'供应商月度明细'!$D$5:$D$155,$E88,'供应商月度明细'!$E$5:$E$155,"2026-04")=0,"",SUMIFS('供应商月度明细'!$H$5:$H$155,'供应商月度明细'!$A$5:$A$155,$A88,'供应商月度明细'!$C$5:$C$155,$C88,'供应商月度明细'!$D$5:$D$155,$E88,'供应商月度明细'!$E$5:$E$155,"2026-04")/SUMIFS('供应商月度明细'!$F$5:$F$155,'供应商月度明细'!$A$5:$A$155,$A88,'供应商月度明细'!$C$5:$C$155,$C88,'供应商月度明细'!$D$5:$D$155,$E88,'供应商月度明细'!$E$5:$E$155,"2026-04"))</f>
        <v>1</v>
      </c>
      <c r="G88" s="27" t="n">
        <f>IF(SUMIFS('供应商月度明细'!$F$5:$F$155,'供应商月度明细'!$A$5:$A$155,$A88,'供应商月度明细'!$C$5:$C$155,$C88,'供应商月度明细'!$D$5:$D$155,$E88,'供应商月度明细'!$E$5:$E$155,"2026-05")=0,"",SUMIFS('供应商月度明细'!$H$5:$H$155,'供应商月度明细'!$A$5:$A$155,$A88,'供应商月度明细'!$C$5:$C$155,$C88,'供应商月度明细'!$D$5:$D$155,$E88,'供应商月度明细'!$E$5:$E$155,"2026-05")/SUMIFS('供应商月度明细'!$F$5:$F$155,'供应商月度明细'!$A$5:$A$155,$A88,'供应商月度明细'!$C$5:$C$155,$C88,'供应商月度明细'!$D$5:$D$155,$E88,'供应商月度明细'!$E$5:$E$155,"2026-05"))</f>
        <v>0.2926829268292683</v>
      </c>
      <c r="H88" s="27" t="n">
        <f>IF(SUMIFS('供应商月度明细'!$F$5:$F$155,'供应商月度明细'!$A$5:$A$155,$A88,'供应商月度明细'!$C$5:$C$155,$C88,'供应商月度明细'!$D$5:$D$155,$E88,'供应商月度明细'!$E$5:$E$155,"2026-06")=0,"",SUMIFS('供应商月度明细'!$H$5:$H$155,'供应商月度明细'!$A$5:$A$155,$A88,'供应商月度明细'!$C$5:$C$155,$C88,'供应商月度明细'!$D$5:$D$155,$E88,'供应商月度明细'!$E$5:$E$155,"2026-06")/SUMIFS('供应商月度明细'!$F$5:$F$155,'供应商月度明细'!$A$5:$A$155,$A88,'供应商月度明细'!$C$5:$C$155,$C88,'供应商月度明细'!$D$5:$D$155,$E88,'供应商月度明细'!$E$5:$E$155,"2026-06"))</f>
        <v>0.11904761904761904</v>
      </c>
      <c r="I88" s="27" t="n">
        <f>IF(COUNT(F88:H88)=0,"",AVERAGE(F88:H88))</f>
        <v>0.47057684862562915</v>
      </c>
      <c r="J88" s="27" t="n">
        <f>IF(K88=0,"",L88/K88)</f>
        <v>0.3465346534653465</v>
      </c>
      <c r="K88" s="23" t="n">
        <f>SUMIFS('供应商月度明细'!$F$5:$F$155,'供应商月度明细'!$A$5:$A$155,$A88,'供应商月度明细'!$C$5:$C$155,$C88,'供应商月度明细'!$D$5:$D$155,$E88)</f>
        <v>101</v>
      </c>
      <c r="L88" s="23" t="n">
        <f>SUMIFS('供应商月度明细'!$H$5:$H$155,'供应商月度明细'!$A$5:$A$155,$A88,'供应商月度明细'!$C$5:$C$155,$C88,'供应商月度明细'!$D$5:$D$155,$E88)</f>
        <v>35</v>
      </c>
    </row>
    <row r="89">
      <c r="A89" s="31" t="str">
        <v>波兰区</v>
      </c>
      <c r="B89" s="31" t="str">
        <v>Gi Group sp. z o.o.</v>
      </c>
      <c r="C89" s="31" t="str">
        <v>S000196</v>
      </c>
      <c r="D89" s="31" t="str">
        <v>供应商汇总</v>
      </c>
      <c r="E89" s="31" t="str">
        <v>全部工种</v>
      </c>
      <c r="F89" s="32" t="n">
        <f>IF(SUMIFS('供应商月度明细'!$F$5:$F$155,'供应商月度明细'!$A$5:$A$155,$A89,'供应商月度明细'!$C$5:$C$155,$C89,'供应商月度明细'!$E$5:$E$155,"2026-04")=0,"",SUMIFS('供应商月度明细'!$H$5:$H$155,'供应商月度明细'!$A$5:$A$155,$A89,'供应商月度明细'!$C$5:$C$155,$C89,'供应商月度明细'!$E$5:$E$155,"2026-04")/SUMIFS('供应商月度明细'!$F$5:$F$155,'供应商月度明细'!$A$5:$A$155,$A89,'供应商月度明细'!$C$5:$C$155,$C89,'供应商月度明细'!$E$5:$E$155,"2026-04"))</f>
        <v>1</v>
      </c>
      <c r="G89" s="32" t="n">
        <f>IF(SUMIFS('供应商月度明细'!$F$5:$F$155,'供应商月度明细'!$A$5:$A$155,$A89,'供应商月度明细'!$C$5:$C$155,$C89,'供应商月度明细'!$E$5:$E$155,"2026-05")=0,"",SUMIFS('供应商月度明细'!$H$5:$H$155,'供应商月度明细'!$A$5:$A$155,$A89,'供应商月度明细'!$C$5:$C$155,$C89,'供应商月度明细'!$E$5:$E$155,"2026-05")/SUMIFS('供应商月度明细'!$F$5:$F$155,'供应商月度明细'!$A$5:$A$155,$A89,'供应商月度明细'!$C$5:$C$155,$C89,'供应商月度明细'!$E$5:$E$155,"2026-05"))</f>
        <v>0.2926829268292683</v>
      </c>
      <c r="H89" s="32" t="n">
        <f>IF(SUMIFS('供应商月度明细'!$F$5:$F$155,'供应商月度明细'!$A$5:$A$155,$A89,'供应商月度明细'!$C$5:$C$155,$C89,'供应商月度明细'!$E$5:$E$155,"2026-06")=0,"",SUMIFS('供应商月度明细'!$H$5:$H$155,'供应商月度明细'!$A$5:$A$155,$A89,'供应商月度明细'!$C$5:$C$155,$C89,'供应商月度明细'!$E$5:$E$155,"2026-06")/SUMIFS('供应商月度明细'!$F$5:$F$155,'供应商月度明细'!$A$5:$A$155,$A89,'供应商月度明细'!$C$5:$C$155,$C89,'供应商月度明细'!$E$5:$E$155,"2026-06"))</f>
        <v>0.11904761904761904</v>
      </c>
      <c r="I89" s="32" t="n">
        <f>IF(COUNT(F89:H89)=0,"",AVERAGE(F89:H89))</f>
        <v>0.47057684862562915</v>
      </c>
      <c r="J89" s="32" t="n">
        <f>IF(K89=0,"",L89/K89)</f>
        <v>0.3465346534653465</v>
      </c>
      <c r="K89" s="33" t="n">
        <f>SUMIFS('供应商月度明细'!$F$5:$F$155,'供应商月度明细'!$A$5:$A$155,$A89,'供应商月度明细'!$C$5:$C$155,$C89)</f>
        <v>101</v>
      </c>
      <c r="L89" s="33" t="n">
        <f>SUMIFS('供应商月度明细'!$H$5:$H$155,'供应商月度明细'!$A$5:$A$155,$A89,'供应商月度明细'!$C$5:$C$155,$C89)</f>
        <v>35</v>
      </c>
    </row>
    <row r="90">
      <c r="A90" s="19" t="str">
        <v>波兰区</v>
      </c>
      <c r="B90" s="19" t="str">
        <v>Global Solution</v>
      </c>
      <c r="C90" s="19" t="str">
        <v>S000288</v>
      </c>
      <c r="D90" s="19" t="str">
        <v>工种明细</v>
      </c>
      <c r="E90" s="19" t="str">
        <v>操作员</v>
      </c>
      <c r="F90" s="27" t="n">
        <f>IF(SUMIFS('供应商月度明细'!$F$5:$F$155,'供应商月度明细'!$A$5:$A$155,$A90,'供应商月度明细'!$C$5:$C$155,$C90,'供应商月度明细'!$D$5:$D$155,$E90,'供应商月度明细'!$E$5:$E$155,"2026-04")=0,"",SUMIFS('供应商月度明细'!$H$5:$H$155,'供应商月度明细'!$A$5:$A$155,$A90,'供应商月度明细'!$C$5:$C$155,$C90,'供应商月度明细'!$D$5:$D$155,$E90,'供应商月度明细'!$E$5:$E$155,"2026-04")/SUMIFS('供应商月度明细'!$F$5:$F$155,'供应商月度明细'!$A$5:$A$155,$A90,'供应商月度明细'!$C$5:$C$155,$C90,'供应商月度明细'!$D$5:$D$155,$E90,'供应商月度明细'!$E$5:$E$155,"2026-04"))</f>
        <v>0.8148148148148148</v>
      </c>
      <c r="G90" s="27" t="n">
        <f>IF(SUMIFS('供应商月度明细'!$F$5:$F$155,'供应商月度明细'!$A$5:$A$155,$A90,'供应商月度明细'!$C$5:$C$155,$C90,'供应商月度明细'!$D$5:$D$155,$E90,'供应商月度明细'!$E$5:$E$155,"2026-05")=0,"",SUMIFS('供应商月度明细'!$H$5:$H$155,'供应商月度明细'!$A$5:$A$155,$A90,'供应商月度明细'!$C$5:$C$155,$C90,'供应商月度明细'!$D$5:$D$155,$E90,'供应商月度明细'!$E$5:$E$155,"2026-05")/SUMIFS('供应商月度明细'!$F$5:$F$155,'供应商月度明细'!$A$5:$A$155,$A90,'供应商月度明细'!$C$5:$C$155,$C90,'供应商月度明细'!$D$5:$D$155,$E90,'供应商月度明细'!$E$5:$E$155,"2026-05"))</f>
        <v>0.6428571428571429</v>
      </c>
      <c r="H90" s="27" t="n">
        <f>IF(SUMIFS('供应商月度明细'!$F$5:$F$155,'供应商月度明细'!$A$5:$A$155,$A90,'供应商月度明细'!$C$5:$C$155,$C90,'供应商月度明细'!$D$5:$D$155,$E90,'供应商月度明细'!$E$5:$E$155,"2026-06")=0,"",SUMIFS('供应商月度明细'!$H$5:$H$155,'供应商月度明细'!$A$5:$A$155,$A90,'供应商月度明细'!$C$5:$C$155,$C90,'供应商月度明细'!$D$5:$D$155,$E90,'供应商月度明细'!$E$5:$E$155,"2026-06")/SUMIFS('供应商月度明细'!$F$5:$F$155,'供应商月度明细'!$A$5:$A$155,$A90,'供应商月度明细'!$C$5:$C$155,$C90,'供应商月度明细'!$D$5:$D$155,$E90,'供应商月度明细'!$E$5:$E$155,"2026-06"))</f>
        <v>0.13953488372093023</v>
      </c>
      <c r="I90" s="27" t="n">
        <f>IF(COUNT(F90:H90)=0,"",AVERAGE(F90:H90))</f>
        <v>0.5324022804642959</v>
      </c>
      <c r="J90" s="27" t="n">
        <f>IF(K90=0,"",L90/K90)</f>
        <v>0.46938775510204084</v>
      </c>
      <c r="K90" s="23" t="n">
        <f>SUMIFS('供应商月度明细'!$F$5:$F$155,'供应商月度明细'!$A$5:$A$155,$A90,'供应商月度明细'!$C$5:$C$155,$C90,'供应商月度明细'!$D$5:$D$155,$E90)</f>
        <v>98</v>
      </c>
      <c r="L90" s="23" t="n">
        <f>SUMIFS('供应商月度明细'!$H$5:$H$155,'供应商月度明细'!$A$5:$A$155,$A90,'供应商月度明细'!$C$5:$C$155,$C90,'供应商月度明细'!$D$5:$D$155,$E90)</f>
        <v>46</v>
      </c>
    </row>
    <row r="91">
      <c r="A91" s="31" t="str">
        <v>波兰区</v>
      </c>
      <c r="B91" s="31" t="str">
        <v>Global Solution</v>
      </c>
      <c r="C91" s="31" t="str">
        <v>S000288</v>
      </c>
      <c r="D91" s="31" t="str">
        <v>供应商汇总</v>
      </c>
      <c r="E91" s="31" t="str">
        <v>全部工种</v>
      </c>
      <c r="F91" s="32" t="n">
        <f>IF(SUMIFS('供应商月度明细'!$F$5:$F$155,'供应商月度明细'!$A$5:$A$155,$A91,'供应商月度明细'!$C$5:$C$155,$C91,'供应商月度明细'!$E$5:$E$155,"2026-04")=0,"",SUMIFS('供应商月度明细'!$H$5:$H$155,'供应商月度明细'!$A$5:$A$155,$A91,'供应商月度明细'!$C$5:$C$155,$C91,'供应商月度明细'!$E$5:$E$155,"2026-04")/SUMIFS('供应商月度明细'!$F$5:$F$155,'供应商月度明细'!$A$5:$A$155,$A91,'供应商月度明细'!$C$5:$C$155,$C91,'供应商月度明细'!$E$5:$E$155,"2026-04"))</f>
        <v>0.8148148148148148</v>
      </c>
      <c r="G91" s="32" t="n">
        <f>IF(SUMIFS('供应商月度明细'!$F$5:$F$155,'供应商月度明细'!$A$5:$A$155,$A91,'供应商月度明细'!$C$5:$C$155,$C91,'供应商月度明细'!$E$5:$E$155,"2026-05")=0,"",SUMIFS('供应商月度明细'!$H$5:$H$155,'供应商月度明细'!$A$5:$A$155,$A91,'供应商月度明细'!$C$5:$C$155,$C91,'供应商月度明细'!$E$5:$E$155,"2026-05")/SUMIFS('供应商月度明细'!$F$5:$F$155,'供应商月度明细'!$A$5:$A$155,$A91,'供应商月度明细'!$C$5:$C$155,$C91,'供应商月度明细'!$E$5:$E$155,"2026-05"))</f>
        <v>0.6428571428571429</v>
      </c>
      <c r="H91" s="32" t="n">
        <f>IF(SUMIFS('供应商月度明细'!$F$5:$F$155,'供应商月度明细'!$A$5:$A$155,$A91,'供应商月度明细'!$C$5:$C$155,$C91,'供应商月度明细'!$E$5:$E$155,"2026-06")=0,"",SUMIFS('供应商月度明细'!$H$5:$H$155,'供应商月度明细'!$A$5:$A$155,$A91,'供应商月度明细'!$C$5:$C$155,$C91,'供应商月度明细'!$E$5:$E$155,"2026-06")/SUMIFS('供应商月度明细'!$F$5:$F$155,'供应商月度明细'!$A$5:$A$155,$A91,'供应商月度明细'!$C$5:$C$155,$C91,'供应商月度明细'!$E$5:$E$155,"2026-06"))</f>
        <v>0.13953488372093023</v>
      </c>
      <c r="I91" s="32" t="n">
        <f>IF(COUNT(F91:H91)=0,"",AVERAGE(F91:H91))</f>
        <v>0.5324022804642959</v>
      </c>
      <c r="J91" s="32" t="n">
        <f>IF(K91=0,"",L91/K91)</f>
        <v>0.46938775510204084</v>
      </c>
      <c r="K91" s="33" t="n">
        <f>SUMIFS('供应商月度明细'!$F$5:$F$155,'供应商月度明细'!$A$5:$A$155,$A91,'供应商月度明细'!$C$5:$C$155,$C91)</f>
        <v>98</v>
      </c>
      <c r="L91" s="33" t="n">
        <f>SUMIFS('供应商月度明细'!$H$5:$H$155,'供应商月度明细'!$A$5:$A$155,$A91,'供应商月度明细'!$C$5:$C$155,$C91)</f>
        <v>46</v>
      </c>
    </row>
    <row r="92">
      <c r="A92" s="19" t="str">
        <v>波兰区</v>
      </c>
      <c r="B92" s="19" t="str">
        <v>PWP NIAGARA HREBENIUKOV SPÓŁKA JAWNA</v>
      </c>
      <c r="C92" s="19" t="str">
        <v>S000323</v>
      </c>
      <c r="D92" s="19" t="str">
        <v>工种明细</v>
      </c>
      <c r="E92" s="19" t="str">
        <v>操作员</v>
      </c>
      <c r="F92" s="27" t="n">
        <f>IF(SUMIFS('供应商月度明细'!$F$5:$F$155,'供应商月度明细'!$A$5:$A$155,$A92,'供应商月度明细'!$C$5:$C$155,$C92,'供应商月度明细'!$D$5:$D$155,$E92,'供应商月度明细'!$E$5:$E$155,"2026-04")=0,"",SUMIFS('供应商月度明细'!$H$5:$H$155,'供应商月度明细'!$A$5:$A$155,$A92,'供应商月度明细'!$C$5:$C$155,$C92,'供应商月度明细'!$D$5:$D$155,$E92,'供应商月度明细'!$E$5:$E$155,"2026-04")/SUMIFS('供应商月度明细'!$F$5:$F$155,'供应商月度明细'!$A$5:$A$155,$A92,'供应商月度明细'!$C$5:$C$155,$C92,'供应商月度明细'!$D$5:$D$155,$E92,'供应商月度明细'!$E$5:$E$155,"2026-04"))</f>
        <v>0.8571428571428571</v>
      </c>
      <c r="G92" s="27" t="n">
        <f>IF(SUMIFS('供应商月度明细'!$F$5:$F$155,'供应商月度明细'!$A$5:$A$155,$A92,'供应商月度明细'!$C$5:$C$155,$C92,'供应商月度明细'!$D$5:$D$155,$E92,'供应商月度明细'!$E$5:$E$155,"2026-05")=0,"",SUMIFS('供应商月度明细'!$H$5:$H$155,'供应商月度明细'!$A$5:$A$155,$A92,'供应商月度明细'!$C$5:$C$155,$C92,'供应商月度明细'!$D$5:$D$155,$E92,'供应商月度明细'!$E$5:$E$155,"2026-05")/SUMIFS('供应商月度明细'!$F$5:$F$155,'供应商月度明细'!$A$5:$A$155,$A92,'供应商月度明细'!$C$5:$C$155,$C92,'供应商月度明细'!$D$5:$D$155,$E92,'供应商月度明细'!$E$5:$E$155,"2026-05"))</f>
        <v>1</v>
      </c>
      <c r="H92" s="27" t="n">
        <f>IF(SUMIFS('供应商月度明细'!$F$5:$F$155,'供应商月度明细'!$A$5:$A$155,$A92,'供应商月度明细'!$C$5:$C$155,$C92,'供应商月度明细'!$D$5:$D$155,$E92,'供应商月度明细'!$E$5:$E$155,"2026-06")=0,"",SUMIFS('供应商月度明细'!$H$5:$H$155,'供应商月度明细'!$A$5:$A$155,$A92,'供应商月度明细'!$C$5:$C$155,$C92,'供应商月度明细'!$D$5:$D$155,$E92,'供应商月度明细'!$E$5:$E$155,"2026-06")/SUMIFS('供应商月度明细'!$F$5:$F$155,'供应商月度明细'!$A$5:$A$155,$A92,'供应商月度明细'!$C$5:$C$155,$C92,'供应商月度明细'!$D$5:$D$155,$E92,'供应商月度明细'!$E$5:$E$155,"2026-06"))</f>
        <v>0.46153846153846156</v>
      </c>
      <c r="I92" s="27" t="n">
        <f>IF(COUNT(F92:H92)=0,"",AVERAGE(F92:H92))</f>
        <v>0.7728937728937729</v>
      </c>
      <c r="J92" s="27" t="n">
        <f>IF(K92=0,"",L92/K92)</f>
        <v>0.734375</v>
      </c>
      <c r="K92" s="23" t="n">
        <f>SUMIFS('供应商月度明细'!$F$5:$F$155,'供应商月度明细'!$A$5:$A$155,$A92,'供应商月度明细'!$C$5:$C$155,$C92,'供应商月度明细'!$D$5:$D$155,$E92)</f>
        <v>64</v>
      </c>
      <c r="L92" s="23" t="n">
        <f>SUMIFS('供应商月度明细'!$H$5:$H$155,'供应商月度明细'!$A$5:$A$155,$A92,'供应商月度明细'!$C$5:$C$155,$C92,'供应商月度明细'!$D$5:$D$155,$E92)</f>
        <v>47</v>
      </c>
    </row>
    <row r="93">
      <c r="A93" s="31" t="str">
        <v>波兰区</v>
      </c>
      <c r="B93" s="31" t="str">
        <v>PWP NIAGARA HREBENIUKOV SPÓŁKA JAWNA</v>
      </c>
      <c r="C93" s="31" t="str">
        <v>S000323</v>
      </c>
      <c r="D93" s="31" t="str">
        <v>供应商汇总</v>
      </c>
      <c r="E93" s="31" t="str">
        <v>全部工种</v>
      </c>
      <c r="F93" s="32" t="n">
        <f>IF(SUMIFS('供应商月度明细'!$F$5:$F$155,'供应商月度明细'!$A$5:$A$155,$A93,'供应商月度明细'!$C$5:$C$155,$C93,'供应商月度明细'!$E$5:$E$155,"2026-04")=0,"",SUMIFS('供应商月度明细'!$H$5:$H$155,'供应商月度明细'!$A$5:$A$155,$A93,'供应商月度明细'!$C$5:$C$155,$C93,'供应商月度明细'!$E$5:$E$155,"2026-04")/SUMIFS('供应商月度明细'!$F$5:$F$155,'供应商月度明细'!$A$5:$A$155,$A93,'供应商月度明细'!$C$5:$C$155,$C93,'供应商月度明细'!$E$5:$E$155,"2026-04"))</f>
        <v>0.8571428571428571</v>
      </c>
      <c r="G93" s="32" t="n">
        <f>IF(SUMIFS('供应商月度明细'!$F$5:$F$155,'供应商月度明细'!$A$5:$A$155,$A93,'供应商月度明细'!$C$5:$C$155,$C93,'供应商月度明细'!$E$5:$E$155,"2026-05")=0,"",SUMIFS('供应商月度明细'!$H$5:$H$155,'供应商月度明细'!$A$5:$A$155,$A93,'供应商月度明细'!$C$5:$C$155,$C93,'供应商月度明细'!$E$5:$E$155,"2026-05")/SUMIFS('供应商月度明细'!$F$5:$F$155,'供应商月度明细'!$A$5:$A$155,$A93,'供应商月度明细'!$C$5:$C$155,$C93,'供应商月度明细'!$E$5:$E$155,"2026-05"))</f>
        <v>1</v>
      </c>
      <c r="H93" s="32" t="n">
        <f>IF(SUMIFS('供应商月度明细'!$F$5:$F$155,'供应商月度明细'!$A$5:$A$155,$A93,'供应商月度明细'!$C$5:$C$155,$C93,'供应商月度明细'!$E$5:$E$155,"2026-06")=0,"",SUMIFS('供应商月度明细'!$H$5:$H$155,'供应商月度明细'!$A$5:$A$155,$A93,'供应商月度明细'!$C$5:$C$155,$C93,'供应商月度明细'!$E$5:$E$155,"2026-06")/SUMIFS('供应商月度明细'!$F$5:$F$155,'供应商月度明细'!$A$5:$A$155,$A93,'供应商月度明细'!$C$5:$C$155,$C93,'供应商月度明细'!$E$5:$E$155,"2026-06"))</f>
        <v>0.46153846153846156</v>
      </c>
      <c r="I93" s="32" t="n">
        <f>IF(COUNT(F93:H93)=0,"",AVERAGE(F93:H93))</f>
        <v>0.7728937728937729</v>
      </c>
      <c r="J93" s="32" t="n">
        <f>IF(K93=0,"",L93/K93)</f>
        <v>0.734375</v>
      </c>
      <c r="K93" s="33" t="n">
        <f>SUMIFS('供应商月度明细'!$F$5:$F$155,'供应商月度明细'!$A$5:$A$155,$A93,'供应商月度明细'!$C$5:$C$155,$C93)</f>
        <v>64</v>
      </c>
      <c r="L93" s="33" t="n">
        <f>SUMIFS('供应商月度明细'!$H$5:$H$155,'供应商月度明细'!$A$5:$A$155,$A93,'供应商月度明细'!$C$5:$C$155,$C93)</f>
        <v>47</v>
      </c>
    </row>
    <row r="94">
      <c r="A94" s="19" t="str">
        <v>波兰区</v>
      </c>
      <c r="B94" s="19" t="str">
        <v>APT CREATION</v>
      </c>
      <c r="C94" s="19" t="str">
        <v>S000330</v>
      </c>
      <c r="D94" s="19" t="str">
        <v>工种明细</v>
      </c>
      <c r="E94" s="19" t="str">
        <v>操作员</v>
      </c>
      <c r="F94" s="27" t="n">
        <f>IF(SUMIFS('供应商月度明细'!$F$5:$F$155,'供应商月度明细'!$A$5:$A$155,$A94,'供应商月度明细'!$C$5:$C$155,$C94,'供应商月度明细'!$D$5:$D$155,$E94,'供应商月度明细'!$E$5:$E$155,"2026-04")=0,"",SUMIFS('供应商月度明细'!$H$5:$H$155,'供应商月度明细'!$A$5:$A$155,$A94,'供应商月度明细'!$C$5:$C$155,$C94,'供应商月度明细'!$D$5:$D$155,$E94,'供应商月度明细'!$E$5:$E$155,"2026-04")/SUMIFS('供应商月度明细'!$F$5:$F$155,'供应商月度明细'!$A$5:$A$155,$A94,'供应商月度明细'!$C$5:$C$155,$C94,'供应商月度明细'!$D$5:$D$155,$E94,'供应商月度明细'!$E$5:$E$155,"2026-04"))</f>
        <v>0.76</v>
      </c>
      <c r="G94" s="27" t="str">
        <f>IF(SUMIFS('供应商月度明细'!$F$5:$F$155,'供应商月度明细'!$A$5:$A$155,$A94,'供应商月度明细'!$C$5:$C$155,$C94,'供应商月度明细'!$D$5:$D$155,$E94,'供应商月度明细'!$E$5:$E$155,"2026-05")=0,"",SUMIFS('供应商月度明细'!$H$5:$H$155,'供应商月度明细'!$A$5:$A$155,$A94,'供应商月度明细'!$C$5:$C$155,$C94,'供应商月度明细'!$D$5:$D$155,$E94,'供应商月度明细'!$E$5:$E$155,"2026-05")/SUMIFS('供应商月度明细'!$F$5:$F$155,'供应商月度明细'!$A$5:$A$155,$A94,'供应商月度明细'!$C$5:$C$155,$C94,'供应商月度明细'!$D$5:$D$155,$E94,'供应商月度明细'!$E$5:$E$155,"2026-05"))</f>
      </c>
      <c r="H94" s="27" t="str">
        <f>IF(SUMIFS('供应商月度明细'!$F$5:$F$155,'供应商月度明细'!$A$5:$A$155,$A94,'供应商月度明细'!$C$5:$C$155,$C94,'供应商月度明细'!$D$5:$D$155,$E94,'供应商月度明细'!$E$5:$E$155,"2026-06")=0,"",SUMIFS('供应商月度明细'!$H$5:$H$155,'供应商月度明细'!$A$5:$A$155,$A94,'供应商月度明细'!$C$5:$C$155,$C94,'供应商月度明细'!$D$5:$D$155,$E94,'供应商月度明细'!$E$5:$E$155,"2026-06")/SUMIFS('供应商月度明细'!$F$5:$F$155,'供应商月度明细'!$A$5:$A$155,$A94,'供应商月度明细'!$C$5:$C$155,$C94,'供应商月度明细'!$D$5:$D$155,$E94,'供应商月度明细'!$E$5:$E$155,"2026-06"))</f>
      </c>
      <c r="I94" s="27" t="n">
        <f>IF(COUNT(F94:H94)=0,"",AVERAGE(F94:H94))</f>
        <v>0.76</v>
      </c>
      <c r="J94" s="27" t="n">
        <f>IF(K94=0,"",L94/K94)</f>
        <v>0.76</v>
      </c>
      <c r="K94" s="23" t="n">
        <f>SUMIFS('供应商月度明细'!$F$5:$F$155,'供应商月度明细'!$A$5:$A$155,$A94,'供应商月度明细'!$C$5:$C$155,$C94,'供应商月度明细'!$D$5:$D$155,$E94)</f>
        <v>50</v>
      </c>
      <c r="L94" s="23" t="n">
        <f>SUMIFS('供应商月度明细'!$H$5:$H$155,'供应商月度明细'!$A$5:$A$155,$A94,'供应商月度明细'!$C$5:$C$155,$C94,'供应商月度明细'!$D$5:$D$155,$E94)</f>
        <v>38</v>
      </c>
    </row>
    <row r="95">
      <c r="A95" s="31" t="str">
        <v>波兰区</v>
      </c>
      <c r="B95" s="31" t="str">
        <v>APT CREATION</v>
      </c>
      <c r="C95" s="31" t="str">
        <v>S000330</v>
      </c>
      <c r="D95" s="31" t="str">
        <v>供应商汇总</v>
      </c>
      <c r="E95" s="31" t="str">
        <v>全部工种</v>
      </c>
      <c r="F95" s="32" t="n">
        <f>IF(SUMIFS('供应商月度明细'!$F$5:$F$155,'供应商月度明细'!$A$5:$A$155,$A95,'供应商月度明细'!$C$5:$C$155,$C95,'供应商月度明细'!$E$5:$E$155,"2026-04")=0,"",SUMIFS('供应商月度明细'!$H$5:$H$155,'供应商月度明细'!$A$5:$A$155,$A95,'供应商月度明细'!$C$5:$C$155,$C95,'供应商月度明细'!$E$5:$E$155,"2026-04")/SUMIFS('供应商月度明细'!$F$5:$F$155,'供应商月度明细'!$A$5:$A$155,$A95,'供应商月度明细'!$C$5:$C$155,$C95,'供应商月度明细'!$E$5:$E$155,"2026-04"))</f>
        <v>0.76</v>
      </c>
      <c r="G95" s="32" t="str">
        <f>IF(SUMIFS('供应商月度明细'!$F$5:$F$155,'供应商月度明细'!$A$5:$A$155,$A95,'供应商月度明细'!$C$5:$C$155,$C95,'供应商月度明细'!$E$5:$E$155,"2026-05")=0,"",SUMIFS('供应商月度明细'!$H$5:$H$155,'供应商月度明细'!$A$5:$A$155,$A95,'供应商月度明细'!$C$5:$C$155,$C95,'供应商月度明细'!$E$5:$E$155,"2026-05")/SUMIFS('供应商月度明细'!$F$5:$F$155,'供应商月度明细'!$A$5:$A$155,$A95,'供应商月度明细'!$C$5:$C$155,$C95,'供应商月度明细'!$E$5:$E$155,"2026-05"))</f>
      </c>
      <c r="H95" s="32" t="str">
        <f>IF(SUMIFS('供应商月度明细'!$F$5:$F$155,'供应商月度明细'!$A$5:$A$155,$A95,'供应商月度明细'!$C$5:$C$155,$C95,'供应商月度明细'!$E$5:$E$155,"2026-06")=0,"",SUMIFS('供应商月度明细'!$H$5:$H$155,'供应商月度明细'!$A$5:$A$155,$A95,'供应商月度明细'!$C$5:$C$155,$C95,'供应商月度明细'!$E$5:$E$155,"2026-06")/SUMIFS('供应商月度明细'!$F$5:$F$155,'供应商月度明细'!$A$5:$A$155,$A95,'供应商月度明细'!$C$5:$C$155,$C95,'供应商月度明细'!$E$5:$E$155,"2026-06"))</f>
      </c>
      <c r="I95" s="32" t="n">
        <f>IF(COUNT(F95:H95)=0,"",AVERAGE(F95:H95))</f>
        <v>0.76</v>
      </c>
      <c r="J95" s="32" t="n">
        <f>IF(K95=0,"",L95/K95)</f>
        <v>0.76</v>
      </c>
      <c r="K95" s="33" t="n">
        <f>SUMIFS('供应商月度明细'!$F$5:$F$155,'供应商月度明细'!$A$5:$A$155,$A95,'供应商月度明细'!$C$5:$C$155,$C95)</f>
        <v>50</v>
      </c>
      <c r="L95" s="33" t="n">
        <f>SUMIFS('供应商月度明细'!$H$5:$H$155,'供应商月度明细'!$A$5:$A$155,$A95,'供应商月度明细'!$C$5:$C$155,$C95)</f>
        <v>38</v>
      </c>
    </row>
    <row r="96">
      <c r="A96" s="19" t="str">
        <v>波兰区</v>
      </c>
      <c r="B96" s="19" t="str">
        <v>DK Global</v>
      </c>
      <c r="C96" s="19" t="str">
        <v>S000287</v>
      </c>
      <c r="D96" s="19" t="str">
        <v>工种明细</v>
      </c>
      <c r="E96" s="19" t="str">
        <v>操作员</v>
      </c>
      <c r="F96" s="27" t="n">
        <f>IF(SUMIFS('供应商月度明细'!$F$5:$F$155,'供应商月度明细'!$A$5:$A$155,$A96,'供应商月度明细'!$C$5:$C$155,$C96,'供应商月度明细'!$D$5:$D$155,$E96,'供应商月度明细'!$E$5:$E$155,"2026-04")=0,"",SUMIFS('供应商月度明细'!$H$5:$H$155,'供应商月度明细'!$A$5:$A$155,$A96,'供应商月度明细'!$C$5:$C$155,$C96,'供应商月度明细'!$D$5:$D$155,$E96,'供应商月度明细'!$E$5:$E$155,"2026-04")/SUMIFS('供应商月度明细'!$F$5:$F$155,'供应商月度明细'!$A$5:$A$155,$A96,'供应商月度明细'!$C$5:$C$155,$C96,'供应商月度明细'!$D$5:$D$155,$E96,'供应商月度明细'!$E$5:$E$155,"2026-04"))</f>
        <v>1</v>
      </c>
      <c r="G96" s="27" t="n">
        <f>IF(SUMIFS('供应商月度明细'!$F$5:$F$155,'供应商月度明细'!$A$5:$A$155,$A96,'供应商月度明细'!$C$5:$C$155,$C96,'供应商月度明细'!$D$5:$D$155,$E96,'供应商月度明细'!$E$5:$E$155,"2026-05")=0,"",SUMIFS('供应商月度明细'!$H$5:$H$155,'供应商月度明细'!$A$5:$A$155,$A96,'供应商月度明细'!$C$5:$C$155,$C96,'供应商月度明细'!$D$5:$D$155,$E96,'供应商月度明细'!$E$5:$E$155,"2026-05")/SUMIFS('供应商月度明细'!$F$5:$F$155,'供应商月度明细'!$A$5:$A$155,$A96,'供应商月度明细'!$C$5:$C$155,$C96,'供应商月度明细'!$D$5:$D$155,$E96,'供应商月度明细'!$E$5:$E$155,"2026-05"))</f>
        <v>0.5428571428571428</v>
      </c>
      <c r="H96" s="27" t="str">
        <f>IF(SUMIFS('供应商月度明细'!$F$5:$F$155,'供应商月度明细'!$A$5:$A$155,$A96,'供应商月度明细'!$C$5:$C$155,$C96,'供应商月度明细'!$D$5:$D$155,$E96,'供应商月度明细'!$E$5:$E$155,"2026-06")=0,"",SUMIFS('供应商月度明细'!$H$5:$H$155,'供应商月度明细'!$A$5:$A$155,$A96,'供应商月度明细'!$C$5:$C$155,$C96,'供应商月度明细'!$D$5:$D$155,$E96,'供应商月度明细'!$E$5:$E$155,"2026-06")/SUMIFS('供应商月度明细'!$F$5:$F$155,'供应商月度明细'!$A$5:$A$155,$A96,'供应商月度明细'!$C$5:$C$155,$C96,'供应商月度明细'!$D$5:$D$155,$E96,'供应商月度明细'!$E$5:$E$155,"2026-06"))</f>
      </c>
      <c r="I96" s="27" t="n">
        <f>IF(COUNT(F96:H96)=0,"",AVERAGE(F96:H96))</f>
        <v>0.7714285714285714</v>
      </c>
      <c r="J96" s="27" t="n">
        <f>IF(K96=0,"",L96/K96)</f>
        <v>0.6521739130434783</v>
      </c>
      <c r="K96" s="23" t="n">
        <f>SUMIFS('供应商月度明细'!$F$5:$F$155,'供应商月度明细'!$A$5:$A$155,$A96,'供应商月度明细'!$C$5:$C$155,$C96,'供应商月度明细'!$D$5:$D$155,$E96)</f>
        <v>46</v>
      </c>
      <c r="L96" s="23" t="n">
        <f>SUMIFS('供应商月度明细'!$H$5:$H$155,'供应商月度明细'!$A$5:$A$155,$A96,'供应商月度明细'!$C$5:$C$155,$C96,'供应商月度明细'!$D$5:$D$155,$E96)</f>
        <v>30</v>
      </c>
    </row>
    <row r="97">
      <c r="A97" s="31" t="str">
        <v>波兰区</v>
      </c>
      <c r="B97" s="31" t="str">
        <v>DK Global</v>
      </c>
      <c r="C97" s="31" t="str">
        <v>S000287</v>
      </c>
      <c r="D97" s="31" t="str">
        <v>供应商汇总</v>
      </c>
      <c r="E97" s="31" t="str">
        <v>全部工种</v>
      </c>
      <c r="F97" s="32" t="n">
        <f>IF(SUMIFS('供应商月度明细'!$F$5:$F$155,'供应商月度明细'!$A$5:$A$155,$A97,'供应商月度明细'!$C$5:$C$155,$C97,'供应商月度明细'!$E$5:$E$155,"2026-04")=0,"",SUMIFS('供应商月度明细'!$H$5:$H$155,'供应商月度明细'!$A$5:$A$155,$A97,'供应商月度明细'!$C$5:$C$155,$C97,'供应商月度明细'!$E$5:$E$155,"2026-04")/SUMIFS('供应商月度明细'!$F$5:$F$155,'供应商月度明细'!$A$5:$A$155,$A97,'供应商月度明细'!$C$5:$C$155,$C97,'供应商月度明细'!$E$5:$E$155,"2026-04"))</f>
        <v>1</v>
      </c>
      <c r="G97" s="32" t="n">
        <f>IF(SUMIFS('供应商月度明细'!$F$5:$F$155,'供应商月度明细'!$A$5:$A$155,$A97,'供应商月度明细'!$C$5:$C$155,$C97,'供应商月度明细'!$E$5:$E$155,"2026-05")=0,"",SUMIFS('供应商月度明细'!$H$5:$H$155,'供应商月度明细'!$A$5:$A$155,$A97,'供应商月度明细'!$C$5:$C$155,$C97,'供应商月度明细'!$E$5:$E$155,"2026-05")/SUMIFS('供应商月度明细'!$F$5:$F$155,'供应商月度明细'!$A$5:$A$155,$A97,'供应商月度明细'!$C$5:$C$155,$C97,'供应商月度明细'!$E$5:$E$155,"2026-05"))</f>
        <v>0.5428571428571428</v>
      </c>
      <c r="H97" s="32" t="str">
        <f>IF(SUMIFS('供应商月度明细'!$F$5:$F$155,'供应商月度明细'!$A$5:$A$155,$A97,'供应商月度明细'!$C$5:$C$155,$C97,'供应商月度明细'!$E$5:$E$155,"2026-06")=0,"",SUMIFS('供应商月度明细'!$H$5:$H$155,'供应商月度明细'!$A$5:$A$155,$A97,'供应商月度明细'!$C$5:$C$155,$C97,'供应商月度明细'!$E$5:$E$155,"2026-06")/SUMIFS('供应商月度明细'!$F$5:$F$155,'供应商月度明细'!$A$5:$A$155,$A97,'供应商月度明细'!$C$5:$C$155,$C97,'供应商月度明细'!$E$5:$E$155,"2026-06"))</f>
      </c>
      <c r="I97" s="32" t="n">
        <f>IF(COUNT(F97:H97)=0,"",AVERAGE(F97:H97))</f>
        <v>0.7714285714285714</v>
      </c>
      <c r="J97" s="32" t="n">
        <f>IF(K97=0,"",L97/K97)</f>
        <v>0.6521739130434783</v>
      </c>
      <c r="K97" s="33" t="n">
        <f>SUMIFS('供应商月度明细'!$F$5:$F$155,'供应商月度明细'!$A$5:$A$155,$A97,'供应商月度明细'!$C$5:$C$155,$C97)</f>
        <v>46</v>
      </c>
      <c r="L97" s="33" t="n">
        <f>SUMIFS('供应商月度明细'!$H$5:$H$155,'供应商月度明细'!$A$5:$A$155,$A97,'供应商月度明细'!$C$5:$C$155,$C97)</f>
        <v>30</v>
      </c>
    </row>
    <row r="98">
      <c r="A98" s="19" t="str">
        <v>波兰区</v>
      </c>
      <c r="B98" s="19" t="str">
        <v>VIKTORIA SOLUTION</v>
      </c>
      <c r="C98" s="19" t="str">
        <v>S000342</v>
      </c>
      <c r="D98" s="19" t="str">
        <v>工种明细</v>
      </c>
      <c r="E98" s="19" t="str">
        <v>操作员</v>
      </c>
      <c r="F98" s="27" t="str">
        <f>IF(SUMIFS('供应商月度明细'!$F$5:$F$155,'供应商月度明细'!$A$5:$A$155,$A98,'供应商月度明细'!$C$5:$C$155,$C98,'供应商月度明细'!$D$5:$D$155,$E98,'供应商月度明细'!$E$5:$E$155,"2026-04")=0,"",SUMIFS('供应商月度明细'!$H$5:$H$155,'供应商月度明细'!$A$5:$A$155,$A98,'供应商月度明细'!$C$5:$C$155,$C98,'供应商月度明细'!$D$5:$D$155,$E98,'供应商月度明细'!$E$5:$E$155,"2026-04")/SUMIFS('供应商月度明细'!$F$5:$F$155,'供应商月度明细'!$A$5:$A$155,$A98,'供应商月度明细'!$C$5:$C$155,$C98,'供应商月度明细'!$D$5:$D$155,$E98,'供应商月度明细'!$E$5:$E$155,"2026-04"))</f>
      </c>
      <c r="G98" s="27" t="str">
        <f>IF(SUMIFS('供应商月度明细'!$F$5:$F$155,'供应商月度明细'!$A$5:$A$155,$A98,'供应商月度明细'!$C$5:$C$155,$C98,'供应商月度明细'!$D$5:$D$155,$E98,'供应商月度明细'!$E$5:$E$155,"2026-05")=0,"",SUMIFS('供应商月度明细'!$H$5:$H$155,'供应商月度明细'!$A$5:$A$155,$A98,'供应商月度明细'!$C$5:$C$155,$C98,'供应商月度明细'!$D$5:$D$155,$E98,'供应商月度明细'!$E$5:$E$155,"2026-05")/SUMIFS('供应商月度明细'!$F$5:$F$155,'供应商月度明细'!$A$5:$A$155,$A98,'供应商月度明细'!$C$5:$C$155,$C98,'供应商月度明细'!$D$5:$D$155,$E98,'供应商月度明细'!$E$5:$E$155,"2026-05"))</f>
      </c>
      <c r="H98" s="27" t="n">
        <f>IF(SUMIFS('供应商月度明细'!$F$5:$F$155,'供应商月度明细'!$A$5:$A$155,$A98,'供应商月度明细'!$C$5:$C$155,$C98,'供应商月度明细'!$D$5:$D$155,$E98,'供应商月度明细'!$E$5:$E$155,"2026-06")=0,"",SUMIFS('供应商月度明细'!$H$5:$H$155,'供应商月度明细'!$A$5:$A$155,$A98,'供应商月度明细'!$C$5:$C$155,$C98,'供应商月度明细'!$D$5:$D$155,$E98,'供应商月度明细'!$E$5:$E$155,"2026-06")/SUMIFS('供应商月度明细'!$F$5:$F$155,'供应商月度明细'!$A$5:$A$155,$A98,'供应商月度明细'!$C$5:$C$155,$C98,'供应商月度明细'!$D$5:$D$155,$E98,'供应商月度明细'!$E$5:$E$155,"2026-06"))</f>
        <v>0.5882352941176471</v>
      </c>
      <c r="I98" s="27" t="n">
        <f>IF(COUNT(F98:H98)=0,"",AVERAGE(F98:H98))</f>
        <v>0.5882352941176471</v>
      </c>
      <c r="J98" s="27" t="n">
        <f>IF(K98=0,"",L98/K98)</f>
        <v>0.5882352941176471</v>
      </c>
      <c r="K98" s="23" t="n">
        <f>SUMIFS('供应商月度明细'!$F$5:$F$155,'供应商月度明细'!$A$5:$A$155,$A98,'供应商月度明细'!$C$5:$C$155,$C98,'供应商月度明细'!$D$5:$D$155,$E98)</f>
        <v>34</v>
      </c>
      <c r="L98" s="23" t="n">
        <f>SUMIFS('供应商月度明细'!$H$5:$H$155,'供应商月度明细'!$A$5:$A$155,$A98,'供应商月度明细'!$C$5:$C$155,$C98,'供应商月度明细'!$D$5:$D$155,$E98)</f>
        <v>20</v>
      </c>
    </row>
    <row r="99">
      <c r="A99" s="31" t="str">
        <v>波兰区</v>
      </c>
      <c r="B99" s="31" t="str">
        <v>VIKTORIA SOLUTION</v>
      </c>
      <c r="C99" s="31" t="str">
        <v>S000342</v>
      </c>
      <c r="D99" s="31" t="str">
        <v>供应商汇总</v>
      </c>
      <c r="E99" s="31" t="str">
        <v>全部工种</v>
      </c>
      <c r="F99" s="32" t="str">
        <f>IF(SUMIFS('供应商月度明细'!$F$5:$F$155,'供应商月度明细'!$A$5:$A$155,$A99,'供应商月度明细'!$C$5:$C$155,$C99,'供应商月度明细'!$E$5:$E$155,"2026-04")=0,"",SUMIFS('供应商月度明细'!$H$5:$H$155,'供应商月度明细'!$A$5:$A$155,$A99,'供应商月度明细'!$C$5:$C$155,$C99,'供应商月度明细'!$E$5:$E$155,"2026-04")/SUMIFS('供应商月度明细'!$F$5:$F$155,'供应商月度明细'!$A$5:$A$155,$A99,'供应商月度明细'!$C$5:$C$155,$C99,'供应商月度明细'!$E$5:$E$155,"2026-04"))</f>
      </c>
      <c r="G99" s="32" t="str">
        <f>IF(SUMIFS('供应商月度明细'!$F$5:$F$155,'供应商月度明细'!$A$5:$A$155,$A99,'供应商月度明细'!$C$5:$C$155,$C99,'供应商月度明细'!$E$5:$E$155,"2026-05")=0,"",SUMIFS('供应商月度明细'!$H$5:$H$155,'供应商月度明细'!$A$5:$A$155,$A99,'供应商月度明细'!$C$5:$C$155,$C99,'供应商月度明细'!$E$5:$E$155,"2026-05")/SUMIFS('供应商月度明细'!$F$5:$F$155,'供应商月度明细'!$A$5:$A$155,$A99,'供应商月度明细'!$C$5:$C$155,$C99,'供应商月度明细'!$E$5:$E$155,"2026-05"))</f>
      </c>
      <c r="H99" s="32" t="n">
        <f>IF(SUMIFS('供应商月度明细'!$F$5:$F$155,'供应商月度明细'!$A$5:$A$155,$A99,'供应商月度明细'!$C$5:$C$155,$C99,'供应商月度明细'!$E$5:$E$155,"2026-06")=0,"",SUMIFS('供应商月度明细'!$H$5:$H$155,'供应商月度明细'!$A$5:$A$155,$A99,'供应商月度明细'!$C$5:$C$155,$C99,'供应商月度明细'!$E$5:$E$155,"2026-06")/SUMIFS('供应商月度明细'!$F$5:$F$155,'供应商月度明细'!$A$5:$A$155,$A99,'供应商月度明细'!$C$5:$C$155,$C99,'供应商月度明细'!$E$5:$E$155,"2026-06"))</f>
        <v>0.5882352941176471</v>
      </c>
      <c r="I99" s="32" t="n">
        <f>IF(COUNT(F99:H99)=0,"",AVERAGE(F99:H99))</f>
        <v>0.5882352941176471</v>
      </c>
      <c r="J99" s="32" t="n">
        <f>IF(K99=0,"",L99/K99)</f>
        <v>0.5882352941176471</v>
      </c>
      <c r="K99" s="33" t="n">
        <f>SUMIFS('供应商月度明细'!$F$5:$F$155,'供应商月度明细'!$A$5:$A$155,$A99,'供应商月度明细'!$C$5:$C$155,$C99)</f>
        <v>34</v>
      </c>
      <c r="L99" s="33" t="n">
        <f>SUMIFS('供应商月度明细'!$H$5:$H$155,'供应商月度明细'!$A$5:$A$155,$A99,'供应商月度明细'!$C$5:$C$155,$C99)</f>
        <v>20</v>
      </c>
    </row>
    <row r="100">
      <c r="A100" s="19" t="str">
        <v>波兰区</v>
      </c>
      <c r="B100" s="19" t="str">
        <v>VOKS Service</v>
      </c>
      <c r="C100" s="19" t="str">
        <v>S000278</v>
      </c>
      <c r="D100" s="19" t="str">
        <v>工种明细</v>
      </c>
      <c r="E100" s="19" t="str">
        <v>操作员</v>
      </c>
      <c r="F100" s="27" t="n">
        <f>IF(SUMIFS('供应商月度明细'!$F$5:$F$155,'供应商月度明细'!$A$5:$A$155,$A100,'供应商月度明细'!$C$5:$C$155,$C100,'供应商月度明细'!$D$5:$D$155,$E100,'供应商月度明细'!$E$5:$E$155,"2026-04")=0,"",SUMIFS('供应商月度明细'!$H$5:$H$155,'供应商月度明细'!$A$5:$A$155,$A100,'供应商月度明细'!$C$5:$C$155,$C100,'供应商月度明细'!$D$5:$D$155,$E100,'供应商月度明细'!$E$5:$E$155,"2026-04")/SUMIFS('供应商月度明细'!$F$5:$F$155,'供应商月度明细'!$A$5:$A$155,$A100,'供应商月度明细'!$C$5:$C$155,$C100,'供应商月度明细'!$D$5:$D$155,$E100,'供应商月度明细'!$E$5:$E$155,"2026-04"))</f>
        <v>0.2</v>
      </c>
      <c r="G100" s="27" t="n">
        <f>IF(SUMIFS('供应商月度明细'!$F$5:$F$155,'供应商月度明细'!$A$5:$A$155,$A100,'供应商月度明细'!$C$5:$C$155,$C100,'供应商月度明细'!$D$5:$D$155,$E100,'供应商月度明细'!$E$5:$E$155,"2026-05")=0,"",SUMIFS('供应商月度明细'!$H$5:$H$155,'供应商月度明细'!$A$5:$A$155,$A100,'供应商月度明细'!$C$5:$C$155,$C100,'供应商月度明细'!$D$5:$D$155,$E100,'供应商月度明细'!$E$5:$E$155,"2026-05")/SUMIFS('供应商月度明细'!$F$5:$F$155,'供应商月度明细'!$A$5:$A$155,$A100,'供应商月度明细'!$C$5:$C$155,$C100,'供应商月度明细'!$D$5:$D$155,$E100,'供应商月度明细'!$E$5:$E$155,"2026-05"))</f>
        <v>0</v>
      </c>
      <c r="H100" s="27" t="str">
        <f>IF(SUMIFS('供应商月度明细'!$F$5:$F$155,'供应商月度明细'!$A$5:$A$155,$A100,'供应商月度明细'!$C$5:$C$155,$C100,'供应商月度明细'!$D$5:$D$155,$E100,'供应商月度明细'!$E$5:$E$155,"2026-06")=0,"",SUMIFS('供应商月度明细'!$H$5:$H$155,'供应商月度明细'!$A$5:$A$155,$A100,'供应商月度明细'!$C$5:$C$155,$C100,'供应商月度明细'!$D$5:$D$155,$E100,'供应商月度明细'!$E$5:$E$155,"2026-06")/SUMIFS('供应商月度明细'!$F$5:$F$155,'供应商月度明细'!$A$5:$A$155,$A100,'供应商月度明细'!$C$5:$C$155,$C100,'供应商月度明细'!$D$5:$D$155,$E100,'供应商月度明细'!$E$5:$E$155,"2026-06"))</f>
      </c>
      <c r="I100" s="27" t="n">
        <f>IF(COUNT(F100:H100)=0,"",AVERAGE(F100:H100))</f>
        <v>0.1</v>
      </c>
      <c r="J100" s="27" t="n">
        <f>IF(K100=0,"",L100/K100)</f>
        <v>0.13333333333333333</v>
      </c>
      <c r="K100" s="23" t="n">
        <f>SUMIFS('供应商月度明细'!$F$5:$F$155,'供应商月度明细'!$A$5:$A$155,$A100,'供应商月度明细'!$C$5:$C$155,$C100,'供应商月度明细'!$D$5:$D$155,$E100)</f>
        <v>30</v>
      </c>
      <c r="L100" s="23" t="n">
        <f>SUMIFS('供应商月度明细'!$H$5:$H$155,'供应商月度明细'!$A$5:$A$155,$A100,'供应商月度明细'!$C$5:$C$155,$C100,'供应商月度明细'!$D$5:$D$155,$E100)</f>
        <v>4</v>
      </c>
    </row>
    <row r="101">
      <c r="A101" s="31" t="str">
        <v>波兰区</v>
      </c>
      <c r="B101" s="31" t="str">
        <v>VOKS Service</v>
      </c>
      <c r="C101" s="31" t="str">
        <v>S000278</v>
      </c>
      <c r="D101" s="31" t="str">
        <v>供应商汇总</v>
      </c>
      <c r="E101" s="31" t="str">
        <v>全部工种</v>
      </c>
      <c r="F101" s="32" t="n">
        <f>IF(SUMIFS('供应商月度明细'!$F$5:$F$155,'供应商月度明细'!$A$5:$A$155,$A101,'供应商月度明细'!$C$5:$C$155,$C101,'供应商月度明细'!$E$5:$E$155,"2026-04")=0,"",SUMIFS('供应商月度明细'!$H$5:$H$155,'供应商月度明细'!$A$5:$A$155,$A101,'供应商月度明细'!$C$5:$C$155,$C101,'供应商月度明细'!$E$5:$E$155,"2026-04")/SUMIFS('供应商月度明细'!$F$5:$F$155,'供应商月度明细'!$A$5:$A$155,$A101,'供应商月度明细'!$C$5:$C$155,$C101,'供应商月度明细'!$E$5:$E$155,"2026-04"))</f>
        <v>0.2</v>
      </c>
      <c r="G101" s="32" t="n">
        <f>IF(SUMIFS('供应商月度明细'!$F$5:$F$155,'供应商月度明细'!$A$5:$A$155,$A101,'供应商月度明细'!$C$5:$C$155,$C101,'供应商月度明细'!$E$5:$E$155,"2026-05")=0,"",SUMIFS('供应商月度明细'!$H$5:$H$155,'供应商月度明细'!$A$5:$A$155,$A101,'供应商月度明细'!$C$5:$C$155,$C101,'供应商月度明细'!$E$5:$E$155,"2026-05")/SUMIFS('供应商月度明细'!$F$5:$F$155,'供应商月度明细'!$A$5:$A$155,$A101,'供应商月度明细'!$C$5:$C$155,$C101,'供应商月度明细'!$E$5:$E$155,"2026-05"))</f>
        <v>0</v>
      </c>
      <c r="H101" s="32" t="str">
        <f>IF(SUMIFS('供应商月度明细'!$F$5:$F$155,'供应商月度明细'!$A$5:$A$155,$A101,'供应商月度明细'!$C$5:$C$155,$C101,'供应商月度明细'!$E$5:$E$155,"2026-06")=0,"",SUMIFS('供应商月度明细'!$H$5:$H$155,'供应商月度明细'!$A$5:$A$155,$A101,'供应商月度明细'!$C$5:$C$155,$C101,'供应商月度明细'!$E$5:$E$155,"2026-06")/SUMIFS('供应商月度明细'!$F$5:$F$155,'供应商月度明细'!$A$5:$A$155,$A101,'供应商月度明细'!$C$5:$C$155,$C101,'供应商月度明细'!$E$5:$E$155,"2026-06"))</f>
      </c>
      <c r="I101" s="32" t="n">
        <f>IF(COUNT(F101:H101)=0,"",AVERAGE(F101:H101))</f>
        <v>0.1</v>
      </c>
      <c r="J101" s="32" t="n">
        <f>IF(K101=0,"",L101/K101)</f>
        <v>0.13333333333333333</v>
      </c>
      <c r="K101" s="33" t="n">
        <f>SUMIFS('供应商月度明细'!$F$5:$F$155,'供应商月度明细'!$A$5:$A$155,$A101,'供应商月度明细'!$C$5:$C$155,$C101)</f>
        <v>30</v>
      </c>
      <c r="L101" s="33" t="n">
        <f>SUMIFS('供应商月度明细'!$H$5:$H$155,'供应商月度明细'!$A$5:$A$155,$A101,'供应商月度明细'!$C$5:$C$155,$C101)</f>
        <v>4</v>
      </c>
    </row>
    <row r="102">
      <c r="A102" s="19" t="str">
        <v>波兰区</v>
      </c>
      <c r="B102" s="19" t="str">
        <v>PROWORK APT Sp. z o.o.</v>
      </c>
      <c r="C102" s="19" t="str">
        <v>S000259</v>
      </c>
      <c r="D102" s="19" t="str">
        <v>工种明细</v>
      </c>
      <c r="E102" s="19" t="str">
        <v>操作员</v>
      </c>
      <c r="F102" s="27" t="n">
        <f>IF(SUMIFS('供应商月度明细'!$F$5:$F$155,'供应商月度明细'!$A$5:$A$155,$A102,'供应商月度明细'!$C$5:$C$155,$C102,'供应商月度明细'!$D$5:$D$155,$E102,'供应商月度明细'!$E$5:$E$155,"2026-04")=0,"",SUMIFS('供应商月度明细'!$H$5:$H$155,'供应商月度明细'!$A$5:$A$155,$A102,'供应商月度明细'!$C$5:$C$155,$C102,'供应商月度明细'!$D$5:$D$155,$E102,'供应商月度明细'!$E$5:$E$155,"2026-04")/SUMIFS('供应商月度明细'!$F$5:$F$155,'供应商月度明细'!$A$5:$A$155,$A102,'供应商月度明细'!$C$5:$C$155,$C102,'供应商月度明细'!$D$5:$D$155,$E102,'供应商月度明细'!$E$5:$E$155,"2026-04"))</f>
        <v>0.5833333333333334</v>
      </c>
      <c r="G102" s="27" t="n">
        <f>IF(SUMIFS('供应商月度明细'!$F$5:$F$155,'供应商月度明细'!$A$5:$A$155,$A102,'供应商月度明细'!$C$5:$C$155,$C102,'供应商月度明细'!$D$5:$D$155,$E102,'供应商月度明细'!$E$5:$E$155,"2026-05")=0,"",SUMIFS('供应商月度明细'!$H$5:$H$155,'供应商月度明细'!$A$5:$A$155,$A102,'供应商月度明细'!$C$5:$C$155,$C102,'供应商月度明细'!$D$5:$D$155,$E102,'供应商月度明细'!$E$5:$E$155,"2026-05")/SUMIFS('供应商月度明细'!$F$5:$F$155,'供应商月度明细'!$A$5:$A$155,$A102,'供应商月度明细'!$C$5:$C$155,$C102,'供应商月度明细'!$D$5:$D$155,$E102,'供应商月度明细'!$E$5:$E$155,"2026-05"))</f>
        <v>0</v>
      </c>
      <c r="H102" s="27" t="str">
        <f>IF(SUMIFS('供应商月度明细'!$F$5:$F$155,'供应商月度明细'!$A$5:$A$155,$A102,'供应商月度明细'!$C$5:$C$155,$C102,'供应商月度明细'!$D$5:$D$155,$E102,'供应商月度明细'!$E$5:$E$155,"2026-06")=0,"",SUMIFS('供应商月度明细'!$H$5:$H$155,'供应商月度明细'!$A$5:$A$155,$A102,'供应商月度明细'!$C$5:$C$155,$C102,'供应商月度明细'!$D$5:$D$155,$E102,'供应商月度明细'!$E$5:$E$155,"2026-06")/SUMIFS('供应商月度明细'!$F$5:$F$155,'供应商月度明细'!$A$5:$A$155,$A102,'供应商月度明细'!$C$5:$C$155,$C102,'供应商月度明细'!$D$5:$D$155,$E102,'供应商月度明细'!$E$5:$E$155,"2026-06"))</f>
      </c>
      <c r="I102" s="27" t="n">
        <f>IF(COUNT(F102:H102)=0,"",AVERAGE(F102:H102))</f>
        <v>0.2916666666666667</v>
      </c>
      <c r="J102" s="27" t="n">
        <f>IF(K102=0,"",L102/K102)</f>
        <v>0.4117647058823529</v>
      </c>
      <c r="K102" s="23" t="n">
        <f>SUMIFS('供应商月度明细'!$F$5:$F$155,'供应商月度明细'!$A$5:$A$155,$A102,'供应商月度明细'!$C$5:$C$155,$C102,'供应商月度明细'!$D$5:$D$155,$E102)</f>
        <v>17</v>
      </c>
      <c r="L102" s="23" t="n">
        <f>SUMIFS('供应商月度明细'!$H$5:$H$155,'供应商月度明细'!$A$5:$A$155,$A102,'供应商月度明细'!$C$5:$C$155,$C102,'供应商月度明细'!$D$5:$D$155,$E102)</f>
        <v>7</v>
      </c>
    </row>
    <row r="103">
      <c r="A103" s="31" t="str">
        <v>波兰区</v>
      </c>
      <c r="B103" s="31" t="str">
        <v>PROWORK APT Sp. z o.o.</v>
      </c>
      <c r="C103" s="31" t="str">
        <v>S000259</v>
      </c>
      <c r="D103" s="31" t="str">
        <v>供应商汇总</v>
      </c>
      <c r="E103" s="31" t="str">
        <v>全部工种</v>
      </c>
      <c r="F103" s="32" t="n">
        <f>IF(SUMIFS('供应商月度明细'!$F$5:$F$155,'供应商月度明细'!$A$5:$A$155,$A103,'供应商月度明细'!$C$5:$C$155,$C103,'供应商月度明细'!$E$5:$E$155,"2026-04")=0,"",SUMIFS('供应商月度明细'!$H$5:$H$155,'供应商月度明细'!$A$5:$A$155,$A103,'供应商月度明细'!$C$5:$C$155,$C103,'供应商月度明细'!$E$5:$E$155,"2026-04")/SUMIFS('供应商月度明细'!$F$5:$F$155,'供应商月度明细'!$A$5:$A$155,$A103,'供应商月度明细'!$C$5:$C$155,$C103,'供应商月度明细'!$E$5:$E$155,"2026-04"))</f>
        <v>0.5833333333333334</v>
      </c>
      <c r="G103" s="32" t="n">
        <f>IF(SUMIFS('供应商月度明细'!$F$5:$F$155,'供应商月度明细'!$A$5:$A$155,$A103,'供应商月度明细'!$C$5:$C$155,$C103,'供应商月度明细'!$E$5:$E$155,"2026-05")=0,"",SUMIFS('供应商月度明细'!$H$5:$H$155,'供应商月度明细'!$A$5:$A$155,$A103,'供应商月度明细'!$C$5:$C$155,$C103,'供应商月度明细'!$E$5:$E$155,"2026-05")/SUMIFS('供应商月度明细'!$F$5:$F$155,'供应商月度明细'!$A$5:$A$155,$A103,'供应商月度明细'!$C$5:$C$155,$C103,'供应商月度明细'!$E$5:$E$155,"2026-05"))</f>
        <v>0</v>
      </c>
      <c r="H103" s="32" t="str">
        <f>IF(SUMIFS('供应商月度明细'!$F$5:$F$155,'供应商月度明细'!$A$5:$A$155,$A103,'供应商月度明细'!$C$5:$C$155,$C103,'供应商月度明细'!$E$5:$E$155,"2026-06")=0,"",SUMIFS('供应商月度明细'!$H$5:$H$155,'供应商月度明细'!$A$5:$A$155,$A103,'供应商月度明细'!$C$5:$C$155,$C103,'供应商月度明细'!$E$5:$E$155,"2026-06")/SUMIFS('供应商月度明细'!$F$5:$F$155,'供应商月度明细'!$A$5:$A$155,$A103,'供应商月度明细'!$C$5:$C$155,$C103,'供应商月度明细'!$E$5:$E$155,"2026-06"))</f>
      </c>
      <c r="I103" s="32" t="n">
        <f>IF(COUNT(F103:H103)=0,"",AVERAGE(F103:H103))</f>
        <v>0.2916666666666667</v>
      </c>
      <c r="J103" s="32" t="n">
        <f>IF(K103=0,"",L103/K103)</f>
        <v>0.4117647058823529</v>
      </c>
      <c r="K103" s="33" t="n">
        <f>SUMIFS('供应商月度明细'!$F$5:$F$155,'供应商月度明细'!$A$5:$A$155,$A103,'供应商月度明细'!$C$5:$C$155,$C103)</f>
        <v>17</v>
      </c>
      <c r="L103" s="33" t="n">
        <f>SUMIFS('供应商月度明细'!$H$5:$H$155,'供应商月度明细'!$A$5:$A$155,$A103,'供应商月度明细'!$C$5:$C$155,$C103)</f>
        <v>7</v>
      </c>
    </row>
    <row r="104">
      <c r="A104" s="19" t="str">
        <v>波兰区</v>
      </c>
      <c r="B104" s="19" t="str">
        <v>Eurojob-West</v>
      </c>
      <c r="C104" s="19" t="str">
        <v>S000297</v>
      </c>
      <c r="D104" s="19" t="str">
        <v>工种明细</v>
      </c>
      <c r="E104" s="19" t="str">
        <v>操作员</v>
      </c>
      <c r="F104" s="27" t="str">
        <f>IF(SUMIFS('供应商月度明细'!$F$5:$F$155,'供应商月度明细'!$A$5:$A$155,$A104,'供应商月度明细'!$C$5:$C$155,$C104,'供应商月度明细'!$D$5:$D$155,$E104,'供应商月度明细'!$E$5:$E$155,"2026-04")=0,"",SUMIFS('供应商月度明细'!$H$5:$H$155,'供应商月度明细'!$A$5:$A$155,$A104,'供应商月度明细'!$C$5:$C$155,$C104,'供应商月度明细'!$D$5:$D$155,$E104,'供应商月度明细'!$E$5:$E$155,"2026-04")/SUMIFS('供应商月度明细'!$F$5:$F$155,'供应商月度明细'!$A$5:$A$155,$A104,'供应商月度明细'!$C$5:$C$155,$C104,'供应商月度明细'!$D$5:$D$155,$E104,'供应商月度明细'!$E$5:$E$155,"2026-04"))</f>
      </c>
      <c r="G104" s="27" t="n">
        <f>IF(SUMIFS('供应商月度明细'!$F$5:$F$155,'供应商月度明细'!$A$5:$A$155,$A104,'供应商月度明细'!$C$5:$C$155,$C104,'供应商月度明细'!$D$5:$D$155,$E104,'供应商月度明细'!$E$5:$E$155,"2026-05")=0,"",SUMIFS('供应商月度明细'!$H$5:$H$155,'供应商月度明细'!$A$5:$A$155,$A104,'供应商月度明细'!$C$5:$C$155,$C104,'供应商月度明细'!$D$5:$D$155,$E104,'供应商月度明细'!$E$5:$E$155,"2026-05")/SUMIFS('供应商月度明细'!$F$5:$F$155,'供应商月度明细'!$A$5:$A$155,$A104,'供应商月度明细'!$C$5:$C$155,$C104,'供应商月度明细'!$D$5:$D$155,$E104,'供应商月度明细'!$E$5:$E$155,"2026-05"))</f>
        <v>1</v>
      </c>
      <c r="H104" s="27" t="n">
        <f>IF(SUMIFS('供应商月度明细'!$F$5:$F$155,'供应商月度明细'!$A$5:$A$155,$A104,'供应商月度明细'!$C$5:$C$155,$C104,'供应商月度明细'!$D$5:$D$155,$E104,'供应商月度明细'!$E$5:$E$155,"2026-06")=0,"",SUMIFS('供应商月度明细'!$H$5:$H$155,'供应商月度明细'!$A$5:$A$155,$A104,'供应商月度明细'!$C$5:$C$155,$C104,'供应商月度明细'!$D$5:$D$155,$E104,'供应商月度明细'!$E$5:$E$155,"2026-06")/SUMIFS('供应商月度明细'!$F$5:$F$155,'供应商月度明细'!$A$5:$A$155,$A104,'供应商月度明细'!$C$5:$C$155,$C104,'供应商月度明细'!$D$5:$D$155,$E104,'供应商月度明细'!$E$5:$E$155,"2026-06"))</f>
        <v>0.5833333333333334</v>
      </c>
      <c r="I104" s="27" t="n">
        <f>IF(COUNT(F104:H104)=0,"",AVERAGE(F104:H104))</f>
        <v>0.7916666666666667</v>
      </c>
      <c r="J104" s="27" t="n">
        <f>IF(K104=0,"",L104/K104)</f>
        <v>0.6875</v>
      </c>
      <c r="K104" s="23" t="n">
        <f>SUMIFS('供应商月度明细'!$F$5:$F$155,'供应商月度明细'!$A$5:$A$155,$A104,'供应商月度明细'!$C$5:$C$155,$C104,'供应商月度明细'!$D$5:$D$155,$E104)</f>
        <v>16</v>
      </c>
      <c r="L104" s="23" t="n">
        <f>SUMIFS('供应商月度明细'!$H$5:$H$155,'供应商月度明细'!$A$5:$A$155,$A104,'供应商月度明细'!$C$5:$C$155,$C104,'供应商月度明细'!$D$5:$D$155,$E104)</f>
        <v>11</v>
      </c>
    </row>
    <row r="105">
      <c r="A105" s="31" t="str">
        <v>波兰区</v>
      </c>
      <c r="B105" s="31" t="str">
        <v>Eurojob-West</v>
      </c>
      <c r="C105" s="31" t="str">
        <v>S000297</v>
      </c>
      <c r="D105" s="31" t="str">
        <v>供应商汇总</v>
      </c>
      <c r="E105" s="31" t="str">
        <v>全部工种</v>
      </c>
      <c r="F105" s="32" t="str">
        <f>IF(SUMIFS('供应商月度明细'!$F$5:$F$155,'供应商月度明细'!$A$5:$A$155,$A105,'供应商月度明细'!$C$5:$C$155,$C105,'供应商月度明细'!$E$5:$E$155,"2026-04")=0,"",SUMIFS('供应商月度明细'!$H$5:$H$155,'供应商月度明细'!$A$5:$A$155,$A105,'供应商月度明细'!$C$5:$C$155,$C105,'供应商月度明细'!$E$5:$E$155,"2026-04")/SUMIFS('供应商月度明细'!$F$5:$F$155,'供应商月度明细'!$A$5:$A$155,$A105,'供应商月度明细'!$C$5:$C$155,$C105,'供应商月度明细'!$E$5:$E$155,"2026-04"))</f>
      </c>
      <c r="G105" s="32" t="n">
        <f>IF(SUMIFS('供应商月度明细'!$F$5:$F$155,'供应商月度明细'!$A$5:$A$155,$A105,'供应商月度明细'!$C$5:$C$155,$C105,'供应商月度明细'!$E$5:$E$155,"2026-05")=0,"",SUMIFS('供应商月度明细'!$H$5:$H$155,'供应商月度明细'!$A$5:$A$155,$A105,'供应商月度明细'!$C$5:$C$155,$C105,'供应商月度明细'!$E$5:$E$155,"2026-05")/SUMIFS('供应商月度明细'!$F$5:$F$155,'供应商月度明细'!$A$5:$A$155,$A105,'供应商月度明细'!$C$5:$C$155,$C105,'供应商月度明细'!$E$5:$E$155,"2026-05"))</f>
        <v>1</v>
      </c>
      <c r="H105" s="32" t="n">
        <f>IF(SUMIFS('供应商月度明细'!$F$5:$F$155,'供应商月度明细'!$A$5:$A$155,$A105,'供应商月度明细'!$C$5:$C$155,$C105,'供应商月度明细'!$E$5:$E$155,"2026-06")=0,"",SUMIFS('供应商月度明细'!$H$5:$H$155,'供应商月度明细'!$A$5:$A$155,$A105,'供应商月度明细'!$C$5:$C$155,$C105,'供应商月度明细'!$E$5:$E$155,"2026-06")/SUMIFS('供应商月度明细'!$F$5:$F$155,'供应商月度明细'!$A$5:$A$155,$A105,'供应商月度明细'!$C$5:$C$155,$C105,'供应商月度明细'!$E$5:$E$155,"2026-06"))</f>
        <v>0.5833333333333334</v>
      </c>
      <c r="I105" s="32" t="n">
        <f>IF(COUNT(F105:H105)=0,"",AVERAGE(F105:H105))</f>
        <v>0.7916666666666667</v>
      </c>
      <c r="J105" s="32" t="n">
        <f>IF(K105=0,"",L105/K105)</f>
        <v>0.6875</v>
      </c>
      <c r="K105" s="33" t="n">
        <f>SUMIFS('供应商月度明细'!$F$5:$F$155,'供应商月度明细'!$A$5:$A$155,$A105,'供应商月度明细'!$C$5:$C$155,$C105)</f>
        <v>16</v>
      </c>
      <c r="L105" s="33" t="n">
        <f>SUMIFS('供应商月度明细'!$H$5:$H$155,'供应商月度明细'!$A$5:$A$155,$A105,'供应商月度明细'!$C$5:$C$155,$C105)</f>
        <v>11</v>
      </c>
    </row>
    <row r="106">
      <c r="A106" s="34" t="str">
        <v>波兰区</v>
      </c>
      <c r="B106" s="34" t="str">
        <v>全区</v>
      </c>
      <c r="C106" s="34" t="str"/>
      <c r="D106" s="34" t="str">
        <v>区域汇总</v>
      </c>
      <c r="E106" s="34" t="str">
        <v>操作员</v>
      </c>
      <c r="F106" s="35" t="n">
        <f>IF(SUMIFS('供应商月度明细'!$F$5:$F$155,'供应商月度明细'!$A$5:$A$155,$A106,'供应商月度明细'!$D$5:$D$155,$E106,'供应商月度明细'!$E$5:$E$155,"2026-04")=0,"",SUMIFS('供应商月度明细'!$H$5:$H$155,'供应商月度明细'!$A$5:$A$155,$A106,'供应商月度明细'!$D$5:$D$155,$E106,'供应商月度明细'!$E$5:$E$155,"2026-04")/SUMIFS('供应商月度明细'!$F$5:$F$155,'供应商月度明细'!$A$5:$A$155,$A106,'供应商月度明细'!$D$5:$D$155,$E106,'供应商月度明细'!$E$5:$E$155,"2026-04"))</f>
        <v>0.8329896907216495</v>
      </c>
      <c r="G106" s="35" t="n">
        <f>IF(SUMIFS('供应商月度明细'!$F$5:$F$155,'供应商月度明细'!$A$5:$A$155,$A106,'供应商月度明细'!$D$5:$D$155,$E106,'供应商月度明细'!$E$5:$E$155,"2026-05")=0,"",SUMIFS('供应商月度明细'!$H$5:$H$155,'供应商月度明细'!$A$5:$A$155,$A106,'供应商月度明细'!$D$5:$D$155,$E106,'供应商月度明细'!$E$5:$E$155,"2026-05")/SUMIFS('供应商月度明细'!$F$5:$F$155,'供应商月度明细'!$A$5:$A$155,$A106,'供应商月度明细'!$D$5:$D$155,$E106,'供应商月度明细'!$E$5:$E$155,"2026-05"))</f>
        <v>0.5502063273727648</v>
      </c>
      <c r="H106" s="35" t="n">
        <f>IF(SUMIFS('供应商月度明细'!$F$5:$F$155,'供应商月度明细'!$A$5:$A$155,$A106,'供应商月度明细'!$D$5:$D$155,$E106,'供应商月度明细'!$E$5:$E$155,"2026-06")=0,"",SUMIFS('供应商月度明细'!$H$5:$H$155,'供应商月度明细'!$A$5:$A$155,$A106,'供应商月度明细'!$D$5:$D$155,$E106,'供应商月度明细'!$E$5:$E$155,"2026-06")/SUMIFS('供应商月度明细'!$F$5:$F$155,'供应商月度明细'!$A$5:$A$155,$A106,'供应商月度明细'!$D$5:$D$155,$E106,'供应商月度明细'!$E$5:$E$155,"2026-06"))</f>
        <v>0.4103641456582633</v>
      </c>
      <c r="I106" s="35" t="n">
        <f>IF(COUNT(F106:H106)=0,"",AVERAGE(F106:H106))</f>
        <v>0.5978533879175592</v>
      </c>
      <c r="J106" s="35" t="n">
        <f>IF(K106=0,"",L106/K106)</f>
        <v>0.5695742471443406</v>
      </c>
      <c r="K106" s="36" t="n">
        <f>SUMIFS('供应商月度明细'!$F$5:$F$155,'供应商月度明细'!$A$5:$A$155,$A106,'供应商月度明细'!$D$5:$D$155,$E106)</f>
        <v>1926</v>
      </c>
      <c r="L106" s="36" t="n">
        <f>SUMIFS('供应商月度明细'!$H$5:$H$155,'供应商月度明细'!$A$5:$A$155,$A106,'供应商月度明细'!$D$5:$D$155,$E106)</f>
        <v>1097</v>
      </c>
    </row>
    <row r="107">
      <c r="A107" s="37" t="str">
        <v>波兰区</v>
      </c>
      <c r="B107" s="37" t="str">
        <v>全区</v>
      </c>
      <c r="C107" s="37" t="str"/>
      <c r="D107" s="37" t="str">
        <v>区域汇总</v>
      </c>
      <c r="E107" s="37" t="str">
        <v>全部工种</v>
      </c>
      <c r="F107" s="38" t="n">
        <f>IF(SUMIFS('供应商月度明细'!$F$5:$F$155,'供应商月度明细'!$A$5:$A$155,$A107,'供应商月度明细'!$E$5:$E$155,"2026-04")=0,"",SUMIFS('供应商月度明细'!$H$5:$H$155,'供应商月度明细'!$A$5:$A$155,$A107,'供应商月度明细'!$E$5:$E$155,"2026-04")/SUMIFS('供应商月度明细'!$F$5:$F$155,'供应商月度明细'!$A$5:$A$155,$A107,'供应商月度明细'!$E$5:$E$155,"2026-04"))</f>
        <v>0.8329896907216495</v>
      </c>
      <c r="G107" s="38" t="n">
        <f>IF(SUMIFS('供应商月度明细'!$F$5:$F$155,'供应商月度明细'!$A$5:$A$155,$A107,'供应商月度明细'!$E$5:$E$155,"2026-05")=0,"",SUMIFS('供应商月度明细'!$H$5:$H$155,'供应商月度明细'!$A$5:$A$155,$A107,'供应商月度明细'!$E$5:$E$155,"2026-05")/SUMIFS('供应商月度明细'!$F$5:$F$155,'供应商月度明细'!$A$5:$A$155,$A107,'供应商月度明细'!$E$5:$E$155,"2026-05"))</f>
        <v>0.5502063273727648</v>
      </c>
      <c r="H107" s="38" t="n">
        <f>IF(SUMIFS('供应商月度明细'!$F$5:$F$155,'供应商月度明细'!$A$5:$A$155,$A107,'供应商月度明细'!$E$5:$E$155,"2026-06")=0,"",SUMIFS('供应商月度明细'!$H$5:$H$155,'供应商月度明细'!$A$5:$A$155,$A107,'供应商月度明细'!$E$5:$E$155,"2026-06")/SUMIFS('供应商月度明细'!$F$5:$F$155,'供应商月度明细'!$A$5:$A$155,$A107,'供应商月度明细'!$E$5:$E$155,"2026-06"))</f>
        <v>0.4103641456582633</v>
      </c>
      <c r="I107" s="38" t="n">
        <f>IF(COUNT(F107:H107)=0,"",AVERAGE(F107:H107))</f>
        <v>0.5978533879175592</v>
      </c>
      <c r="J107" s="38" t="n">
        <f>IF(K107=0,"",L107/K107)</f>
        <v>0.5695742471443406</v>
      </c>
      <c r="K107" s="39" t="n">
        <f>SUMIFS('供应商月度明细'!$F$5:$F$155,'供应商月度明细'!$A$5:$A$155,$A107)</f>
        <v>1926</v>
      </c>
      <c r="L107" s="39" t="n">
        <f>SUMIFS('供应商月度明细'!$H$5:$H$155,'供应商月度明细'!$A$5:$A$155,$A107)</f>
        <v>1097</v>
      </c>
    </row>
    <row r="108">
      <c r="A108" s="19" t="str">
        <v>捷克区</v>
      </c>
      <c r="B108" s="19" t="str">
        <v>Středoevropská pracovní agentura s.r.o.</v>
      </c>
      <c r="C108" s="19" t="str">
        <v>S000317</v>
      </c>
      <c r="D108" s="19" t="str">
        <v>工种明细</v>
      </c>
      <c r="E108" s="19" t="str">
        <v>操作员</v>
      </c>
      <c r="F108" s="27" t="n">
        <f>IF(SUMIFS('供应商月度明细'!$F$5:$F$155,'供应商月度明细'!$A$5:$A$155,$A108,'供应商月度明细'!$C$5:$C$155,$C108,'供应商月度明细'!$D$5:$D$155,$E108,'供应商月度明细'!$E$5:$E$155,"2026-04")=0,"",SUMIFS('供应商月度明细'!$H$5:$H$155,'供应商月度明细'!$A$5:$A$155,$A108,'供应商月度明细'!$C$5:$C$155,$C108,'供应商月度明细'!$D$5:$D$155,$E108,'供应商月度明细'!$E$5:$E$155,"2026-04")/SUMIFS('供应商月度明细'!$F$5:$F$155,'供应商月度明细'!$A$5:$A$155,$A108,'供应商月度明细'!$C$5:$C$155,$C108,'供应商月度明细'!$D$5:$D$155,$E108,'供应商月度明细'!$E$5:$E$155,"2026-04"))</f>
        <v>0.125</v>
      </c>
      <c r="G108" s="27" t="n">
        <f>IF(SUMIFS('供应商月度明细'!$F$5:$F$155,'供应商月度明细'!$A$5:$A$155,$A108,'供应商月度明细'!$C$5:$C$155,$C108,'供应商月度明细'!$D$5:$D$155,$E108,'供应商月度明细'!$E$5:$E$155,"2026-05")=0,"",SUMIFS('供应商月度明细'!$H$5:$H$155,'供应商月度明细'!$A$5:$A$155,$A108,'供应商月度明细'!$C$5:$C$155,$C108,'供应商月度明细'!$D$5:$D$155,$E108,'供应商月度明细'!$E$5:$E$155,"2026-05")/SUMIFS('供应商月度明细'!$F$5:$F$155,'供应商月度明细'!$A$5:$A$155,$A108,'供应商月度明细'!$C$5:$C$155,$C108,'供应商月度明细'!$D$5:$D$155,$E108,'供应商月度明细'!$E$5:$E$155,"2026-05"))</f>
        <v>0</v>
      </c>
      <c r="H108" s="27" t="n">
        <f>IF(SUMIFS('供应商月度明细'!$F$5:$F$155,'供应商月度明细'!$A$5:$A$155,$A108,'供应商月度明细'!$C$5:$C$155,$C108,'供应商月度明细'!$D$5:$D$155,$E108,'供应商月度明细'!$E$5:$E$155,"2026-06")=0,"",SUMIFS('供应商月度明细'!$H$5:$H$155,'供应商月度明细'!$A$5:$A$155,$A108,'供应商月度明细'!$C$5:$C$155,$C108,'供应商月度明细'!$D$5:$D$155,$E108,'供应商月度明细'!$E$5:$E$155,"2026-06")/SUMIFS('供应商月度明细'!$F$5:$F$155,'供应商月度明细'!$A$5:$A$155,$A108,'供应商月度明细'!$C$5:$C$155,$C108,'供应商月度明细'!$D$5:$D$155,$E108,'供应商月度明细'!$E$5:$E$155,"2026-06"))</f>
        <v>0.72</v>
      </c>
      <c r="I108" s="27" t="n">
        <f>IF(COUNT(F108:H108)=0,"",AVERAGE(F108:H108))</f>
        <v>0.2816666666666667</v>
      </c>
      <c r="J108" s="27" t="n">
        <f>IF(K108=0,"",L108/K108)</f>
        <v>0.5211267605633803</v>
      </c>
      <c r="K108" s="23" t="n">
        <f>SUMIFS('供应商月度明细'!$F$5:$F$155,'供应商月度明细'!$A$5:$A$155,$A108,'供应商月度明细'!$C$5:$C$155,$C108,'供应商月度明细'!$D$5:$D$155,$E108)</f>
        <v>71</v>
      </c>
      <c r="L108" s="23" t="n">
        <f>SUMIFS('供应商月度明细'!$H$5:$H$155,'供应商月度明细'!$A$5:$A$155,$A108,'供应商月度明细'!$C$5:$C$155,$C108,'供应商月度明细'!$D$5:$D$155,$E108)</f>
        <v>37</v>
      </c>
    </row>
    <row r="109">
      <c r="A109" s="19" t="str">
        <v>捷克区</v>
      </c>
      <c r="B109" s="19" t="str">
        <v>Středoevropská pracovní agentura s.r.o.</v>
      </c>
      <c r="C109" s="19" t="str">
        <v>S000317</v>
      </c>
      <c r="D109" s="19" t="str">
        <v>工种明细</v>
      </c>
      <c r="E109" s="19" t="str">
        <v>叉车司机</v>
      </c>
      <c r="F109" s="27" t="n">
        <f>IF(SUMIFS('供应商月度明细'!$F$5:$F$155,'供应商月度明细'!$A$5:$A$155,$A109,'供应商月度明细'!$C$5:$C$155,$C109,'供应商月度明细'!$D$5:$D$155,$E109,'供应商月度明细'!$E$5:$E$155,"2026-04")=0,"",SUMIFS('供应商月度明细'!$H$5:$H$155,'供应商月度明细'!$A$5:$A$155,$A109,'供应商月度明细'!$C$5:$C$155,$C109,'供应商月度明细'!$D$5:$D$155,$E109,'供应商月度明细'!$E$5:$E$155,"2026-04")/SUMIFS('供应商月度明细'!$F$5:$F$155,'供应商月度明细'!$A$5:$A$155,$A109,'供应商月度明细'!$C$5:$C$155,$C109,'供应商月度明细'!$D$5:$D$155,$E109,'供应商月度明细'!$E$5:$E$155,"2026-04"))</f>
        <v>0.1</v>
      </c>
      <c r="G109" s="27" t="n">
        <f>IF(SUMIFS('供应商月度明细'!$F$5:$F$155,'供应商月度明细'!$A$5:$A$155,$A109,'供应商月度明细'!$C$5:$C$155,$C109,'供应商月度明细'!$D$5:$D$155,$E109,'供应商月度明细'!$E$5:$E$155,"2026-05")=0,"",SUMIFS('供应商月度明细'!$H$5:$H$155,'供应商月度明细'!$A$5:$A$155,$A109,'供应商月度明细'!$C$5:$C$155,$C109,'供应商月度明细'!$D$5:$D$155,$E109,'供应商月度明细'!$E$5:$E$155,"2026-05")/SUMIFS('供应商月度明细'!$F$5:$F$155,'供应商月度明细'!$A$5:$A$155,$A109,'供应商月度明细'!$C$5:$C$155,$C109,'供应商月度明细'!$D$5:$D$155,$E109,'供应商月度明细'!$E$5:$E$155,"2026-05"))</f>
        <v>0</v>
      </c>
      <c r="H109" s="27" t="n">
        <f>IF(SUMIFS('供应商月度明细'!$F$5:$F$155,'供应商月度明细'!$A$5:$A$155,$A109,'供应商月度明细'!$C$5:$C$155,$C109,'供应商月度明细'!$D$5:$D$155,$E109,'供应商月度明细'!$E$5:$E$155,"2026-06")=0,"",SUMIFS('供应商月度明细'!$H$5:$H$155,'供应商月度明细'!$A$5:$A$155,$A109,'供应商月度明细'!$C$5:$C$155,$C109,'供应商月度明细'!$D$5:$D$155,$E109,'供应商月度明细'!$E$5:$E$155,"2026-06")/SUMIFS('供应商月度明细'!$F$5:$F$155,'供应商月度明细'!$A$5:$A$155,$A109,'供应商月度明细'!$C$5:$C$155,$C109,'供应商月度明细'!$D$5:$D$155,$E109,'供应商月度明细'!$E$5:$E$155,"2026-06"))</f>
        <v>0.32</v>
      </c>
      <c r="I109" s="27" t="n">
        <f>IF(COUNT(F109:H109)=0,"",AVERAGE(F109:H109))</f>
        <v>0.14</v>
      </c>
      <c r="J109" s="27" t="n">
        <f>IF(K109=0,"",L109/K109)</f>
        <v>0.15517241379310345</v>
      </c>
      <c r="K109" s="23" t="n">
        <f>SUMIFS('供应商月度明细'!$F$5:$F$155,'供应商月度明细'!$A$5:$A$155,$A109,'供应商月度明细'!$C$5:$C$155,$C109,'供应商月度明细'!$D$5:$D$155,$E109)</f>
        <v>58</v>
      </c>
      <c r="L109" s="23" t="n">
        <f>SUMIFS('供应商月度明细'!$H$5:$H$155,'供应商月度明细'!$A$5:$A$155,$A109,'供应商月度明细'!$C$5:$C$155,$C109,'供应商月度明细'!$D$5:$D$155,$E109)</f>
        <v>9</v>
      </c>
    </row>
    <row r="110">
      <c r="A110" s="31" t="str">
        <v>捷克区</v>
      </c>
      <c r="B110" s="31" t="str">
        <v>Středoevropská pracovní agentura s.r.o.</v>
      </c>
      <c r="C110" s="31" t="str">
        <v>S000317</v>
      </c>
      <c r="D110" s="31" t="str">
        <v>供应商汇总</v>
      </c>
      <c r="E110" s="31" t="str">
        <v>全部工种</v>
      </c>
      <c r="F110" s="32" t="n">
        <f>IF(SUMIFS('供应商月度明细'!$F$5:$F$155,'供应商月度明细'!$A$5:$A$155,$A110,'供应商月度明细'!$C$5:$C$155,$C110,'供应商月度明细'!$E$5:$E$155,"2026-04")=0,"",SUMIFS('供应商月度明细'!$H$5:$H$155,'供应商月度明细'!$A$5:$A$155,$A110,'供应商月度明细'!$C$5:$C$155,$C110,'供应商月度明细'!$E$5:$E$155,"2026-04")/SUMIFS('供应商月度明细'!$F$5:$F$155,'供应商月度明细'!$A$5:$A$155,$A110,'供应商月度明细'!$C$5:$C$155,$C110,'供应商月度明细'!$E$5:$E$155,"2026-04"))</f>
        <v>0.1111111111111111</v>
      </c>
      <c r="G110" s="32" t="n">
        <f>IF(SUMIFS('供应商月度明细'!$F$5:$F$155,'供应商月度明细'!$A$5:$A$155,$A110,'供应商月度明细'!$C$5:$C$155,$C110,'供应商月度明细'!$E$5:$E$155,"2026-05")=0,"",SUMIFS('供应商月度明细'!$H$5:$H$155,'供应商月度明细'!$A$5:$A$155,$A110,'供应商月度明细'!$C$5:$C$155,$C110,'供应商月度明细'!$E$5:$E$155,"2026-05")/SUMIFS('供应商月度明细'!$F$5:$F$155,'供应商月度明细'!$A$5:$A$155,$A110,'供应商月度明细'!$C$5:$C$155,$C110,'供应商月度明细'!$E$5:$E$155,"2026-05"))</f>
        <v>0</v>
      </c>
      <c r="H110" s="32" t="n">
        <f>IF(SUMIFS('供应商月度明细'!$F$5:$F$155,'供应商月度明细'!$A$5:$A$155,$A110,'供应商月度明细'!$C$5:$C$155,$C110,'供应商月度明细'!$E$5:$E$155,"2026-06")=0,"",SUMIFS('供应商月度明细'!$H$5:$H$155,'供应商月度明细'!$A$5:$A$155,$A110,'供应商月度明细'!$C$5:$C$155,$C110,'供应商月度明细'!$E$5:$E$155,"2026-06")/SUMIFS('供应商月度明细'!$F$5:$F$155,'供应商月度明细'!$A$5:$A$155,$A110,'供应商月度明细'!$C$5:$C$155,$C110,'供应商月度明细'!$E$5:$E$155,"2026-06"))</f>
        <v>0.5866666666666667</v>
      </c>
      <c r="I110" s="32" t="n">
        <f>IF(COUNT(F110:H110)=0,"",AVERAGE(F110:H110))</f>
        <v>0.2325925925925926</v>
      </c>
      <c r="J110" s="32" t="n">
        <f>IF(K110=0,"",L110/K110)</f>
        <v>0.35658914728682173</v>
      </c>
      <c r="K110" s="33" t="n">
        <f>SUMIFS('供应商月度明细'!$F$5:$F$155,'供应商月度明细'!$A$5:$A$155,$A110,'供应商月度明细'!$C$5:$C$155,$C110)</f>
        <v>129</v>
      </c>
      <c r="L110" s="33" t="n">
        <f>SUMIFS('供应商月度明细'!$H$5:$H$155,'供应商月度明细'!$A$5:$A$155,$A110,'供应商月度明细'!$C$5:$C$155,$C110)</f>
        <v>46</v>
      </c>
    </row>
    <row r="111">
      <c r="A111" s="19" t="str">
        <v>捷克区</v>
      </c>
      <c r="B111" s="19" t="str">
        <v>PERSONALEK Plus s.r.o.</v>
      </c>
      <c r="C111" s="19" t="str">
        <v>S000098</v>
      </c>
      <c r="D111" s="19" t="str">
        <v>工种明细</v>
      </c>
      <c r="E111" s="19" t="str">
        <v>操作员</v>
      </c>
      <c r="F111" s="27" t="n">
        <f>IF(SUMIFS('供应商月度明细'!$F$5:$F$155,'供应商月度明细'!$A$5:$A$155,$A111,'供应商月度明细'!$C$5:$C$155,$C111,'供应商月度明细'!$D$5:$D$155,$E111,'供应商月度明细'!$E$5:$E$155,"2026-04")=0,"",SUMIFS('供应商月度明细'!$H$5:$H$155,'供应商月度明细'!$A$5:$A$155,$A111,'供应商月度明细'!$C$5:$C$155,$C111,'供应商月度明细'!$D$5:$D$155,$E111,'供应商月度明细'!$E$5:$E$155,"2026-04")/SUMIFS('供应商月度明细'!$F$5:$F$155,'供应商月度明细'!$A$5:$A$155,$A111,'供应商月度明细'!$C$5:$C$155,$C111,'供应商月度明细'!$D$5:$D$155,$E111,'供应商月度明细'!$E$5:$E$155,"2026-04"))</f>
        <v>1</v>
      </c>
      <c r="G111" s="27" t="n">
        <f>IF(SUMIFS('供应商月度明细'!$F$5:$F$155,'供应商月度明细'!$A$5:$A$155,$A111,'供应商月度明细'!$C$5:$C$155,$C111,'供应商月度明细'!$D$5:$D$155,$E111,'供应商月度明细'!$E$5:$E$155,"2026-05")=0,"",SUMIFS('供应商月度明细'!$H$5:$H$155,'供应商月度明细'!$A$5:$A$155,$A111,'供应商月度明细'!$C$5:$C$155,$C111,'供应商月度明细'!$D$5:$D$155,$E111,'供应商月度明细'!$E$5:$E$155,"2026-05")/SUMIFS('供应商月度明细'!$F$5:$F$155,'供应商月度明细'!$A$5:$A$155,$A111,'供应商月度明细'!$C$5:$C$155,$C111,'供应商月度明细'!$D$5:$D$155,$E111,'供应商月度明细'!$E$5:$E$155,"2026-05"))</f>
        <v>0</v>
      </c>
      <c r="H111" s="27" t="n">
        <f>IF(SUMIFS('供应商月度明细'!$F$5:$F$155,'供应商月度明细'!$A$5:$A$155,$A111,'供应商月度明细'!$C$5:$C$155,$C111,'供应商月度明细'!$D$5:$D$155,$E111,'供应商月度明细'!$E$5:$E$155,"2026-06")=0,"",SUMIFS('供应商月度明细'!$H$5:$H$155,'供应商月度明细'!$A$5:$A$155,$A111,'供应商月度明细'!$C$5:$C$155,$C111,'供应商月度明细'!$D$5:$D$155,$E111,'供应商月度明细'!$E$5:$E$155,"2026-06")/SUMIFS('供应商月度明细'!$F$5:$F$155,'供应商月度明细'!$A$5:$A$155,$A111,'供应商月度明细'!$C$5:$C$155,$C111,'供应商月度明细'!$D$5:$D$155,$E111,'供应商月度明细'!$E$5:$E$155,"2026-06"))</f>
        <v>0.5</v>
      </c>
      <c r="I111" s="27" t="n">
        <f>IF(COUNT(F111:H111)=0,"",AVERAGE(F111:H111))</f>
        <v>0.5</v>
      </c>
      <c r="J111" s="27" t="n">
        <f>IF(K111=0,"",L111/K111)</f>
        <v>0.4</v>
      </c>
      <c r="K111" s="23" t="n">
        <f>SUMIFS('供应商月度明细'!$F$5:$F$155,'供应商月度明细'!$A$5:$A$155,$A111,'供应商月度明细'!$C$5:$C$155,$C111,'供应商月度明细'!$D$5:$D$155,$E111)</f>
        <v>15</v>
      </c>
      <c r="L111" s="23" t="n">
        <f>SUMIFS('供应商月度明细'!$H$5:$H$155,'供应商月度明细'!$A$5:$A$155,$A111,'供应商月度明细'!$C$5:$C$155,$C111,'供应商月度明细'!$D$5:$D$155,$E111)</f>
        <v>6</v>
      </c>
    </row>
    <row r="112">
      <c r="A112" s="19" t="str">
        <v>捷克区</v>
      </c>
      <c r="B112" s="19" t="str">
        <v>PERSONALEK Plus s.r.o.</v>
      </c>
      <c r="C112" s="19" t="str">
        <v>S000098</v>
      </c>
      <c r="D112" s="19" t="str">
        <v>工种明细</v>
      </c>
      <c r="E112" s="19" t="str">
        <v>叉车司机</v>
      </c>
      <c r="F112" s="27" t="n">
        <f>IF(SUMIFS('供应商月度明细'!$F$5:$F$155,'供应商月度明细'!$A$5:$A$155,$A112,'供应商月度明细'!$C$5:$C$155,$C112,'供应商月度明细'!$D$5:$D$155,$E112,'供应商月度明细'!$E$5:$E$155,"2026-04")=0,"",SUMIFS('供应商月度明细'!$H$5:$H$155,'供应商月度明细'!$A$5:$A$155,$A112,'供应商月度明细'!$C$5:$C$155,$C112,'供应商月度明细'!$D$5:$D$155,$E112,'供应商月度明细'!$E$5:$E$155,"2026-04")/SUMIFS('供应商月度明细'!$F$5:$F$155,'供应商月度明细'!$A$5:$A$155,$A112,'供应商月度明细'!$C$5:$C$155,$C112,'供应商月度明细'!$D$5:$D$155,$E112,'供应商月度明细'!$E$5:$E$155,"2026-04"))</f>
        <v>1</v>
      </c>
      <c r="G112" s="27" t="str">
        <f>IF(SUMIFS('供应商月度明细'!$F$5:$F$155,'供应商月度明细'!$A$5:$A$155,$A112,'供应商月度明细'!$C$5:$C$155,$C112,'供应商月度明细'!$D$5:$D$155,$E112,'供应商月度明细'!$E$5:$E$155,"2026-05")=0,"",SUMIFS('供应商月度明细'!$H$5:$H$155,'供应商月度明细'!$A$5:$A$155,$A112,'供应商月度明细'!$C$5:$C$155,$C112,'供应商月度明细'!$D$5:$D$155,$E112,'供应商月度明细'!$E$5:$E$155,"2026-05")/SUMIFS('供应商月度明细'!$F$5:$F$155,'供应商月度明细'!$A$5:$A$155,$A112,'供应商月度明细'!$C$5:$C$155,$C112,'供应商月度明细'!$D$5:$D$155,$E112,'供应商月度明细'!$E$5:$E$155,"2026-05"))</f>
      </c>
      <c r="H112" s="27" t="n">
        <f>IF(SUMIFS('供应商月度明细'!$F$5:$F$155,'供应商月度明细'!$A$5:$A$155,$A112,'供应商月度明细'!$C$5:$C$155,$C112,'供应商月度明细'!$D$5:$D$155,$E112,'供应商月度明细'!$E$5:$E$155,"2026-06")=0,"",SUMIFS('供应商月度明细'!$H$5:$H$155,'供应商月度明细'!$A$5:$A$155,$A112,'供应商月度明细'!$C$5:$C$155,$C112,'供应商月度明细'!$D$5:$D$155,$E112,'供应商月度明细'!$E$5:$E$155,"2026-06")/SUMIFS('供应商月度明细'!$F$5:$F$155,'供应商月度明细'!$A$5:$A$155,$A112,'供应商月度明细'!$C$5:$C$155,$C112,'供应商月度明细'!$D$5:$D$155,$E112,'供应商月度明细'!$E$5:$E$155,"2026-06"))</f>
        <v>0.6</v>
      </c>
      <c r="I112" s="27" t="n">
        <f>IF(COUNT(F112:H112)=0,"",AVERAGE(F112:H112))</f>
        <v>0.8</v>
      </c>
      <c r="J112" s="27" t="n">
        <f>IF(K112=0,"",L112/K112)</f>
        <v>0.625</v>
      </c>
      <c r="K112" s="23" t="n">
        <f>SUMIFS('供应商月度明细'!$F$5:$F$155,'供应商月度明细'!$A$5:$A$155,$A112,'供应商月度明细'!$C$5:$C$155,$C112,'供应商月度明细'!$D$5:$D$155,$E112)</f>
        <v>16</v>
      </c>
      <c r="L112" s="23" t="n">
        <f>SUMIFS('供应商月度明细'!$H$5:$H$155,'供应商月度明细'!$A$5:$A$155,$A112,'供应商月度明细'!$C$5:$C$155,$C112,'供应商月度明细'!$D$5:$D$155,$E112)</f>
        <v>10</v>
      </c>
    </row>
    <row r="113">
      <c r="A113" s="19" t="str">
        <v>捷克区</v>
      </c>
      <c r="B113" s="19" t="str">
        <v>PERSONALEK Plus s.r.o.</v>
      </c>
      <c r="C113" s="19" t="str">
        <v>S000098</v>
      </c>
      <c r="D113" s="19" t="str">
        <v>工种明细</v>
      </c>
      <c r="E113" s="19" t="str">
        <v>交运员 3.5T</v>
      </c>
      <c r="F113" s="27" t="str">
        <f>IF(SUMIFS('供应商月度明细'!$F$5:$F$155,'供应商月度明细'!$A$5:$A$155,$A113,'供应商月度明细'!$C$5:$C$155,$C113,'供应商月度明细'!$D$5:$D$155,$E113,'供应商月度明细'!$E$5:$E$155,"2026-04")=0,"",SUMIFS('供应商月度明细'!$H$5:$H$155,'供应商月度明细'!$A$5:$A$155,$A113,'供应商月度明细'!$C$5:$C$155,$C113,'供应商月度明细'!$D$5:$D$155,$E113,'供应商月度明细'!$E$5:$E$155,"2026-04")/SUMIFS('供应商月度明细'!$F$5:$F$155,'供应商月度明细'!$A$5:$A$155,$A113,'供应商月度明细'!$C$5:$C$155,$C113,'供应商月度明细'!$D$5:$D$155,$E113,'供应商月度明细'!$E$5:$E$155,"2026-04"))</f>
      </c>
      <c r="G113" s="27" t="str">
        <f>IF(SUMIFS('供应商月度明细'!$F$5:$F$155,'供应商月度明细'!$A$5:$A$155,$A113,'供应商月度明细'!$C$5:$C$155,$C113,'供应商月度明细'!$D$5:$D$155,$E113,'供应商月度明细'!$E$5:$E$155,"2026-05")=0,"",SUMIFS('供应商月度明细'!$H$5:$H$155,'供应商月度明细'!$A$5:$A$155,$A113,'供应商月度明细'!$C$5:$C$155,$C113,'供应商月度明细'!$D$5:$D$155,$E113,'供应商月度明细'!$E$5:$E$155,"2026-05")/SUMIFS('供应商月度明细'!$F$5:$F$155,'供应商月度明细'!$A$5:$A$155,$A113,'供应商月度明细'!$C$5:$C$155,$C113,'供应商月度明细'!$D$5:$D$155,$E113,'供应商月度明细'!$E$5:$E$155,"2026-05"))</f>
      </c>
      <c r="H113" s="27" t="n">
        <f>IF(SUMIFS('供应商月度明细'!$F$5:$F$155,'供应商月度明细'!$A$5:$A$155,$A113,'供应商月度明细'!$C$5:$C$155,$C113,'供应商月度明细'!$D$5:$D$155,$E113,'供应商月度明细'!$E$5:$E$155,"2026-06")=0,"",SUMIFS('供应商月度明细'!$H$5:$H$155,'供应商月度明细'!$A$5:$A$155,$A113,'供应商月度明细'!$C$5:$C$155,$C113,'供应商月度明细'!$D$5:$D$155,$E113,'供应商月度明细'!$E$5:$E$155,"2026-06")/SUMIFS('供应商月度明细'!$F$5:$F$155,'供应商月度明细'!$A$5:$A$155,$A113,'供应商月度明细'!$C$5:$C$155,$C113,'供应商月度明细'!$D$5:$D$155,$E113,'供应商月度明细'!$E$5:$E$155,"2026-06"))</f>
        <v>1</v>
      </c>
      <c r="I113" s="27" t="n">
        <f>IF(COUNT(F113:H113)=0,"",AVERAGE(F113:H113))</f>
        <v>1</v>
      </c>
      <c r="J113" s="27" t="n">
        <f>IF(K113=0,"",L113/K113)</f>
        <v>1</v>
      </c>
      <c r="K113" s="23" t="n">
        <f>SUMIFS('供应商月度明细'!$F$5:$F$155,'供应商月度明细'!$A$5:$A$155,$A113,'供应商月度明细'!$C$5:$C$155,$C113,'供应商月度明细'!$D$5:$D$155,$E113)</f>
        <v>5</v>
      </c>
      <c r="L113" s="23" t="n">
        <f>SUMIFS('供应商月度明细'!$H$5:$H$155,'供应商月度明细'!$A$5:$A$155,$A113,'供应商月度明细'!$C$5:$C$155,$C113,'供应商月度明细'!$D$5:$D$155,$E113)</f>
        <v>5</v>
      </c>
    </row>
    <row r="114">
      <c r="A114" s="31" t="str">
        <v>捷克区</v>
      </c>
      <c r="B114" s="31" t="str">
        <v>PERSONALEK Plus s.r.o.</v>
      </c>
      <c r="C114" s="31" t="str">
        <v>S000098</v>
      </c>
      <c r="D114" s="31" t="str">
        <v>供应商汇总</v>
      </c>
      <c r="E114" s="31" t="str">
        <v>全部工种</v>
      </c>
      <c r="F114" s="32" t="n">
        <f>IF(SUMIFS('供应商月度明细'!$F$5:$F$155,'供应商月度明细'!$A$5:$A$155,$A114,'供应商月度明细'!$C$5:$C$155,$C114,'供应商月度明细'!$E$5:$E$155,"2026-04")=0,"",SUMIFS('供应商月度明细'!$H$5:$H$155,'供应商月度明细'!$A$5:$A$155,$A114,'供应商月度明细'!$C$5:$C$155,$C114,'供应商月度明细'!$E$5:$E$155,"2026-04")/SUMIFS('供应商月度明细'!$F$5:$F$155,'供应商月度明细'!$A$5:$A$155,$A114,'供应商月度明细'!$C$5:$C$155,$C114,'供应商月度明细'!$E$5:$E$155,"2026-04"))</f>
        <v>1</v>
      </c>
      <c r="G114" s="32" t="n">
        <f>IF(SUMIFS('供应商月度明细'!$F$5:$F$155,'供应商月度明细'!$A$5:$A$155,$A114,'供应商月度明细'!$C$5:$C$155,$C114,'供应商月度明细'!$E$5:$E$155,"2026-05")=0,"",SUMIFS('供应商月度明细'!$H$5:$H$155,'供应商月度明细'!$A$5:$A$155,$A114,'供应商月度明细'!$C$5:$C$155,$C114,'供应商月度明细'!$E$5:$E$155,"2026-05")/SUMIFS('供应商月度明细'!$F$5:$F$155,'供应商月度明细'!$A$5:$A$155,$A114,'供应商月度明细'!$C$5:$C$155,$C114,'供应商月度明细'!$E$5:$E$155,"2026-05"))</f>
        <v>0</v>
      </c>
      <c r="H114" s="32" t="n">
        <f>IF(SUMIFS('供应商月度明细'!$F$5:$F$155,'供应商月度明细'!$A$5:$A$155,$A114,'供应商月度明细'!$C$5:$C$155,$C114,'供应商月度明细'!$E$5:$E$155,"2026-06")=0,"",SUMIFS('供应商月度明细'!$H$5:$H$155,'供应商月度明细'!$A$5:$A$155,$A114,'供应商月度明细'!$C$5:$C$155,$C114,'供应商月度明细'!$E$5:$E$155,"2026-06")/SUMIFS('供应商月度明细'!$F$5:$F$155,'供应商月度明细'!$A$5:$A$155,$A114,'供应商月度明细'!$C$5:$C$155,$C114,'供应商月度明细'!$E$5:$E$155,"2026-06"))</f>
        <v>0.6333333333333333</v>
      </c>
      <c r="I114" s="32" t="n">
        <f>IF(COUNT(F114:H114)=0,"",AVERAGE(F114:H114))</f>
        <v>0.5444444444444444</v>
      </c>
      <c r="J114" s="32" t="n">
        <f>IF(K114=0,"",L114/K114)</f>
        <v>0.5833333333333334</v>
      </c>
      <c r="K114" s="33" t="n">
        <f>SUMIFS('供应商月度明细'!$F$5:$F$155,'供应商月度明细'!$A$5:$A$155,$A114,'供应商月度明细'!$C$5:$C$155,$C114)</f>
        <v>36</v>
      </c>
      <c r="L114" s="33" t="n">
        <f>SUMIFS('供应商月度明细'!$H$5:$H$155,'供应商月度明细'!$A$5:$A$155,$A114,'供应商月度明细'!$C$5:$C$155,$C114)</f>
        <v>21</v>
      </c>
    </row>
    <row r="115">
      <c r="A115" s="19" t="str">
        <v>捷克区</v>
      </c>
      <c r="B115" s="19" t="str">
        <v>Easy Jobs s.r.o.</v>
      </c>
      <c r="C115" s="19" t="str">
        <v>S000310</v>
      </c>
      <c r="D115" s="19" t="str">
        <v>工种明细</v>
      </c>
      <c r="E115" s="19" t="str">
        <v>操作员</v>
      </c>
      <c r="F115" s="27" t="str">
        <f>IF(SUMIFS('供应商月度明细'!$F$5:$F$155,'供应商月度明细'!$A$5:$A$155,$A115,'供应商月度明细'!$C$5:$C$155,$C115,'供应商月度明细'!$D$5:$D$155,$E115,'供应商月度明细'!$E$5:$E$155,"2026-04")=0,"",SUMIFS('供应商月度明细'!$H$5:$H$155,'供应商月度明细'!$A$5:$A$155,$A115,'供应商月度明细'!$C$5:$C$155,$C115,'供应商月度明细'!$D$5:$D$155,$E115,'供应商月度明细'!$E$5:$E$155,"2026-04")/SUMIFS('供应商月度明细'!$F$5:$F$155,'供应商月度明细'!$A$5:$A$155,$A115,'供应商月度明细'!$C$5:$C$155,$C115,'供应商月度明细'!$D$5:$D$155,$E115,'供应商月度明细'!$E$5:$E$155,"2026-04"))</f>
      </c>
      <c r="G115" s="27" t="n">
        <f>IF(SUMIFS('供应商月度明细'!$F$5:$F$155,'供应商月度明细'!$A$5:$A$155,$A115,'供应商月度明细'!$C$5:$C$155,$C115,'供应商月度明细'!$D$5:$D$155,$E115,'供应商月度明细'!$E$5:$E$155,"2026-05")=0,"",SUMIFS('供应商月度明细'!$H$5:$H$155,'供应商月度明细'!$A$5:$A$155,$A115,'供应商月度明细'!$C$5:$C$155,$C115,'供应商月度明细'!$D$5:$D$155,$E115,'供应商月度明细'!$E$5:$E$155,"2026-05")/SUMIFS('供应商月度明细'!$F$5:$F$155,'供应商月度明细'!$A$5:$A$155,$A115,'供应商月度明细'!$C$5:$C$155,$C115,'供应商月度明细'!$D$5:$D$155,$E115,'供应商月度明细'!$E$5:$E$155,"2026-05"))</f>
        <v>1</v>
      </c>
      <c r="H115" s="27" t="n">
        <f>IF(SUMIFS('供应商月度明细'!$F$5:$F$155,'供应商月度明细'!$A$5:$A$155,$A115,'供应商月度明细'!$C$5:$C$155,$C115,'供应商月度明细'!$D$5:$D$155,$E115,'供应商月度明细'!$E$5:$E$155,"2026-06")=0,"",SUMIFS('供应商月度明细'!$H$5:$H$155,'供应商月度明细'!$A$5:$A$155,$A115,'供应商月度明细'!$C$5:$C$155,$C115,'供应商月度明细'!$D$5:$D$155,$E115,'供应商月度明细'!$E$5:$E$155,"2026-06")/SUMIFS('供应商月度明细'!$F$5:$F$155,'供应商月度明细'!$A$5:$A$155,$A115,'供应商月度明细'!$C$5:$C$155,$C115,'供应商月度明细'!$D$5:$D$155,$E115,'供应商月度明细'!$E$5:$E$155,"2026-06"))</f>
        <v>0</v>
      </c>
      <c r="I115" s="27" t="n">
        <f>IF(COUNT(F115:H115)=0,"",AVERAGE(F115:H115))</f>
        <v>0.5</v>
      </c>
      <c r="J115" s="27" t="n">
        <f>IF(K115=0,"",L115/K115)</f>
        <v>0.5</v>
      </c>
      <c r="K115" s="23" t="n">
        <f>SUMIFS('供应商月度明细'!$F$5:$F$155,'供应商月度明细'!$A$5:$A$155,$A115,'供应商月度明细'!$C$5:$C$155,$C115,'供应商月度明细'!$D$5:$D$155,$E115)</f>
        <v>12</v>
      </c>
      <c r="L115" s="23" t="n">
        <f>SUMIFS('供应商月度明细'!$H$5:$H$155,'供应商月度明细'!$A$5:$A$155,$A115,'供应商月度明细'!$C$5:$C$155,$C115,'供应商月度明细'!$D$5:$D$155,$E115)</f>
        <v>6</v>
      </c>
    </row>
    <row r="116">
      <c r="A116" s="19" t="str">
        <v>捷克区</v>
      </c>
      <c r="B116" s="19" t="str">
        <v>Easy Jobs s.r.o.</v>
      </c>
      <c r="C116" s="19" t="str">
        <v>S000310</v>
      </c>
      <c r="D116" s="19" t="str">
        <v>工种明细</v>
      </c>
      <c r="E116" s="19" t="str">
        <v>叉车司机</v>
      </c>
      <c r="F116" s="27" t="str">
        <f>IF(SUMIFS('供应商月度明细'!$F$5:$F$155,'供应商月度明细'!$A$5:$A$155,$A116,'供应商月度明细'!$C$5:$C$155,$C116,'供应商月度明细'!$D$5:$D$155,$E116,'供应商月度明细'!$E$5:$E$155,"2026-04")=0,"",SUMIFS('供应商月度明细'!$H$5:$H$155,'供应商月度明细'!$A$5:$A$155,$A116,'供应商月度明细'!$C$5:$C$155,$C116,'供应商月度明细'!$D$5:$D$155,$E116,'供应商月度明细'!$E$5:$E$155,"2026-04")/SUMIFS('供应商月度明细'!$F$5:$F$155,'供应商月度明细'!$A$5:$A$155,$A116,'供应商月度明细'!$C$5:$C$155,$C116,'供应商月度明细'!$D$5:$D$155,$E116,'供应商月度明细'!$E$5:$E$155,"2026-04"))</f>
      </c>
      <c r="G116" s="27" t="str">
        <f>IF(SUMIFS('供应商月度明细'!$F$5:$F$155,'供应商月度明细'!$A$5:$A$155,$A116,'供应商月度明细'!$C$5:$C$155,$C116,'供应商月度明细'!$D$5:$D$155,$E116,'供应商月度明细'!$E$5:$E$155,"2026-05")=0,"",SUMIFS('供应商月度明细'!$H$5:$H$155,'供应商月度明细'!$A$5:$A$155,$A116,'供应商月度明细'!$C$5:$C$155,$C116,'供应商月度明细'!$D$5:$D$155,$E116,'供应商月度明细'!$E$5:$E$155,"2026-05")/SUMIFS('供应商月度明细'!$F$5:$F$155,'供应商月度明细'!$A$5:$A$155,$A116,'供应商月度明细'!$C$5:$C$155,$C116,'供应商月度明细'!$D$5:$D$155,$E116,'供应商月度明细'!$E$5:$E$155,"2026-05"))</f>
      </c>
      <c r="H116" s="27" t="n">
        <f>IF(SUMIFS('供应商月度明细'!$F$5:$F$155,'供应商月度明细'!$A$5:$A$155,$A116,'供应商月度明细'!$C$5:$C$155,$C116,'供应商月度明细'!$D$5:$D$155,$E116,'供应商月度明细'!$E$5:$E$155,"2026-06")=0,"",SUMIFS('供应商月度明细'!$H$5:$H$155,'供应商月度明细'!$A$5:$A$155,$A116,'供应商月度明细'!$C$5:$C$155,$C116,'供应商月度明细'!$D$5:$D$155,$E116,'供应商月度明细'!$E$5:$E$155,"2026-06")/SUMIFS('供应商月度明细'!$F$5:$F$155,'供应商月度明细'!$A$5:$A$155,$A116,'供应商月度明细'!$C$5:$C$155,$C116,'供应商月度明细'!$D$5:$D$155,$E116,'供应商月度明细'!$E$5:$E$155,"2026-06"))</f>
        <v>0.5</v>
      </c>
      <c r="I116" s="27" t="n">
        <f>IF(COUNT(F116:H116)=0,"",AVERAGE(F116:H116))</f>
        <v>0.5</v>
      </c>
      <c r="J116" s="27" t="n">
        <f>IF(K116=0,"",L116/K116)</f>
        <v>0.5</v>
      </c>
      <c r="K116" s="23" t="n">
        <f>SUMIFS('供应商月度明细'!$F$5:$F$155,'供应商月度明细'!$A$5:$A$155,$A116,'供应商月度明细'!$C$5:$C$155,$C116,'供应商月度明细'!$D$5:$D$155,$E116)</f>
        <v>16</v>
      </c>
      <c r="L116" s="23" t="n">
        <f>SUMIFS('供应商月度明细'!$H$5:$H$155,'供应商月度明细'!$A$5:$A$155,$A116,'供应商月度明细'!$C$5:$C$155,$C116,'供应商月度明细'!$D$5:$D$155,$E116)</f>
        <v>8</v>
      </c>
    </row>
    <row r="117">
      <c r="A117" s="31" t="str">
        <v>捷克区</v>
      </c>
      <c r="B117" s="31" t="str">
        <v>Easy Jobs s.r.o.</v>
      </c>
      <c r="C117" s="31" t="str">
        <v>S000310</v>
      </c>
      <c r="D117" s="31" t="str">
        <v>供应商汇总</v>
      </c>
      <c r="E117" s="31" t="str">
        <v>全部工种</v>
      </c>
      <c r="F117" s="32" t="str">
        <f>IF(SUMIFS('供应商月度明细'!$F$5:$F$155,'供应商月度明细'!$A$5:$A$155,$A117,'供应商月度明细'!$C$5:$C$155,$C117,'供应商月度明细'!$E$5:$E$155,"2026-04")=0,"",SUMIFS('供应商月度明细'!$H$5:$H$155,'供应商月度明细'!$A$5:$A$155,$A117,'供应商月度明细'!$C$5:$C$155,$C117,'供应商月度明细'!$E$5:$E$155,"2026-04")/SUMIFS('供应商月度明细'!$F$5:$F$155,'供应商月度明细'!$A$5:$A$155,$A117,'供应商月度明细'!$C$5:$C$155,$C117,'供应商月度明细'!$E$5:$E$155,"2026-04"))</f>
      </c>
      <c r="G117" s="32" t="n">
        <f>IF(SUMIFS('供应商月度明细'!$F$5:$F$155,'供应商月度明细'!$A$5:$A$155,$A117,'供应商月度明细'!$C$5:$C$155,$C117,'供应商月度明细'!$E$5:$E$155,"2026-05")=0,"",SUMIFS('供应商月度明细'!$H$5:$H$155,'供应商月度明细'!$A$5:$A$155,$A117,'供应商月度明细'!$C$5:$C$155,$C117,'供应商月度明细'!$E$5:$E$155,"2026-05")/SUMIFS('供应商月度明细'!$F$5:$F$155,'供应商月度明细'!$A$5:$A$155,$A117,'供应商月度明细'!$C$5:$C$155,$C117,'供应商月度明细'!$E$5:$E$155,"2026-05"))</f>
        <v>1</v>
      </c>
      <c r="H117" s="32" t="n">
        <f>IF(SUMIFS('供应商月度明细'!$F$5:$F$155,'供应商月度明细'!$A$5:$A$155,$A117,'供应商月度明细'!$C$5:$C$155,$C117,'供应商月度明细'!$E$5:$E$155,"2026-06")=0,"",SUMIFS('供应商月度明细'!$H$5:$H$155,'供应商月度明细'!$A$5:$A$155,$A117,'供应商月度明细'!$C$5:$C$155,$C117,'供应商月度明细'!$E$5:$E$155,"2026-06")/SUMIFS('供应商月度明细'!$F$5:$F$155,'供应商月度明细'!$A$5:$A$155,$A117,'供应商月度明细'!$C$5:$C$155,$C117,'供应商月度明细'!$E$5:$E$155,"2026-06"))</f>
        <v>0.36363636363636365</v>
      </c>
      <c r="I117" s="32" t="n">
        <f>IF(COUNT(F117:H117)=0,"",AVERAGE(F117:H117))</f>
        <v>0.6818181818181819</v>
      </c>
      <c r="J117" s="32" t="n">
        <f>IF(K117=0,"",L117/K117)</f>
        <v>0.5</v>
      </c>
      <c r="K117" s="33" t="n">
        <f>SUMIFS('供应商月度明细'!$F$5:$F$155,'供应商月度明细'!$A$5:$A$155,$A117,'供应商月度明细'!$C$5:$C$155,$C117)</f>
        <v>28</v>
      </c>
      <c r="L117" s="33" t="n">
        <f>SUMIFS('供应商月度明细'!$H$5:$H$155,'供应商月度明细'!$A$5:$A$155,$A117,'供应商月度明细'!$C$5:$C$155,$C117)</f>
        <v>14</v>
      </c>
    </row>
    <row r="118">
      <c r="A118" s="19" t="str">
        <v>捷克区</v>
      </c>
      <c r="B118" s="19" t="str">
        <v>Wildenborch s.r.o.</v>
      </c>
      <c r="C118" s="19" t="str">
        <v>S000266</v>
      </c>
      <c r="D118" s="19" t="str">
        <v>工种明细</v>
      </c>
      <c r="E118" s="19" t="str">
        <v>操作员</v>
      </c>
      <c r="F118" s="27" t="n">
        <f>IF(SUMIFS('供应商月度明细'!$F$5:$F$155,'供应商月度明细'!$A$5:$A$155,$A118,'供应商月度明细'!$C$5:$C$155,$C118,'供应商月度明细'!$D$5:$D$155,$E118,'供应商月度明细'!$E$5:$E$155,"2026-04")=0,"",SUMIFS('供应商月度明细'!$H$5:$H$155,'供应商月度明细'!$A$5:$A$155,$A118,'供应商月度明细'!$C$5:$C$155,$C118,'供应商月度明细'!$D$5:$D$155,$E118,'供应商月度明细'!$E$5:$E$155,"2026-04")/SUMIFS('供应商月度明细'!$F$5:$F$155,'供应商月度明细'!$A$5:$A$155,$A118,'供应商月度明细'!$C$5:$C$155,$C118,'供应商月度明细'!$D$5:$D$155,$E118,'供应商月度明细'!$E$5:$E$155,"2026-04"))</f>
        <v>1</v>
      </c>
      <c r="G118" s="27" t="n">
        <f>IF(SUMIFS('供应商月度明细'!$F$5:$F$155,'供应商月度明细'!$A$5:$A$155,$A118,'供应商月度明细'!$C$5:$C$155,$C118,'供应商月度明细'!$D$5:$D$155,$E118,'供应商月度明细'!$E$5:$E$155,"2026-05")=0,"",SUMIFS('供应商月度明细'!$H$5:$H$155,'供应商月度明细'!$A$5:$A$155,$A118,'供应商月度明细'!$C$5:$C$155,$C118,'供应商月度明细'!$D$5:$D$155,$E118,'供应商月度明细'!$E$5:$E$155,"2026-05")/SUMIFS('供应商月度明细'!$F$5:$F$155,'供应商月度明细'!$A$5:$A$155,$A118,'供应商月度明细'!$C$5:$C$155,$C118,'供应商月度明细'!$D$5:$D$155,$E118,'供应商月度明细'!$E$5:$E$155,"2026-05"))</f>
        <v>1</v>
      </c>
      <c r="H118" s="27" t="n">
        <f>IF(SUMIFS('供应商月度明细'!$F$5:$F$155,'供应商月度明细'!$A$5:$A$155,$A118,'供应商月度明细'!$C$5:$C$155,$C118,'供应商月度明细'!$D$5:$D$155,$E118,'供应商月度明细'!$E$5:$E$155,"2026-06")=0,"",SUMIFS('供应商月度明细'!$H$5:$H$155,'供应商月度明细'!$A$5:$A$155,$A118,'供应商月度明细'!$C$5:$C$155,$C118,'供应商月度明细'!$D$5:$D$155,$E118,'供应商月度明细'!$E$5:$E$155,"2026-06")/SUMIFS('供应商月度明细'!$F$5:$F$155,'供应商月度明细'!$A$5:$A$155,$A118,'供应商月度明细'!$C$5:$C$155,$C118,'供应商月度明细'!$D$5:$D$155,$E118,'供应商月度明细'!$E$5:$E$155,"2026-06"))</f>
        <v>1</v>
      </c>
      <c r="I118" s="27" t="n">
        <f>IF(COUNT(F118:H118)=0,"",AVERAGE(F118:H118))</f>
        <v>1</v>
      </c>
      <c r="J118" s="27" t="n">
        <f>IF(K118=0,"",L118/K118)</f>
        <v>1</v>
      </c>
      <c r="K118" s="23" t="n">
        <f>SUMIFS('供应商月度明细'!$F$5:$F$155,'供应商月度明细'!$A$5:$A$155,$A118,'供应商月度明细'!$C$5:$C$155,$C118,'供应商月度明细'!$D$5:$D$155,$E118)</f>
        <v>7</v>
      </c>
      <c r="L118" s="23" t="n">
        <f>SUMIFS('供应商月度明细'!$H$5:$H$155,'供应商月度明细'!$A$5:$A$155,$A118,'供应商月度明细'!$C$5:$C$155,$C118,'供应商月度明细'!$D$5:$D$155,$E118)</f>
        <v>7</v>
      </c>
    </row>
    <row r="119">
      <c r="A119" s="19" t="str">
        <v>捷克区</v>
      </c>
      <c r="B119" s="19" t="str">
        <v>Wildenborch s.r.o.</v>
      </c>
      <c r="C119" s="19" t="str">
        <v>S000266</v>
      </c>
      <c r="D119" s="19" t="str">
        <v>工种明细</v>
      </c>
      <c r="E119" s="19" t="str">
        <v>叉车司机</v>
      </c>
      <c r="F119" s="27" t="n">
        <f>IF(SUMIFS('供应商月度明细'!$F$5:$F$155,'供应商月度明细'!$A$5:$A$155,$A119,'供应商月度明细'!$C$5:$C$155,$C119,'供应商月度明细'!$D$5:$D$155,$E119,'供应商月度明细'!$E$5:$E$155,"2026-04")=0,"",SUMIFS('供应商月度明细'!$H$5:$H$155,'供应商月度明细'!$A$5:$A$155,$A119,'供应商月度明细'!$C$5:$C$155,$C119,'供应商月度明细'!$D$5:$D$155,$E119,'供应商月度明细'!$E$5:$E$155,"2026-04")/SUMIFS('供应商月度明细'!$F$5:$F$155,'供应商月度明细'!$A$5:$A$155,$A119,'供应商月度明细'!$C$5:$C$155,$C119,'供应商月度明细'!$D$5:$D$155,$E119,'供应商月度明细'!$E$5:$E$155,"2026-04"))</f>
        <v>0.625</v>
      </c>
      <c r="G119" s="27" t="str">
        <f>IF(SUMIFS('供应商月度明细'!$F$5:$F$155,'供应商月度明细'!$A$5:$A$155,$A119,'供应商月度明细'!$C$5:$C$155,$C119,'供应商月度明细'!$D$5:$D$155,$E119,'供应商月度明细'!$E$5:$E$155,"2026-05")=0,"",SUMIFS('供应商月度明细'!$H$5:$H$155,'供应商月度明细'!$A$5:$A$155,$A119,'供应商月度明细'!$C$5:$C$155,$C119,'供应商月度明细'!$D$5:$D$155,$E119,'供应商月度明细'!$E$5:$E$155,"2026-05")/SUMIFS('供应商月度明细'!$F$5:$F$155,'供应商月度明细'!$A$5:$A$155,$A119,'供应商月度明细'!$C$5:$C$155,$C119,'供应商月度明细'!$D$5:$D$155,$E119,'供应商月度明细'!$E$5:$E$155,"2026-05"))</f>
      </c>
      <c r="H119" s="27" t="str">
        <f>IF(SUMIFS('供应商月度明细'!$F$5:$F$155,'供应商月度明细'!$A$5:$A$155,$A119,'供应商月度明细'!$C$5:$C$155,$C119,'供应商月度明细'!$D$5:$D$155,$E119,'供应商月度明细'!$E$5:$E$155,"2026-06")=0,"",SUMIFS('供应商月度明细'!$H$5:$H$155,'供应商月度明细'!$A$5:$A$155,$A119,'供应商月度明细'!$C$5:$C$155,$C119,'供应商月度明细'!$D$5:$D$155,$E119,'供应商月度明细'!$E$5:$E$155,"2026-06")/SUMIFS('供应商月度明细'!$F$5:$F$155,'供应商月度明细'!$A$5:$A$155,$A119,'供应商月度明细'!$C$5:$C$155,$C119,'供应商月度明细'!$D$5:$D$155,$E119,'供应商月度明细'!$E$5:$E$155,"2026-06"))</f>
      </c>
      <c r="I119" s="27" t="n">
        <f>IF(COUNT(F119:H119)=0,"",AVERAGE(F119:H119))</f>
        <v>0.625</v>
      </c>
      <c r="J119" s="27" t="n">
        <f>IF(K119=0,"",L119/K119)</f>
        <v>0.625</v>
      </c>
      <c r="K119" s="23" t="n">
        <f>SUMIFS('供应商月度明细'!$F$5:$F$155,'供应商月度明细'!$A$5:$A$155,$A119,'供应商月度明细'!$C$5:$C$155,$C119,'供应商月度明细'!$D$5:$D$155,$E119)</f>
        <v>16</v>
      </c>
      <c r="L119" s="23" t="n">
        <f>SUMIFS('供应商月度明细'!$H$5:$H$155,'供应商月度明细'!$A$5:$A$155,$A119,'供应商月度明细'!$C$5:$C$155,$C119,'供应商月度明细'!$D$5:$D$155,$E119)</f>
        <v>10</v>
      </c>
    </row>
    <row r="120">
      <c r="A120" s="31" t="str">
        <v>捷克区</v>
      </c>
      <c r="B120" s="31" t="str">
        <v>Wildenborch s.r.o.</v>
      </c>
      <c r="C120" s="31" t="str">
        <v>S000266</v>
      </c>
      <c r="D120" s="31" t="str">
        <v>供应商汇总</v>
      </c>
      <c r="E120" s="31" t="str">
        <v>全部工种</v>
      </c>
      <c r="F120" s="32" t="n">
        <f>IF(SUMIFS('供应商月度明细'!$F$5:$F$155,'供应商月度明细'!$A$5:$A$155,$A120,'供应商月度明细'!$C$5:$C$155,$C120,'供应商月度明细'!$E$5:$E$155,"2026-04")=0,"",SUMIFS('供应商月度明细'!$H$5:$H$155,'供应商月度明细'!$A$5:$A$155,$A120,'供应商月度明细'!$C$5:$C$155,$C120,'供应商月度明细'!$E$5:$E$155,"2026-04")/SUMIFS('供应商月度明细'!$F$5:$F$155,'供应商月度明细'!$A$5:$A$155,$A120,'供应商月度明细'!$C$5:$C$155,$C120,'供应商月度明细'!$E$5:$E$155,"2026-04"))</f>
        <v>0.7142857142857143</v>
      </c>
      <c r="G120" s="32" t="n">
        <f>IF(SUMIFS('供应商月度明细'!$F$5:$F$155,'供应商月度明细'!$A$5:$A$155,$A120,'供应商月度明细'!$C$5:$C$155,$C120,'供应商月度明细'!$E$5:$E$155,"2026-05")=0,"",SUMIFS('供应商月度明细'!$H$5:$H$155,'供应商月度明细'!$A$5:$A$155,$A120,'供应商月度明细'!$C$5:$C$155,$C120,'供应商月度明细'!$E$5:$E$155,"2026-05")/SUMIFS('供应商月度明细'!$F$5:$F$155,'供应商月度明细'!$A$5:$A$155,$A120,'供应商月度明细'!$C$5:$C$155,$C120,'供应商月度明细'!$E$5:$E$155,"2026-05"))</f>
        <v>1</v>
      </c>
      <c r="H120" s="32" t="n">
        <f>IF(SUMIFS('供应商月度明细'!$F$5:$F$155,'供应商月度明细'!$A$5:$A$155,$A120,'供应商月度明细'!$C$5:$C$155,$C120,'供应商月度明细'!$E$5:$E$155,"2026-06")=0,"",SUMIFS('供应商月度明细'!$H$5:$H$155,'供应商月度明细'!$A$5:$A$155,$A120,'供应商月度明细'!$C$5:$C$155,$C120,'供应商月度明细'!$E$5:$E$155,"2026-06")/SUMIFS('供应商月度明细'!$F$5:$F$155,'供应商月度明细'!$A$5:$A$155,$A120,'供应商月度明细'!$C$5:$C$155,$C120,'供应商月度明细'!$E$5:$E$155,"2026-06"))</f>
        <v>1</v>
      </c>
      <c r="I120" s="32" t="n">
        <f>IF(COUNT(F120:H120)=0,"",AVERAGE(F120:H120))</f>
        <v>0.9047619047619048</v>
      </c>
      <c r="J120" s="32" t="n">
        <f>IF(K120=0,"",L120/K120)</f>
        <v>0.7391304347826086</v>
      </c>
      <c r="K120" s="33" t="n">
        <f>SUMIFS('供应商月度明细'!$F$5:$F$155,'供应商月度明细'!$A$5:$A$155,$A120,'供应商月度明细'!$C$5:$C$155,$C120)</f>
        <v>23</v>
      </c>
      <c r="L120" s="33" t="n">
        <f>SUMIFS('供应商月度明细'!$H$5:$H$155,'供应商月度明细'!$A$5:$A$155,$A120,'供应商月度明细'!$C$5:$C$155,$C120)</f>
        <v>17</v>
      </c>
    </row>
    <row r="121">
      <c r="A121" s="19" t="str">
        <v>捷克区</v>
      </c>
      <c r="B121" s="19" t="str">
        <v>Personal work agency s.r.o.</v>
      </c>
      <c r="C121" s="19" t="str">
        <v>S000341</v>
      </c>
      <c r="D121" s="19" t="str">
        <v>工种明细</v>
      </c>
      <c r="E121" s="19" t="str">
        <v>操作员</v>
      </c>
      <c r="F121" s="27" t="str">
        <f>IF(SUMIFS('供应商月度明细'!$F$5:$F$155,'供应商月度明细'!$A$5:$A$155,$A121,'供应商月度明细'!$C$5:$C$155,$C121,'供应商月度明细'!$D$5:$D$155,$E121,'供应商月度明细'!$E$5:$E$155,"2026-04")=0,"",SUMIFS('供应商月度明细'!$H$5:$H$155,'供应商月度明细'!$A$5:$A$155,$A121,'供应商月度明细'!$C$5:$C$155,$C121,'供应商月度明细'!$D$5:$D$155,$E121,'供应商月度明细'!$E$5:$E$155,"2026-04")/SUMIFS('供应商月度明细'!$F$5:$F$155,'供应商月度明细'!$A$5:$A$155,$A121,'供应商月度明细'!$C$5:$C$155,$C121,'供应商月度明细'!$D$5:$D$155,$E121,'供应商月度明细'!$E$5:$E$155,"2026-04"))</f>
      </c>
      <c r="G121" s="27" t="str">
        <f>IF(SUMIFS('供应商月度明细'!$F$5:$F$155,'供应商月度明细'!$A$5:$A$155,$A121,'供应商月度明细'!$C$5:$C$155,$C121,'供应商月度明细'!$D$5:$D$155,$E121,'供应商月度明细'!$E$5:$E$155,"2026-05")=0,"",SUMIFS('供应商月度明细'!$H$5:$H$155,'供应商月度明细'!$A$5:$A$155,$A121,'供应商月度明细'!$C$5:$C$155,$C121,'供应商月度明细'!$D$5:$D$155,$E121,'供应商月度明细'!$E$5:$E$155,"2026-05")/SUMIFS('供应商月度明细'!$F$5:$F$155,'供应商月度明细'!$A$5:$A$155,$A121,'供应商月度明细'!$C$5:$C$155,$C121,'供应商月度明细'!$D$5:$D$155,$E121,'供应商月度明细'!$E$5:$E$155,"2026-05"))</f>
      </c>
      <c r="H121" s="27" t="n">
        <f>IF(SUMIFS('供应商月度明细'!$F$5:$F$155,'供应商月度明细'!$A$5:$A$155,$A121,'供应商月度明细'!$C$5:$C$155,$C121,'供应商月度明细'!$D$5:$D$155,$E121,'供应商月度明细'!$E$5:$E$155,"2026-06")=0,"",SUMIFS('供应商月度明细'!$H$5:$H$155,'供应商月度明细'!$A$5:$A$155,$A121,'供应商月度明细'!$C$5:$C$155,$C121,'供应商月度明细'!$D$5:$D$155,$E121,'供应商月度明细'!$E$5:$E$155,"2026-06")/SUMIFS('供应商月度明细'!$F$5:$F$155,'供应商月度明细'!$A$5:$A$155,$A121,'供应商月度明细'!$C$5:$C$155,$C121,'供应商月度明细'!$D$5:$D$155,$E121,'供应商月度明细'!$E$5:$E$155,"2026-06"))</f>
        <v>1</v>
      </c>
      <c r="I121" s="27" t="n">
        <f>IF(COUNT(F121:H121)=0,"",AVERAGE(F121:H121))</f>
        <v>1</v>
      </c>
      <c r="J121" s="27" t="n">
        <f>IF(K121=0,"",L121/K121)</f>
        <v>1</v>
      </c>
      <c r="K121" s="23" t="n">
        <f>SUMIFS('供应商月度明细'!$F$5:$F$155,'供应商月度明细'!$A$5:$A$155,$A121,'供应商月度明细'!$C$5:$C$155,$C121,'供应商月度明细'!$D$5:$D$155,$E121)</f>
        <v>3</v>
      </c>
      <c r="L121" s="23" t="n">
        <f>SUMIFS('供应商月度明细'!$H$5:$H$155,'供应商月度明细'!$A$5:$A$155,$A121,'供应商月度明细'!$C$5:$C$155,$C121,'供应商月度明细'!$D$5:$D$155,$E121)</f>
        <v>3</v>
      </c>
    </row>
    <row r="122">
      <c r="A122" s="19" t="str">
        <v>捷克区</v>
      </c>
      <c r="B122" s="19" t="str">
        <v>Personal work agency s.r.o.</v>
      </c>
      <c r="C122" s="19" t="str">
        <v>S000341</v>
      </c>
      <c r="D122" s="19" t="str">
        <v>工种明细</v>
      </c>
      <c r="E122" s="19" t="str">
        <v>叉车司机</v>
      </c>
      <c r="F122" s="27" t="str">
        <f>IF(SUMIFS('供应商月度明细'!$F$5:$F$155,'供应商月度明细'!$A$5:$A$155,$A122,'供应商月度明细'!$C$5:$C$155,$C122,'供应商月度明细'!$D$5:$D$155,$E122,'供应商月度明细'!$E$5:$E$155,"2026-04")=0,"",SUMIFS('供应商月度明细'!$H$5:$H$155,'供应商月度明细'!$A$5:$A$155,$A122,'供应商月度明细'!$C$5:$C$155,$C122,'供应商月度明细'!$D$5:$D$155,$E122,'供应商月度明细'!$E$5:$E$155,"2026-04")/SUMIFS('供应商月度明细'!$F$5:$F$155,'供应商月度明细'!$A$5:$A$155,$A122,'供应商月度明细'!$C$5:$C$155,$C122,'供应商月度明细'!$D$5:$D$155,$E122,'供应商月度明细'!$E$5:$E$155,"2026-04"))</f>
      </c>
      <c r="G122" s="27" t="str">
        <f>IF(SUMIFS('供应商月度明细'!$F$5:$F$155,'供应商月度明细'!$A$5:$A$155,$A122,'供应商月度明细'!$C$5:$C$155,$C122,'供应商月度明细'!$D$5:$D$155,$E122,'供应商月度明细'!$E$5:$E$155,"2026-05")=0,"",SUMIFS('供应商月度明细'!$H$5:$H$155,'供应商月度明细'!$A$5:$A$155,$A122,'供应商月度明细'!$C$5:$C$155,$C122,'供应商月度明细'!$D$5:$D$155,$E122,'供应商月度明细'!$E$5:$E$155,"2026-05")/SUMIFS('供应商月度明细'!$F$5:$F$155,'供应商月度明细'!$A$5:$A$155,$A122,'供应商月度明细'!$C$5:$C$155,$C122,'供应商月度明细'!$D$5:$D$155,$E122,'供应商月度明细'!$E$5:$E$155,"2026-05"))</f>
      </c>
      <c r="H122" s="27" t="n">
        <f>IF(SUMIFS('供应商月度明细'!$F$5:$F$155,'供应商月度明细'!$A$5:$A$155,$A122,'供应商月度明细'!$C$5:$C$155,$C122,'供应商月度明细'!$D$5:$D$155,$E122,'供应商月度明细'!$E$5:$E$155,"2026-06")=0,"",SUMIFS('供应商月度明细'!$H$5:$H$155,'供应商月度明细'!$A$5:$A$155,$A122,'供应商月度明细'!$C$5:$C$155,$C122,'供应商月度明细'!$D$5:$D$155,$E122,'供应商月度明细'!$E$5:$E$155,"2026-06")/SUMIFS('供应商月度明细'!$F$5:$F$155,'供应商月度明细'!$A$5:$A$155,$A122,'供应商月度明细'!$C$5:$C$155,$C122,'供应商月度明细'!$D$5:$D$155,$E122,'供应商月度明细'!$E$5:$E$155,"2026-06"))</f>
        <v>0.9473684210526315</v>
      </c>
      <c r="I122" s="27" t="n">
        <f>IF(COUNT(F122:H122)=0,"",AVERAGE(F122:H122))</f>
        <v>0.9473684210526315</v>
      </c>
      <c r="J122" s="27" t="n">
        <f>IF(K122=0,"",L122/K122)</f>
        <v>0.9473684210526315</v>
      </c>
      <c r="K122" s="23" t="n">
        <f>SUMIFS('供应商月度明细'!$F$5:$F$155,'供应商月度明细'!$A$5:$A$155,$A122,'供应商月度明细'!$C$5:$C$155,$C122,'供应商月度明细'!$D$5:$D$155,$E122)</f>
        <v>19</v>
      </c>
      <c r="L122" s="23" t="n">
        <f>SUMIFS('供应商月度明细'!$H$5:$H$155,'供应商月度明细'!$A$5:$A$155,$A122,'供应商月度明细'!$C$5:$C$155,$C122,'供应商月度明细'!$D$5:$D$155,$E122)</f>
        <v>18</v>
      </c>
    </row>
    <row r="123">
      <c r="A123" s="31" t="str">
        <v>捷克区</v>
      </c>
      <c r="B123" s="31" t="str">
        <v>Personal work agency s.r.o.</v>
      </c>
      <c r="C123" s="31" t="str">
        <v>S000341</v>
      </c>
      <c r="D123" s="31" t="str">
        <v>供应商汇总</v>
      </c>
      <c r="E123" s="31" t="str">
        <v>全部工种</v>
      </c>
      <c r="F123" s="32" t="str">
        <f>IF(SUMIFS('供应商月度明细'!$F$5:$F$155,'供应商月度明细'!$A$5:$A$155,$A123,'供应商月度明细'!$C$5:$C$155,$C123,'供应商月度明细'!$E$5:$E$155,"2026-04")=0,"",SUMIFS('供应商月度明细'!$H$5:$H$155,'供应商月度明细'!$A$5:$A$155,$A123,'供应商月度明细'!$C$5:$C$155,$C123,'供应商月度明细'!$E$5:$E$155,"2026-04")/SUMIFS('供应商月度明细'!$F$5:$F$155,'供应商月度明细'!$A$5:$A$155,$A123,'供应商月度明细'!$C$5:$C$155,$C123,'供应商月度明细'!$E$5:$E$155,"2026-04"))</f>
      </c>
      <c r="G123" s="32" t="str">
        <f>IF(SUMIFS('供应商月度明细'!$F$5:$F$155,'供应商月度明细'!$A$5:$A$155,$A123,'供应商月度明细'!$C$5:$C$155,$C123,'供应商月度明细'!$E$5:$E$155,"2026-05")=0,"",SUMIFS('供应商月度明细'!$H$5:$H$155,'供应商月度明细'!$A$5:$A$155,$A123,'供应商月度明细'!$C$5:$C$155,$C123,'供应商月度明细'!$E$5:$E$155,"2026-05")/SUMIFS('供应商月度明细'!$F$5:$F$155,'供应商月度明细'!$A$5:$A$155,$A123,'供应商月度明细'!$C$5:$C$155,$C123,'供应商月度明细'!$E$5:$E$155,"2026-05"))</f>
      </c>
      <c r="H123" s="32" t="n">
        <f>IF(SUMIFS('供应商月度明细'!$F$5:$F$155,'供应商月度明细'!$A$5:$A$155,$A123,'供应商月度明细'!$C$5:$C$155,$C123,'供应商月度明细'!$E$5:$E$155,"2026-06")=0,"",SUMIFS('供应商月度明细'!$H$5:$H$155,'供应商月度明细'!$A$5:$A$155,$A123,'供应商月度明细'!$C$5:$C$155,$C123,'供应商月度明细'!$E$5:$E$155,"2026-06")/SUMIFS('供应商月度明细'!$F$5:$F$155,'供应商月度明细'!$A$5:$A$155,$A123,'供应商月度明细'!$C$5:$C$155,$C123,'供应商月度明细'!$E$5:$E$155,"2026-06"))</f>
        <v>0.9545454545454546</v>
      </c>
      <c r="I123" s="32" t="n">
        <f>IF(COUNT(F123:H123)=0,"",AVERAGE(F123:H123))</f>
        <v>0.9545454545454546</v>
      </c>
      <c r="J123" s="32" t="n">
        <f>IF(K123=0,"",L123/K123)</f>
        <v>0.9545454545454546</v>
      </c>
      <c r="K123" s="33" t="n">
        <f>SUMIFS('供应商月度明细'!$F$5:$F$155,'供应商月度明细'!$A$5:$A$155,$A123,'供应商月度明细'!$C$5:$C$155,$C123)</f>
        <v>22</v>
      </c>
      <c r="L123" s="33" t="n">
        <f>SUMIFS('供应商月度明细'!$H$5:$H$155,'供应商月度明细'!$A$5:$A$155,$A123,'供应商月度明细'!$C$5:$C$155,$C123)</f>
        <v>21</v>
      </c>
    </row>
    <row r="124">
      <c r="A124" s="19" t="str">
        <v>捷克区</v>
      </c>
      <c r="B124" s="19" t="str">
        <v>Armz HR</v>
      </c>
      <c r="C124" s="19" t="str">
        <v>S000175</v>
      </c>
      <c r="D124" s="19" t="str">
        <v>工种明细</v>
      </c>
      <c r="E124" s="19" t="str">
        <v>操作员</v>
      </c>
      <c r="F124" s="27" t="n">
        <f>IF(SUMIFS('供应商月度明细'!$F$5:$F$155,'供应商月度明细'!$A$5:$A$155,$A124,'供应商月度明细'!$C$5:$C$155,$C124,'供应商月度明细'!$D$5:$D$155,$E124,'供应商月度明细'!$E$5:$E$155,"2026-04")=0,"",SUMIFS('供应商月度明细'!$H$5:$H$155,'供应商月度明细'!$A$5:$A$155,$A124,'供应商月度明细'!$C$5:$C$155,$C124,'供应商月度明细'!$D$5:$D$155,$E124,'供应商月度明细'!$E$5:$E$155,"2026-04")/SUMIFS('供应商月度明细'!$F$5:$F$155,'供应商月度明细'!$A$5:$A$155,$A124,'供应商月度明细'!$C$5:$C$155,$C124,'供应商月度明细'!$D$5:$D$155,$E124,'供应商月度明细'!$E$5:$E$155,"2026-04"))</f>
        <v>1</v>
      </c>
      <c r="G124" s="27" t="n">
        <f>IF(SUMIFS('供应商月度明细'!$F$5:$F$155,'供应商月度明细'!$A$5:$A$155,$A124,'供应商月度明细'!$C$5:$C$155,$C124,'供应商月度明细'!$D$5:$D$155,$E124,'供应商月度明细'!$E$5:$E$155,"2026-05")=0,"",SUMIFS('供应商月度明细'!$H$5:$H$155,'供应商月度明细'!$A$5:$A$155,$A124,'供应商月度明细'!$C$5:$C$155,$C124,'供应商月度明细'!$D$5:$D$155,$E124,'供应商月度明细'!$E$5:$E$155,"2026-05")/SUMIFS('供应商月度明细'!$F$5:$F$155,'供应商月度明细'!$A$5:$A$155,$A124,'供应商月度明细'!$C$5:$C$155,$C124,'供应商月度明细'!$D$5:$D$155,$E124,'供应商月度明细'!$E$5:$E$155,"2026-05"))</f>
        <v>0</v>
      </c>
      <c r="H124" s="27" t="n">
        <f>IF(SUMIFS('供应商月度明细'!$F$5:$F$155,'供应商月度明细'!$A$5:$A$155,$A124,'供应商月度明细'!$C$5:$C$155,$C124,'供应商月度明细'!$D$5:$D$155,$E124,'供应商月度明细'!$E$5:$E$155,"2026-06")=0,"",SUMIFS('供应商月度明细'!$H$5:$H$155,'供应商月度明细'!$A$5:$A$155,$A124,'供应商月度明细'!$C$5:$C$155,$C124,'供应商月度明细'!$D$5:$D$155,$E124,'供应商月度明细'!$E$5:$E$155,"2026-06")/SUMIFS('供应商月度明细'!$F$5:$F$155,'供应商月度明细'!$A$5:$A$155,$A124,'供应商月度明细'!$C$5:$C$155,$C124,'供应商月度明细'!$D$5:$D$155,$E124,'供应商月度明细'!$E$5:$E$155,"2026-06"))</f>
        <v>0.1</v>
      </c>
      <c r="I124" s="27" t="n">
        <f>IF(COUNT(F124:H124)=0,"",AVERAGE(F124:H124))</f>
        <v>0.3666666666666667</v>
      </c>
      <c r="J124" s="27" t="n">
        <f>IF(K124=0,"",L124/K124)</f>
        <v>0.10526315789473684</v>
      </c>
      <c r="K124" s="23" t="n">
        <f>SUMIFS('供应商月度明细'!$F$5:$F$155,'供应商月度明细'!$A$5:$A$155,$A124,'供应商月度明细'!$C$5:$C$155,$C124,'供应商月度明细'!$D$5:$D$155,$E124)</f>
        <v>19</v>
      </c>
      <c r="L124" s="23" t="n">
        <f>SUMIFS('供应商月度明细'!$H$5:$H$155,'供应商月度明细'!$A$5:$A$155,$A124,'供应商月度明细'!$C$5:$C$155,$C124,'供应商月度明细'!$D$5:$D$155,$E124)</f>
        <v>2</v>
      </c>
    </row>
    <row r="125">
      <c r="A125" s="31" t="str">
        <v>捷克区</v>
      </c>
      <c r="B125" s="31" t="str">
        <v>Armz HR</v>
      </c>
      <c r="C125" s="31" t="str">
        <v>S000175</v>
      </c>
      <c r="D125" s="31" t="str">
        <v>供应商汇总</v>
      </c>
      <c r="E125" s="31" t="str">
        <v>全部工种</v>
      </c>
      <c r="F125" s="32" t="n">
        <f>IF(SUMIFS('供应商月度明细'!$F$5:$F$155,'供应商月度明细'!$A$5:$A$155,$A125,'供应商月度明细'!$C$5:$C$155,$C125,'供应商月度明细'!$E$5:$E$155,"2026-04")=0,"",SUMIFS('供应商月度明细'!$H$5:$H$155,'供应商月度明细'!$A$5:$A$155,$A125,'供应商月度明细'!$C$5:$C$155,$C125,'供应商月度明细'!$E$5:$E$155,"2026-04")/SUMIFS('供应商月度明细'!$F$5:$F$155,'供应商月度明细'!$A$5:$A$155,$A125,'供应商月度明细'!$C$5:$C$155,$C125,'供应商月度明细'!$E$5:$E$155,"2026-04"))</f>
        <v>1</v>
      </c>
      <c r="G125" s="32" t="n">
        <f>IF(SUMIFS('供应商月度明细'!$F$5:$F$155,'供应商月度明细'!$A$5:$A$155,$A125,'供应商月度明细'!$C$5:$C$155,$C125,'供应商月度明细'!$E$5:$E$155,"2026-05")=0,"",SUMIFS('供应商月度明细'!$H$5:$H$155,'供应商月度明细'!$A$5:$A$155,$A125,'供应商月度明细'!$C$5:$C$155,$C125,'供应商月度明细'!$E$5:$E$155,"2026-05")/SUMIFS('供应商月度明细'!$F$5:$F$155,'供应商月度明细'!$A$5:$A$155,$A125,'供应商月度明细'!$C$5:$C$155,$C125,'供应商月度明细'!$E$5:$E$155,"2026-05"))</f>
        <v>0</v>
      </c>
      <c r="H125" s="32" t="n">
        <f>IF(SUMIFS('供应商月度明细'!$F$5:$F$155,'供应商月度明细'!$A$5:$A$155,$A125,'供应商月度明细'!$C$5:$C$155,$C125,'供应商月度明细'!$E$5:$E$155,"2026-06")=0,"",SUMIFS('供应商月度明细'!$H$5:$H$155,'供应商月度明细'!$A$5:$A$155,$A125,'供应商月度明细'!$C$5:$C$155,$C125,'供应商月度明细'!$E$5:$E$155,"2026-06")/SUMIFS('供应商月度明细'!$F$5:$F$155,'供应商月度明细'!$A$5:$A$155,$A125,'供应商月度明细'!$C$5:$C$155,$C125,'供应商月度明细'!$E$5:$E$155,"2026-06"))</f>
        <v>0.1</v>
      </c>
      <c r="I125" s="32" t="n">
        <f>IF(COUNT(F125:H125)=0,"",AVERAGE(F125:H125))</f>
        <v>0.3666666666666667</v>
      </c>
      <c r="J125" s="32" t="n">
        <f>IF(K125=0,"",L125/K125)</f>
        <v>0.10526315789473684</v>
      </c>
      <c r="K125" s="33" t="n">
        <f>SUMIFS('供应商月度明细'!$F$5:$F$155,'供应商月度明细'!$A$5:$A$155,$A125,'供应商月度明细'!$C$5:$C$155,$C125)</f>
        <v>19</v>
      </c>
      <c r="L125" s="33" t="n">
        <f>SUMIFS('供应商月度明细'!$H$5:$H$155,'供应商月度明细'!$A$5:$A$155,$A125,'供应商月度明细'!$C$5:$C$155,$C125)</f>
        <v>2</v>
      </c>
    </row>
    <row r="126">
      <c r="A126" s="19" t="str">
        <v>捷克区</v>
      </c>
      <c r="B126" s="19" t="str">
        <v>FILKOPI Agency s.r.o.</v>
      </c>
      <c r="C126" s="19" t="str">
        <v>S000192</v>
      </c>
      <c r="D126" s="19" t="str">
        <v>工种明细</v>
      </c>
      <c r="E126" s="19" t="str">
        <v>叉车司机</v>
      </c>
      <c r="F126" s="27" t="str">
        <f>IF(SUMIFS('供应商月度明细'!$F$5:$F$155,'供应商月度明细'!$A$5:$A$155,$A126,'供应商月度明细'!$C$5:$C$155,$C126,'供应商月度明细'!$D$5:$D$155,$E126,'供应商月度明细'!$E$5:$E$155,"2026-04")=0,"",SUMIFS('供应商月度明细'!$H$5:$H$155,'供应商月度明细'!$A$5:$A$155,$A126,'供应商月度明细'!$C$5:$C$155,$C126,'供应商月度明细'!$D$5:$D$155,$E126,'供应商月度明细'!$E$5:$E$155,"2026-04")/SUMIFS('供应商月度明细'!$F$5:$F$155,'供应商月度明细'!$A$5:$A$155,$A126,'供应商月度明细'!$C$5:$C$155,$C126,'供应商月度明细'!$D$5:$D$155,$E126,'供应商月度明细'!$E$5:$E$155,"2026-04"))</f>
      </c>
      <c r="G126" s="27" t="str">
        <f>IF(SUMIFS('供应商月度明细'!$F$5:$F$155,'供应商月度明细'!$A$5:$A$155,$A126,'供应商月度明细'!$C$5:$C$155,$C126,'供应商月度明细'!$D$5:$D$155,$E126,'供应商月度明细'!$E$5:$E$155,"2026-05")=0,"",SUMIFS('供应商月度明细'!$H$5:$H$155,'供应商月度明细'!$A$5:$A$155,$A126,'供应商月度明细'!$C$5:$C$155,$C126,'供应商月度明细'!$D$5:$D$155,$E126,'供应商月度明细'!$E$5:$E$155,"2026-05")/SUMIFS('供应商月度明细'!$F$5:$F$155,'供应商月度明细'!$A$5:$A$155,$A126,'供应商月度明细'!$C$5:$C$155,$C126,'供应商月度明细'!$D$5:$D$155,$E126,'供应商月度明细'!$E$5:$E$155,"2026-05"))</f>
      </c>
      <c r="H126" s="27" t="n">
        <f>IF(SUMIFS('供应商月度明细'!$F$5:$F$155,'供应商月度明细'!$A$5:$A$155,$A126,'供应商月度明细'!$C$5:$C$155,$C126,'供应商月度明细'!$D$5:$D$155,$E126,'供应商月度明细'!$E$5:$E$155,"2026-06")=0,"",SUMIFS('供应商月度明细'!$H$5:$H$155,'供应商月度明细'!$A$5:$A$155,$A126,'供应商月度明细'!$C$5:$C$155,$C126,'供应商月度明细'!$D$5:$D$155,$E126,'供应商月度明细'!$E$5:$E$155,"2026-06")/SUMIFS('供应商月度明细'!$F$5:$F$155,'供应商月度明细'!$A$5:$A$155,$A126,'供应商月度明细'!$C$5:$C$155,$C126,'供应商月度明细'!$D$5:$D$155,$E126,'供应商月度明细'!$E$5:$E$155,"2026-06"))</f>
        <v>0.7272727272727273</v>
      </c>
      <c r="I126" s="27" t="n">
        <f>IF(COUNT(F126:H126)=0,"",AVERAGE(F126:H126))</f>
        <v>0.7272727272727273</v>
      </c>
      <c r="J126" s="27" t="n">
        <f>IF(K126=0,"",L126/K126)</f>
        <v>0.7272727272727273</v>
      </c>
      <c r="K126" s="23" t="n">
        <f>SUMIFS('供应商月度明细'!$F$5:$F$155,'供应商月度明细'!$A$5:$A$155,$A126,'供应商月度明细'!$C$5:$C$155,$C126,'供应商月度明细'!$D$5:$D$155,$E126)</f>
        <v>11</v>
      </c>
      <c r="L126" s="23" t="n">
        <f>SUMIFS('供应商月度明细'!$H$5:$H$155,'供应商月度明细'!$A$5:$A$155,$A126,'供应商月度明细'!$C$5:$C$155,$C126,'供应商月度明细'!$D$5:$D$155,$E126)</f>
        <v>8</v>
      </c>
    </row>
    <row r="127">
      <c r="A127" s="31" t="str">
        <v>捷克区</v>
      </c>
      <c r="B127" s="31" t="str">
        <v>FILKOPI Agency s.r.o.</v>
      </c>
      <c r="C127" s="31" t="str">
        <v>S000192</v>
      </c>
      <c r="D127" s="31" t="str">
        <v>供应商汇总</v>
      </c>
      <c r="E127" s="31" t="str">
        <v>全部工种</v>
      </c>
      <c r="F127" s="32" t="str">
        <f>IF(SUMIFS('供应商月度明细'!$F$5:$F$155,'供应商月度明细'!$A$5:$A$155,$A127,'供应商月度明细'!$C$5:$C$155,$C127,'供应商月度明细'!$E$5:$E$155,"2026-04")=0,"",SUMIFS('供应商月度明细'!$H$5:$H$155,'供应商月度明细'!$A$5:$A$155,$A127,'供应商月度明细'!$C$5:$C$155,$C127,'供应商月度明细'!$E$5:$E$155,"2026-04")/SUMIFS('供应商月度明细'!$F$5:$F$155,'供应商月度明细'!$A$5:$A$155,$A127,'供应商月度明细'!$C$5:$C$155,$C127,'供应商月度明细'!$E$5:$E$155,"2026-04"))</f>
      </c>
      <c r="G127" s="32" t="str">
        <f>IF(SUMIFS('供应商月度明细'!$F$5:$F$155,'供应商月度明细'!$A$5:$A$155,$A127,'供应商月度明细'!$C$5:$C$155,$C127,'供应商月度明细'!$E$5:$E$155,"2026-05")=0,"",SUMIFS('供应商月度明细'!$H$5:$H$155,'供应商月度明细'!$A$5:$A$155,$A127,'供应商月度明细'!$C$5:$C$155,$C127,'供应商月度明细'!$E$5:$E$155,"2026-05")/SUMIFS('供应商月度明细'!$F$5:$F$155,'供应商月度明细'!$A$5:$A$155,$A127,'供应商月度明细'!$C$5:$C$155,$C127,'供应商月度明细'!$E$5:$E$155,"2026-05"))</f>
      </c>
      <c r="H127" s="32" t="n">
        <f>IF(SUMIFS('供应商月度明细'!$F$5:$F$155,'供应商月度明细'!$A$5:$A$155,$A127,'供应商月度明细'!$C$5:$C$155,$C127,'供应商月度明细'!$E$5:$E$155,"2026-06")=0,"",SUMIFS('供应商月度明细'!$H$5:$H$155,'供应商月度明细'!$A$5:$A$155,$A127,'供应商月度明细'!$C$5:$C$155,$C127,'供应商月度明细'!$E$5:$E$155,"2026-06")/SUMIFS('供应商月度明细'!$F$5:$F$155,'供应商月度明细'!$A$5:$A$155,$A127,'供应商月度明细'!$C$5:$C$155,$C127,'供应商月度明细'!$E$5:$E$155,"2026-06"))</f>
        <v>0.7272727272727273</v>
      </c>
      <c r="I127" s="32" t="n">
        <f>IF(COUNT(F127:H127)=0,"",AVERAGE(F127:H127))</f>
        <v>0.7272727272727273</v>
      </c>
      <c r="J127" s="32" t="n">
        <f>IF(K127=0,"",L127/K127)</f>
        <v>0.7272727272727273</v>
      </c>
      <c r="K127" s="33" t="n">
        <f>SUMIFS('供应商月度明细'!$F$5:$F$155,'供应商月度明细'!$A$5:$A$155,$A127,'供应商月度明细'!$C$5:$C$155,$C127)</f>
        <v>11</v>
      </c>
      <c r="L127" s="33" t="n">
        <f>SUMIFS('供应商月度明细'!$H$5:$H$155,'供应商月度明细'!$A$5:$A$155,$A127,'供应商月度明细'!$C$5:$C$155,$C127)</f>
        <v>8</v>
      </c>
    </row>
    <row r="128">
      <c r="A128" s="34" t="str">
        <v>捷克区</v>
      </c>
      <c r="B128" s="34" t="str">
        <v>全区</v>
      </c>
      <c r="C128" s="34" t="str"/>
      <c r="D128" s="34" t="str">
        <v>区域汇总</v>
      </c>
      <c r="E128" s="34" t="str">
        <v>操作员</v>
      </c>
      <c r="F128" s="35" t="n">
        <f>IF(SUMIFS('供应商月度明细'!$F$5:$F$155,'供应商月度明细'!$A$5:$A$155,$A128,'供应商月度明细'!$D$5:$D$155,$E128,'供应商月度明细'!$E$5:$E$155,"2026-04")=0,"",SUMIFS('供应商月度明细'!$H$5:$H$155,'供应商月度明细'!$A$5:$A$155,$A128,'供应商月度明细'!$D$5:$D$155,$E128,'供应商月度明细'!$E$5:$E$155,"2026-04")/SUMIFS('供应商月度明细'!$F$5:$F$155,'供应商月度明细'!$A$5:$A$155,$A128,'供应商月度明细'!$D$5:$D$155,$E128,'供应商月度明细'!$E$5:$E$155,"2026-04"))</f>
        <v>0.5333333333333333</v>
      </c>
      <c r="G128" s="35" t="n">
        <f>IF(SUMIFS('供应商月度明细'!$F$5:$F$155,'供应商月度明细'!$A$5:$A$155,$A128,'供应商月度明细'!$D$5:$D$155,$E128,'供应商月度明细'!$E$5:$E$155,"2026-05")=0,"",SUMIFS('供应商月度明细'!$H$5:$H$155,'供应商月度明细'!$A$5:$A$155,$A128,'供应商月度明细'!$D$5:$D$155,$E128,'供应商月度明细'!$E$5:$E$155,"2026-05")/SUMIFS('供应商月度明细'!$F$5:$F$155,'供应商月度明细'!$A$5:$A$155,$A128,'供应商月度明细'!$D$5:$D$155,$E128,'供应商月度明细'!$E$5:$E$155,"2026-05"))</f>
        <v>0.21875</v>
      </c>
      <c r="H128" s="35" t="n">
        <f>IF(SUMIFS('供应商月度明细'!$F$5:$F$155,'供应商月度明细'!$A$5:$A$155,$A128,'供应商月度明细'!$D$5:$D$155,$E128,'供应商月度明细'!$E$5:$E$155,"2026-06")=0,"",SUMIFS('供应商月度明细'!$H$5:$H$155,'供应商月度明细'!$A$5:$A$155,$A128,'供应商月度明细'!$D$5:$D$155,$E128,'供应商月度明细'!$E$5:$E$155,"2026-06")/SUMIFS('供应商月度明细'!$F$5:$F$155,'供应商月度明细'!$A$5:$A$155,$A128,'供应商月度明细'!$D$5:$D$155,$E128,'供应商月度明细'!$E$5:$E$155,"2026-06"))</f>
        <v>0.575</v>
      </c>
      <c r="I128" s="35" t="n">
        <f>IF(COUNT(F128:H128)=0,"",AVERAGE(F128:H128))</f>
        <v>0.44236111111111115</v>
      </c>
      <c r="J128" s="35" t="n">
        <f>IF(K128=0,"",L128/K128)</f>
        <v>0.48031496062992124</v>
      </c>
      <c r="K128" s="36" t="n">
        <f>SUMIFS('供应商月度明细'!$F$5:$F$155,'供应商月度明细'!$A$5:$A$155,$A128,'供应商月度明细'!$D$5:$D$155,$E128)</f>
        <v>127</v>
      </c>
      <c r="L128" s="36" t="n">
        <f>SUMIFS('供应商月度明细'!$H$5:$H$155,'供应商月度明细'!$A$5:$A$155,$A128,'供应商月度明细'!$D$5:$D$155,$E128)</f>
        <v>61</v>
      </c>
    </row>
    <row r="129">
      <c r="A129" s="34" t="str">
        <v>捷克区</v>
      </c>
      <c r="B129" s="34" t="str">
        <v>全区</v>
      </c>
      <c r="C129" s="34" t="str"/>
      <c r="D129" s="34" t="str">
        <v>区域汇总</v>
      </c>
      <c r="E129" s="34" t="str">
        <v>叉车司机</v>
      </c>
      <c r="F129" s="35" t="n">
        <f>IF(SUMIFS('供应商月度明细'!$F$5:$F$155,'供应商月度明细'!$A$5:$A$155,$A129,'供应商月度明细'!$D$5:$D$155,$E129,'供应商月度明细'!$E$5:$E$155,"2026-04")=0,"",SUMIFS('供应商月度明细'!$H$5:$H$155,'供应商月度明细'!$A$5:$A$155,$A129,'供应商月度明细'!$D$5:$D$155,$E129,'供应商月度明细'!$E$5:$E$155,"2026-04")/SUMIFS('供应商月度明细'!$F$5:$F$155,'供应商月度明细'!$A$5:$A$155,$A129,'供应商月度明细'!$D$5:$D$155,$E129,'供应商月度明细'!$E$5:$E$155,"2026-04"))</f>
        <v>0.4444444444444444</v>
      </c>
      <c r="G129" s="35" t="n">
        <f>IF(SUMIFS('供应商月度明细'!$F$5:$F$155,'供应商月度明细'!$A$5:$A$155,$A129,'供应商月度明细'!$D$5:$D$155,$E129,'供应商月度明细'!$E$5:$E$155,"2026-05")=0,"",SUMIFS('供应商月度明细'!$H$5:$H$155,'供应商月度明细'!$A$5:$A$155,$A129,'供应商月度明细'!$D$5:$D$155,$E129,'供应商月度明细'!$E$5:$E$155,"2026-05")/SUMIFS('供应商月度明细'!$F$5:$F$155,'供应商月度明细'!$A$5:$A$155,$A129,'供应商月度明细'!$D$5:$D$155,$E129,'供应商月度明细'!$E$5:$E$155,"2026-05"))</f>
        <v>0</v>
      </c>
      <c r="H129" s="35" t="n">
        <f>IF(SUMIFS('供应商月度明细'!$F$5:$F$155,'供应商月度明细'!$A$5:$A$155,$A129,'供应商月度明细'!$D$5:$D$155,$E129,'供应商月度明细'!$E$5:$E$155,"2026-06")=0,"",SUMIFS('供应商月度明细'!$H$5:$H$155,'供应商月度明细'!$A$5:$A$155,$A129,'供应商月度明细'!$D$5:$D$155,$E129,'供应商月度明细'!$E$5:$E$155,"2026-06")/SUMIFS('供应商月度明细'!$F$5:$F$155,'供应商月度明细'!$A$5:$A$155,$A129,'供应商月度明细'!$D$5:$D$155,$E129,'供应商月度明细'!$E$5:$E$155,"2026-06"))</f>
        <v>0.5930232558139535</v>
      </c>
      <c r="I129" s="35" t="n">
        <f>IF(COUNT(F129:H129)=0,"",AVERAGE(F129:H129))</f>
        <v>0.34582256675279927</v>
      </c>
      <c r="J129" s="35" t="n">
        <f>IF(K129=0,"",L129/K129)</f>
        <v>0.4632352941176471</v>
      </c>
      <c r="K129" s="36" t="n">
        <f>SUMIFS('供应商月度明细'!$F$5:$F$155,'供应商月度明细'!$A$5:$A$155,$A129,'供应商月度明细'!$D$5:$D$155,$E129)</f>
        <v>136</v>
      </c>
      <c r="L129" s="36" t="n">
        <f>SUMIFS('供应商月度明细'!$H$5:$H$155,'供应商月度明细'!$A$5:$A$155,$A129,'供应商月度明细'!$D$5:$D$155,$E129)</f>
        <v>63</v>
      </c>
    </row>
    <row r="130">
      <c r="A130" s="34" t="str">
        <v>捷克区</v>
      </c>
      <c r="B130" s="34" t="str">
        <v>全区</v>
      </c>
      <c r="C130" s="34" t="str"/>
      <c r="D130" s="34" t="str">
        <v>区域汇总</v>
      </c>
      <c r="E130" s="34" t="str">
        <v>交运员 3.5T</v>
      </c>
      <c r="F130" s="35" t="str">
        <f>IF(SUMIFS('供应商月度明细'!$F$5:$F$155,'供应商月度明细'!$A$5:$A$155,$A130,'供应商月度明细'!$D$5:$D$155,$E130,'供应商月度明细'!$E$5:$E$155,"2026-04")=0,"",SUMIFS('供应商月度明细'!$H$5:$H$155,'供应商月度明细'!$A$5:$A$155,$A130,'供应商月度明细'!$D$5:$D$155,$E130,'供应商月度明细'!$E$5:$E$155,"2026-04")/SUMIFS('供应商月度明细'!$F$5:$F$155,'供应商月度明细'!$A$5:$A$155,$A130,'供应商月度明细'!$D$5:$D$155,$E130,'供应商月度明细'!$E$5:$E$155,"2026-04"))</f>
      </c>
      <c r="G130" s="35" t="str">
        <f>IF(SUMIFS('供应商月度明细'!$F$5:$F$155,'供应商月度明细'!$A$5:$A$155,$A130,'供应商月度明细'!$D$5:$D$155,$E130,'供应商月度明细'!$E$5:$E$155,"2026-05")=0,"",SUMIFS('供应商月度明细'!$H$5:$H$155,'供应商月度明细'!$A$5:$A$155,$A130,'供应商月度明细'!$D$5:$D$155,$E130,'供应商月度明细'!$E$5:$E$155,"2026-05")/SUMIFS('供应商月度明细'!$F$5:$F$155,'供应商月度明细'!$A$5:$A$155,$A130,'供应商月度明细'!$D$5:$D$155,$E130,'供应商月度明细'!$E$5:$E$155,"2026-05"))</f>
      </c>
      <c r="H130" s="35" t="n">
        <f>IF(SUMIFS('供应商月度明细'!$F$5:$F$155,'供应商月度明细'!$A$5:$A$155,$A130,'供应商月度明细'!$D$5:$D$155,$E130,'供应商月度明细'!$E$5:$E$155,"2026-06")=0,"",SUMIFS('供应商月度明细'!$H$5:$H$155,'供应商月度明细'!$A$5:$A$155,$A130,'供应商月度明细'!$D$5:$D$155,$E130,'供应商月度明细'!$E$5:$E$155,"2026-06")/SUMIFS('供应商月度明细'!$F$5:$F$155,'供应商月度明细'!$A$5:$A$155,$A130,'供应商月度明细'!$D$5:$D$155,$E130,'供应商月度明细'!$E$5:$E$155,"2026-06"))</f>
        <v>1</v>
      </c>
      <c r="I130" s="35" t="n">
        <f>IF(COUNT(F130:H130)=0,"",AVERAGE(F130:H130))</f>
        <v>1</v>
      </c>
      <c r="J130" s="35" t="n">
        <f>IF(K130=0,"",L130/K130)</f>
        <v>1</v>
      </c>
      <c r="K130" s="36" t="n">
        <f>SUMIFS('供应商月度明细'!$F$5:$F$155,'供应商月度明细'!$A$5:$A$155,$A130,'供应商月度明细'!$D$5:$D$155,$E130)</f>
        <v>5</v>
      </c>
      <c r="L130" s="36" t="n">
        <f>SUMIFS('供应商月度明细'!$H$5:$H$155,'供应商月度明细'!$A$5:$A$155,$A130,'供应商月度明细'!$D$5:$D$155,$E130)</f>
        <v>5</v>
      </c>
    </row>
    <row r="131">
      <c r="A131" s="37" t="str">
        <v>捷克区</v>
      </c>
      <c r="B131" s="37" t="str">
        <v>全区</v>
      </c>
      <c r="C131" s="37" t="str"/>
      <c r="D131" s="37" t="str">
        <v>区域汇总</v>
      </c>
      <c r="E131" s="37" t="str">
        <v>全部工种</v>
      </c>
      <c r="F131" s="38" t="n">
        <f>IF(SUMIFS('供应商月度明细'!$F$5:$F$155,'供应商月度明细'!$A$5:$A$155,$A131,'供应商月度明细'!$E$5:$E$155,"2026-04")=0,"",SUMIFS('供应商月度明细'!$H$5:$H$155,'供应商月度明细'!$A$5:$A$155,$A131,'供应商月度明细'!$E$5:$E$155,"2026-04")/SUMIFS('供应商月度明细'!$F$5:$F$155,'供应商月度明细'!$A$5:$A$155,$A131,'供应商月度明细'!$E$5:$E$155,"2026-04"))</f>
        <v>0.47619047619047616</v>
      </c>
      <c r="G131" s="38" t="n">
        <f>IF(SUMIFS('供应商月度明细'!$F$5:$F$155,'供应商月度明细'!$A$5:$A$155,$A131,'供应商月度明细'!$E$5:$E$155,"2026-05")=0,"",SUMIFS('供应商月度明细'!$H$5:$H$155,'供应商月度明细'!$A$5:$A$155,$A131,'供应商月度明细'!$E$5:$E$155,"2026-05")/SUMIFS('供应商月度明细'!$F$5:$F$155,'供应商月度明细'!$A$5:$A$155,$A131,'供应商月度明细'!$E$5:$E$155,"2026-05"))</f>
        <v>0.12727272727272726</v>
      </c>
      <c r="H131" s="38" t="n">
        <f>IF(SUMIFS('供应商月度明细'!$F$5:$F$155,'供应商月度明细'!$A$5:$A$155,$A131,'供应商月度明细'!$E$5:$E$155,"2026-06")=0,"",SUMIFS('供应商月度明细'!$H$5:$H$155,'供应商月度明细'!$A$5:$A$155,$A131,'供应商月度明细'!$E$5:$E$155,"2026-06")/SUMIFS('供应商月度明细'!$F$5:$F$155,'供应商月度明细'!$A$5:$A$155,$A131,'供应商月度明细'!$E$5:$E$155,"2026-06"))</f>
        <v>0.5964912280701754</v>
      </c>
      <c r="I131" s="38" t="n">
        <f>IF(COUNT(F131:H131)=0,"",AVERAGE(F131:H131))</f>
        <v>0.3999848105111263</v>
      </c>
      <c r="J131" s="38" t="n">
        <f>IF(K131=0,"",L131/K131)</f>
        <v>0.48134328358208955</v>
      </c>
      <c r="K131" s="39" t="n">
        <f>SUMIFS('供应商月度明细'!$F$5:$F$155,'供应商月度明细'!$A$5:$A$155,$A131)</f>
        <v>268</v>
      </c>
      <c r="L131" s="39" t="n">
        <f>SUMIFS('供应商月度明细'!$H$5:$H$155,'供应商月度明细'!$A$5:$A$155,$A131)</f>
        <v>129</v>
      </c>
    </row>
    <row r="132">
      <c r="A132" s="19" t="str">
        <v>西班牙区</v>
      </c>
      <c r="B132" s="19" t="str">
        <v>FLEXIPLAN ETT S.A.</v>
      </c>
      <c r="C132" s="19" t="str">
        <v>S000303</v>
      </c>
      <c r="D132" s="19" t="str">
        <v>工种明细</v>
      </c>
      <c r="E132" s="19" t="str">
        <v>操作员</v>
      </c>
      <c r="F132" s="27" t="str">
        <f>IF(SUMIFS('供应商月度明细'!$F$5:$F$155,'供应商月度明细'!$A$5:$A$155,$A132,'供应商月度明细'!$C$5:$C$155,$C132,'供应商月度明细'!$D$5:$D$155,$E132,'供应商月度明细'!$E$5:$E$155,"2026-04")=0,"",SUMIFS('供应商月度明细'!$H$5:$H$155,'供应商月度明细'!$A$5:$A$155,$A132,'供应商月度明细'!$C$5:$C$155,$C132,'供应商月度明细'!$D$5:$D$155,$E132,'供应商月度明细'!$E$5:$E$155,"2026-04")/SUMIFS('供应商月度明细'!$F$5:$F$155,'供应商月度明细'!$A$5:$A$155,$A132,'供应商月度明细'!$C$5:$C$155,$C132,'供应商月度明细'!$D$5:$D$155,$E132,'供应商月度明细'!$E$5:$E$155,"2026-04"))</f>
      </c>
      <c r="G132" s="27" t="n">
        <f>IF(SUMIFS('供应商月度明细'!$F$5:$F$155,'供应商月度明细'!$A$5:$A$155,$A132,'供应商月度明细'!$C$5:$C$155,$C132,'供应商月度明细'!$D$5:$D$155,$E132,'供应商月度明细'!$E$5:$E$155,"2026-05")=0,"",SUMIFS('供应商月度明细'!$H$5:$H$155,'供应商月度明细'!$A$5:$A$155,$A132,'供应商月度明细'!$C$5:$C$155,$C132,'供应商月度明细'!$D$5:$D$155,$E132,'供应商月度明细'!$E$5:$E$155,"2026-05")/SUMIFS('供应商月度明细'!$F$5:$F$155,'供应商月度明细'!$A$5:$A$155,$A132,'供应商月度明细'!$C$5:$C$155,$C132,'供应商月度明细'!$D$5:$D$155,$E132,'供应商月度明细'!$E$5:$E$155,"2026-05"))</f>
        <v>1</v>
      </c>
      <c r="H132" s="27" t="n">
        <f>IF(SUMIFS('供应商月度明细'!$F$5:$F$155,'供应商月度明细'!$A$5:$A$155,$A132,'供应商月度明细'!$C$5:$C$155,$C132,'供应商月度明细'!$D$5:$D$155,$E132,'供应商月度明细'!$E$5:$E$155,"2026-06")=0,"",SUMIFS('供应商月度明细'!$H$5:$H$155,'供应商月度明细'!$A$5:$A$155,$A132,'供应商月度明细'!$C$5:$C$155,$C132,'供应商月度明细'!$D$5:$D$155,$E132,'供应商月度明细'!$E$5:$E$155,"2026-06")/SUMIFS('供应商月度明细'!$F$5:$F$155,'供应商月度明细'!$A$5:$A$155,$A132,'供应商月度明细'!$C$5:$C$155,$C132,'供应商月度明细'!$D$5:$D$155,$E132,'供应商月度明细'!$E$5:$E$155,"2026-06"))</f>
        <v>1</v>
      </c>
      <c r="I132" s="27" t="n">
        <f>IF(COUNT(F132:H132)=0,"",AVERAGE(F132:H132))</f>
        <v>1</v>
      </c>
      <c r="J132" s="27" t="n">
        <f>IF(K132=0,"",L132/K132)</f>
        <v>1</v>
      </c>
      <c r="K132" s="23" t="n">
        <f>SUMIFS('供应商月度明细'!$F$5:$F$155,'供应商月度明细'!$A$5:$A$155,$A132,'供应商月度明细'!$C$5:$C$155,$C132,'供应商月度明细'!$D$5:$D$155,$E132)</f>
        <v>3</v>
      </c>
      <c r="L132" s="23" t="n">
        <f>SUMIFS('供应商月度明细'!$H$5:$H$155,'供应商月度明细'!$A$5:$A$155,$A132,'供应商月度明细'!$C$5:$C$155,$C132,'供应商月度明细'!$D$5:$D$155,$E132)</f>
        <v>3</v>
      </c>
    </row>
    <row r="133">
      <c r="A133" s="19" t="str">
        <v>西班牙区</v>
      </c>
      <c r="B133" s="19" t="str">
        <v>FLEXIPLAN ETT S.A.</v>
      </c>
      <c r="C133" s="19" t="str">
        <v>S000303</v>
      </c>
      <c r="D133" s="19" t="str">
        <v>工种明细</v>
      </c>
      <c r="E133" s="19" t="str">
        <v>叉车司机</v>
      </c>
      <c r="F133" s="27" t="n">
        <f>IF(SUMIFS('供应商月度明细'!$F$5:$F$155,'供应商月度明细'!$A$5:$A$155,$A133,'供应商月度明细'!$C$5:$C$155,$C133,'供应商月度明细'!$D$5:$D$155,$E133,'供应商月度明细'!$E$5:$E$155,"2026-04")=0,"",SUMIFS('供应商月度明细'!$H$5:$H$155,'供应商月度明细'!$A$5:$A$155,$A133,'供应商月度明细'!$C$5:$C$155,$C133,'供应商月度明细'!$D$5:$D$155,$E133,'供应商月度明细'!$E$5:$E$155,"2026-04")/SUMIFS('供应商月度明细'!$F$5:$F$155,'供应商月度明细'!$A$5:$A$155,$A133,'供应商月度明细'!$C$5:$C$155,$C133,'供应商月度明细'!$D$5:$D$155,$E133,'供应商月度明细'!$E$5:$E$155,"2026-04"))</f>
        <v>1</v>
      </c>
      <c r="G133" s="27" t="n">
        <f>IF(SUMIFS('供应商月度明细'!$F$5:$F$155,'供应商月度明细'!$A$5:$A$155,$A133,'供应商月度明细'!$C$5:$C$155,$C133,'供应商月度明细'!$D$5:$D$155,$E133,'供应商月度明细'!$E$5:$E$155,"2026-05")=0,"",SUMIFS('供应商月度明细'!$H$5:$H$155,'供应商月度明细'!$A$5:$A$155,$A133,'供应商月度明细'!$C$5:$C$155,$C133,'供应商月度明细'!$D$5:$D$155,$E133,'供应商月度明细'!$E$5:$E$155,"2026-05")/SUMIFS('供应商月度明细'!$F$5:$F$155,'供应商月度明细'!$A$5:$A$155,$A133,'供应商月度明细'!$C$5:$C$155,$C133,'供应商月度明细'!$D$5:$D$155,$E133,'供应商月度明细'!$E$5:$E$155,"2026-05"))</f>
        <v>1</v>
      </c>
      <c r="H133" s="27" t="n">
        <f>IF(SUMIFS('供应商月度明细'!$F$5:$F$155,'供应商月度明细'!$A$5:$A$155,$A133,'供应商月度明细'!$C$5:$C$155,$C133,'供应商月度明细'!$D$5:$D$155,$E133,'供应商月度明细'!$E$5:$E$155,"2026-06")=0,"",SUMIFS('供应商月度明细'!$H$5:$H$155,'供应商月度明细'!$A$5:$A$155,$A133,'供应商月度明细'!$C$5:$C$155,$C133,'供应商月度明细'!$D$5:$D$155,$E133,'供应商月度明细'!$E$5:$E$155,"2026-06")/SUMIFS('供应商月度明细'!$F$5:$F$155,'供应商月度明细'!$A$5:$A$155,$A133,'供应商月度明细'!$C$5:$C$155,$C133,'供应商月度明细'!$D$5:$D$155,$E133,'供应商月度明细'!$E$5:$E$155,"2026-06"))</f>
        <v>1</v>
      </c>
      <c r="I133" s="27" t="n">
        <f>IF(COUNT(F133:H133)=0,"",AVERAGE(F133:H133))</f>
        <v>1</v>
      </c>
      <c r="J133" s="27" t="n">
        <f>IF(K133=0,"",L133/K133)</f>
        <v>1</v>
      </c>
      <c r="K133" s="23" t="n">
        <f>SUMIFS('供应商月度明细'!$F$5:$F$155,'供应商月度明细'!$A$5:$A$155,$A133,'供应商月度明细'!$C$5:$C$155,$C133,'供应商月度明细'!$D$5:$D$155,$E133)</f>
        <v>23</v>
      </c>
      <c r="L133" s="23" t="n">
        <f>SUMIFS('供应商月度明细'!$H$5:$H$155,'供应商月度明细'!$A$5:$A$155,$A133,'供应商月度明细'!$C$5:$C$155,$C133,'供应商月度明细'!$D$5:$D$155,$E133)</f>
        <v>23</v>
      </c>
    </row>
    <row r="134">
      <c r="A134" s="19" t="str">
        <v>西班牙区</v>
      </c>
      <c r="B134" s="19" t="str">
        <v>FLEXIPLAN ETT S.A.</v>
      </c>
      <c r="C134" s="19" t="str">
        <v>S000303</v>
      </c>
      <c r="D134" s="19" t="str">
        <v>工种明细</v>
      </c>
      <c r="E134" s="19" t="str">
        <v>保洁员</v>
      </c>
      <c r="F134" s="27" t="str">
        <f>IF(SUMIFS('供应商月度明细'!$F$5:$F$155,'供应商月度明细'!$A$5:$A$155,$A134,'供应商月度明细'!$C$5:$C$155,$C134,'供应商月度明细'!$D$5:$D$155,$E134,'供应商月度明细'!$E$5:$E$155,"2026-04")=0,"",SUMIFS('供应商月度明细'!$H$5:$H$155,'供应商月度明细'!$A$5:$A$155,$A134,'供应商月度明细'!$C$5:$C$155,$C134,'供应商月度明细'!$D$5:$D$155,$E134,'供应商月度明细'!$E$5:$E$155,"2026-04")/SUMIFS('供应商月度明细'!$F$5:$F$155,'供应商月度明细'!$A$5:$A$155,$A134,'供应商月度明细'!$C$5:$C$155,$C134,'供应商月度明细'!$D$5:$D$155,$E134,'供应商月度明细'!$E$5:$E$155,"2026-04"))</f>
      </c>
      <c r="G134" s="27" t="str">
        <f>IF(SUMIFS('供应商月度明细'!$F$5:$F$155,'供应商月度明细'!$A$5:$A$155,$A134,'供应商月度明细'!$C$5:$C$155,$C134,'供应商月度明细'!$D$5:$D$155,$E134,'供应商月度明细'!$E$5:$E$155,"2026-05")=0,"",SUMIFS('供应商月度明细'!$H$5:$H$155,'供应商月度明细'!$A$5:$A$155,$A134,'供应商月度明细'!$C$5:$C$155,$C134,'供应商月度明细'!$D$5:$D$155,$E134,'供应商月度明细'!$E$5:$E$155,"2026-05")/SUMIFS('供应商月度明细'!$F$5:$F$155,'供应商月度明细'!$A$5:$A$155,$A134,'供应商月度明细'!$C$5:$C$155,$C134,'供应商月度明细'!$D$5:$D$155,$E134,'供应商月度明细'!$E$5:$E$155,"2026-05"))</f>
      </c>
      <c r="H134" s="27" t="n">
        <f>IF(SUMIFS('供应商月度明细'!$F$5:$F$155,'供应商月度明细'!$A$5:$A$155,$A134,'供应商月度明细'!$C$5:$C$155,$C134,'供应商月度明细'!$D$5:$D$155,$E134,'供应商月度明细'!$E$5:$E$155,"2026-06")=0,"",SUMIFS('供应商月度明细'!$H$5:$H$155,'供应商月度明细'!$A$5:$A$155,$A134,'供应商月度明细'!$C$5:$C$155,$C134,'供应商月度明细'!$D$5:$D$155,$E134,'供应商月度明细'!$E$5:$E$155,"2026-06")/SUMIFS('供应商月度明细'!$F$5:$F$155,'供应商月度明细'!$A$5:$A$155,$A134,'供应商月度明细'!$C$5:$C$155,$C134,'供应商月度明细'!$D$5:$D$155,$E134,'供应商月度明细'!$E$5:$E$155,"2026-06"))</f>
        <v>1</v>
      </c>
      <c r="I134" s="27" t="n">
        <f>IF(COUNT(F134:H134)=0,"",AVERAGE(F134:H134))</f>
        <v>1</v>
      </c>
      <c r="J134" s="27" t="n">
        <f>IF(K134=0,"",L134/K134)</f>
        <v>1</v>
      </c>
      <c r="K134" s="23" t="n">
        <f>SUMIFS('供应商月度明细'!$F$5:$F$155,'供应商月度明细'!$A$5:$A$155,$A134,'供应商月度明细'!$C$5:$C$155,$C134,'供应商月度明细'!$D$5:$D$155,$E134)</f>
        <v>1</v>
      </c>
      <c r="L134" s="23" t="n">
        <f>SUMIFS('供应商月度明细'!$H$5:$H$155,'供应商月度明细'!$A$5:$A$155,$A134,'供应商月度明细'!$C$5:$C$155,$C134,'供应商月度明细'!$D$5:$D$155,$E134)</f>
        <v>1</v>
      </c>
    </row>
    <row r="135">
      <c r="A135" s="19" t="str">
        <v>西班牙区</v>
      </c>
      <c r="B135" s="19" t="str">
        <v>FLEXIPLAN ETT S.A.</v>
      </c>
      <c r="C135" s="19" t="str">
        <v>S000303</v>
      </c>
      <c r="D135" s="19" t="str">
        <v>工种明细</v>
      </c>
      <c r="E135" s="19" t="str">
        <v>交运员Class 1</v>
      </c>
      <c r="F135" s="27" t="str">
        <f>IF(SUMIFS('供应商月度明细'!$F$5:$F$155,'供应商月度明细'!$A$5:$A$155,$A135,'供应商月度明细'!$C$5:$C$155,$C135,'供应商月度明细'!$D$5:$D$155,$E135,'供应商月度明细'!$E$5:$E$155,"2026-04")=0,"",SUMIFS('供应商月度明细'!$H$5:$H$155,'供应商月度明细'!$A$5:$A$155,$A135,'供应商月度明细'!$C$5:$C$155,$C135,'供应商月度明细'!$D$5:$D$155,$E135,'供应商月度明细'!$E$5:$E$155,"2026-04")/SUMIFS('供应商月度明细'!$F$5:$F$155,'供应商月度明细'!$A$5:$A$155,$A135,'供应商月度明细'!$C$5:$C$155,$C135,'供应商月度明细'!$D$5:$D$155,$E135,'供应商月度明细'!$E$5:$E$155,"2026-04"))</f>
      </c>
      <c r="G135" s="27" t="str">
        <f>IF(SUMIFS('供应商月度明细'!$F$5:$F$155,'供应商月度明细'!$A$5:$A$155,$A135,'供应商月度明细'!$C$5:$C$155,$C135,'供应商月度明细'!$D$5:$D$155,$E135,'供应商月度明细'!$E$5:$E$155,"2026-05")=0,"",SUMIFS('供应商月度明细'!$H$5:$H$155,'供应商月度明细'!$A$5:$A$155,$A135,'供应商月度明细'!$C$5:$C$155,$C135,'供应商月度明细'!$D$5:$D$155,$E135,'供应商月度明细'!$E$5:$E$155,"2026-05")/SUMIFS('供应商月度明细'!$F$5:$F$155,'供应商月度明细'!$A$5:$A$155,$A135,'供应商月度明细'!$C$5:$C$155,$C135,'供应商月度明细'!$D$5:$D$155,$E135,'供应商月度明细'!$E$5:$E$155,"2026-05"))</f>
      </c>
      <c r="H135" s="27" t="n">
        <f>IF(SUMIFS('供应商月度明细'!$F$5:$F$155,'供应商月度明细'!$A$5:$A$155,$A135,'供应商月度明细'!$C$5:$C$155,$C135,'供应商月度明细'!$D$5:$D$155,$E135,'供应商月度明细'!$E$5:$E$155,"2026-06")=0,"",SUMIFS('供应商月度明细'!$H$5:$H$155,'供应商月度明细'!$A$5:$A$155,$A135,'供应商月度明细'!$C$5:$C$155,$C135,'供应商月度明细'!$D$5:$D$155,$E135,'供应商月度明细'!$E$5:$E$155,"2026-06")/SUMIFS('供应商月度明细'!$F$5:$F$155,'供应商月度明细'!$A$5:$A$155,$A135,'供应商月度明细'!$C$5:$C$155,$C135,'供应商月度明细'!$D$5:$D$155,$E135,'供应商月度明细'!$E$5:$E$155,"2026-06"))</f>
        <v>1</v>
      </c>
      <c r="I135" s="27" t="n">
        <f>IF(COUNT(F135:H135)=0,"",AVERAGE(F135:H135))</f>
        <v>1</v>
      </c>
      <c r="J135" s="27" t="n">
        <f>IF(K135=0,"",L135/K135)</f>
        <v>1</v>
      </c>
      <c r="K135" s="23" t="n">
        <f>SUMIFS('供应商月度明细'!$F$5:$F$155,'供应商月度明细'!$A$5:$A$155,$A135,'供应商月度明细'!$C$5:$C$155,$C135,'供应商月度明细'!$D$5:$D$155,$E135)</f>
        <v>1</v>
      </c>
      <c r="L135" s="23" t="n">
        <f>SUMIFS('供应商月度明细'!$H$5:$H$155,'供应商月度明细'!$A$5:$A$155,$A135,'供应商月度明细'!$C$5:$C$155,$C135,'供应商月度明细'!$D$5:$D$155,$E135)</f>
        <v>1</v>
      </c>
    </row>
    <row r="136">
      <c r="A136" s="31" t="str">
        <v>西班牙区</v>
      </c>
      <c r="B136" s="31" t="str">
        <v>FLEXIPLAN ETT S.A.</v>
      </c>
      <c r="C136" s="31" t="str">
        <v>S000303</v>
      </c>
      <c r="D136" s="31" t="str">
        <v>供应商汇总</v>
      </c>
      <c r="E136" s="31" t="str">
        <v>全部工种</v>
      </c>
      <c r="F136" s="32" t="n">
        <f>IF(SUMIFS('供应商月度明细'!$F$5:$F$155,'供应商月度明细'!$A$5:$A$155,$A136,'供应商月度明细'!$C$5:$C$155,$C136,'供应商月度明细'!$E$5:$E$155,"2026-04")=0,"",SUMIFS('供应商月度明细'!$H$5:$H$155,'供应商月度明细'!$A$5:$A$155,$A136,'供应商月度明细'!$C$5:$C$155,$C136,'供应商月度明细'!$E$5:$E$155,"2026-04")/SUMIFS('供应商月度明细'!$F$5:$F$155,'供应商月度明细'!$A$5:$A$155,$A136,'供应商月度明细'!$C$5:$C$155,$C136,'供应商月度明细'!$E$5:$E$155,"2026-04"))</f>
        <v>1</v>
      </c>
      <c r="G136" s="32" t="n">
        <f>IF(SUMIFS('供应商月度明细'!$F$5:$F$155,'供应商月度明细'!$A$5:$A$155,$A136,'供应商月度明细'!$C$5:$C$155,$C136,'供应商月度明细'!$E$5:$E$155,"2026-05")=0,"",SUMIFS('供应商月度明细'!$H$5:$H$155,'供应商月度明细'!$A$5:$A$155,$A136,'供应商月度明细'!$C$5:$C$155,$C136,'供应商月度明细'!$E$5:$E$155,"2026-05")/SUMIFS('供应商月度明细'!$F$5:$F$155,'供应商月度明细'!$A$5:$A$155,$A136,'供应商月度明细'!$C$5:$C$155,$C136,'供应商月度明细'!$E$5:$E$155,"2026-05"))</f>
        <v>1</v>
      </c>
      <c r="H136" s="32" t="n">
        <f>IF(SUMIFS('供应商月度明细'!$F$5:$F$155,'供应商月度明细'!$A$5:$A$155,$A136,'供应商月度明细'!$C$5:$C$155,$C136,'供应商月度明细'!$E$5:$E$155,"2026-06")=0,"",SUMIFS('供应商月度明细'!$H$5:$H$155,'供应商月度明细'!$A$5:$A$155,$A136,'供应商月度明细'!$C$5:$C$155,$C136,'供应商月度明细'!$E$5:$E$155,"2026-06")/SUMIFS('供应商月度明细'!$F$5:$F$155,'供应商月度明细'!$A$5:$A$155,$A136,'供应商月度明细'!$C$5:$C$155,$C136,'供应商月度明细'!$E$5:$E$155,"2026-06"))</f>
        <v>1</v>
      </c>
      <c r="I136" s="32" t="n">
        <f>IF(COUNT(F136:H136)=0,"",AVERAGE(F136:H136))</f>
        <v>1</v>
      </c>
      <c r="J136" s="32" t="n">
        <f>IF(K136=0,"",L136/K136)</f>
        <v>1</v>
      </c>
      <c r="K136" s="33" t="n">
        <f>SUMIFS('供应商月度明细'!$F$5:$F$155,'供应商月度明细'!$A$5:$A$155,$A136,'供应商月度明细'!$C$5:$C$155,$C136)</f>
        <v>28</v>
      </c>
      <c r="L136" s="33" t="n">
        <f>SUMIFS('供应商月度明细'!$H$5:$H$155,'供应商月度明细'!$A$5:$A$155,$A136,'供应商月度明细'!$C$5:$C$155,$C136)</f>
        <v>28</v>
      </c>
    </row>
    <row r="137">
      <c r="A137" s="34" t="str">
        <v>西班牙区</v>
      </c>
      <c r="B137" s="34" t="str">
        <v>全区</v>
      </c>
      <c r="C137" s="34" t="str"/>
      <c r="D137" s="34" t="str">
        <v>区域汇总</v>
      </c>
      <c r="E137" s="34" t="str">
        <v>操作员</v>
      </c>
      <c r="F137" s="35" t="str">
        <f>IF(SUMIFS('供应商月度明细'!$F$5:$F$155,'供应商月度明细'!$A$5:$A$155,$A137,'供应商月度明细'!$D$5:$D$155,$E137,'供应商月度明细'!$E$5:$E$155,"2026-04")=0,"",SUMIFS('供应商月度明细'!$H$5:$H$155,'供应商月度明细'!$A$5:$A$155,$A137,'供应商月度明细'!$D$5:$D$155,$E137,'供应商月度明细'!$E$5:$E$155,"2026-04")/SUMIFS('供应商月度明细'!$F$5:$F$155,'供应商月度明细'!$A$5:$A$155,$A137,'供应商月度明细'!$D$5:$D$155,$E137,'供应商月度明细'!$E$5:$E$155,"2026-04"))</f>
      </c>
      <c r="G137" s="35" t="n">
        <f>IF(SUMIFS('供应商月度明细'!$F$5:$F$155,'供应商月度明细'!$A$5:$A$155,$A137,'供应商月度明细'!$D$5:$D$155,$E137,'供应商月度明细'!$E$5:$E$155,"2026-05")=0,"",SUMIFS('供应商月度明细'!$H$5:$H$155,'供应商月度明细'!$A$5:$A$155,$A137,'供应商月度明细'!$D$5:$D$155,$E137,'供应商月度明细'!$E$5:$E$155,"2026-05")/SUMIFS('供应商月度明细'!$F$5:$F$155,'供应商月度明细'!$A$5:$A$155,$A137,'供应商月度明细'!$D$5:$D$155,$E137,'供应商月度明细'!$E$5:$E$155,"2026-05"))</f>
        <v>1</v>
      </c>
      <c r="H137" s="35" t="n">
        <f>IF(SUMIFS('供应商月度明细'!$F$5:$F$155,'供应商月度明细'!$A$5:$A$155,$A137,'供应商月度明细'!$D$5:$D$155,$E137,'供应商月度明细'!$E$5:$E$155,"2026-06")=0,"",SUMIFS('供应商月度明细'!$H$5:$H$155,'供应商月度明细'!$A$5:$A$155,$A137,'供应商月度明细'!$D$5:$D$155,$E137,'供应商月度明细'!$E$5:$E$155,"2026-06")/SUMIFS('供应商月度明细'!$F$5:$F$155,'供应商月度明细'!$A$5:$A$155,$A137,'供应商月度明细'!$D$5:$D$155,$E137,'供应商月度明细'!$E$5:$E$155,"2026-06"))</f>
        <v>1</v>
      </c>
      <c r="I137" s="35" t="n">
        <f>IF(COUNT(F137:H137)=0,"",AVERAGE(F137:H137))</f>
        <v>1</v>
      </c>
      <c r="J137" s="35" t="n">
        <f>IF(K137=0,"",L137/K137)</f>
        <v>1</v>
      </c>
      <c r="K137" s="36" t="n">
        <f>SUMIFS('供应商月度明细'!$F$5:$F$155,'供应商月度明细'!$A$5:$A$155,$A137,'供应商月度明细'!$D$5:$D$155,$E137)</f>
        <v>3</v>
      </c>
      <c r="L137" s="36" t="n">
        <f>SUMIFS('供应商月度明细'!$H$5:$H$155,'供应商月度明细'!$A$5:$A$155,$A137,'供应商月度明细'!$D$5:$D$155,$E137)</f>
        <v>3</v>
      </c>
    </row>
    <row r="138">
      <c r="A138" s="34" t="str">
        <v>西班牙区</v>
      </c>
      <c r="B138" s="34" t="str">
        <v>全区</v>
      </c>
      <c r="C138" s="34" t="str"/>
      <c r="D138" s="34" t="str">
        <v>区域汇总</v>
      </c>
      <c r="E138" s="34" t="str">
        <v>叉车司机</v>
      </c>
      <c r="F138" s="35" t="n">
        <f>IF(SUMIFS('供应商月度明细'!$F$5:$F$155,'供应商月度明细'!$A$5:$A$155,$A138,'供应商月度明细'!$D$5:$D$155,$E138,'供应商月度明细'!$E$5:$E$155,"2026-04")=0,"",SUMIFS('供应商月度明细'!$H$5:$H$155,'供应商月度明细'!$A$5:$A$155,$A138,'供应商月度明细'!$D$5:$D$155,$E138,'供应商月度明细'!$E$5:$E$155,"2026-04")/SUMIFS('供应商月度明细'!$F$5:$F$155,'供应商月度明细'!$A$5:$A$155,$A138,'供应商月度明细'!$D$5:$D$155,$E138,'供应商月度明细'!$E$5:$E$155,"2026-04"))</f>
        <v>1</v>
      </c>
      <c r="G138" s="35" t="n">
        <f>IF(SUMIFS('供应商月度明细'!$F$5:$F$155,'供应商月度明细'!$A$5:$A$155,$A138,'供应商月度明细'!$D$5:$D$155,$E138,'供应商月度明细'!$E$5:$E$155,"2026-05")=0,"",SUMIFS('供应商月度明细'!$H$5:$H$155,'供应商月度明细'!$A$5:$A$155,$A138,'供应商月度明细'!$D$5:$D$155,$E138,'供应商月度明细'!$E$5:$E$155,"2026-05")/SUMIFS('供应商月度明细'!$F$5:$F$155,'供应商月度明细'!$A$5:$A$155,$A138,'供应商月度明细'!$D$5:$D$155,$E138,'供应商月度明细'!$E$5:$E$155,"2026-05"))</f>
        <v>1</v>
      </c>
      <c r="H138" s="35" t="n">
        <f>IF(SUMIFS('供应商月度明细'!$F$5:$F$155,'供应商月度明细'!$A$5:$A$155,$A138,'供应商月度明细'!$D$5:$D$155,$E138,'供应商月度明细'!$E$5:$E$155,"2026-06")=0,"",SUMIFS('供应商月度明细'!$H$5:$H$155,'供应商月度明细'!$A$5:$A$155,$A138,'供应商月度明细'!$D$5:$D$155,$E138,'供应商月度明细'!$E$5:$E$155,"2026-06")/SUMIFS('供应商月度明细'!$F$5:$F$155,'供应商月度明细'!$A$5:$A$155,$A138,'供应商月度明细'!$D$5:$D$155,$E138,'供应商月度明细'!$E$5:$E$155,"2026-06"))</f>
        <v>1</v>
      </c>
      <c r="I138" s="35" t="n">
        <f>IF(COUNT(F138:H138)=0,"",AVERAGE(F138:H138))</f>
        <v>1</v>
      </c>
      <c r="J138" s="35" t="n">
        <f>IF(K138=0,"",L138/K138)</f>
        <v>1</v>
      </c>
      <c r="K138" s="36" t="n">
        <f>SUMIFS('供应商月度明细'!$F$5:$F$155,'供应商月度明细'!$A$5:$A$155,$A138,'供应商月度明细'!$D$5:$D$155,$E138)</f>
        <v>23</v>
      </c>
      <c r="L138" s="36" t="n">
        <f>SUMIFS('供应商月度明细'!$H$5:$H$155,'供应商月度明细'!$A$5:$A$155,$A138,'供应商月度明细'!$D$5:$D$155,$E138)</f>
        <v>23</v>
      </c>
    </row>
    <row r="139">
      <c r="A139" s="34" t="str">
        <v>西班牙区</v>
      </c>
      <c r="B139" s="34" t="str">
        <v>全区</v>
      </c>
      <c r="C139" s="34" t="str"/>
      <c r="D139" s="34" t="str">
        <v>区域汇总</v>
      </c>
      <c r="E139" s="34" t="str">
        <v>保洁员</v>
      </c>
      <c r="F139" s="35" t="str">
        <f>IF(SUMIFS('供应商月度明细'!$F$5:$F$155,'供应商月度明细'!$A$5:$A$155,$A139,'供应商月度明细'!$D$5:$D$155,$E139,'供应商月度明细'!$E$5:$E$155,"2026-04")=0,"",SUMIFS('供应商月度明细'!$H$5:$H$155,'供应商月度明细'!$A$5:$A$155,$A139,'供应商月度明细'!$D$5:$D$155,$E139,'供应商月度明细'!$E$5:$E$155,"2026-04")/SUMIFS('供应商月度明细'!$F$5:$F$155,'供应商月度明细'!$A$5:$A$155,$A139,'供应商月度明细'!$D$5:$D$155,$E139,'供应商月度明细'!$E$5:$E$155,"2026-04"))</f>
      </c>
      <c r="G139" s="35" t="str">
        <f>IF(SUMIFS('供应商月度明细'!$F$5:$F$155,'供应商月度明细'!$A$5:$A$155,$A139,'供应商月度明细'!$D$5:$D$155,$E139,'供应商月度明细'!$E$5:$E$155,"2026-05")=0,"",SUMIFS('供应商月度明细'!$H$5:$H$155,'供应商月度明细'!$A$5:$A$155,$A139,'供应商月度明细'!$D$5:$D$155,$E139,'供应商月度明细'!$E$5:$E$155,"2026-05")/SUMIFS('供应商月度明细'!$F$5:$F$155,'供应商月度明细'!$A$5:$A$155,$A139,'供应商月度明细'!$D$5:$D$155,$E139,'供应商月度明细'!$E$5:$E$155,"2026-05"))</f>
      </c>
      <c r="H139" s="35" t="n">
        <f>IF(SUMIFS('供应商月度明细'!$F$5:$F$155,'供应商月度明细'!$A$5:$A$155,$A139,'供应商月度明细'!$D$5:$D$155,$E139,'供应商月度明细'!$E$5:$E$155,"2026-06")=0,"",SUMIFS('供应商月度明细'!$H$5:$H$155,'供应商月度明细'!$A$5:$A$155,$A139,'供应商月度明细'!$D$5:$D$155,$E139,'供应商月度明细'!$E$5:$E$155,"2026-06")/SUMIFS('供应商月度明细'!$F$5:$F$155,'供应商月度明细'!$A$5:$A$155,$A139,'供应商月度明细'!$D$5:$D$155,$E139,'供应商月度明细'!$E$5:$E$155,"2026-06"))</f>
        <v>1</v>
      </c>
      <c r="I139" s="35" t="n">
        <f>IF(COUNT(F139:H139)=0,"",AVERAGE(F139:H139))</f>
        <v>1</v>
      </c>
      <c r="J139" s="35" t="n">
        <f>IF(K139=0,"",L139/K139)</f>
        <v>1</v>
      </c>
      <c r="K139" s="36" t="n">
        <f>SUMIFS('供应商月度明细'!$F$5:$F$155,'供应商月度明细'!$A$5:$A$155,$A139,'供应商月度明细'!$D$5:$D$155,$E139)</f>
        <v>1</v>
      </c>
      <c r="L139" s="36" t="n">
        <f>SUMIFS('供应商月度明细'!$H$5:$H$155,'供应商月度明细'!$A$5:$A$155,$A139,'供应商月度明细'!$D$5:$D$155,$E139)</f>
        <v>1</v>
      </c>
    </row>
    <row r="140">
      <c r="A140" s="34" t="str">
        <v>西班牙区</v>
      </c>
      <c r="B140" s="34" t="str">
        <v>全区</v>
      </c>
      <c r="C140" s="34" t="str"/>
      <c r="D140" s="34" t="str">
        <v>区域汇总</v>
      </c>
      <c r="E140" s="34" t="str">
        <v>交运员Class 1</v>
      </c>
      <c r="F140" s="35" t="str">
        <f>IF(SUMIFS('供应商月度明细'!$F$5:$F$155,'供应商月度明细'!$A$5:$A$155,$A140,'供应商月度明细'!$D$5:$D$155,$E140,'供应商月度明细'!$E$5:$E$155,"2026-04")=0,"",SUMIFS('供应商月度明细'!$H$5:$H$155,'供应商月度明细'!$A$5:$A$155,$A140,'供应商月度明细'!$D$5:$D$155,$E140,'供应商月度明细'!$E$5:$E$155,"2026-04")/SUMIFS('供应商月度明细'!$F$5:$F$155,'供应商月度明细'!$A$5:$A$155,$A140,'供应商月度明细'!$D$5:$D$155,$E140,'供应商月度明细'!$E$5:$E$155,"2026-04"))</f>
      </c>
      <c r="G140" s="35" t="str">
        <f>IF(SUMIFS('供应商月度明细'!$F$5:$F$155,'供应商月度明细'!$A$5:$A$155,$A140,'供应商月度明细'!$D$5:$D$155,$E140,'供应商月度明细'!$E$5:$E$155,"2026-05")=0,"",SUMIFS('供应商月度明细'!$H$5:$H$155,'供应商月度明细'!$A$5:$A$155,$A140,'供应商月度明细'!$D$5:$D$155,$E140,'供应商月度明细'!$E$5:$E$155,"2026-05")/SUMIFS('供应商月度明细'!$F$5:$F$155,'供应商月度明细'!$A$5:$A$155,$A140,'供应商月度明细'!$D$5:$D$155,$E140,'供应商月度明细'!$E$5:$E$155,"2026-05"))</f>
      </c>
      <c r="H140" s="35" t="n">
        <f>IF(SUMIFS('供应商月度明细'!$F$5:$F$155,'供应商月度明细'!$A$5:$A$155,$A140,'供应商月度明细'!$D$5:$D$155,$E140,'供应商月度明细'!$E$5:$E$155,"2026-06")=0,"",SUMIFS('供应商月度明细'!$H$5:$H$155,'供应商月度明细'!$A$5:$A$155,$A140,'供应商月度明细'!$D$5:$D$155,$E140,'供应商月度明细'!$E$5:$E$155,"2026-06")/SUMIFS('供应商月度明细'!$F$5:$F$155,'供应商月度明细'!$A$5:$A$155,$A140,'供应商月度明细'!$D$5:$D$155,$E140,'供应商月度明细'!$E$5:$E$155,"2026-06"))</f>
        <v>1</v>
      </c>
      <c r="I140" s="35" t="n">
        <f>IF(COUNT(F140:H140)=0,"",AVERAGE(F140:H140))</f>
        <v>1</v>
      </c>
      <c r="J140" s="35" t="n">
        <f>IF(K140=0,"",L140/K140)</f>
        <v>1</v>
      </c>
      <c r="K140" s="36" t="n">
        <f>SUMIFS('供应商月度明细'!$F$5:$F$155,'供应商月度明细'!$A$5:$A$155,$A140,'供应商月度明细'!$D$5:$D$155,$E140)</f>
        <v>1</v>
      </c>
      <c r="L140" s="36" t="n">
        <f>SUMIFS('供应商月度明细'!$H$5:$H$155,'供应商月度明细'!$A$5:$A$155,$A140,'供应商月度明细'!$D$5:$D$155,$E140)</f>
        <v>1</v>
      </c>
    </row>
    <row r="141">
      <c r="A141" s="37" t="str">
        <v>西班牙区</v>
      </c>
      <c r="B141" s="37" t="str">
        <v>全区</v>
      </c>
      <c r="C141" s="37" t="str"/>
      <c r="D141" s="37" t="str">
        <v>区域汇总</v>
      </c>
      <c r="E141" s="37" t="str">
        <v>全部工种</v>
      </c>
      <c r="F141" s="38" t="n">
        <f>IF(SUMIFS('供应商月度明细'!$F$5:$F$155,'供应商月度明细'!$A$5:$A$155,$A141,'供应商月度明细'!$E$5:$E$155,"2026-04")=0,"",SUMIFS('供应商月度明细'!$H$5:$H$155,'供应商月度明细'!$A$5:$A$155,$A141,'供应商月度明细'!$E$5:$E$155,"2026-04")/SUMIFS('供应商月度明细'!$F$5:$F$155,'供应商月度明细'!$A$5:$A$155,$A141,'供应商月度明细'!$E$5:$E$155,"2026-04"))</f>
        <v>1</v>
      </c>
      <c r="G141" s="38" t="n">
        <f>IF(SUMIFS('供应商月度明细'!$F$5:$F$155,'供应商月度明细'!$A$5:$A$155,$A141,'供应商月度明细'!$E$5:$E$155,"2026-05")=0,"",SUMIFS('供应商月度明细'!$H$5:$H$155,'供应商月度明细'!$A$5:$A$155,$A141,'供应商月度明细'!$E$5:$E$155,"2026-05")/SUMIFS('供应商月度明细'!$F$5:$F$155,'供应商月度明细'!$A$5:$A$155,$A141,'供应商月度明细'!$E$5:$E$155,"2026-05"))</f>
        <v>1</v>
      </c>
      <c r="H141" s="38" t="n">
        <f>IF(SUMIFS('供应商月度明细'!$F$5:$F$155,'供应商月度明细'!$A$5:$A$155,$A141,'供应商月度明细'!$E$5:$E$155,"2026-06")=0,"",SUMIFS('供应商月度明细'!$H$5:$H$155,'供应商月度明细'!$A$5:$A$155,$A141,'供应商月度明细'!$E$5:$E$155,"2026-06")/SUMIFS('供应商月度明细'!$F$5:$F$155,'供应商月度明细'!$A$5:$A$155,$A141,'供应商月度明细'!$E$5:$E$155,"2026-06"))</f>
        <v>1</v>
      </c>
      <c r="I141" s="38" t="n">
        <f>IF(COUNT(F141:H141)=0,"",AVERAGE(F141:H141))</f>
        <v>1</v>
      </c>
      <c r="J141" s="38" t="n">
        <f>IF(K141=0,"",L141/K141)</f>
        <v>1</v>
      </c>
      <c r="K141" s="39" t="n">
        <f>SUMIFS('供应商月度明细'!$F$5:$F$155,'供应商月度明细'!$A$5:$A$155,$A141)</f>
        <v>28</v>
      </c>
      <c r="L141" s="39" t="n">
        <f>SUMIFS('供应商月度明细'!$H$5:$H$155,'供应商月度明细'!$A$5:$A$155,$A141)</f>
        <v>28</v>
      </c>
    </row>
    <row r="142">
      <c r="A142" s="19" t="str">
        <v>意大利区</v>
      </c>
      <c r="B142" s="19" t="str">
        <v>SYNERGIE</v>
      </c>
      <c r="C142" s="19" t="str">
        <v>S000337</v>
      </c>
      <c r="D142" s="19" t="str">
        <v>工种明细</v>
      </c>
      <c r="E142" s="19" t="str">
        <v>操作员</v>
      </c>
      <c r="F142" s="27" t="str">
        <f>IF(SUMIFS('供应商月度明细'!$F$5:$F$155,'供应商月度明细'!$A$5:$A$155,$A142,'供应商月度明细'!$C$5:$C$155,$C142,'供应商月度明细'!$D$5:$D$155,$E142,'供应商月度明细'!$E$5:$E$155,"2026-04")=0,"",SUMIFS('供应商月度明细'!$H$5:$H$155,'供应商月度明细'!$A$5:$A$155,$A142,'供应商月度明细'!$C$5:$C$155,$C142,'供应商月度明细'!$D$5:$D$155,$E142,'供应商月度明细'!$E$5:$E$155,"2026-04")/SUMIFS('供应商月度明细'!$F$5:$F$155,'供应商月度明细'!$A$5:$A$155,$A142,'供应商月度明细'!$C$5:$C$155,$C142,'供应商月度明细'!$D$5:$D$155,$E142,'供应商月度明细'!$E$5:$E$155,"2026-04"))</f>
      </c>
      <c r="G142" s="27" t="str">
        <f>IF(SUMIFS('供应商月度明细'!$F$5:$F$155,'供应商月度明细'!$A$5:$A$155,$A142,'供应商月度明细'!$C$5:$C$155,$C142,'供应商月度明细'!$D$5:$D$155,$E142,'供应商月度明细'!$E$5:$E$155,"2026-05")=0,"",SUMIFS('供应商月度明细'!$H$5:$H$155,'供应商月度明细'!$A$5:$A$155,$A142,'供应商月度明细'!$C$5:$C$155,$C142,'供应商月度明细'!$D$5:$D$155,$E142,'供应商月度明细'!$E$5:$E$155,"2026-05")/SUMIFS('供应商月度明细'!$F$5:$F$155,'供应商月度明细'!$A$5:$A$155,$A142,'供应商月度明细'!$C$5:$C$155,$C142,'供应商月度明细'!$D$5:$D$155,$E142,'供应商月度明细'!$E$5:$E$155,"2026-05"))</f>
      </c>
      <c r="H142" s="27" t="n">
        <f>IF(SUMIFS('供应商月度明细'!$F$5:$F$155,'供应商月度明细'!$A$5:$A$155,$A142,'供应商月度明细'!$C$5:$C$155,$C142,'供应商月度明细'!$D$5:$D$155,$E142,'供应商月度明细'!$E$5:$E$155,"2026-06")=0,"",SUMIFS('供应商月度明细'!$H$5:$H$155,'供应商月度明细'!$A$5:$A$155,$A142,'供应商月度明细'!$C$5:$C$155,$C142,'供应商月度明细'!$D$5:$D$155,$E142,'供应商月度明细'!$E$5:$E$155,"2026-06")/SUMIFS('供应商月度明细'!$F$5:$F$155,'供应商月度明细'!$A$5:$A$155,$A142,'供应商月度明细'!$C$5:$C$155,$C142,'供应商月度明细'!$D$5:$D$155,$E142,'供应商月度明细'!$E$5:$E$155,"2026-06"))</f>
        <v>1</v>
      </c>
      <c r="I142" s="27" t="n">
        <f>IF(COUNT(F142:H142)=0,"",AVERAGE(F142:H142))</f>
        <v>1</v>
      </c>
      <c r="J142" s="27" t="n">
        <f>IF(K142=0,"",L142/K142)</f>
        <v>1</v>
      </c>
      <c r="K142" s="23" t="n">
        <f>SUMIFS('供应商月度明细'!$F$5:$F$155,'供应商月度明细'!$A$5:$A$155,$A142,'供应商月度明细'!$C$5:$C$155,$C142,'供应商月度明细'!$D$5:$D$155,$E142)</f>
        <v>172</v>
      </c>
      <c r="L142" s="23" t="n">
        <f>SUMIFS('供应商月度明细'!$H$5:$H$155,'供应商月度明细'!$A$5:$A$155,$A142,'供应商月度明细'!$C$5:$C$155,$C142,'供应商月度明细'!$D$5:$D$155,$E142)</f>
        <v>172</v>
      </c>
    </row>
    <row r="143">
      <c r="A143" s="31" t="str">
        <v>意大利区</v>
      </c>
      <c r="B143" s="31" t="str">
        <v>SYNERGIE</v>
      </c>
      <c r="C143" s="31" t="str">
        <v>S000337</v>
      </c>
      <c r="D143" s="31" t="str">
        <v>供应商汇总</v>
      </c>
      <c r="E143" s="31" t="str">
        <v>全部工种</v>
      </c>
      <c r="F143" s="32" t="str">
        <f>IF(SUMIFS('供应商月度明细'!$F$5:$F$155,'供应商月度明细'!$A$5:$A$155,$A143,'供应商月度明细'!$C$5:$C$155,$C143,'供应商月度明细'!$E$5:$E$155,"2026-04")=0,"",SUMIFS('供应商月度明细'!$H$5:$H$155,'供应商月度明细'!$A$5:$A$155,$A143,'供应商月度明细'!$C$5:$C$155,$C143,'供应商月度明细'!$E$5:$E$155,"2026-04")/SUMIFS('供应商月度明细'!$F$5:$F$155,'供应商月度明细'!$A$5:$A$155,$A143,'供应商月度明细'!$C$5:$C$155,$C143,'供应商月度明细'!$E$5:$E$155,"2026-04"))</f>
      </c>
      <c r="G143" s="32" t="str">
        <f>IF(SUMIFS('供应商月度明细'!$F$5:$F$155,'供应商月度明细'!$A$5:$A$155,$A143,'供应商月度明细'!$C$5:$C$155,$C143,'供应商月度明细'!$E$5:$E$155,"2026-05")=0,"",SUMIFS('供应商月度明细'!$H$5:$H$155,'供应商月度明细'!$A$5:$A$155,$A143,'供应商月度明细'!$C$5:$C$155,$C143,'供应商月度明细'!$E$5:$E$155,"2026-05")/SUMIFS('供应商月度明细'!$F$5:$F$155,'供应商月度明细'!$A$5:$A$155,$A143,'供应商月度明细'!$C$5:$C$155,$C143,'供应商月度明细'!$E$5:$E$155,"2026-05"))</f>
      </c>
      <c r="H143" s="32" t="n">
        <f>IF(SUMIFS('供应商月度明细'!$F$5:$F$155,'供应商月度明细'!$A$5:$A$155,$A143,'供应商月度明细'!$C$5:$C$155,$C143,'供应商月度明细'!$E$5:$E$155,"2026-06")=0,"",SUMIFS('供应商月度明细'!$H$5:$H$155,'供应商月度明细'!$A$5:$A$155,$A143,'供应商月度明细'!$C$5:$C$155,$C143,'供应商月度明细'!$E$5:$E$155,"2026-06")/SUMIFS('供应商月度明细'!$F$5:$F$155,'供应商月度明细'!$A$5:$A$155,$A143,'供应商月度明细'!$C$5:$C$155,$C143,'供应商月度明细'!$E$5:$E$155,"2026-06"))</f>
        <v>1</v>
      </c>
      <c r="I143" s="32" t="n">
        <f>IF(COUNT(F143:H143)=0,"",AVERAGE(F143:H143))</f>
        <v>1</v>
      </c>
      <c r="J143" s="32" t="n">
        <f>IF(K143=0,"",L143/K143)</f>
        <v>1</v>
      </c>
      <c r="K143" s="33" t="n">
        <f>SUMIFS('供应商月度明细'!$F$5:$F$155,'供应商月度明细'!$A$5:$A$155,$A143,'供应商月度明细'!$C$5:$C$155,$C143)</f>
        <v>172</v>
      </c>
      <c r="L143" s="33" t="n">
        <f>SUMIFS('供应商月度明细'!$H$5:$H$155,'供应商月度明细'!$A$5:$A$155,$A143,'供应商月度明细'!$C$5:$C$155,$C143)</f>
        <v>172</v>
      </c>
    </row>
    <row r="144">
      <c r="A144" s="19" t="str">
        <v>意大利区</v>
      </c>
      <c r="B144" s="19" t="str">
        <v>ATTAL GROUP S.p.A.</v>
      </c>
      <c r="C144" s="19" t="str">
        <v>S000313</v>
      </c>
      <c r="D144" s="19" t="str">
        <v>工种明细</v>
      </c>
      <c r="E144" s="19" t="str">
        <v>操作员</v>
      </c>
      <c r="F144" s="27" t="str">
        <f>IF(SUMIFS('供应商月度明细'!$F$5:$F$155,'供应商月度明细'!$A$5:$A$155,$A144,'供应商月度明细'!$C$5:$C$155,$C144,'供应商月度明细'!$D$5:$D$155,$E144,'供应商月度明细'!$E$5:$E$155,"2026-04")=0,"",SUMIFS('供应商月度明细'!$H$5:$H$155,'供应商月度明细'!$A$5:$A$155,$A144,'供应商月度明细'!$C$5:$C$155,$C144,'供应商月度明细'!$D$5:$D$155,$E144,'供应商月度明细'!$E$5:$E$155,"2026-04")/SUMIFS('供应商月度明细'!$F$5:$F$155,'供应商月度明细'!$A$5:$A$155,$A144,'供应商月度明细'!$C$5:$C$155,$C144,'供应商月度明细'!$D$5:$D$155,$E144,'供应商月度明细'!$E$5:$E$155,"2026-04"))</f>
      </c>
      <c r="G144" s="27" t="n">
        <f>IF(SUMIFS('供应商月度明细'!$F$5:$F$155,'供应商月度明细'!$A$5:$A$155,$A144,'供应商月度明细'!$C$5:$C$155,$C144,'供应商月度明细'!$D$5:$D$155,$E144,'供应商月度明细'!$E$5:$E$155,"2026-05")=0,"",SUMIFS('供应商月度明细'!$H$5:$H$155,'供应商月度明细'!$A$5:$A$155,$A144,'供应商月度明细'!$C$5:$C$155,$C144,'供应商月度明细'!$D$5:$D$155,$E144,'供应商月度明细'!$E$5:$E$155,"2026-05")/SUMIFS('供应商月度明细'!$F$5:$F$155,'供应商月度明细'!$A$5:$A$155,$A144,'供应商月度明细'!$C$5:$C$155,$C144,'供应商月度明细'!$D$5:$D$155,$E144,'供应商月度明细'!$E$5:$E$155,"2026-05"))</f>
        <v>0</v>
      </c>
      <c r="H144" s="27" t="n">
        <f>IF(SUMIFS('供应商月度明细'!$F$5:$F$155,'供应商月度明细'!$A$5:$A$155,$A144,'供应商月度明细'!$C$5:$C$155,$C144,'供应商月度明细'!$D$5:$D$155,$E144,'供应商月度明细'!$E$5:$E$155,"2026-06")=0,"",SUMIFS('供应商月度明细'!$H$5:$H$155,'供应商月度明细'!$A$5:$A$155,$A144,'供应商月度明细'!$C$5:$C$155,$C144,'供应商月度明细'!$D$5:$D$155,$E144,'供应商月度明细'!$E$5:$E$155,"2026-06")/SUMIFS('供应商月度明细'!$F$5:$F$155,'供应商月度明细'!$A$5:$A$155,$A144,'供应商月度明细'!$C$5:$C$155,$C144,'供应商月度明细'!$D$5:$D$155,$E144,'供应商月度明细'!$E$5:$E$155,"2026-06"))</f>
        <v>0.625</v>
      </c>
      <c r="I144" s="27" t="n">
        <f>IF(COUNT(F144:H144)=0,"",AVERAGE(F144:H144))</f>
        <v>0.3125</v>
      </c>
      <c r="J144" s="27" t="n">
        <f>IF(K144=0,"",L144/K144)</f>
        <v>0.5645161290322581</v>
      </c>
      <c r="K144" s="23" t="n">
        <f>SUMIFS('供应商月度明细'!$F$5:$F$155,'供应商月度明细'!$A$5:$A$155,$A144,'供应商月度明细'!$C$5:$C$155,$C144,'供应商月度明细'!$D$5:$D$155,$E144)</f>
        <v>62</v>
      </c>
      <c r="L144" s="23" t="n">
        <f>SUMIFS('供应商月度明细'!$H$5:$H$155,'供应商月度明细'!$A$5:$A$155,$A144,'供应商月度明细'!$C$5:$C$155,$C144,'供应商月度明细'!$D$5:$D$155,$E144)</f>
        <v>35</v>
      </c>
    </row>
    <row r="145">
      <c r="A145" s="31" t="str">
        <v>意大利区</v>
      </c>
      <c r="B145" s="31" t="str">
        <v>ATTAL GROUP S.p.A.</v>
      </c>
      <c r="C145" s="31" t="str">
        <v>S000313</v>
      </c>
      <c r="D145" s="31" t="str">
        <v>供应商汇总</v>
      </c>
      <c r="E145" s="31" t="str">
        <v>全部工种</v>
      </c>
      <c r="F145" s="32" t="str">
        <f>IF(SUMIFS('供应商月度明细'!$F$5:$F$155,'供应商月度明细'!$A$5:$A$155,$A145,'供应商月度明细'!$C$5:$C$155,$C145,'供应商月度明细'!$E$5:$E$155,"2026-04")=0,"",SUMIFS('供应商月度明细'!$H$5:$H$155,'供应商月度明细'!$A$5:$A$155,$A145,'供应商月度明细'!$C$5:$C$155,$C145,'供应商月度明细'!$E$5:$E$155,"2026-04")/SUMIFS('供应商月度明细'!$F$5:$F$155,'供应商月度明细'!$A$5:$A$155,$A145,'供应商月度明细'!$C$5:$C$155,$C145,'供应商月度明细'!$E$5:$E$155,"2026-04"))</f>
      </c>
      <c r="G145" s="32" t="n">
        <f>IF(SUMIFS('供应商月度明细'!$F$5:$F$155,'供应商月度明细'!$A$5:$A$155,$A145,'供应商月度明细'!$C$5:$C$155,$C145,'供应商月度明细'!$E$5:$E$155,"2026-05")=0,"",SUMIFS('供应商月度明细'!$H$5:$H$155,'供应商月度明细'!$A$5:$A$155,$A145,'供应商月度明细'!$C$5:$C$155,$C145,'供应商月度明细'!$E$5:$E$155,"2026-05")/SUMIFS('供应商月度明细'!$F$5:$F$155,'供应商月度明细'!$A$5:$A$155,$A145,'供应商月度明细'!$C$5:$C$155,$C145,'供应商月度明细'!$E$5:$E$155,"2026-05"))</f>
        <v>0</v>
      </c>
      <c r="H145" s="32" t="n">
        <f>IF(SUMIFS('供应商月度明细'!$F$5:$F$155,'供应商月度明细'!$A$5:$A$155,$A145,'供应商月度明细'!$C$5:$C$155,$C145,'供应商月度明细'!$E$5:$E$155,"2026-06")=0,"",SUMIFS('供应商月度明细'!$H$5:$H$155,'供应商月度明细'!$A$5:$A$155,$A145,'供应商月度明细'!$C$5:$C$155,$C145,'供应商月度明细'!$E$5:$E$155,"2026-06")/SUMIFS('供应商月度明细'!$F$5:$F$155,'供应商月度明细'!$A$5:$A$155,$A145,'供应商月度明细'!$C$5:$C$155,$C145,'供应商月度明细'!$E$5:$E$155,"2026-06"))</f>
        <v>0.625</v>
      </c>
      <c r="I145" s="32" t="n">
        <f>IF(COUNT(F145:H145)=0,"",AVERAGE(F145:H145))</f>
        <v>0.3125</v>
      </c>
      <c r="J145" s="32" t="n">
        <f>IF(K145=0,"",L145/K145)</f>
        <v>0.5645161290322581</v>
      </c>
      <c r="K145" s="33" t="n">
        <f>SUMIFS('供应商月度明细'!$F$5:$F$155,'供应商月度明细'!$A$5:$A$155,$A145,'供应商月度明细'!$C$5:$C$155,$C145)</f>
        <v>62</v>
      </c>
      <c r="L145" s="33" t="n">
        <f>SUMIFS('供应商月度明细'!$H$5:$H$155,'供应商月度明细'!$A$5:$A$155,$A145,'供应商月度明细'!$C$5:$C$155,$C145)</f>
        <v>35</v>
      </c>
    </row>
    <row r="146">
      <c r="A146" s="34" t="str">
        <v>意大利区</v>
      </c>
      <c r="B146" s="34" t="str">
        <v>全区</v>
      </c>
      <c r="C146" s="34" t="str"/>
      <c r="D146" s="34" t="str">
        <v>区域汇总</v>
      </c>
      <c r="E146" s="34" t="str">
        <v>操作员</v>
      </c>
      <c r="F146" s="35" t="str">
        <f>IF(SUMIFS('供应商月度明细'!$F$5:$F$155,'供应商月度明细'!$A$5:$A$155,$A146,'供应商月度明细'!$D$5:$D$155,$E146,'供应商月度明细'!$E$5:$E$155,"2026-04")=0,"",SUMIFS('供应商月度明细'!$H$5:$H$155,'供应商月度明细'!$A$5:$A$155,$A146,'供应商月度明细'!$D$5:$D$155,$E146,'供应商月度明细'!$E$5:$E$155,"2026-04")/SUMIFS('供应商月度明细'!$F$5:$F$155,'供应商月度明细'!$A$5:$A$155,$A146,'供应商月度明细'!$D$5:$D$155,$E146,'供应商月度明细'!$E$5:$E$155,"2026-04"))</f>
      </c>
      <c r="G146" s="35" t="n">
        <f>IF(SUMIFS('供应商月度明细'!$F$5:$F$155,'供应商月度明细'!$A$5:$A$155,$A146,'供应商月度明细'!$D$5:$D$155,$E146,'供应商月度明细'!$E$5:$E$155,"2026-05")=0,"",SUMIFS('供应商月度明细'!$H$5:$H$155,'供应商月度明细'!$A$5:$A$155,$A146,'供应商月度明细'!$D$5:$D$155,$E146,'供应商月度明细'!$E$5:$E$155,"2026-05")/SUMIFS('供应商月度明细'!$F$5:$F$155,'供应商月度明细'!$A$5:$A$155,$A146,'供应商月度明细'!$D$5:$D$155,$E146,'供应商月度明细'!$E$5:$E$155,"2026-05"))</f>
        <v>0</v>
      </c>
      <c r="H146" s="35" t="n">
        <f>IF(SUMIFS('供应商月度明细'!$F$5:$F$155,'供应商月度明细'!$A$5:$A$155,$A146,'供应商月度明细'!$D$5:$D$155,$E146,'供应商月度明细'!$E$5:$E$155,"2026-06")=0,"",SUMIFS('供应商月度明细'!$H$5:$H$155,'供应商月度明细'!$A$5:$A$155,$A146,'供应商月度明细'!$D$5:$D$155,$E146,'供应商月度明细'!$E$5:$E$155,"2026-06")/SUMIFS('供应商月度明细'!$F$5:$F$155,'供应商月度明细'!$A$5:$A$155,$A146,'供应商月度明细'!$D$5:$D$155,$E146,'供应商月度明细'!$E$5:$E$155,"2026-06"))</f>
        <v>0.9078947368421053</v>
      </c>
      <c r="I146" s="35" t="n">
        <f>IF(COUNT(F146:H146)=0,"",AVERAGE(F146:H146))</f>
        <v>0.45394736842105265</v>
      </c>
      <c r="J146" s="35" t="n">
        <f>IF(K146=0,"",L146/K146)</f>
        <v>0.8846153846153846</v>
      </c>
      <c r="K146" s="36" t="n">
        <f>SUMIFS('供应商月度明细'!$F$5:$F$155,'供应商月度明细'!$A$5:$A$155,$A146,'供应商月度明细'!$D$5:$D$155,$E146)</f>
        <v>234</v>
      </c>
      <c r="L146" s="36" t="n">
        <f>SUMIFS('供应商月度明细'!$H$5:$H$155,'供应商月度明细'!$A$5:$A$155,$A146,'供应商月度明细'!$D$5:$D$155,$E146)</f>
        <v>207</v>
      </c>
    </row>
    <row r="147">
      <c r="A147" s="37" t="str">
        <v>意大利区</v>
      </c>
      <c r="B147" s="37" t="str">
        <v>全区</v>
      </c>
      <c r="C147" s="37" t="str"/>
      <c r="D147" s="37" t="str">
        <v>区域汇总</v>
      </c>
      <c r="E147" s="37" t="str">
        <v>全部工种</v>
      </c>
      <c r="F147" s="38" t="str">
        <f>IF(SUMIFS('供应商月度明细'!$F$5:$F$155,'供应商月度明细'!$A$5:$A$155,$A147,'供应商月度明细'!$E$5:$E$155,"2026-04")=0,"",SUMIFS('供应商月度明细'!$H$5:$H$155,'供应商月度明细'!$A$5:$A$155,$A147,'供应商月度明细'!$E$5:$E$155,"2026-04")/SUMIFS('供应商月度明细'!$F$5:$F$155,'供应商月度明细'!$A$5:$A$155,$A147,'供应商月度明细'!$E$5:$E$155,"2026-04"))</f>
      </c>
      <c r="G147" s="38" t="n">
        <f>IF(SUMIFS('供应商月度明细'!$F$5:$F$155,'供应商月度明细'!$A$5:$A$155,$A147,'供应商月度明细'!$E$5:$E$155,"2026-05")=0,"",SUMIFS('供应商月度明细'!$H$5:$H$155,'供应商月度明细'!$A$5:$A$155,$A147,'供应商月度明细'!$E$5:$E$155,"2026-05")/SUMIFS('供应商月度明细'!$F$5:$F$155,'供应商月度明细'!$A$5:$A$155,$A147,'供应商月度明细'!$E$5:$E$155,"2026-05"))</f>
        <v>0</v>
      </c>
      <c r="H147" s="38" t="n">
        <f>IF(SUMIFS('供应商月度明细'!$F$5:$F$155,'供应商月度明细'!$A$5:$A$155,$A147,'供应商月度明细'!$E$5:$E$155,"2026-06")=0,"",SUMIFS('供应商月度明细'!$H$5:$H$155,'供应商月度明细'!$A$5:$A$155,$A147,'供应商月度明细'!$E$5:$E$155,"2026-06")/SUMIFS('供应商月度明细'!$F$5:$F$155,'供应商月度明细'!$A$5:$A$155,$A147,'供应商月度明细'!$E$5:$E$155,"2026-06"))</f>
        <v>0.9078947368421053</v>
      </c>
      <c r="I147" s="38" t="n">
        <f>IF(COUNT(F147:H147)=0,"",AVERAGE(F147:H147))</f>
        <v>0.45394736842105265</v>
      </c>
      <c r="J147" s="38" t="n">
        <f>IF(K147=0,"",L147/K147)</f>
        <v>0.8846153846153846</v>
      </c>
      <c r="K147" s="39" t="n">
        <f>SUMIFS('供应商月度明细'!$F$5:$F$155,'供应商月度明细'!$A$5:$A$155,$A147)</f>
        <v>234</v>
      </c>
      <c r="L147" s="39" t="n">
        <f>SUMIFS('供应商月度明细'!$H$5:$H$155,'供应商月度明细'!$A$5:$A$155,$A147)</f>
        <v>207</v>
      </c>
    </row>
    <row r="148">
      <c r="A148" s="40" t="str">
        <v>欧洲总计</v>
      </c>
      <c r="B148" s="40" t="str">
        <v>全欧</v>
      </c>
      <c r="C148" s="40" t="str"/>
      <c r="D148" s="40" t="str">
        <v>欧洲汇总</v>
      </c>
      <c r="E148" s="40" t="str">
        <v>操作员</v>
      </c>
      <c r="F148" s="41" t="n">
        <f>IF(SUMIFS('供应商月度明细'!$F$5:$F$155,'供应商月度明细'!$D$5:$D$155,$E148,'供应商月度明细'!$E$5:$E$155,"2026-04")=0,"",SUMIFS('供应商月度明细'!$H$5:$H$155,'供应商月度明细'!$D$5:$D$155,$E148,'供应商月度明细'!$E$5:$E$155,"2026-04")/SUMIFS('供应商月度明细'!$F$5:$F$155,'供应商月度明细'!$D$5:$D$155,$E148,'供应商月度明细'!$E$5:$E$155,"2026-04"))</f>
        <v>0.8678343949044586</v>
      </c>
      <c r="G148" s="41" t="n">
        <f>IF(SUMIFS('供应商月度明细'!$F$5:$F$155,'供应商月度明细'!$D$5:$D$155,$E148,'供应商月度明细'!$E$5:$E$155,"2026-05")=0,"",SUMIFS('供应商月度明细'!$H$5:$H$155,'供应商月度明细'!$D$5:$D$155,$E148,'供应商月度明细'!$E$5:$E$155,"2026-05")/SUMIFS('供应商月度明细'!$F$5:$F$155,'供应商月度明细'!$D$5:$D$155,$E148,'供应商月度明细'!$E$5:$E$155,"2026-05"))</f>
        <v>0.7183462532299741</v>
      </c>
      <c r="H148" s="41" t="n">
        <f>IF(SUMIFS('供应商月度明细'!$F$5:$F$155,'供应商月度明细'!$D$5:$D$155,$E148,'供应商月度明细'!$E$5:$E$155,"2026-06")=0,"",SUMIFS('供应商月度明细'!$H$5:$H$155,'供应商月度明细'!$D$5:$D$155,$E148,'供应商月度明细'!$E$5:$E$155,"2026-06")/SUMIFS('供应商月度明细'!$F$5:$F$155,'供应商月度明细'!$D$5:$D$155,$E148,'供应商月度明细'!$E$5:$E$155,"2026-06"))</f>
        <v>0.7433756805807622</v>
      </c>
      <c r="I148" s="41" t="n">
        <f>IF(COUNT(F148:H148)=0,"",AVERAGE(F148:H148))</f>
        <v>0.7765187762383983</v>
      </c>
      <c r="J148" s="41" t="n">
        <f>IF(K148=0,"",L148/K148)</f>
        <v>0.7615203498150017</v>
      </c>
      <c r="K148" s="42" t="n">
        <f>SUMIFS('供应商月度明细'!$F$5:$F$155,'供应商月度明细'!$D$5:$D$155,$E148)</f>
        <v>5946</v>
      </c>
      <c r="L148" s="42" t="n">
        <f>SUMIFS('供应商月度明细'!$H$5:$H$155,'供应商月度明细'!$D$5:$D$155,$E148)</f>
        <v>4528</v>
      </c>
    </row>
    <row r="149">
      <c r="A149" s="40" t="str">
        <v>欧洲总计</v>
      </c>
      <c r="B149" s="40" t="str">
        <v>全欧</v>
      </c>
      <c r="C149" s="40" t="str"/>
      <c r="D149" s="40" t="str">
        <v>欧洲汇总</v>
      </c>
      <c r="E149" s="40" t="str">
        <v>叉车司机</v>
      </c>
      <c r="F149" s="41" t="n">
        <f>IF(SUMIFS('供应商月度明细'!$F$5:$F$155,'供应商月度明细'!$D$5:$D$155,$E149,'供应商月度明细'!$E$5:$E$155,"2026-04")=0,"",SUMIFS('供应商月度明细'!$H$5:$H$155,'供应商月度明细'!$D$5:$D$155,$E149,'供应商月度明细'!$E$5:$E$155,"2026-04")/SUMIFS('供应商月度明细'!$F$5:$F$155,'供应商月度明细'!$D$5:$D$155,$E149,'供应商月度明细'!$E$5:$E$155,"2026-04"))</f>
        <v>0.53125</v>
      </c>
      <c r="G149" s="41" t="n">
        <f>IF(SUMIFS('供应商月度明细'!$F$5:$F$155,'供应商月度明细'!$D$5:$D$155,$E149,'供应商月度明细'!$E$5:$E$155,"2026-05")=0,"",SUMIFS('供应商月度明细'!$H$5:$H$155,'供应商月度明细'!$D$5:$D$155,$E149,'供应商月度明细'!$E$5:$E$155,"2026-05")/SUMIFS('供应商月度明细'!$F$5:$F$155,'供应商月度明细'!$D$5:$D$155,$E149,'供应商月度明细'!$E$5:$E$155,"2026-05"))</f>
        <v>0.39473684210526316</v>
      </c>
      <c r="H149" s="41" t="n">
        <f>IF(SUMIFS('供应商月度明细'!$F$5:$F$155,'供应商月度明细'!$D$5:$D$155,$E149,'供应商月度明细'!$E$5:$E$155,"2026-06")=0,"",SUMIFS('供应商月度明细'!$H$5:$H$155,'供应商月度明细'!$D$5:$D$155,$E149,'供应商月度明细'!$E$5:$E$155,"2026-06")/SUMIFS('供应商月度明细'!$F$5:$F$155,'供应商月度明细'!$D$5:$D$155,$E149,'供应商月度明细'!$E$5:$E$155,"2026-06"))</f>
        <v>0.594059405940594</v>
      </c>
      <c r="I149" s="41" t="n">
        <f>IF(COUNT(F149:H149)=0,"",AVERAGE(F149:H149))</f>
        <v>0.5066820826819524</v>
      </c>
      <c r="J149" s="41" t="n">
        <f>IF(K149=0,"",L149/K149)</f>
        <v>0.5380116959064327</v>
      </c>
      <c r="K149" s="42" t="n">
        <f>SUMIFS('供应商月度明细'!$F$5:$F$155,'供应商月度明细'!$D$5:$D$155,$E149)</f>
        <v>171</v>
      </c>
      <c r="L149" s="42" t="n">
        <f>SUMIFS('供应商月度明细'!$H$5:$H$155,'供应商月度明细'!$D$5:$D$155,$E149)</f>
        <v>92</v>
      </c>
    </row>
    <row r="150">
      <c r="A150" s="40" t="str">
        <v>欧洲总计</v>
      </c>
      <c r="B150" s="40" t="str">
        <v>全欧</v>
      </c>
      <c r="C150" s="40" t="str"/>
      <c r="D150" s="40" t="str">
        <v>欧洲汇总</v>
      </c>
      <c r="E150" s="40" t="str">
        <v>售后处理员</v>
      </c>
      <c r="F150" s="41" t="n">
        <f>IF(SUMIFS('供应商月度明细'!$F$5:$F$155,'供应商月度明细'!$D$5:$D$155,$E150,'供应商月度明细'!$E$5:$E$155,"2026-04")=0,"",SUMIFS('供应商月度明细'!$H$5:$H$155,'供应商月度明细'!$D$5:$D$155,$E150,'供应商月度明细'!$E$5:$E$155,"2026-04")/SUMIFS('供应商月度明细'!$F$5:$F$155,'供应商月度明细'!$D$5:$D$155,$E150,'供应商月度明细'!$E$5:$E$155,"2026-04"))</f>
        <v>0.375</v>
      </c>
      <c r="G150" s="41" t="n">
        <f>IF(SUMIFS('供应商月度明细'!$F$5:$F$155,'供应商月度明细'!$D$5:$D$155,$E150,'供应商月度明细'!$E$5:$E$155,"2026-05")=0,"",SUMIFS('供应商月度明细'!$H$5:$H$155,'供应商月度明细'!$D$5:$D$155,$E150,'供应商月度明细'!$E$5:$E$155,"2026-05")/SUMIFS('供应商月度明细'!$F$5:$F$155,'供应商月度明细'!$D$5:$D$155,$E150,'供应商月度明细'!$E$5:$E$155,"2026-05"))</f>
        <v>0.5454545454545454</v>
      </c>
      <c r="H150" s="41" t="n">
        <f>IF(SUMIFS('供应商月度明细'!$F$5:$F$155,'供应商月度明细'!$D$5:$D$155,$E150,'供应商月度明细'!$E$5:$E$155,"2026-06")=0,"",SUMIFS('供应商月度明细'!$H$5:$H$155,'供应商月度明细'!$D$5:$D$155,$E150,'供应商月度明细'!$E$5:$E$155,"2026-06")/SUMIFS('供应商月度明细'!$F$5:$F$155,'供应商月度明细'!$D$5:$D$155,$E150,'供应商月度明细'!$E$5:$E$155,"2026-06"))</f>
        <v>0.6666666666666666</v>
      </c>
      <c r="I150" s="41" t="n">
        <f>IF(COUNT(F150:H150)=0,"",AVERAGE(F150:H150))</f>
        <v>0.529040404040404</v>
      </c>
      <c r="J150" s="41" t="n">
        <f>IF(K150=0,"",L150/K150)</f>
        <v>0.5151515151515151</v>
      </c>
      <c r="K150" s="42" t="n">
        <f>SUMIFS('供应商月度明细'!$F$5:$F$155,'供应商月度明细'!$D$5:$D$155,$E150)</f>
        <v>33</v>
      </c>
      <c r="L150" s="42" t="n">
        <f>SUMIFS('供应商月度明细'!$H$5:$H$155,'供应商月度明细'!$D$5:$D$155,$E150)</f>
        <v>17</v>
      </c>
    </row>
    <row r="151">
      <c r="A151" s="40" t="str">
        <v>欧洲总计</v>
      </c>
      <c r="B151" s="40" t="str">
        <v>全欧</v>
      </c>
      <c r="C151" s="40" t="str"/>
      <c r="D151" s="40" t="str">
        <v>欧洲汇总</v>
      </c>
      <c r="E151" s="40" t="str">
        <v>保洁员</v>
      </c>
      <c r="F151" s="41" t="n">
        <f>IF(SUMIFS('供应商月度明细'!$F$5:$F$155,'供应商月度明细'!$D$5:$D$155,$E151,'供应商月度明细'!$E$5:$E$155,"2026-04")=0,"",SUMIFS('供应商月度明细'!$H$5:$H$155,'供应商月度明细'!$D$5:$D$155,$E151,'供应商月度明细'!$E$5:$E$155,"2026-04")/SUMIFS('供应商月度明细'!$F$5:$F$155,'供应商月度明细'!$D$5:$D$155,$E151,'供应商月度明细'!$E$5:$E$155,"2026-04"))</f>
        <v>0.6666666666666666</v>
      </c>
      <c r="G151" s="41" t="n">
        <f>IF(SUMIFS('供应商月度明细'!$F$5:$F$155,'供应商月度明细'!$D$5:$D$155,$E151,'供应商月度明细'!$E$5:$E$155,"2026-05")=0,"",SUMIFS('供应商月度明细'!$H$5:$H$155,'供应商月度明细'!$D$5:$D$155,$E151,'供应商月度明细'!$E$5:$E$155,"2026-05")/SUMIFS('供应商月度明细'!$F$5:$F$155,'供应商月度明细'!$D$5:$D$155,$E151,'供应商月度明细'!$E$5:$E$155,"2026-05"))</f>
        <v>1</v>
      </c>
      <c r="H151" s="41" t="n">
        <f>IF(SUMIFS('供应商月度明细'!$F$5:$F$155,'供应商月度明细'!$D$5:$D$155,$E151,'供应商月度明细'!$E$5:$E$155,"2026-06")=0,"",SUMIFS('供应商月度明细'!$H$5:$H$155,'供应商月度明细'!$D$5:$D$155,$E151,'供应商月度明细'!$E$5:$E$155,"2026-06")/SUMIFS('供应商月度明细'!$F$5:$F$155,'供应商月度明细'!$D$5:$D$155,$E151,'供应商月度明细'!$E$5:$E$155,"2026-06"))</f>
        <v>0.8333333333333334</v>
      </c>
      <c r="I151" s="41" t="n">
        <f>IF(COUNT(F151:H151)=0,"",AVERAGE(F151:H151))</f>
        <v>0.8333333333333334</v>
      </c>
      <c r="J151" s="41" t="n">
        <f>IF(K151=0,"",L151/K151)</f>
        <v>0.8333333333333334</v>
      </c>
      <c r="K151" s="42" t="n">
        <f>SUMIFS('供应商月度明细'!$F$5:$F$155,'供应商月度明细'!$D$5:$D$155,$E151)</f>
        <v>12</v>
      </c>
      <c r="L151" s="42" t="n">
        <f>SUMIFS('供应商月度明细'!$H$5:$H$155,'供应商月度明细'!$D$5:$D$155,$E151)</f>
        <v>10</v>
      </c>
    </row>
    <row r="152">
      <c r="A152" s="40" t="str">
        <v>欧洲总计</v>
      </c>
      <c r="B152" s="40" t="str">
        <v>全欧</v>
      </c>
      <c r="C152" s="40" t="str"/>
      <c r="D152" s="40" t="str">
        <v>欧洲汇总</v>
      </c>
      <c r="E152" s="40" t="str">
        <v>交运员 3.5T</v>
      </c>
      <c r="F152" s="41" t="str">
        <f>IF(SUMIFS('供应商月度明细'!$F$5:$F$155,'供应商月度明细'!$D$5:$D$155,$E152,'供应商月度明细'!$E$5:$E$155,"2026-04")=0,"",SUMIFS('供应商月度明细'!$H$5:$H$155,'供应商月度明细'!$D$5:$D$155,$E152,'供应商月度明细'!$E$5:$E$155,"2026-04")/SUMIFS('供应商月度明细'!$F$5:$F$155,'供应商月度明细'!$D$5:$D$155,$E152,'供应商月度明细'!$E$5:$E$155,"2026-04"))</f>
      </c>
      <c r="G152" s="41" t="n">
        <f>IF(SUMIFS('供应商月度明细'!$F$5:$F$155,'供应商月度明细'!$D$5:$D$155,$E152,'供应商月度明细'!$E$5:$E$155,"2026-05")=0,"",SUMIFS('供应商月度明细'!$H$5:$H$155,'供应商月度明细'!$D$5:$D$155,$E152,'供应商月度明细'!$E$5:$E$155,"2026-05")/SUMIFS('供应商月度明细'!$F$5:$F$155,'供应商月度明细'!$D$5:$D$155,$E152,'供应商月度明细'!$E$5:$E$155,"2026-05"))</f>
        <v>1</v>
      </c>
      <c r="H152" s="41" t="n">
        <f>IF(SUMIFS('供应商月度明细'!$F$5:$F$155,'供应商月度明细'!$D$5:$D$155,$E152,'供应商月度明细'!$E$5:$E$155,"2026-06")=0,"",SUMIFS('供应商月度明细'!$H$5:$H$155,'供应商月度明细'!$D$5:$D$155,$E152,'供应商月度明细'!$E$5:$E$155,"2026-06")/SUMIFS('供应商月度明细'!$F$5:$F$155,'供应商月度明细'!$D$5:$D$155,$E152,'供应商月度明细'!$E$5:$E$155,"2026-06"))</f>
        <v>1</v>
      </c>
      <c r="I152" s="41" t="n">
        <f>IF(COUNT(F152:H152)=0,"",AVERAGE(F152:H152))</f>
        <v>1</v>
      </c>
      <c r="J152" s="41" t="n">
        <f>IF(K152=0,"",L152/K152)</f>
        <v>1</v>
      </c>
      <c r="K152" s="42" t="n">
        <f>SUMIFS('供应商月度明细'!$F$5:$F$155,'供应商月度明细'!$D$5:$D$155,$E152)</f>
        <v>9</v>
      </c>
      <c r="L152" s="42" t="n">
        <f>SUMIFS('供应商月度明细'!$H$5:$H$155,'供应商月度明细'!$D$5:$D$155,$E152)</f>
        <v>9</v>
      </c>
    </row>
    <row r="153">
      <c r="A153" s="40" t="str">
        <v>欧洲总计</v>
      </c>
      <c r="B153" s="40" t="str">
        <v>全欧</v>
      </c>
      <c r="C153" s="40" t="str"/>
      <c r="D153" s="40" t="str">
        <v>欧洲汇总</v>
      </c>
      <c r="E153" s="40" t="str">
        <v>保安</v>
      </c>
      <c r="F153" s="41" t="n">
        <f>IF(SUMIFS('供应商月度明细'!$F$5:$F$155,'供应商月度明细'!$D$5:$D$155,$E153,'供应商月度明细'!$E$5:$E$155,"2026-04")=0,"",SUMIFS('供应商月度明细'!$H$5:$H$155,'供应商月度明细'!$D$5:$D$155,$E153,'供应商月度明细'!$E$5:$E$155,"2026-04")/SUMIFS('供应商月度明细'!$F$5:$F$155,'供应商月度明细'!$D$5:$D$155,$E153,'供应商月度明细'!$E$5:$E$155,"2026-04"))</f>
        <v>0.75</v>
      </c>
      <c r="G153" s="41" t="n">
        <f>IF(SUMIFS('供应商月度明细'!$F$5:$F$155,'供应商月度明细'!$D$5:$D$155,$E153,'供应商月度明细'!$E$5:$E$155,"2026-05")=0,"",SUMIFS('供应商月度明细'!$H$5:$H$155,'供应商月度明细'!$D$5:$D$155,$E153,'供应商月度明细'!$E$5:$E$155,"2026-05")/SUMIFS('供应商月度明细'!$F$5:$F$155,'供应商月度明细'!$D$5:$D$155,$E153,'供应商月度明细'!$E$5:$E$155,"2026-05"))</f>
        <v>1</v>
      </c>
      <c r="H153" s="41" t="str">
        <f>IF(SUMIFS('供应商月度明细'!$F$5:$F$155,'供应商月度明细'!$D$5:$D$155,$E153,'供应商月度明细'!$E$5:$E$155,"2026-06")=0,"",SUMIFS('供应商月度明细'!$H$5:$H$155,'供应商月度明细'!$D$5:$D$155,$E153,'供应商月度明细'!$E$5:$E$155,"2026-06")/SUMIFS('供应商月度明细'!$F$5:$F$155,'供应商月度明细'!$D$5:$D$155,$E153,'供应商月度明细'!$E$5:$E$155,"2026-06"))</f>
      </c>
      <c r="I153" s="41" t="n">
        <f>IF(COUNT(F153:H153)=0,"",AVERAGE(F153:H153))</f>
        <v>0.875</v>
      </c>
      <c r="J153" s="41" t="n">
        <f>IF(K153=0,"",L153/K153)</f>
        <v>0.8571428571428571</v>
      </c>
      <c r="K153" s="42" t="n">
        <f>SUMIFS('供应商月度明细'!$F$5:$F$155,'供应商月度明细'!$D$5:$D$155,$E153)</f>
        <v>7</v>
      </c>
      <c r="L153" s="42" t="n">
        <f>SUMIFS('供应商月度明细'!$H$5:$H$155,'供应商月度明细'!$D$5:$D$155,$E153)</f>
        <v>6</v>
      </c>
    </row>
    <row r="154">
      <c r="A154" s="40" t="str">
        <v>欧洲总计</v>
      </c>
      <c r="B154" s="40" t="str">
        <v>全欧</v>
      </c>
      <c r="C154" s="40" t="str"/>
      <c r="D154" s="40" t="str">
        <v>欧洲汇总</v>
      </c>
      <c r="E154" s="40" t="str">
        <v>交运员Class 1</v>
      </c>
      <c r="F154" s="41" t="str">
        <f>IF(SUMIFS('供应商月度明细'!$F$5:$F$155,'供应商月度明细'!$D$5:$D$155,$E154,'供应商月度明细'!$E$5:$E$155,"2026-04")=0,"",SUMIFS('供应商月度明细'!$H$5:$H$155,'供应商月度明细'!$D$5:$D$155,$E154,'供应商月度明细'!$E$5:$E$155,"2026-04")/SUMIFS('供应商月度明细'!$F$5:$F$155,'供应商月度明细'!$D$5:$D$155,$E154,'供应商月度明细'!$E$5:$E$155,"2026-04"))</f>
      </c>
      <c r="G154" s="41" t="str">
        <f>IF(SUMIFS('供应商月度明细'!$F$5:$F$155,'供应商月度明细'!$D$5:$D$155,$E154,'供应商月度明细'!$E$5:$E$155,"2026-05")=0,"",SUMIFS('供应商月度明细'!$H$5:$H$155,'供应商月度明细'!$D$5:$D$155,$E154,'供应商月度明细'!$E$5:$E$155,"2026-05")/SUMIFS('供应商月度明细'!$F$5:$F$155,'供应商月度明细'!$D$5:$D$155,$E154,'供应商月度明细'!$E$5:$E$155,"2026-05"))</f>
      </c>
      <c r="H154" s="41" t="n">
        <f>IF(SUMIFS('供应商月度明细'!$F$5:$F$155,'供应商月度明细'!$D$5:$D$155,$E154,'供应商月度明细'!$E$5:$E$155,"2026-06")=0,"",SUMIFS('供应商月度明细'!$H$5:$H$155,'供应商月度明细'!$D$5:$D$155,$E154,'供应商月度明细'!$E$5:$E$155,"2026-06")/SUMIFS('供应商月度明细'!$F$5:$F$155,'供应商月度明细'!$D$5:$D$155,$E154,'供应商月度明细'!$E$5:$E$155,"2026-06"))</f>
        <v>1</v>
      </c>
      <c r="I154" s="41" t="n">
        <f>IF(COUNT(F154:H154)=0,"",AVERAGE(F154:H154))</f>
        <v>1</v>
      </c>
      <c r="J154" s="41" t="n">
        <f>IF(K154=0,"",L154/K154)</f>
        <v>1</v>
      </c>
      <c r="K154" s="42" t="n">
        <f>SUMIFS('供应商月度明细'!$F$5:$F$155,'供应商月度明细'!$D$5:$D$155,$E154)</f>
        <v>1</v>
      </c>
      <c r="L154" s="42" t="n">
        <f>SUMIFS('供应商月度明细'!$H$5:$H$155,'供应商月度明细'!$D$5:$D$155,$E154)</f>
        <v>1</v>
      </c>
    </row>
    <row r="155">
      <c r="A155" s="43" t="str">
        <v>欧洲总计</v>
      </c>
      <c r="B155" s="43" t="str">
        <v>全欧</v>
      </c>
      <c r="C155" s="43" t="str"/>
      <c r="D155" s="43" t="str">
        <v>欧洲汇总</v>
      </c>
      <c r="E155" s="43" t="str">
        <v>全部工种</v>
      </c>
      <c r="F155" s="44" t="n">
        <f>IF(SUMIFS('供应商月度明细'!$F$5:$F$155,'供应商月度明细'!$E$5:$E$155,"2026-04")=0,"",SUMIFS('供应商月度明细'!$H$5:$H$155,'供应商月度明细'!$E$5:$E$155,"2026-04")/SUMIFS('供应商月度明细'!$F$5:$F$155,'供应商月度明细'!$E$5:$E$155,"2026-04"))</f>
        <v>0.8557175748273216</v>
      </c>
      <c r="G155" s="44" t="n">
        <f>IF(SUMIFS('供应商月度明细'!$F$5:$F$155,'供应商月度明细'!$E$5:$E$155,"2026-05")=0,"",SUMIFS('供应商月度明细'!$H$5:$H$155,'供应商月度明细'!$E$5:$E$155,"2026-05")/SUMIFS('供应商月度明细'!$F$5:$F$155,'供应商月度明细'!$E$5:$E$155,"2026-05"))</f>
        <v>0.7117206982543641</v>
      </c>
      <c r="H155" s="44" t="n">
        <f>IF(SUMIFS('供应商月度明细'!$F$5:$F$155,'供应商月度明细'!$E$5:$E$155,"2026-06")=0,"",SUMIFS('供应商月度明细'!$H$5:$H$155,'供应商月度明细'!$E$5:$E$155,"2026-06")/SUMIFS('供应商月度明细'!$F$5:$F$155,'供应商月度明细'!$E$5:$E$155,"2026-06"))</f>
        <v>0.7387669801462905</v>
      </c>
      <c r="I155" s="44" t="n">
        <f>IF(COUNT(F155:H155)=0,"",AVERAGE(F155:H155))</f>
        <v>0.7687350844093254</v>
      </c>
      <c r="J155" s="44" t="n">
        <f>IF(K155=0,"",L155/K155)</f>
        <v>0.7546528564492636</v>
      </c>
      <c r="K155" s="45" t="n">
        <f>SUM('供应商月度明细'!$F$5:$F$155)</f>
        <v>6179</v>
      </c>
      <c r="L155" s="45" t="n">
        <f>SUM('供应商月度明细'!$H$5:$H$155)</f>
        <v>4663</v>
      </c>
    </row>
  </sheetData>
  <mergeCells>
    <mergeCell ref="A1:L1"/>
    <mergeCell ref="A2:L2"/>
  </mergeCells>
  <conditionalFormatting sqref="F5:J155">
    <cfRule type="expression" dxfId="10" priority="1">
      <formula>AND(F5&lt;&gt;"",F5&lt;0.7)</formula>
    </cfRule>
    <cfRule type="expression" dxfId="11" priority="2">
      <formula>AND(F5&lt;&gt;"",F5&gt;=0.7,F5&lt;0.85)</formula>
    </cfRule>
    <cfRule type="expression" dxfId="12" priority="3">
      <formula>AND(F5&lt;&gt;"",F5&gt;=0.85)</formula>
    </cfRule>
  </conditionalFormatting>
  <pageMargins left="0.7" right="0.7" top="0.75" bottom="0.75" header="0.3" footer="0.3"/>
  <tableParts count="1">
    <tablePart xmlns:r="http://schemas.openxmlformats.org/officeDocument/2006/relationships" r:id="R7e0c7323297a48a0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38" hidden="0" customWidth="1"/>
    <col min="3" max="3" width="14" hidden="0" customWidth="1"/>
    <col min="4" max="4" width="14" hidden="0" customWidth="1"/>
    <col min="5" max="5" width="15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3" hidden="0" customWidth="1"/>
    <col min="11" max="11" width="13" hidden="0" customWidth="1"/>
    <col min="12" max="12" width="13" hidden="0" customWidth="1"/>
    <col min="13" max="13" width="15" hidden="0" customWidth="1"/>
  </cols>
  <sheetData>
    <row r="1" ht="34" customHeight="1">
      <c r="A1" s="4" t="str">
        <v>2026年4-6月欧洲供应商履约率：超发校正履约率（对照）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38" customHeight="1">
      <c r="A2" s="8" t="str">
        <v>对照指标 = Σmin(供应商派遣,合理责任) ÷ Σ合理责任；合理责任=发单×min(1,真实需求/单元总发单)。仅在超发单元缩减责任，结果为责任人日等值。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ht="32" customHeight="1">
      <c r="A4" s="14" t="str">
        <v>区域</v>
      </c>
      <c r="B4" s="14" t="str">
        <v>供应商名称</v>
      </c>
      <c r="C4" s="14" t="str">
        <v>供应商ID</v>
      </c>
      <c r="D4" s="14" t="str">
        <v>层级</v>
      </c>
      <c r="E4" s="14" t="str">
        <v>工种</v>
      </c>
      <c r="F4" s="14" t="str">
        <v>4月履约率</v>
      </c>
      <c r="G4" s="14" t="str">
        <v>5月履约率</v>
      </c>
      <c r="H4" s="14" t="str">
        <v>6月履约率</v>
      </c>
      <c r="I4" s="14" t="str">
        <v>月度平均</v>
      </c>
      <c r="J4" s="14" t="str">
        <v>Q2累计加权</v>
      </c>
      <c r="K4" s="14" t="str">
        <v>Q2合理责任</v>
      </c>
      <c r="L4" s="14" t="str">
        <v>Q2校正兑现</v>
      </c>
      <c r="M4" s="14" t="str">
        <v>Q2释放超发责任</v>
      </c>
    </row>
    <row r="5">
      <c r="A5" s="18" t="str">
        <v>英国区</v>
      </c>
      <c r="B5" s="18" t="str">
        <v>Employment of London Limited</v>
      </c>
      <c r="C5" s="18" t="str">
        <v>S000331</v>
      </c>
      <c r="D5" s="18" t="str">
        <v>工种明细</v>
      </c>
      <c r="E5" s="18" t="str">
        <v>操作员</v>
      </c>
      <c r="F5" s="26" t="n">
        <f>IF(SUMIFS('供应商月度明细'!$J$5:$J$155,'供应商月度明细'!$A$5:$A$155,$A5,'供应商月度明细'!$C$5:$C$155,$C5,'供应商月度明细'!$D$5:$D$155,$E5,'供应商月度明细'!$E$5:$E$155,"2026-04")=0,"",SUMIFS('供应商月度明细'!$K$5:$K$155,'供应商月度明细'!$A$5:$A$155,$A5,'供应商月度明细'!$C$5:$C$155,$C5,'供应商月度明细'!$D$5:$D$155,$E5,'供应商月度明细'!$E$5:$E$155,"2026-04")/SUMIFS('供应商月度明细'!$J$5:$J$155,'供应商月度明细'!$A$5:$A$155,$A5,'供应商月度明细'!$C$5:$C$155,$C5,'供应商月度明细'!$D$5:$D$155,$E5,'供应商月度明细'!$E$5:$E$155,"2026-04"))</f>
        <v>0.9333333333333333</v>
      </c>
      <c r="G5" s="26" t="n">
        <f>IF(SUMIFS('供应商月度明细'!$J$5:$J$155,'供应商月度明细'!$A$5:$A$155,$A5,'供应商月度明细'!$C$5:$C$155,$C5,'供应商月度明细'!$D$5:$D$155,$E5,'供应商月度明细'!$E$5:$E$155,"2026-05")=0,"",SUMIFS('供应商月度明细'!$K$5:$K$155,'供应商月度明细'!$A$5:$A$155,$A5,'供应商月度明细'!$C$5:$C$155,$C5,'供应商月度明细'!$D$5:$D$155,$E5,'供应商月度明细'!$E$5:$E$155,"2026-05")/SUMIFS('供应商月度明细'!$J$5:$J$155,'供应商月度明细'!$A$5:$A$155,$A5,'供应商月度明细'!$C$5:$C$155,$C5,'供应商月度明细'!$D$5:$D$155,$E5,'供应商月度明细'!$E$5:$E$155,"2026-05"))</f>
        <v>0.8097560975609757</v>
      </c>
      <c r="H5" s="26" t="n">
        <f>IF(SUMIFS('供应商月度明细'!$J$5:$J$155,'供应商月度明细'!$A$5:$A$155,$A5,'供应商月度明细'!$C$5:$C$155,$C5,'供应商月度明细'!$D$5:$D$155,$E5,'供应商月度明细'!$E$5:$E$155,"2026-06")=0,"",SUMIFS('供应商月度明细'!$K$5:$K$155,'供应商月度明细'!$A$5:$A$155,$A5,'供应商月度明细'!$C$5:$C$155,$C5,'供应商月度明细'!$D$5:$D$155,$E5,'供应商月度明细'!$E$5:$E$155,"2026-06")/SUMIFS('供应商月度明细'!$J$5:$J$155,'供应商月度明细'!$A$5:$A$155,$A5,'供应商月度明细'!$C$5:$C$155,$C5,'供应商月度明细'!$D$5:$D$155,$E5,'供应商月度明细'!$E$5:$E$155,"2026-06"))</f>
        <v>0.9705607476635514</v>
      </c>
      <c r="I5" s="26" t="n">
        <f>IF(COUNT(F5:H5)=0,"",AVERAGE(F5:H5))</f>
        <v>0.9045500595192868</v>
      </c>
      <c r="J5" s="26" t="n">
        <f>IF(K5=0,"",L5/K5)</f>
        <v>0.8919489172681844</v>
      </c>
      <c r="K5" s="22" t="n">
        <f>SUMIFS('供应商月度明细'!$J$5:$J$155,'供应商月度明细'!$A$5:$A$155,$A5,'供应商月度明细'!$C$5:$C$155,$C5,'供应商月度明细'!$D$5:$D$155,$E5)</f>
        <v>643.2142857142858</v>
      </c>
      <c r="L5" s="22" t="n">
        <f>SUMIFS('供应商月度明细'!$K$5:$K$155,'供应商月度明细'!$A$5:$A$155,$A5,'供应商月度明细'!$C$5:$C$155,$C5,'供应商月度明细'!$D$5:$D$155,$E5)</f>
        <v>573.7142857142858</v>
      </c>
      <c r="M5" s="22" t="n">
        <f>SUMIFS('供应商月度明细'!$M$5:$M$155,'供应商月度明细'!$A$5:$A$155,$A5,'供应商月度明细'!$C$5:$C$155,$C5,'供应商月度明细'!$D$5:$D$155,$E5)</f>
        <v>23.785714285714285</v>
      </c>
    </row>
    <row r="6">
      <c r="A6" s="31" t="str">
        <v>英国区</v>
      </c>
      <c r="B6" s="31" t="str">
        <v>Employment of London Limited</v>
      </c>
      <c r="C6" s="31" t="str">
        <v>S000331</v>
      </c>
      <c r="D6" s="31" t="str">
        <v>供应商汇总</v>
      </c>
      <c r="E6" s="31" t="str">
        <v>全部工种</v>
      </c>
      <c r="F6" s="32" t="n">
        <f>IF(SUMIFS('供应商月度明细'!$J$5:$J$155,'供应商月度明细'!$A$5:$A$155,$A6,'供应商月度明细'!$C$5:$C$155,$C6,'供应商月度明细'!$E$5:$E$155,"2026-04")=0,"",SUMIFS('供应商月度明细'!$K$5:$K$155,'供应商月度明细'!$A$5:$A$155,$A6,'供应商月度明细'!$C$5:$C$155,$C6,'供应商月度明细'!$E$5:$E$155,"2026-04")/SUMIFS('供应商月度明细'!$J$5:$J$155,'供应商月度明细'!$A$5:$A$155,$A6,'供应商月度明细'!$C$5:$C$155,$C6,'供应商月度明细'!$E$5:$E$155,"2026-04"))</f>
        <v>0.9333333333333333</v>
      </c>
      <c r="G6" s="32" t="n">
        <f>IF(SUMIFS('供应商月度明细'!$J$5:$J$155,'供应商月度明细'!$A$5:$A$155,$A6,'供应商月度明细'!$C$5:$C$155,$C6,'供应商月度明细'!$E$5:$E$155,"2026-05")=0,"",SUMIFS('供应商月度明细'!$K$5:$K$155,'供应商月度明细'!$A$5:$A$155,$A6,'供应商月度明细'!$C$5:$C$155,$C6,'供应商月度明细'!$E$5:$E$155,"2026-05")/SUMIFS('供应商月度明细'!$J$5:$J$155,'供应商月度明细'!$A$5:$A$155,$A6,'供应商月度明细'!$C$5:$C$155,$C6,'供应商月度明细'!$E$5:$E$155,"2026-05"))</f>
        <v>0.8097560975609757</v>
      </c>
      <c r="H6" s="32" t="n">
        <f>IF(SUMIFS('供应商月度明细'!$J$5:$J$155,'供应商月度明细'!$A$5:$A$155,$A6,'供应商月度明细'!$C$5:$C$155,$C6,'供应商月度明细'!$E$5:$E$155,"2026-06")=0,"",SUMIFS('供应商月度明细'!$K$5:$K$155,'供应商月度明细'!$A$5:$A$155,$A6,'供应商月度明细'!$C$5:$C$155,$C6,'供应商月度明细'!$E$5:$E$155,"2026-06")/SUMIFS('供应商月度明细'!$J$5:$J$155,'供应商月度明细'!$A$5:$A$155,$A6,'供应商月度明细'!$C$5:$C$155,$C6,'供应商月度明细'!$E$5:$E$155,"2026-06"))</f>
        <v>0.9705607476635514</v>
      </c>
      <c r="I6" s="32" t="n">
        <f>IF(COUNT(F6:H6)=0,"",AVERAGE(F6:H6))</f>
        <v>0.9045500595192868</v>
      </c>
      <c r="J6" s="32" t="n">
        <f>IF(K6=0,"",L6/K6)</f>
        <v>0.8919489172681844</v>
      </c>
      <c r="K6" s="33" t="n">
        <f>SUMIFS('供应商月度明细'!$J$5:$J$155,'供应商月度明细'!$A$5:$A$155,$A6,'供应商月度明细'!$C$5:$C$155,$C6)</f>
        <v>643.2142857142858</v>
      </c>
      <c r="L6" s="33" t="n">
        <f>SUMIFS('供应商月度明细'!$K$5:$K$155,'供应商月度明细'!$A$5:$A$155,$A6,'供应商月度明细'!$C$5:$C$155,$C6)</f>
        <v>573.7142857142858</v>
      </c>
      <c r="M6" s="33" t="n">
        <f>SUMIFS('供应商月度明细'!$M$5:$M$155,'供应商月度明细'!$A$5:$A$155,$A6,'供应商月度明细'!$C$5:$C$155,$C6)</f>
        <v>23.785714285714285</v>
      </c>
    </row>
    <row r="7">
      <c r="A7" s="19" t="str">
        <v>英国区</v>
      </c>
      <c r="B7" s="19" t="str">
        <v>HRA Recruitment Services</v>
      </c>
      <c r="C7" s="19" t="str">
        <v>S000132</v>
      </c>
      <c r="D7" s="19" t="str">
        <v>工种明细</v>
      </c>
      <c r="E7" s="19" t="str">
        <v>操作员</v>
      </c>
      <c r="F7" s="27" t="n">
        <f>IF(SUMIFS('供应商月度明细'!$J$5:$J$155,'供应商月度明细'!$A$5:$A$155,$A7,'供应商月度明细'!$C$5:$C$155,$C7,'供应商月度明细'!$D$5:$D$155,$E7,'供应商月度明细'!$E$5:$E$155,"2026-04")=0,"",SUMIFS('供应商月度明细'!$K$5:$K$155,'供应商月度明细'!$A$5:$A$155,$A7,'供应商月度明细'!$C$5:$C$155,$C7,'供应商月度明细'!$D$5:$D$155,$E7,'供应商月度明细'!$E$5:$E$155,"2026-04")/SUMIFS('供应商月度明细'!$J$5:$J$155,'供应商月度明细'!$A$5:$A$155,$A7,'供应商月度明细'!$C$5:$C$155,$C7,'供应商月度明细'!$D$5:$D$155,$E7,'供应商月度明细'!$E$5:$E$155,"2026-04"))</f>
        <v>0.994413407821229</v>
      </c>
      <c r="G7" s="27" t="n">
        <f>IF(SUMIFS('供应商月度明细'!$J$5:$J$155,'供应商月度明细'!$A$5:$A$155,$A7,'供应商月度明细'!$C$5:$C$155,$C7,'供应商月度明细'!$D$5:$D$155,$E7,'供应商月度明细'!$E$5:$E$155,"2026-05")=0,"",SUMIFS('供应商月度明细'!$K$5:$K$155,'供应商月度明细'!$A$5:$A$155,$A7,'供应商月度明细'!$C$5:$C$155,$C7,'供应商月度明细'!$D$5:$D$155,$E7,'供应商月度明细'!$E$5:$E$155,"2026-05")/SUMIFS('供应商月度明细'!$J$5:$J$155,'供应商月度明细'!$A$5:$A$155,$A7,'供应商月度明细'!$C$5:$C$155,$C7,'供应商月度明细'!$D$5:$D$155,$E7,'供应商月度明细'!$E$5:$E$155,"2026-05"))</f>
        <v>0.8173913043478261</v>
      </c>
      <c r="H7" s="27" t="n">
        <f>IF(SUMIFS('供应商月度明细'!$J$5:$J$155,'供应商月度明细'!$A$5:$A$155,$A7,'供应商月度明细'!$C$5:$C$155,$C7,'供应商月度明细'!$D$5:$D$155,$E7,'供应商月度明细'!$E$5:$E$155,"2026-06")=0,"",SUMIFS('供应商月度明细'!$K$5:$K$155,'供应商月度明细'!$A$5:$A$155,$A7,'供应商月度明细'!$C$5:$C$155,$C7,'供应商月度明细'!$D$5:$D$155,$E7,'供应商月度明细'!$E$5:$E$155,"2026-06")/SUMIFS('供应商月度明细'!$J$5:$J$155,'供应商月度明细'!$A$5:$A$155,$A7,'供应商月度明细'!$C$5:$C$155,$C7,'供应商月度明细'!$D$5:$D$155,$E7,'供应商月度明细'!$E$5:$E$155,"2026-06"))</f>
        <v>0.8183259353202283</v>
      </c>
      <c r="I7" s="27" t="n">
        <f>IF(COUNT(F7:H7)=0,"",AVERAGE(F7:H7))</f>
        <v>0.8767102158297613</v>
      </c>
      <c r="J7" s="27" t="n">
        <f>IF(K7=0,"",L7/K7)</f>
        <v>0.8788170563961487</v>
      </c>
      <c r="K7" s="23" t="n">
        <f>SUMIFS('供应商月度明细'!$J$5:$J$155,'供应商月度明细'!$A$5:$A$155,$A7,'供应商月度明细'!$C$5:$C$155,$C7,'供应商月度明细'!$D$5:$D$155,$E7)</f>
        <v>519.2857142857142</v>
      </c>
      <c r="L7" s="23" t="n">
        <f>SUMIFS('供应商月度明细'!$K$5:$K$155,'供应商月度明细'!$A$5:$A$155,$A7,'供应商月度明细'!$C$5:$C$155,$C7,'供应商月度明细'!$D$5:$D$155,$E7)</f>
        <v>456.3571428571429</v>
      </c>
      <c r="M7" s="23" t="n">
        <f>SUMIFS('供应商月度明细'!$M$5:$M$155,'供应商月度明细'!$A$5:$A$155,$A7,'供应商月度明细'!$C$5:$C$155,$C7,'供应商月度明细'!$D$5:$D$155,$E7)</f>
        <v>18.714285714285715</v>
      </c>
    </row>
    <row r="8">
      <c r="A8" s="19" t="str">
        <v>英国区</v>
      </c>
      <c r="B8" s="19" t="str">
        <v>HRA Recruitment Services</v>
      </c>
      <c r="C8" s="19" t="str">
        <v>S000132</v>
      </c>
      <c r="D8" s="19" t="str">
        <v>工种明细</v>
      </c>
      <c r="E8" s="19" t="str">
        <v>叉车司机</v>
      </c>
      <c r="F8" s="27" t="str">
        <f>IF(SUMIFS('供应商月度明细'!$J$5:$J$155,'供应商月度明细'!$A$5:$A$155,$A8,'供应商月度明细'!$C$5:$C$155,$C8,'供应商月度明细'!$D$5:$D$155,$E8,'供应商月度明细'!$E$5:$E$155,"2026-04")=0,"",SUMIFS('供应商月度明细'!$K$5:$K$155,'供应商月度明细'!$A$5:$A$155,$A8,'供应商月度明细'!$C$5:$C$155,$C8,'供应商月度明细'!$D$5:$D$155,$E8,'供应商月度明细'!$E$5:$E$155,"2026-04")/SUMIFS('供应商月度明细'!$J$5:$J$155,'供应商月度明细'!$A$5:$A$155,$A8,'供应商月度明细'!$C$5:$C$155,$C8,'供应商月度明细'!$D$5:$D$155,$E8,'供应商月度明细'!$E$5:$E$155,"2026-04"))</f>
      </c>
      <c r="G8" s="27" t="str">
        <f>IF(SUMIFS('供应商月度明细'!$J$5:$J$155,'供应商月度明细'!$A$5:$A$155,$A8,'供应商月度明细'!$C$5:$C$155,$C8,'供应商月度明细'!$D$5:$D$155,$E8,'供应商月度明细'!$E$5:$E$155,"2026-05")=0,"",SUMIFS('供应商月度明细'!$K$5:$K$155,'供应商月度明细'!$A$5:$A$155,$A8,'供应商月度明细'!$C$5:$C$155,$C8,'供应商月度明细'!$D$5:$D$155,$E8,'供应商月度明细'!$E$5:$E$155,"2026-05")/SUMIFS('供应商月度明细'!$J$5:$J$155,'供应商月度明细'!$A$5:$A$155,$A8,'供应商月度明细'!$C$5:$C$155,$C8,'供应商月度明细'!$D$5:$D$155,$E8,'供应商月度明细'!$E$5:$E$155,"2026-05"))</f>
      </c>
      <c r="H8" s="27" t="n">
        <f>IF(SUMIFS('供应商月度明细'!$J$5:$J$155,'供应商月度明细'!$A$5:$A$155,$A8,'供应商月度明细'!$C$5:$C$155,$C8,'供应商月度明细'!$D$5:$D$155,$E8,'供应商月度明细'!$E$5:$E$155,"2026-06")=0,"",SUMIFS('供应商月度明细'!$K$5:$K$155,'供应商月度明细'!$A$5:$A$155,$A8,'供应商月度明细'!$C$5:$C$155,$C8,'供应商月度明细'!$D$5:$D$155,$E8,'供应商月度明细'!$E$5:$E$155,"2026-06")/SUMIFS('供应商月度明细'!$J$5:$J$155,'供应商月度明细'!$A$5:$A$155,$A8,'供应商月度明细'!$C$5:$C$155,$C8,'供应商月度明细'!$D$5:$D$155,$E8,'供应商月度明细'!$E$5:$E$155,"2026-06"))</f>
        <v>0.3333333333333333</v>
      </c>
      <c r="I8" s="27" t="n">
        <f>IF(COUNT(F8:H8)=0,"",AVERAGE(F8:H8))</f>
        <v>0.3333333333333333</v>
      </c>
      <c r="J8" s="27" t="n">
        <f>IF(K8=0,"",L8/K8)</f>
        <v>0.3333333333333333</v>
      </c>
      <c r="K8" s="23" t="n">
        <f>SUMIFS('供应商月度明细'!$J$5:$J$155,'供应商月度明细'!$A$5:$A$155,$A8,'供应商月度明细'!$C$5:$C$155,$C8,'供应商月度明细'!$D$5:$D$155,$E8)</f>
        <v>3</v>
      </c>
      <c r="L8" s="23" t="n">
        <f>SUMIFS('供应商月度明细'!$K$5:$K$155,'供应商月度明细'!$A$5:$A$155,$A8,'供应商月度明细'!$C$5:$C$155,$C8,'供应商月度明细'!$D$5:$D$155,$E8)</f>
        <v>1</v>
      </c>
      <c r="M8" s="23" t="n">
        <f>SUMIFS('供应商月度明细'!$M$5:$M$155,'供应商月度明细'!$A$5:$A$155,$A8,'供应商月度明细'!$C$5:$C$155,$C8,'供应商月度明细'!$D$5:$D$155,$E8)</f>
        <v>0</v>
      </c>
    </row>
    <row r="9">
      <c r="A9" s="19" t="str">
        <v>英国区</v>
      </c>
      <c r="B9" s="19" t="str">
        <v>HRA Recruitment Services</v>
      </c>
      <c r="C9" s="19" t="str">
        <v>S000132</v>
      </c>
      <c r="D9" s="19" t="str">
        <v>工种明细</v>
      </c>
      <c r="E9" s="19" t="str">
        <v>售后处理员</v>
      </c>
      <c r="F9" s="27" t="n">
        <f>IF(SUMIFS('供应商月度明细'!$J$5:$J$155,'供应商月度明细'!$A$5:$A$155,$A9,'供应商月度明细'!$C$5:$C$155,$C9,'供应商月度明细'!$D$5:$D$155,$E9,'供应商月度明细'!$E$5:$E$155,"2026-04")=0,"",SUMIFS('供应商月度明细'!$K$5:$K$155,'供应商月度明细'!$A$5:$A$155,$A9,'供应商月度明细'!$C$5:$C$155,$C9,'供应商月度明细'!$D$5:$D$155,$E9,'供应商月度明细'!$E$5:$E$155,"2026-04")/SUMIFS('供应商月度明细'!$J$5:$J$155,'供应商月度明细'!$A$5:$A$155,$A9,'供应商月度明细'!$C$5:$C$155,$C9,'供应商月度明细'!$D$5:$D$155,$E9,'供应商月度明细'!$E$5:$E$155,"2026-04"))</f>
        <v>1</v>
      </c>
      <c r="G9" s="27" t="str">
        <f>IF(SUMIFS('供应商月度明细'!$J$5:$J$155,'供应商月度明细'!$A$5:$A$155,$A9,'供应商月度明细'!$C$5:$C$155,$C9,'供应商月度明细'!$D$5:$D$155,$E9,'供应商月度明细'!$E$5:$E$155,"2026-05")=0,"",SUMIFS('供应商月度明细'!$K$5:$K$155,'供应商月度明细'!$A$5:$A$155,$A9,'供应商月度明细'!$C$5:$C$155,$C9,'供应商月度明细'!$D$5:$D$155,$E9,'供应商月度明细'!$E$5:$E$155,"2026-05")/SUMIFS('供应商月度明细'!$J$5:$J$155,'供应商月度明细'!$A$5:$A$155,$A9,'供应商月度明细'!$C$5:$C$155,$C9,'供应商月度明细'!$D$5:$D$155,$E9,'供应商月度明细'!$E$5:$E$155,"2026-05"))</f>
      </c>
      <c r="H9" s="27" t="str">
        <f>IF(SUMIFS('供应商月度明细'!$J$5:$J$155,'供应商月度明细'!$A$5:$A$155,$A9,'供应商月度明细'!$C$5:$C$155,$C9,'供应商月度明细'!$D$5:$D$155,$E9,'供应商月度明细'!$E$5:$E$155,"2026-06")=0,"",SUMIFS('供应商月度明细'!$K$5:$K$155,'供应商月度明细'!$A$5:$A$155,$A9,'供应商月度明细'!$C$5:$C$155,$C9,'供应商月度明细'!$D$5:$D$155,$E9,'供应商月度明细'!$E$5:$E$155,"2026-06")/SUMIFS('供应商月度明细'!$J$5:$J$155,'供应商月度明细'!$A$5:$A$155,$A9,'供应商月度明细'!$C$5:$C$155,$C9,'供应商月度明细'!$D$5:$D$155,$E9,'供应商月度明细'!$E$5:$E$155,"2026-06"))</f>
      </c>
      <c r="I9" s="27" t="n">
        <f>IF(COUNT(F9:H9)=0,"",AVERAGE(F9:H9))</f>
        <v>1</v>
      </c>
      <c r="J9" s="27" t="n">
        <f>IF(K9=0,"",L9/K9)</f>
        <v>1</v>
      </c>
      <c r="K9" s="23" t="n">
        <f>SUMIFS('供应商月度明细'!$J$5:$J$155,'供应商月度明细'!$A$5:$A$155,$A9,'供应商月度明细'!$C$5:$C$155,$C9,'供应商月度明细'!$D$5:$D$155,$E9)</f>
        <v>1</v>
      </c>
      <c r="L9" s="23" t="n">
        <f>SUMIFS('供应商月度明细'!$K$5:$K$155,'供应商月度明细'!$A$5:$A$155,$A9,'供应商月度明细'!$C$5:$C$155,$C9,'供应商月度明细'!$D$5:$D$155,$E9)</f>
        <v>1</v>
      </c>
      <c r="M9" s="23" t="n">
        <f>SUMIFS('供应商月度明细'!$M$5:$M$155,'供应商月度明细'!$A$5:$A$155,$A9,'供应商月度明细'!$C$5:$C$155,$C9,'供应商月度明细'!$D$5:$D$155,$E9)</f>
        <v>0</v>
      </c>
    </row>
    <row r="10">
      <c r="A10" s="19" t="str">
        <v>英国区</v>
      </c>
      <c r="B10" s="19" t="str">
        <v>HRA Recruitment Services</v>
      </c>
      <c r="C10" s="19" t="str">
        <v>S000132</v>
      </c>
      <c r="D10" s="19" t="str">
        <v>工种明细</v>
      </c>
      <c r="E10" s="19" t="str">
        <v>保洁员</v>
      </c>
      <c r="F10" s="27" t="n">
        <f>IF(SUMIFS('供应商月度明细'!$J$5:$J$155,'供应商月度明细'!$A$5:$A$155,$A10,'供应商月度明细'!$C$5:$C$155,$C10,'供应商月度明细'!$D$5:$D$155,$E10,'供应商月度明细'!$E$5:$E$155,"2026-04")=0,"",SUMIFS('供应商月度明细'!$K$5:$K$155,'供应商月度明细'!$A$5:$A$155,$A10,'供应商月度明细'!$C$5:$C$155,$C10,'供应商月度明细'!$D$5:$D$155,$E10,'供应商月度明细'!$E$5:$E$155,"2026-04")/SUMIFS('供应商月度明细'!$J$5:$J$155,'供应商月度明细'!$A$5:$A$155,$A10,'供应商月度明细'!$C$5:$C$155,$C10,'供应商月度明细'!$D$5:$D$155,$E10,'供应商月度明细'!$E$5:$E$155,"2026-04"))</f>
        <v>1</v>
      </c>
      <c r="G10" s="27" t="str">
        <f>IF(SUMIFS('供应商月度明细'!$J$5:$J$155,'供应商月度明细'!$A$5:$A$155,$A10,'供应商月度明细'!$C$5:$C$155,$C10,'供应商月度明细'!$D$5:$D$155,$E10,'供应商月度明细'!$E$5:$E$155,"2026-05")=0,"",SUMIFS('供应商月度明细'!$K$5:$K$155,'供应商月度明细'!$A$5:$A$155,$A10,'供应商月度明细'!$C$5:$C$155,$C10,'供应商月度明细'!$D$5:$D$155,$E10,'供应商月度明细'!$E$5:$E$155,"2026-05")/SUMIFS('供应商月度明细'!$J$5:$J$155,'供应商月度明细'!$A$5:$A$155,$A10,'供应商月度明细'!$C$5:$C$155,$C10,'供应商月度明细'!$D$5:$D$155,$E10,'供应商月度明细'!$E$5:$E$155,"2026-05"))</f>
      </c>
      <c r="H10" s="27" t="str">
        <f>IF(SUMIFS('供应商月度明细'!$J$5:$J$155,'供应商月度明细'!$A$5:$A$155,$A10,'供应商月度明细'!$C$5:$C$155,$C10,'供应商月度明细'!$D$5:$D$155,$E10,'供应商月度明细'!$E$5:$E$155,"2026-06")=0,"",SUMIFS('供应商月度明细'!$K$5:$K$155,'供应商月度明细'!$A$5:$A$155,$A10,'供应商月度明细'!$C$5:$C$155,$C10,'供应商月度明细'!$D$5:$D$155,$E10,'供应商月度明细'!$E$5:$E$155,"2026-06")/SUMIFS('供应商月度明细'!$J$5:$J$155,'供应商月度明细'!$A$5:$A$155,$A10,'供应商月度明细'!$C$5:$C$155,$C10,'供应商月度明细'!$D$5:$D$155,$E10,'供应商月度明细'!$E$5:$E$155,"2026-06"))</f>
      </c>
      <c r="I10" s="27" t="n">
        <f>IF(COUNT(F10:H10)=0,"",AVERAGE(F10:H10))</f>
        <v>1</v>
      </c>
      <c r="J10" s="27" t="n">
        <f>IF(K10=0,"",L10/K10)</f>
        <v>1</v>
      </c>
      <c r="K10" s="23" t="n">
        <f>SUMIFS('供应商月度明细'!$J$5:$J$155,'供应商月度明细'!$A$5:$A$155,$A10,'供应商月度明细'!$C$5:$C$155,$C10,'供应商月度明细'!$D$5:$D$155,$E10)</f>
        <v>1</v>
      </c>
      <c r="L10" s="23" t="n">
        <f>SUMIFS('供应商月度明细'!$K$5:$K$155,'供应商月度明细'!$A$5:$A$155,$A10,'供应商月度明细'!$C$5:$C$155,$C10,'供应商月度明细'!$D$5:$D$155,$E10)</f>
        <v>1</v>
      </c>
      <c r="M10" s="23" t="n">
        <f>SUMIFS('供应商月度明细'!$M$5:$M$155,'供应商月度明细'!$A$5:$A$155,$A10,'供应商月度明细'!$C$5:$C$155,$C10,'供应商月度明细'!$D$5:$D$155,$E10)</f>
        <v>0</v>
      </c>
    </row>
    <row r="11">
      <c r="A11" s="19" t="str">
        <v>英国区</v>
      </c>
      <c r="B11" s="19" t="str">
        <v>HRA Recruitment Services</v>
      </c>
      <c r="C11" s="19" t="str">
        <v>S000132</v>
      </c>
      <c r="D11" s="19" t="str">
        <v>工种明细</v>
      </c>
      <c r="E11" s="19" t="str">
        <v>保安</v>
      </c>
      <c r="F11" s="27" t="n">
        <f>IF(SUMIFS('供应商月度明细'!$J$5:$J$155,'供应商月度明细'!$A$5:$A$155,$A11,'供应商月度明细'!$C$5:$C$155,$C11,'供应商月度明细'!$D$5:$D$155,$E11,'供应商月度明细'!$E$5:$E$155,"2026-04")=0,"",SUMIFS('供应商月度明细'!$K$5:$K$155,'供应商月度明细'!$A$5:$A$155,$A11,'供应商月度明细'!$C$5:$C$155,$C11,'供应商月度明细'!$D$5:$D$155,$E11,'供应商月度明细'!$E$5:$E$155,"2026-04")/SUMIFS('供应商月度明细'!$J$5:$J$155,'供应商月度明细'!$A$5:$A$155,$A11,'供应商月度明细'!$C$5:$C$155,$C11,'供应商月度明细'!$D$5:$D$155,$E11,'供应商月度明细'!$E$5:$E$155,"2026-04"))</f>
        <v>1</v>
      </c>
      <c r="G11" s="27" t="n">
        <f>IF(SUMIFS('供应商月度明细'!$J$5:$J$155,'供应商月度明细'!$A$5:$A$155,$A11,'供应商月度明细'!$C$5:$C$155,$C11,'供应商月度明细'!$D$5:$D$155,$E11,'供应商月度明细'!$E$5:$E$155,"2026-05")=0,"",SUMIFS('供应商月度明细'!$K$5:$K$155,'供应商月度明细'!$A$5:$A$155,$A11,'供应商月度明细'!$C$5:$C$155,$C11,'供应商月度明细'!$D$5:$D$155,$E11,'供应商月度明细'!$E$5:$E$155,"2026-05")/SUMIFS('供应商月度明细'!$J$5:$J$155,'供应商月度明细'!$A$5:$A$155,$A11,'供应商月度明细'!$C$5:$C$155,$C11,'供应商月度明细'!$D$5:$D$155,$E11,'供应商月度明细'!$E$5:$E$155,"2026-05"))</f>
        <v>1</v>
      </c>
      <c r="H11" s="27" t="str">
        <f>IF(SUMIFS('供应商月度明细'!$J$5:$J$155,'供应商月度明细'!$A$5:$A$155,$A11,'供应商月度明细'!$C$5:$C$155,$C11,'供应商月度明细'!$D$5:$D$155,$E11,'供应商月度明细'!$E$5:$E$155,"2026-06")=0,"",SUMIFS('供应商月度明细'!$K$5:$K$155,'供应商月度明细'!$A$5:$A$155,$A11,'供应商月度明细'!$C$5:$C$155,$C11,'供应商月度明细'!$D$5:$D$155,$E11,'供应商月度明细'!$E$5:$E$155,"2026-06")/SUMIFS('供应商月度明细'!$J$5:$J$155,'供应商月度明细'!$A$5:$A$155,$A11,'供应商月度明细'!$C$5:$C$155,$C11,'供应商月度明细'!$D$5:$D$155,$E11,'供应商月度明细'!$E$5:$E$155,"2026-06"))</f>
      </c>
      <c r="I11" s="27" t="n">
        <f>IF(COUNT(F11:H11)=0,"",AVERAGE(F11:H11))</f>
        <v>1</v>
      </c>
      <c r="J11" s="27" t="n">
        <f>IF(K11=0,"",L11/K11)</f>
        <v>1</v>
      </c>
      <c r="K11" s="23" t="n">
        <f>SUMIFS('供应商月度明细'!$J$5:$J$155,'供应商月度明细'!$A$5:$A$155,$A11,'供应商月度明细'!$C$5:$C$155,$C11,'供应商月度明细'!$D$5:$D$155,$E11)</f>
        <v>5.5</v>
      </c>
      <c r="L11" s="23" t="n">
        <f>SUMIFS('供应商月度明细'!$K$5:$K$155,'供应商月度明细'!$A$5:$A$155,$A11,'供应商月度明细'!$C$5:$C$155,$C11,'供应商月度明细'!$D$5:$D$155,$E11)</f>
        <v>5.5</v>
      </c>
      <c r="M11" s="23" t="n">
        <f>SUMIFS('供应商月度明细'!$M$5:$M$155,'供应商月度明细'!$A$5:$A$155,$A11,'供应商月度明细'!$C$5:$C$155,$C11,'供应商月度明细'!$D$5:$D$155,$E11)</f>
        <v>0.5</v>
      </c>
    </row>
    <row r="12">
      <c r="A12" s="31" t="str">
        <v>英国区</v>
      </c>
      <c r="B12" s="31" t="str">
        <v>HRA Recruitment Services</v>
      </c>
      <c r="C12" s="31" t="str">
        <v>S000132</v>
      </c>
      <c r="D12" s="31" t="str">
        <v>供应商汇总</v>
      </c>
      <c r="E12" s="31" t="str">
        <v>全部工种</v>
      </c>
      <c r="F12" s="32" t="n">
        <f>IF(SUMIFS('供应商月度明细'!$J$5:$J$155,'供应商月度明细'!$A$5:$A$155,$A12,'供应商月度明细'!$C$5:$C$155,$C12,'供应商月度明细'!$E$5:$E$155,"2026-04")=0,"",SUMIFS('供应商月度明细'!$K$5:$K$155,'供应商月度明细'!$A$5:$A$155,$A12,'供应商月度明细'!$C$5:$C$155,$C12,'供应商月度明细'!$E$5:$E$155,"2026-04")/SUMIFS('供应商月度明细'!$J$5:$J$155,'供应商月度明细'!$A$5:$A$155,$A12,'供应商月度明细'!$C$5:$C$155,$C12,'供应商月度明细'!$E$5:$E$155,"2026-04"))</f>
        <v>0.9945504087193461</v>
      </c>
      <c r="G12" s="32" t="n">
        <f>IF(SUMIFS('供应商月度明细'!$J$5:$J$155,'供应商月度明细'!$A$5:$A$155,$A12,'供应商月度明细'!$C$5:$C$155,$C12,'供应商月度明细'!$E$5:$E$155,"2026-05")=0,"",SUMIFS('供应商月度明细'!$K$5:$K$155,'供应商月度明细'!$A$5:$A$155,$A12,'供应商月度明细'!$C$5:$C$155,$C12,'供应商月度明细'!$E$5:$E$155,"2026-05")/SUMIFS('供应商月度明细'!$J$5:$J$155,'供应商月度明细'!$A$5:$A$155,$A12,'供应商月度明细'!$C$5:$C$155,$C12,'供应商月度明细'!$E$5:$E$155,"2026-05"))</f>
        <v>0.8220338983050848</v>
      </c>
      <c r="H12" s="32" t="n">
        <f>IF(SUMIFS('供应商月度明细'!$J$5:$J$155,'供应商月度明细'!$A$5:$A$155,$A12,'供应商月度明细'!$C$5:$C$155,$C12,'供应商月度明细'!$E$5:$E$155,"2026-06")=0,"",SUMIFS('供应商月度明细'!$K$5:$K$155,'供应商月度明细'!$A$5:$A$155,$A12,'供应商月度明细'!$C$5:$C$155,$C12,'供应商月度明细'!$E$5:$E$155,"2026-06")/SUMIFS('供应商月度明细'!$J$5:$J$155,'供应商月度明细'!$A$5:$A$155,$A12,'供应商月度明细'!$C$5:$C$155,$C12,'供应商月度明细'!$E$5:$E$155,"2026-06"))</f>
        <v>0.8119524405506884</v>
      </c>
      <c r="I12" s="32" t="n">
        <f>IF(COUNT(F12:H12)=0,"",AVERAGE(F12:H12))</f>
        <v>0.8761789158583732</v>
      </c>
      <c r="J12" s="32" t="n">
        <f>IF(K12=0,"",L12/K12)</f>
        <v>0.8774437103950385</v>
      </c>
      <c r="K12" s="33" t="n">
        <f>SUMIFS('供应商月度明细'!$J$5:$J$155,'供应商月度明细'!$A$5:$A$155,$A12,'供应商月度明细'!$C$5:$C$155,$C12)</f>
        <v>529.7857142857142</v>
      </c>
      <c r="L12" s="33" t="n">
        <f>SUMIFS('供应商月度明细'!$K$5:$K$155,'供应商月度明细'!$A$5:$A$155,$A12,'供应商月度明细'!$C$5:$C$155,$C12)</f>
        <v>464.8571428571429</v>
      </c>
      <c r="M12" s="33" t="n">
        <f>SUMIFS('供应商月度明细'!$M$5:$M$155,'供应商月度明细'!$A$5:$A$155,$A12,'供应商月度明细'!$C$5:$C$155,$C12)</f>
        <v>19.214285714285715</v>
      </c>
    </row>
    <row r="13">
      <c r="A13" s="19" t="str">
        <v>英国区</v>
      </c>
      <c r="B13" s="19" t="str">
        <v>Jobsworth Recruitment Solutions Limited</v>
      </c>
      <c r="C13" s="19" t="str">
        <v>S000274</v>
      </c>
      <c r="D13" s="19" t="str">
        <v>工种明细</v>
      </c>
      <c r="E13" s="19" t="str">
        <v>操作员</v>
      </c>
      <c r="F13" s="27" t="n">
        <f>IF(SUMIFS('供应商月度明细'!$J$5:$J$155,'供应商月度明细'!$A$5:$A$155,$A13,'供应商月度明细'!$C$5:$C$155,$C13,'供应商月度明细'!$D$5:$D$155,$E13,'供应商月度明细'!$E$5:$E$155,"2026-04")=0,"",SUMIFS('供应商月度明细'!$K$5:$K$155,'供应商月度明细'!$A$5:$A$155,$A13,'供应商月度明细'!$C$5:$C$155,$C13,'供应商月度明细'!$D$5:$D$155,$E13,'供应商月度明细'!$E$5:$E$155,"2026-04")/SUMIFS('供应商月度明细'!$J$5:$J$155,'供应商月度明细'!$A$5:$A$155,$A13,'供应商月度明细'!$C$5:$C$155,$C13,'供应商月度明细'!$D$5:$D$155,$E13,'供应商月度明细'!$E$5:$E$155,"2026-04"))</f>
        <v>0.8811188811188811</v>
      </c>
      <c r="G13" s="27" t="n">
        <f>IF(SUMIFS('供应商月度明细'!$J$5:$J$155,'供应商月度明细'!$A$5:$A$155,$A13,'供应商月度明细'!$C$5:$C$155,$C13,'供应商月度明细'!$D$5:$D$155,$E13,'供应商月度明细'!$E$5:$E$155,"2026-05")=0,"",SUMIFS('供应商月度明细'!$K$5:$K$155,'供应商月度明细'!$A$5:$A$155,$A13,'供应商月度明细'!$C$5:$C$155,$C13,'供应商月度明细'!$D$5:$D$155,$E13,'供应商月度明细'!$E$5:$E$155,"2026-05")/SUMIFS('供应商月度明细'!$J$5:$J$155,'供应商月度明细'!$A$5:$A$155,$A13,'供应商月度明细'!$C$5:$C$155,$C13,'供应商月度明细'!$D$5:$D$155,$E13,'供应商月度明细'!$E$5:$E$155,"2026-05"))</f>
        <v>0.9536231884057971</v>
      </c>
      <c r="H13" s="27" t="n">
        <f>IF(SUMIFS('供应商月度明细'!$J$5:$J$155,'供应商月度明细'!$A$5:$A$155,$A13,'供应商月度明细'!$C$5:$C$155,$C13,'供应商月度明细'!$D$5:$D$155,$E13,'供应商月度明细'!$E$5:$E$155,"2026-06")=0,"",SUMIFS('供应商月度明细'!$K$5:$K$155,'供应商月度明细'!$A$5:$A$155,$A13,'供应商月度明细'!$C$5:$C$155,$C13,'供应商月度明细'!$D$5:$D$155,$E13,'供应商月度明细'!$E$5:$E$155,"2026-06")/SUMIFS('供应商月度明细'!$J$5:$J$155,'供应商月度明细'!$A$5:$A$155,$A13,'供应商月度明细'!$C$5:$C$155,$C13,'供应商月度明细'!$D$5:$D$155,$E13,'供应商月度明细'!$E$5:$E$155,"2026-06"))</f>
        <v>0.9554140127388535</v>
      </c>
      <c r="I13" s="27" t="n">
        <f>IF(COUNT(F13:H13)=0,"",AVERAGE(F13:H13))</f>
        <v>0.9300520274211772</v>
      </c>
      <c r="J13" s="27" t="n">
        <f>IF(K13=0,"",L13/K13)</f>
        <v>0.9322751322751323</v>
      </c>
      <c r="K13" s="23" t="n">
        <f>SUMIFS('供应商月度明细'!$J$5:$J$155,'供应商月度明细'!$A$5:$A$155,$A13,'供应商月度明细'!$C$5:$C$155,$C13,'供应商月度明细'!$D$5:$D$155,$E13)</f>
        <v>472.5</v>
      </c>
      <c r="L13" s="23" t="n">
        <f>SUMIFS('供应商月度明细'!$K$5:$K$155,'供应商月度明细'!$A$5:$A$155,$A13,'供应商月度明细'!$C$5:$C$155,$C13,'供应商月度明细'!$D$5:$D$155,$E13)</f>
        <v>440.5</v>
      </c>
      <c r="M13" s="23" t="n">
        <f>SUMIFS('供应商月度明细'!$M$5:$M$155,'供应商月度明细'!$A$5:$A$155,$A13,'供应商月度明细'!$C$5:$C$155,$C13,'供应商月度明细'!$D$5:$D$155,$E13)</f>
        <v>17.5</v>
      </c>
    </row>
    <row r="14">
      <c r="A14" s="19" t="str">
        <v>英国区</v>
      </c>
      <c r="B14" s="19" t="str">
        <v>Jobsworth Recruitment Solutions Limited</v>
      </c>
      <c r="C14" s="19" t="str">
        <v>S000274</v>
      </c>
      <c r="D14" s="19" t="str">
        <v>工种明细</v>
      </c>
      <c r="E14" s="19" t="str">
        <v>叉车司机</v>
      </c>
      <c r="F14" s="27" t="str">
        <f>IF(SUMIFS('供应商月度明细'!$J$5:$J$155,'供应商月度明细'!$A$5:$A$155,$A14,'供应商月度明细'!$C$5:$C$155,$C14,'供应商月度明细'!$D$5:$D$155,$E14,'供应商月度明细'!$E$5:$E$155,"2026-04")=0,"",SUMIFS('供应商月度明细'!$K$5:$K$155,'供应商月度明细'!$A$5:$A$155,$A14,'供应商月度明细'!$C$5:$C$155,$C14,'供应商月度明细'!$D$5:$D$155,$E14,'供应商月度明细'!$E$5:$E$155,"2026-04")/SUMIFS('供应商月度明细'!$J$5:$J$155,'供应商月度明细'!$A$5:$A$155,$A14,'供应商月度明细'!$C$5:$C$155,$C14,'供应商月度明细'!$D$5:$D$155,$E14,'供应商月度明细'!$E$5:$E$155,"2026-04"))</f>
      </c>
      <c r="G14" s="27" t="str">
        <f>IF(SUMIFS('供应商月度明细'!$J$5:$J$155,'供应商月度明细'!$A$5:$A$155,$A14,'供应商月度明细'!$C$5:$C$155,$C14,'供应商月度明细'!$D$5:$D$155,$E14,'供应商月度明细'!$E$5:$E$155,"2026-05")=0,"",SUMIFS('供应商月度明细'!$K$5:$K$155,'供应商月度明细'!$A$5:$A$155,$A14,'供应商月度明细'!$C$5:$C$155,$C14,'供应商月度明细'!$D$5:$D$155,$E14,'供应商月度明细'!$E$5:$E$155,"2026-05")/SUMIFS('供应商月度明细'!$J$5:$J$155,'供应商月度明细'!$A$5:$A$155,$A14,'供应商月度明细'!$C$5:$C$155,$C14,'供应商月度明细'!$D$5:$D$155,$E14,'供应商月度明细'!$E$5:$E$155,"2026-05"))</f>
      </c>
      <c r="H14" s="27" t="n">
        <f>IF(SUMIFS('供应商月度明细'!$J$5:$J$155,'供应商月度明细'!$A$5:$A$155,$A14,'供应商月度明细'!$C$5:$C$155,$C14,'供应商月度明细'!$D$5:$D$155,$E14,'供应商月度明细'!$E$5:$E$155,"2026-06")=0,"",SUMIFS('供应商月度明细'!$K$5:$K$155,'供应商月度明细'!$A$5:$A$155,$A14,'供应商月度明细'!$C$5:$C$155,$C14,'供应商月度明细'!$D$5:$D$155,$E14,'供应商月度明细'!$E$5:$E$155,"2026-06")/SUMIFS('供应商月度明细'!$J$5:$J$155,'供应商月度明细'!$A$5:$A$155,$A14,'供应商月度明细'!$C$5:$C$155,$C14,'供应商月度明细'!$D$5:$D$155,$E14,'供应商月度明细'!$E$5:$E$155,"2026-06"))</f>
        <v>1</v>
      </c>
      <c r="I14" s="27" t="n">
        <f>IF(COUNT(F14:H14)=0,"",AVERAGE(F14:H14))</f>
        <v>1</v>
      </c>
      <c r="J14" s="27" t="n">
        <f>IF(K14=0,"",L14/K14)</f>
        <v>1</v>
      </c>
      <c r="K14" s="23" t="n">
        <f>SUMIFS('供应商月度明细'!$J$5:$J$155,'供应商月度明细'!$A$5:$A$155,$A14,'供应商月度明细'!$C$5:$C$155,$C14,'供应商月度明细'!$D$5:$D$155,$E14)</f>
        <v>5</v>
      </c>
      <c r="L14" s="23" t="n">
        <f>SUMIFS('供应商月度明细'!$K$5:$K$155,'供应商月度明细'!$A$5:$A$155,$A14,'供应商月度明细'!$C$5:$C$155,$C14,'供应商月度明细'!$D$5:$D$155,$E14)</f>
        <v>5</v>
      </c>
      <c r="M14" s="23" t="n">
        <f>SUMIFS('供应商月度明细'!$M$5:$M$155,'供应商月度明细'!$A$5:$A$155,$A14,'供应商月度明细'!$C$5:$C$155,$C14,'供应商月度明细'!$D$5:$D$155,$E14)</f>
        <v>0</v>
      </c>
    </row>
    <row r="15">
      <c r="A15" s="19" t="str">
        <v>英国区</v>
      </c>
      <c r="B15" s="19" t="str">
        <v>Jobsworth Recruitment Solutions Limited</v>
      </c>
      <c r="C15" s="19" t="str">
        <v>S000274</v>
      </c>
      <c r="D15" s="19" t="str">
        <v>工种明细</v>
      </c>
      <c r="E15" s="19" t="str">
        <v>售后处理员</v>
      </c>
      <c r="F15" s="27" t="str">
        <f>IF(SUMIFS('供应商月度明细'!$J$5:$J$155,'供应商月度明细'!$A$5:$A$155,$A15,'供应商月度明细'!$C$5:$C$155,$C15,'供应商月度明细'!$D$5:$D$155,$E15,'供应商月度明细'!$E$5:$E$155,"2026-04")=0,"",SUMIFS('供应商月度明细'!$K$5:$K$155,'供应商月度明细'!$A$5:$A$155,$A15,'供应商月度明细'!$C$5:$C$155,$C15,'供应商月度明细'!$D$5:$D$155,$E15,'供应商月度明细'!$E$5:$E$155,"2026-04")/SUMIFS('供应商月度明细'!$J$5:$J$155,'供应商月度明细'!$A$5:$A$155,$A15,'供应商月度明细'!$C$5:$C$155,$C15,'供应商月度明细'!$D$5:$D$155,$E15,'供应商月度明细'!$E$5:$E$155,"2026-04"))</f>
      </c>
      <c r="G15" s="27" t="n">
        <f>IF(SUMIFS('供应商月度明细'!$J$5:$J$155,'供应商月度明细'!$A$5:$A$155,$A15,'供应商月度明细'!$C$5:$C$155,$C15,'供应商月度明细'!$D$5:$D$155,$E15,'供应商月度明细'!$E$5:$E$155,"2026-05")=0,"",SUMIFS('供应商月度明细'!$K$5:$K$155,'供应商月度明细'!$A$5:$A$155,$A15,'供应商月度明细'!$C$5:$C$155,$C15,'供应商月度明细'!$D$5:$D$155,$E15,'供应商月度明细'!$E$5:$E$155,"2026-05")/SUMIFS('供应商月度明细'!$J$5:$J$155,'供应商月度明细'!$A$5:$A$155,$A15,'供应商月度明细'!$C$5:$C$155,$C15,'供应商月度明细'!$D$5:$D$155,$E15,'供应商月度明细'!$E$5:$E$155,"2026-05"))</f>
        <v>1</v>
      </c>
      <c r="H15" s="27" t="str">
        <f>IF(SUMIFS('供应商月度明细'!$J$5:$J$155,'供应商月度明细'!$A$5:$A$155,$A15,'供应商月度明细'!$C$5:$C$155,$C15,'供应商月度明细'!$D$5:$D$155,$E15,'供应商月度明细'!$E$5:$E$155,"2026-06")=0,"",SUMIFS('供应商月度明细'!$K$5:$K$155,'供应商月度明细'!$A$5:$A$155,$A15,'供应商月度明细'!$C$5:$C$155,$C15,'供应商月度明细'!$D$5:$D$155,$E15,'供应商月度明细'!$E$5:$E$155,"2026-06")/SUMIFS('供应商月度明细'!$J$5:$J$155,'供应商月度明细'!$A$5:$A$155,$A15,'供应商月度明细'!$C$5:$C$155,$C15,'供应商月度明细'!$D$5:$D$155,$E15,'供应商月度明细'!$E$5:$E$155,"2026-06"))</f>
      </c>
      <c r="I15" s="27" t="n">
        <f>IF(COUNT(F15:H15)=0,"",AVERAGE(F15:H15))</f>
        <v>1</v>
      </c>
      <c r="J15" s="27" t="n">
        <f>IF(K15=0,"",L15/K15)</f>
        <v>1</v>
      </c>
      <c r="K15" s="23" t="n">
        <f>SUMIFS('供应商月度明细'!$J$5:$J$155,'供应商月度明细'!$A$5:$A$155,$A15,'供应商月度明细'!$C$5:$C$155,$C15,'供应商月度明细'!$D$5:$D$155,$E15)</f>
        <v>2</v>
      </c>
      <c r="L15" s="23" t="n">
        <f>SUMIFS('供应商月度明细'!$K$5:$K$155,'供应商月度明细'!$A$5:$A$155,$A15,'供应商月度明细'!$C$5:$C$155,$C15,'供应商月度明细'!$D$5:$D$155,$E15)</f>
        <v>2</v>
      </c>
      <c r="M15" s="23" t="n">
        <f>SUMIFS('供应商月度明细'!$M$5:$M$155,'供应商月度明细'!$A$5:$A$155,$A15,'供应商月度明细'!$C$5:$C$155,$C15,'供应商月度明细'!$D$5:$D$155,$E15)</f>
        <v>0</v>
      </c>
    </row>
    <row r="16">
      <c r="A16" s="19" t="str">
        <v>英国区</v>
      </c>
      <c r="B16" s="19" t="str">
        <v>Jobsworth Recruitment Solutions Limited</v>
      </c>
      <c r="C16" s="19" t="str">
        <v>S000274</v>
      </c>
      <c r="D16" s="19" t="str">
        <v>工种明细</v>
      </c>
      <c r="E16" s="19" t="str">
        <v>保洁员</v>
      </c>
      <c r="F16" s="27" t="n">
        <f>IF(SUMIFS('供应商月度明细'!$J$5:$J$155,'供应商月度明细'!$A$5:$A$155,$A16,'供应商月度明细'!$C$5:$C$155,$C16,'供应商月度明细'!$D$5:$D$155,$E16,'供应商月度明细'!$E$5:$E$155,"2026-04")=0,"",SUMIFS('供应商月度明细'!$K$5:$K$155,'供应商月度明细'!$A$5:$A$155,$A16,'供应商月度明细'!$C$5:$C$155,$C16,'供应商月度明细'!$D$5:$D$155,$E16,'供应商月度明细'!$E$5:$E$155,"2026-04")/SUMIFS('供应商月度明细'!$J$5:$J$155,'供应商月度明细'!$A$5:$A$155,$A16,'供应商月度明细'!$C$5:$C$155,$C16,'供应商月度明细'!$D$5:$D$155,$E16,'供应商月度明细'!$E$5:$E$155,"2026-04"))</f>
        <v>0</v>
      </c>
      <c r="G16" s="27" t="str">
        <f>IF(SUMIFS('供应商月度明细'!$J$5:$J$155,'供应商月度明细'!$A$5:$A$155,$A16,'供应商月度明细'!$C$5:$C$155,$C16,'供应商月度明细'!$D$5:$D$155,$E16,'供应商月度明细'!$E$5:$E$155,"2026-05")=0,"",SUMIFS('供应商月度明细'!$K$5:$K$155,'供应商月度明细'!$A$5:$A$155,$A16,'供应商月度明细'!$C$5:$C$155,$C16,'供应商月度明细'!$D$5:$D$155,$E16,'供应商月度明细'!$E$5:$E$155,"2026-05")/SUMIFS('供应商月度明细'!$J$5:$J$155,'供应商月度明细'!$A$5:$A$155,$A16,'供应商月度明细'!$C$5:$C$155,$C16,'供应商月度明细'!$D$5:$D$155,$E16,'供应商月度明细'!$E$5:$E$155,"2026-05"))</f>
      </c>
      <c r="H16" s="27" t="str">
        <f>IF(SUMIFS('供应商月度明细'!$J$5:$J$155,'供应商月度明细'!$A$5:$A$155,$A16,'供应商月度明细'!$C$5:$C$155,$C16,'供应商月度明细'!$D$5:$D$155,$E16,'供应商月度明细'!$E$5:$E$155,"2026-06")=0,"",SUMIFS('供应商月度明细'!$K$5:$K$155,'供应商月度明细'!$A$5:$A$155,$A16,'供应商月度明细'!$C$5:$C$155,$C16,'供应商月度明细'!$D$5:$D$155,$E16,'供应商月度明细'!$E$5:$E$155,"2026-06")/SUMIFS('供应商月度明细'!$J$5:$J$155,'供应商月度明细'!$A$5:$A$155,$A16,'供应商月度明细'!$C$5:$C$155,$C16,'供应商月度明细'!$D$5:$D$155,$E16,'供应商月度明细'!$E$5:$E$155,"2026-06"))</f>
      </c>
      <c r="I16" s="27" t="n">
        <f>IF(COUNT(F16:H16)=0,"",AVERAGE(F16:H16))</f>
        <v>0</v>
      </c>
      <c r="J16" s="27" t="n">
        <f>IF(K16=0,"",L16/K16)</f>
        <v>0</v>
      </c>
      <c r="K16" s="23" t="n">
        <f>SUMIFS('供应商月度明细'!$J$5:$J$155,'供应商月度明细'!$A$5:$A$155,$A16,'供应商月度明细'!$C$5:$C$155,$C16,'供应商月度明细'!$D$5:$D$155,$E16)</f>
        <v>1</v>
      </c>
      <c r="L16" s="23" t="n">
        <f>SUMIFS('供应商月度明细'!$K$5:$K$155,'供应商月度明细'!$A$5:$A$155,$A16,'供应商月度明细'!$C$5:$C$155,$C16,'供应商月度明细'!$D$5:$D$155,$E16)</f>
        <v>0</v>
      </c>
      <c r="M16" s="23" t="n">
        <f>SUMIFS('供应商月度明细'!$M$5:$M$155,'供应商月度明细'!$A$5:$A$155,$A16,'供应商月度明细'!$C$5:$C$155,$C16,'供应商月度明细'!$D$5:$D$155,$E16)</f>
        <v>0</v>
      </c>
    </row>
    <row r="17">
      <c r="A17" s="31" t="str">
        <v>英国区</v>
      </c>
      <c r="B17" s="31" t="str">
        <v>Jobsworth Recruitment Solutions Limited</v>
      </c>
      <c r="C17" s="31" t="str">
        <v>S000274</v>
      </c>
      <c r="D17" s="31" t="str">
        <v>供应商汇总</v>
      </c>
      <c r="E17" s="31" t="str">
        <v>全部工种</v>
      </c>
      <c r="F17" s="32" t="n">
        <f>IF(SUMIFS('供应商月度明细'!$J$5:$J$155,'供应商月度明细'!$A$5:$A$155,$A17,'供应商月度明细'!$C$5:$C$155,$C17,'供应商月度明细'!$E$5:$E$155,"2026-04")=0,"",SUMIFS('供应商月度明细'!$K$5:$K$155,'供应商月度明细'!$A$5:$A$155,$A17,'供应商月度明细'!$C$5:$C$155,$C17,'供应商月度明细'!$E$5:$E$155,"2026-04")/SUMIFS('供应商月度明细'!$J$5:$J$155,'供应商月度明细'!$A$5:$A$155,$A17,'供应商月度明细'!$C$5:$C$155,$C17,'供应商月度明细'!$E$5:$E$155,"2026-04"))</f>
        <v>0.875</v>
      </c>
      <c r="G17" s="32" t="n">
        <f>IF(SUMIFS('供应商月度明细'!$J$5:$J$155,'供应商月度明细'!$A$5:$A$155,$A17,'供应商月度明细'!$C$5:$C$155,$C17,'供应商月度明细'!$E$5:$E$155,"2026-05")=0,"",SUMIFS('供应商月度明细'!$K$5:$K$155,'供应商月度明细'!$A$5:$A$155,$A17,'供应商月度明细'!$C$5:$C$155,$C17,'供应商月度明细'!$E$5:$E$155,"2026-05")/SUMIFS('供应商月度明细'!$J$5:$J$155,'供应商月度明细'!$A$5:$A$155,$A17,'供应商月度明细'!$C$5:$C$155,$C17,'供应商月度明细'!$E$5:$E$155,"2026-05"))</f>
        <v>0.9541547277936963</v>
      </c>
      <c r="H17" s="32" t="n">
        <f>IF(SUMIFS('供应商月度明细'!$J$5:$J$155,'供应商月度明细'!$A$5:$A$155,$A17,'供应商月度明细'!$C$5:$C$155,$C17,'供应商月度明细'!$E$5:$E$155,"2026-06")=0,"",SUMIFS('供应商月度明细'!$K$5:$K$155,'供应商月度明细'!$A$5:$A$155,$A17,'供应商月度明细'!$C$5:$C$155,$C17,'供应商月度明细'!$E$5:$E$155,"2026-06")/SUMIFS('供应商月度明细'!$J$5:$J$155,'供应商月度明细'!$A$5:$A$155,$A17,'供应商月度明细'!$C$5:$C$155,$C17,'供应商月度明细'!$E$5:$E$155,"2026-06"))</f>
        <v>0.9567901234567902</v>
      </c>
      <c r="I17" s="32" t="n">
        <f>IF(COUNT(F17:H17)=0,"",AVERAGE(F17:H17))</f>
        <v>0.9286482837501623</v>
      </c>
      <c r="J17" s="32" t="n">
        <f>IF(K17=0,"",L17/K17)</f>
        <v>0.931321540062435</v>
      </c>
      <c r="K17" s="33" t="n">
        <f>SUMIFS('供应商月度明细'!$J$5:$J$155,'供应商月度明细'!$A$5:$A$155,$A17,'供应商月度明细'!$C$5:$C$155,$C17)</f>
        <v>480.5</v>
      </c>
      <c r="L17" s="33" t="n">
        <f>SUMIFS('供应商月度明细'!$K$5:$K$155,'供应商月度明细'!$A$5:$A$155,$A17,'供应商月度明细'!$C$5:$C$155,$C17)</f>
        <v>447.5</v>
      </c>
      <c r="M17" s="33" t="n">
        <f>SUMIFS('供应商月度明细'!$M$5:$M$155,'供应商月度明细'!$A$5:$A$155,$A17,'供应商月度明细'!$C$5:$C$155,$C17)</f>
        <v>17.5</v>
      </c>
    </row>
    <row r="18">
      <c r="A18" s="19" t="str">
        <v>英国区</v>
      </c>
      <c r="B18" s="19" t="str">
        <v>FT Recruitment</v>
      </c>
      <c r="C18" s="19" t="str">
        <v>S000013</v>
      </c>
      <c r="D18" s="19" t="str">
        <v>工种明细</v>
      </c>
      <c r="E18" s="19" t="str">
        <v>操作员</v>
      </c>
      <c r="F18" s="27" t="n">
        <f>IF(SUMIFS('供应商月度明细'!$J$5:$J$155,'供应商月度明细'!$A$5:$A$155,$A18,'供应商月度明细'!$C$5:$C$155,$C18,'供应商月度明细'!$D$5:$D$155,$E18,'供应商月度明细'!$E$5:$E$155,"2026-04")=0,"",SUMIFS('供应商月度明细'!$K$5:$K$155,'供应商月度明细'!$A$5:$A$155,$A18,'供应商月度明细'!$C$5:$C$155,$C18,'供应商月度明细'!$D$5:$D$155,$E18,'供应商月度明细'!$E$5:$E$155,"2026-04")/SUMIFS('供应商月度明细'!$J$5:$J$155,'供应商月度明细'!$A$5:$A$155,$A18,'供应商月度明细'!$C$5:$C$155,$C18,'供应商月度明细'!$D$5:$D$155,$E18,'供应商月度明细'!$E$5:$E$155,"2026-04"))</f>
        <v>0.9</v>
      </c>
      <c r="G18" s="27" t="n">
        <f>IF(SUMIFS('供应商月度明细'!$J$5:$J$155,'供应商月度明细'!$A$5:$A$155,$A18,'供应商月度明细'!$C$5:$C$155,$C18,'供应商月度明细'!$D$5:$D$155,$E18,'供应商月度明细'!$E$5:$E$155,"2026-05")=0,"",SUMIFS('供应商月度明细'!$K$5:$K$155,'供应商月度明细'!$A$5:$A$155,$A18,'供应商月度明细'!$C$5:$C$155,$C18,'供应商月度明细'!$D$5:$D$155,$E18,'供应商月度明细'!$E$5:$E$155,"2026-05")/SUMIFS('供应商月度明细'!$J$5:$J$155,'供应商月度明细'!$A$5:$A$155,$A18,'供应商月度明细'!$C$5:$C$155,$C18,'供应商月度明细'!$D$5:$D$155,$E18,'供应商月度明细'!$E$5:$E$155,"2026-05"))</f>
        <v>0.7586206896551724</v>
      </c>
      <c r="H18" s="27" t="n">
        <f>IF(SUMIFS('供应商月度明细'!$J$5:$J$155,'供应商月度明细'!$A$5:$A$155,$A18,'供应商月度明细'!$C$5:$C$155,$C18,'供应商月度明细'!$D$5:$D$155,$E18,'供应商月度明细'!$E$5:$E$155,"2026-06")=0,"",SUMIFS('供应商月度明细'!$K$5:$K$155,'供应商月度明细'!$A$5:$A$155,$A18,'供应商月度明细'!$C$5:$C$155,$C18,'供应商月度明细'!$D$5:$D$155,$E18,'供应商月度明细'!$E$5:$E$155,"2026-06")/SUMIFS('供应商月度明细'!$J$5:$J$155,'供应商月度明细'!$A$5:$A$155,$A18,'供应商月度明细'!$C$5:$C$155,$C18,'供应商月度明细'!$D$5:$D$155,$E18,'供应商月度明细'!$E$5:$E$155,"2026-06"))</f>
        <v>0.8282828282828283</v>
      </c>
      <c r="I18" s="27" t="n">
        <f>IF(COUNT(F18:H18)=0,"",AVERAGE(F18:H18))</f>
        <v>0.8289678393126669</v>
      </c>
      <c r="J18" s="27" t="n">
        <f>IF(K18=0,"",L18/K18)</f>
        <v>0.8417653390742734</v>
      </c>
      <c r="K18" s="23" t="n">
        <f>SUMIFS('供应商月度明细'!$J$5:$J$155,'供应商月度明细'!$A$5:$A$155,$A18,'供应商月度明细'!$C$5:$C$155,$C18,'供应商月度明细'!$D$5:$D$155,$E18)</f>
        <v>232.25</v>
      </c>
      <c r="L18" s="23" t="n">
        <f>SUMIFS('供应商月度明细'!$K$5:$K$155,'供应商月度明细'!$A$5:$A$155,$A18,'供应商月度明细'!$C$5:$C$155,$C18,'供应商月度明细'!$D$5:$D$155,$E18)</f>
        <v>195.5</v>
      </c>
      <c r="M18" s="23" t="n">
        <f>SUMIFS('供应商月度明细'!$M$5:$M$155,'供应商月度明细'!$A$5:$A$155,$A18,'供应商月度明细'!$C$5:$C$155,$C18,'供应商月度明细'!$D$5:$D$155,$E18)</f>
        <v>4.75</v>
      </c>
    </row>
    <row r="19">
      <c r="A19" s="19" t="str">
        <v>英国区</v>
      </c>
      <c r="B19" s="19" t="str">
        <v>FT Recruitment</v>
      </c>
      <c r="C19" s="19" t="str">
        <v>S000013</v>
      </c>
      <c r="D19" s="19" t="str">
        <v>工种明细</v>
      </c>
      <c r="E19" s="19" t="str">
        <v>叉车司机</v>
      </c>
      <c r="F19" s="27" t="str">
        <f>IF(SUMIFS('供应商月度明细'!$J$5:$J$155,'供应商月度明细'!$A$5:$A$155,$A19,'供应商月度明细'!$C$5:$C$155,$C19,'供应商月度明细'!$D$5:$D$155,$E19,'供应商月度明细'!$E$5:$E$155,"2026-04")=0,"",SUMIFS('供应商月度明细'!$K$5:$K$155,'供应商月度明细'!$A$5:$A$155,$A19,'供应商月度明细'!$C$5:$C$155,$C19,'供应商月度明细'!$D$5:$D$155,$E19,'供应商月度明细'!$E$5:$E$155,"2026-04")/SUMIFS('供应商月度明细'!$J$5:$J$155,'供应商月度明细'!$A$5:$A$155,$A19,'供应商月度明细'!$C$5:$C$155,$C19,'供应商月度明细'!$D$5:$D$155,$E19,'供应商月度明细'!$E$5:$E$155,"2026-04"))</f>
      </c>
      <c r="G19" s="27" t="str">
        <f>IF(SUMIFS('供应商月度明细'!$J$5:$J$155,'供应商月度明细'!$A$5:$A$155,$A19,'供应商月度明细'!$C$5:$C$155,$C19,'供应商月度明细'!$D$5:$D$155,$E19,'供应商月度明细'!$E$5:$E$155,"2026-05")=0,"",SUMIFS('供应商月度明细'!$K$5:$K$155,'供应商月度明细'!$A$5:$A$155,$A19,'供应商月度明细'!$C$5:$C$155,$C19,'供应商月度明细'!$D$5:$D$155,$E19,'供应商月度明细'!$E$5:$E$155,"2026-05")/SUMIFS('供应商月度明细'!$J$5:$J$155,'供应商月度明细'!$A$5:$A$155,$A19,'供应商月度明细'!$C$5:$C$155,$C19,'供应商月度明细'!$D$5:$D$155,$E19,'供应商月度明细'!$E$5:$E$155,"2026-05"))</f>
      </c>
      <c r="H19" s="27" t="n">
        <f>IF(SUMIFS('供应商月度明细'!$J$5:$J$155,'供应商月度明细'!$A$5:$A$155,$A19,'供应商月度明细'!$C$5:$C$155,$C19,'供应商月度明细'!$D$5:$D$155,$E19,'供应商月度明细'!$E$5:$E$155,"2026-06")=0,"",SUMIFS('供应商月度明细'!$K$5:$K$155,'供应商月度明细'!$A$5:$A$155,$A19,'供应商月度明细'!$C$5:$C$155,$C19,'供应商月度明细'!$D$5:$D$155,$E19,'供应商月度明细'!$E$5:$E$155,"2026-06")/SUMIFS('供应商月度明细'!$J$5:$J$155,'供应商月度明细'!$A$5:$A$155,$A19,'供应商月度明细'!$C$5:$C$155,$C19,'供应商月度明细'!$D$5:$D$155,$E19,'供应商月度明细'!$E$5:$E$155,"2026-06"))</f>
        <v>0</v>
      </c>
      <c r="I19" s="27" t="n">
        <f>IF(COUNT(F19:H19)=0,"",AVERAGE(F19:H19))</f>
        <v>0</v>
      </c>
      <c r="J19" s="27" t="n">
        <f>IF(K19=0,"",L19/K19)</f>
        <v>0</v>
      </c>
      <c r="K19" s="23" t="n">
        <f>SUMIFS('供应商月度明细'!$J$5:$J$155,'供应商月度明细'!$A$5:$A$155,$A19,'供应商月度明细'!$C$5:$C$155,$C19,'供应商月度明细'!$D$5:$D$155,$E19)</f>
        <v>2</v>
      </c>
      <c r="L19" s="23" t="n">
        <f>SUMIFS('供应商月度明细'!$K$5:$K$155,'供应商月度明细'!$A$5:$A$155,$A19,'供应商月度明细'!$C$5:$C$155,$C19,'供应商月度明细'!$D$5:$D$155,$E19)</f>
        <v>0</v>
      </c>
      <c r="M19" s="23" t="n">
        <f>SUMIFS('供应商月度明细'!$M$5:$M$155,'供应商月度明细'!$A$5:$A$155,$A19,'供应商月度明细'!$C$5:$C$155,$C19,'供应商月度明细'!$D$5:$D$155,$E19)</f>
        <v>0</v>
      </c>
    </row>
    <row r="20">
      <c r="A20" s="19" t="str">
        <v>英国区</v>
      </c>
      <c r="B20" s="19" t="str">
        <v>FT Recruitment</v>
      </c>
      <c r="C20" s="19" t="str">
        <v>S000013</v>
      </c>
      <c r="D20" s="19" t="str">
        <v>工种明细</v>
      </c>
      <c r="E20" s="19" t="str">
        <v>交运员 3.5T</v>
      </c>
      <c r="F20" s="27" t="str">
        <f>IF(SUMIFS('供应商月度明细'!$J$5:$J$155,'供应商月度明细'!$A$5:$A$155,$A20,'供应商月度明细'!$C$5:$C$155,$C20,'供应商月度明细'!$D$5:$D$155,$E20,'供应商月度明细'!$E$5:$E$155,"2026-04")=0,"",SUMIFS('供应商月度明细'!$K$5:$K$155,'供应商月度明细'!$A$5:$A$155,$A20,'供应商月度明细'!$C$5:$C$155,$C20,'供应商月度明细'!$D$5:$D$155,$E20,'供应商月度明细'!$E$5:$E$155,"2026-04")/SUMIFS('供应商月度明细'!$J$5:$J$155,'供应商月度明细'!$A$5:$A$155,$A20,'供应商月度明细'!$C$5:$C$155,$C20,'供应商月度明细'!$D$5:$D$155,$E20,'供应商月度明细'!$E$5:$E$155,"2026-04"))</f>
      </c>
      <c r="G20" s="27" t="n">
        <f>IF(SUMIFS('供应商月度明细'!$J$5:$J$155,'供应商月度明细'!$A$5:$A$155,$A20,'供应商月度明细'!$C$5:$C$155,$C20,'供应商月度明细'!$D$5:$D$155,$E20,'供应商月度明细'!$E$5:$E$155,"2026-05")=0,"",SUMIFS('供应商月度明细'!$K$5:$K$155,'供应商月度明细'!$A$5:$A$155,$A20,'供应商月度明细'!$C$5:$C$155,$C20,'供应商月度明细'!$D$5:$D$155,$E20,'供应商月度明细'!$E$5:$E$155,"2026-05")/SUMIFS('供应商月度明细'!$J$5:$J$155,'供应商月度明细'!$A$5:$A$155,$A20,'供应商月度明细'!$C$5:$C$155,$C20,'供应商月度明细'!$D$5:$D$155,$E20,'供应商月度明细'!$E$5:$E$155,"2026-05"))</f>
        <v>1</v>
      </c>
      <c r="H20" s="27" t="str">
        <f>IF(SUMIFS('供应商月度明细'!$J$5:$J$155,'供应商月度明细'!$A$5:$A$155,$A20,'供应商月度明细'!$C$5:$C$155,$C20,'供应商月度明细'!$D$5:$D$155,$E20,'供应商月度明细'!$E$5:$E$155,"2026-06")=0,"",SUMIFS('供应商月度明细'!$K$5:$K$155,'供应商月度明细'!$A$5:$A$155,$A20,'供应商月度明细'!$C$5:$C$155,$C20,'供应商月度明细'!$D$5:$D$155,$E20,'供应商月度明细'!$E$5:$E$155,"2026-06")/SUMIFS('供应商月度明细'!$J$5:$J$155,'供应商月度明细'!$A$5:$A$155,$A20,'供应商月度明细'!$C$5:$C$155,$C20,'供应商月度明细'!$D$5:$D$155,$E20,'供应商月度明细'!$E$5:$E$155,"2026-06"))</f>
      </c>
      <c r="I20" s="27" t="n">
        <f>IF(COUNT(F20:H20)=0,"",AVERAGE(F20:H20))</f>
        <v>1</v>
      </c>
      <c r="J20" s="27" t="n">
        <f>IF(K20=0,"",L20/K20)</f>
        <v>1</v>
      </c>
      <c r="K20" s="23" t="n">
        <f>SUMIFS('供应商月度明细'!$J$5:$J$155,'供应商月度明细'!$A$5:$A$155,$A20,'供应商月度明细'!$C$5:$C$155,$C20,'供应商月度明细'!$D$5:$D$155,$E20)</f>
        <v>2</v>
      </c>
      <c r="L20" s="23" t="n">
        <f>SUMIFS('供应商月度明细'!$K$5:$K$155,'供应商月度明细'!$A$5:$A$155,$A20,'供应商月度明细'!$C$5:$C$155,$C20,'供应商月度明细'!$D$5:$D$155,$E20)</f>
        <v>2</v>
      </c>
      <c r="M20" s="23" t="n">
        <f>SUMIFS('供应商月度明细'!$M$5:$M$155,'供应商月度明细'!$A$5:$A$155,$A20,'供应商月度明细'!$C$5:$C$155,$C20,'供应商月度明细'!$D$5:$D$155,$E20)</f>
        <v>0</v>
      </c>
    </row>
    <row r="21">
      <c r="A21" s="31" t="str">
        <v>英国区</v>
      </c>
      <c r="B21" s="31" t="str">
        <v>FT Recruitment</v>
      </c>
      <c r="C21" s="31" t="str">
        <v>S000013</v>
      </c>
      <c r="D21" s="31" t="str">
        <v>供应商汇总</v>
      </c>
      <c r="E21" s="31" t="str">
        <v>全部工种</v>
      </c>
      <c r="F21" s="32" t="n">
        <f>IF(SUMIFS('供应商月度明细'!$J$5:$J$155,'供应商月度明细'!$A$5:$A$155,$A21,'供应商月度明细'!$C$5:$C$155,$C21,'供应商月度明细'!$E$5:$E$155,"2026-04")=0,"",SUMIFS('供应商月度明细'!$K$5:$K$155,'供应商月度明细'!$A$5:$A$155,$A21,'供应商月度明细'!$C$5:$C$155,$C21,'供应商月度明细'!$E$5:$E$155,"2026-04")/SUMIFS('供应商月度明细'!$J$5:$J$155,'供应商月度明细'!$A$5:$A$155,$A21,'供应商月度明细'!$C$5:$C$155,$C21,'供应商月度明细'!$E$5:$E$155,"2026-04"))</f>
        <v>0.9</v>
      </c>
      <c r="G21" s="32" t="n">
        <f>IF(SUMIFS('供应商月度明细'!$J$5:$J$155,'供应商月度明细'!$A$5:$A$155,$A21,'供应商月度明细'!$C$5:$C$155,$C21,'供应商月度明细'!$E$5:$E$155,"2026-05")=0,"",SUMIFS('供应商月度明细'!$K$5:$K$155,'供应商月度明细'!$A$5:$A$155,$A21,'供应商月度明细'!$C$5:$C$155,$C21,'供应商月度明细'!$E$5:$E$155,"2026-05")/SUMIFS('供应商月度明细'!$J$5:$J$155,'供应商月度明细'!$A$5:$A$155,$A21,'供应商月度明细'!$C$5:$C$155,$C21,'供应商月度明细'!$E$5:$E$155,"2026-05"))</f>
        <v>0.7666666666666667</v>
      </c>
      <c r="H21" s="32" t="n">
        <f>IF(SUMIFS('供应商月度明细'!$J$5:$J$155,'供应商月度明细'!$A$5:$A$155,$A21,'供应商月度明细'!$C$5:$C$155,$C21,'供应商月度明细'!$E$5:$E$155,"2026-06")=0,"",SUMIFS('供应商月度明细'!$K$5:$K$155,'供应商月度明细'!$A$5:$A$155,$A21,'供应商月度明细'!$C$5:$C$155,$C21,'供应商月度明细'!$E$5:$E$155,"2026-06")/SUMIFS('供应商月度明细'!$J$5:$J$155,'供应商月度明细'!$A$5:$A$155,$A21,'供应商月度明细'!$C$5:$C$155,$C21,'供应商月度明细'!$E$5:$E$155,"2026-06"))</f>
        <v>0.8065573770491803</v>
      </c>
      <c r="I21" s="32" t="n">
        <f>IF(COUNT(F21:H21)=0,"",AVERAGE(F21:H21))</f>
        <v>0.824408014571949</v>
      </c>
      <c r="J21" s="32" t="n">
        <f>IF(K21=0,"",L21/K21)</f>
        <v>0.8359788359788359</v>
      </c>
      <c r="K21" s="33" t="n">
        <f>SUMIFS('供应商月度明细'!$J$5:$J$155,'供应商月度明细'!$A$5:$A$155,$A21,'供应商月度明细'!$C$5:$C$155,$C21)</f>
        <v>236.25</v>
      </c>
      <c r="L21" s="33" t="n">
        <f>SUMIFS('供应商月度明细'!$K$5:$K$155,'供应商月度明细'!$A$5:$A$155,$A21,'供应商月度明细'!$C$5:$C$155,$C21)</f>
        <v>197.5</v>
      </c>
      <c r="M21" s="33" t="n">
        <f>SUMIFS('供应商月度明细'!$M$5:$M$155,'供应商月度明细'!$A$5:$A$155,$A21,'供应商月度明细'!$C$5:$C$155,$C21)</f>
        <v>4.75</v>
      </c>
    </row>
    <row r="22">
      <c r="A22" s="19" t="str">
        <v>英国区</v>
      </c>
      <c r="B22" s="19" t="str">
        <v>SD4U</v>
      </c>
      <c r="C22" s="19" t="str">
        <v>S000011</v>
      </c>
      <c r="D22" s="19" t="str">
        <v>工种明细</v>
      </c>
      <c r="E22" s="19" t="str">
        <v>操作员</v>
      </c>
      <c r="F22" s="27" t="n">
        <f>IF(SUMIFS('供应商月度明细'!$J$5:$J$155,'供应商月度明细'!$A$5:$A$155,$A22,'供应商月度明细'!$C$5:$C$155,$C22,'供应商月度明细'!$D$5:$D$155,$E22,'供应商月度明细'!$E$5:$E$155,"2026-04")=0,"",SUMIFS('供应商月度明细'!$K$5:$K$155,'供应商月度明细'!$A$5:$A$155,$A22,'供应商月度明细'!$C$5:$C$155,$C22,'供应商月度明细'!$D$5:$D$155,$E22,'供应商月度明细'!$E$5:$E$155,"2026-04")/SUMIFS('供应商月度明细'!$J$5:$J$155,'供应商月度明细'!$A$5:$A$155,$A22,'供应商月度明细'!$C$5:$C$155,$C22,'供应商月度明细'!$D$5:$D$155,$E22,'供应商月度明细'!$E$5:$E$155,"2026-04"))</f>
        <v>0.9384615384615385</v>
      </c>
      <c r="G22" s="27" t="n">
        <f>IF(SUMIFS('供应商月度明细'!$J$5:$J$155,'供应商月度明细'!$A$5:$A$155,$A22,'供应商月度明细'!$C$5:$C$155,$C22,'供应商月度明细'!$D$5:$D$155,$E22,'供应商月度明细'!$E$5:$E$155,"2026-05")=0,"",SUMIFS('供应商月度明细'!$K$5:$K$155,'供应商月度明细'!$A$5:$A$155,$A22,'供应商月度明细'!$C$5:$C$155,$C22,'供应商月度明细'!$D$5:$D$155,$E22,'供应商月度明细'!$E$5:$E$155,"2026-05")/SUMIFS('供应商月度明细'!$J$5:$J$155,'供应商月度明细'!$A$5:$A$155,$A22,'供应商月度明细'!$C$5:$C$155,$C22,'供应商月度明细'!$D$5:$D$155,$E22,'供应商月度明细'!$E$5:$E$155,"2026-05"))</f>
        <v>0.7435897435897436</v>
      </c>
      <c r="H22" s="27" t="n">
        <f>IF(SUMIFS('供应商月度明细'!$J$5:$J$155,'供应商月度明细'!$A$5:$A$155,$A22,'供应商月度明细'!$C$5:$C$155,$C22,'供应商月度明细'!$D$5:$D$155,$E22,'供应商月度明细'!$E$5:$E$155,"2026-06")=0,"",SUMIFS('供应商月度明细'!$K$5:$K$155,'供应商月度明细'!$A$5:$A$155,$A22,'供应商月度明细'!$C$5:$C$155,$C22,'供应商月度明细'!$D$5:$D$155,$E22,'供应商月度明细'!$E$5:$E$155,"2026-06")/SUMIFS('供应商月度明细'!$J$5:$J$155,'供应商月度明细'!$A$5:$A$155,$A22,'供应商月度明细'!$C$5:$C$155,$C22,'供应商月度明细'!$D$5:$D$155,$E22,'供应商月度明细'!$E$5:$E$155,"2026-06"))</f>
        <v>0.8627450980392157</v>
      </c>
      <c r="I22" s="27" t="n">
        <f>IF(COUNT(F22:H22)=0,"",AVERAGE(F22:H22))</f>
        <v>0.8482654600301659</v>
      </c>
      <c r="J22" s="27" t="n">
        <f>IF(K22=0,"",L22/K22)</f>
        <v>0.841596130592503</v>
      </c>
      <c r="K22" s="23" t="n">
        <f>SUMIFS('供应商月度明细'!$J$5:$J$155,'供应商月度明细'!$A$5:$A$155,$A22,'供应商月度明细'!$C$5:$C$155,$C22,'供应商月度明细'!$D$5:$D$155,$E22)</f>
        <v>206.75</v>
      </c>
      <c r="L22" s="23" t="n">
        <f>SUMIFS('供应商月度明细'!$K$5:$K$155,'供应商月度明细'!$A$5:$A$155,$A22,'供应商月度明细'!$C$5:$C$155,$C22,'供应商月度明细'!$D$5:$D$155,$E22)</f>
        <v>174</v>
      </c>
      <c r="M22" s="23" t="n">
        <f>SUMIFS('供应商月度明细'!$M$5:$M$155,'供应商月度明细'!$A$5:$A$155,$A22,'供应商月度明细'!$C$5:$C$155,$C22,'供应商月度明细'!$D$5:$D$155,$E22)</f>
        <v>12.25</v>
      </c>
    </row>
    <row r="23">
      <c r="A23" s="19" t="str">
        <v>英国区</v>
      </c>
      <c r="B23" s="19" t="str">
        <v>SD4U</v>
      </c>
      <c r="C23" s="19" t="str">
        <v>S000011</v>
      </c>
      <c r="D23" s="19" t="str">
        <v>工种明细</v>
      </c>
      <c r="E23" s="19" t="str">
        <v>保安</v>
      </c>
      <c r="F23" s="27" t="n">
        <f>IF(SUMIFS('供应商月度明细'!$J$5:$J$155,'供应商月度明细'!$A$5:$A$155,$A23,'供应商月度明细'!$C$5:$C$155,$C23,'供应商月度明细'!$D$5:$D$155,$E23,'供应商月度明细'!$E$5:$E$155,"2026-04")=0,"",SUMIFS('供应商月度明细'!$K$5:$K$155,'供应商月度明细'!$A$5:$A$155,$A23,'供应商月度明细'!$C$5:$C$155,$C23,'供应商月度明细'!$D$5:$D$155,$E23,'供应商月度明细'!$E$5:$E$155,"2026-04")/SUMIFS('供应商月度明细'!$J$5:$J$155,'供应商月度明细'!$A$5:$A$155,$A23,'供应商月度明细'!$C$5:$C$155,$C23,'供应商月度明细'!$D$5:$D$155,$E23,'供应商月度明细'!$E$5:$E$155,"2026-04"))</f>
        <v>0</v>
      </c>
      <c r="G23" s="27" t="str">
        <f>IF(SUMIFS('供应商月度明细'!$J$5:$J$155,'供应商月度明细'!$A$5:$A$155,$A23,'供应商月度明细'!$C$5:$C$155,$C23,'供应商月度明细'!$D$5:$D$155,$E23,'供应商月度明细'!$E$5:$E$155,"2026-05")=0,"",SUMIFS('供应商月度明细'!$K$5:$K$155,'供应商月度明细'!$A$5:$A$155,$A23,'供应商月度明细'!$C$5:$C$155,$C23,'供应商月度明细'!$D$5:$D$155,$E23,'供应商月度明细'!$E$5:$E$155,"2026-05")/SUMIFS('供应商月度明细'!$J$5:$J$155,'供应商月度明细'!$A$5:$A$155,$A23,'供应商月度明细'!$C$5:$C$155,$C23,'供应商月度明细'!$D$5:$D$155,$E23,'供应商月度明细'!$E$5:$E$155,"2026-05"))</f>
      </c>
      <c r="H23" s="27" t="str">
        <f>IF(SUMIFS('供应商月度明细'!$J$5:$J$155,'供应商月度明细'!$A$5:$A$155,$A23,'供应商月度明细'!$C$5:$C$155,$C23,'供应商月度明细'!$D$5:$D$155,$E23,'供应商月度明细'!$E$5:$E$155,"2026-06")=0,"",SUMIFS('供应商月度明细'!$K$5:$K$155,'供应商月度明细'!$A$5:$A$155,$A23,'供应商月度明细'!$C$5:$C$155,$C23,'供应商月度明细'!$D$5:$D$155,$E23,'供应商月度明细'!$E$5:$E$155,"2026-06")/SUMIFS('供应商月度明细'!$J$5:$J$155,'供应商月度明细'!$A$5:$A$155,$A23,'供应商月度明细'!$C$5:$C$155,$C23,'供应商月度明细'!$D$5:$D$155,$E23,'供应商月度明细'!$E$5:$E$155,"2026-06"))</f>
      </c>
      <c r="I23" s="27" t="n">
        <f>IF(COUNT(F23:H23)=0,"",AVERAGE(F23:H23))</f>
        <v>0</v>
      </c>
      <c r="J23" s="27" t="n">
        <f>IF(K23=0,"",L23/K23)</f>
        <v>0</v>
      </c>
      <c r="K23" s="23" t="n">
        <f>SUMIFS('供应商月度明细'!$J$5:$J$155,'供应商月度明细'!$A$5:$A$155,$A23,'供应商月度明细'!$C$5:$C$155,$C23,'供应商月度明细'!$D$5:$D$155,$E23)</f>
        <v>0.5</v>
      </c>
      <c r="L23" s="23" t="n">
        <f>SUMIFS('供应商月度明细'!$K$5:$K$155,'供应商月度明细'!$A$5:$A$155,$A23,'供应商月度明细'!$C$5:$C$155,$C23,'供应商月度明细'!$D$5:$D$155,$E23)</f>
        <v>0</v>
      </c>
      <c r="M23" s="23" t="n">
        <f>SUMIFS('供应商月度明细'!$M$5:$M$155,'供应商月度明细'!$A$5:$A$155,$A23,'供应商月度明细'!$C$5:$C$155,$C23,'供应商月度明细'!$D$5:$D$155,$E23)</f>
        <v>0.5</v>
      </c>
    </row>
    <row r="24">
      <c r="A24" s="31" t="str">
        <v>英国区</v>
      </c>
      <c r="B24" s="31" t="str">
        <v>SD4U</v>
      </c>
      <c r="C24" s="31" t="str">
        <v>S000011</v>
      </c>
      <c r="D24" s="31" t="str">
        <v>供应商汇总</v>
      </c>
      <c r="E24" s="31" t="str">
        <v>全部工种</v>
      </c>
      <c r="F24" s="32" t="n">
        <f>IF(SUMIFS('供应商月度明细'!$J$5:$J$155,'供应商月度明细'!$A$5:$A$155,$A24,'供应商月度明细'!$C$5:$C$155,$C24,'供应商月度明细'!$E$5:$E$155,"2026-04")=0,"",SUMIFS('供应商月度明细'!$K$5:$K$155,'供应商月度明细'!$A$5:$A$155,$A24,'供应商月度明细'!$C$5:$C$155,$C24,'供应商月度明细'!$E$5:$E$155,"2026-04")/SUMIFS('供应商月度明细'!$J$5:$J$155,'供应商月度明细'!$A$5:$A$155,$A24,'供应商月度明细'!$C$5:$C$155,$C24,'供应商月度明细'!$E$5:$E$155,"2026-04"))</f>
        <v>0.9312977099236641</v>
      </c>
      <c r="G24" s="32" t="n">
        <f>IF(SUMIFS('供应商月度明细'!$J$5:$J$155,'供应商月度明细'!$A$5:$A$155,$A24,'供应商月度明细'!$C$5:$C$155,$C24,'供应商月度明细'!$E$5:$E$155,"2026-05")=0,"",SUMIFS('供应商月度明细'!$K$5:$K$155,'供应商月度明细'!$A$5:$A$155,$A24,'供应商月度明细'!$C$5:$C$155,$C24,'供应商月度明细'!$E$5:$E$155,"2026-05")/SUMIFS('供应商月度明细'!$J$5:$J$155,'供应商月度明细'!$A$5:$A$155,$A24,'供应商月度明细'!$C$5:$C$155,$C24,'供应商月度明细'!$E$5:$E$155,"2026-05"))</f>
        <v>0.7435897435897436</v>
      </c>
      <c r="H24" s="32" t="n">
        <f>IF(SUMIFS('供应商月度明细'!$J$5:$J$155,'供应商月度明细'!$A$5:$A$155,$A24,'供应商月度明细'!$C$5:$C$155,$C24,'供应商月度明细'!$E$5:$E$155,"2026-06")=0,"",SUMIFS('供应商月度明细'!$K$5:$K$155,'供应商月度明细'!$A$5:$A$155,$A24,'供应商月度明细'!$C$5:$C$155,$C24,'供应商月度明细'!$E$5:$E$155,"2026-06")/SUMIFS('供应商月度明细'!$J$5:$J$155,'供应商月度明细'!$A$5:$A$155,$A24,'供应商月度明细'!$C$5:$C$155,$C24,'供应商月度明细'!$E$5:$E$155,"2026-06"))</f>
        <v>0.8627450980392157</v>
      </c>
      <c r="I24" s="32" t="n">
        <f>IF(COUNT(F24:H24)=0,"",AVERAGE(F24:H24))</f>
        <v>0.8458775171842078</v>
      </c>
      <c r="J24" s="32" t="n">
        <f>IF(K24=0,"",L24/K24)</f>
        <v>0.8395657418576599</v>
      </c>
      <c r="K24" s="33" t="n">
        <f>SUMIFS('供应商月度明细'!$J$5:$J$155,'供应商月度明细'!$A$5:$A$155,$A24,'供应商月度明细'!$C$5:$C$155,$C24)</f>
        <v>207.25</v>
      </c>
      <c r="L24" s="33" t="n">
        <f>SUMIFS('供应商月度明细'!$K$5:$K$155,'供应商月度明细'!$A$5:$A$155,$A24,'供应商月度明细'!$C$5:$C$155,$C24)</f>
        <v>174</v>
      </c>
      <c r="M24" s="33" t="n">
        <f>SUMIFS('供应商月度明细'!$M$5:$M$155,'供应商月度明细'!$A$5:$A$155,$A24,'供应商月度明细'!$C$5:$C$155,$C24)</f>
        <v>12.75</v>
      </c>
    </row>
    <row r="25">
      <c r="A25" s="19" t="str">
        <v>英国区</v>
      </c>
      <c r="B25" s="19" t="str">
        <v>Kenect</v>
      </c>
      <c r="C25" s="19" t="str">
        <v>S000007</v>
      </c>
      <c r="D25" s="19" t="str">
        <v>工种明细</v>
      </c>
      <c r="E25" s="19" t="str">
        <v>操作员</v>
      </c>
      <c r="F25" s="27" t="n">
        <f>IF(SUMIFS('供应商月度明细'!$J$5:$J$155,'供应商月度明细'!$A$5:$A$155,$A25,'供应商月度明细'!$C$5:$C$155,$C25,'供应商月度明细'!$D$5:$D$155,$E25,'供应商月度明细'!$E$5:$E$155,"2026-04")=0,"",SUMIFS('供应商月度明细'!$K$5:$K$155,'供应商月度明细'!$A$5:$A$155,$A25,'供应商月度明细'!$C$5:$C$155,$C25,'供应商月度明细'!$D$5:$D$155,$E25,'供应商月度明细'!$E$5:$E$155,"2026-04")/SUMIFS('供应商月度明细'!$J$5:$J$155,'供应商月度明细'!$A$5:$A$155,$A25,'供应商月度明细'!$C$5:$C$155,$C25,'供应商月度明细'!$D$5:$D$155,$E25,'供应商月度明细'!$E$5:$E$155,"2026-04"))</f>
        <v>0.9</v>
      </c>
      <c r="G25" s="27" t="n">
        <f>IF(SUMIFS('供应商月度明细'!$J$5:$J$155,'供应商月度明细'!$A$5:$A$155,$A25,'供应商月度明细'!$C$5:$C$155,$C25,'供应商月度明细'!$D$5:$D$155,$E25,'供应商月度明细'!$E$5:$E$155,"2026-05")=0,"",SUMIFS('供应商月度明细'!$K$5:$K$155,'供应商月度明细'!$A$5:$A$155,$A25,'供应商月度明细'!$C$5:$C$155,$C25,'供应商月度明细'!$D$5:$D$155,$E25,'供应商月度明细'!$E$5:$E$155,"2026-05")/SUMIFS('供应商月度明细'!$J$5:$J$155,'供应商月度明细'!$A$5:$A$155,$A25,'供应商月度明细'!$C$5:$C$155,$C25,'供应商月度明细'!$D$5:$D$155,$E25,'供应商月度明细'!$E$5:$E$155,"2026-05"))</f>
        <v>0.7714285714285715</v>
      </c>
      <c r="H25" s="27" t="n">
        <f>IF(SUMIFS('供应商月度明细'!$J$5:$J$155,'供应商月度明细'!$A$5:$A$155,$A25,'供应商月度明细'!$C$5:$C$155,$C25,'供应商月度明细'!$D$5:$D$155,$E25,'供应商月度明细'!$E$5:$E$155,"2026-06")=0,"",SUMIFS('供应商月度明细'!$K$5:$K$155,'供应商月度明细'!$A$5:$A$155,$A25,'供应商月度明细'!$C$5:$C$155,$C25,'供应商月度明细'!$D$5:$D$155,$E25,'供应商月度明细'!$E$5:$E$155,"2026-06")/SUMIFS('供应商月度明细'!$J$5:$J$155,'供应商月度明细'!$A$5:$A$155,$A25,'供应商月度明细'!$C$5:$C$155,$C25,'供应商月度明细'!$D$5:$D$155,$E25,'供应商月度明细'!$E$5:$E$155,"2026-06"))</f>
        <v>0.8387096774193549</v>
      </c>
      <c r="I25" s="27" t="n">
        <f>IF(COUNT(F25:H25)=0,"",AVERAGE(F25:H25))</f>
        <v>0.8367127496159754</v>
      </c>
      <c r="J25" s="27" t="n">
        <f>IF(K25=0,"",L25/K25)</f>
        <v>0.8435374149659864</v>
      </c>
      <c r="K25" s="23" t="n">
        <f>SUMIFS('供应商月度明细'!$J$5:$J$155,'供应商月度明细'!$A$5:$A$155,$A25,'供应商月度明细'!$C$5:$C$155,$C25,'供应商月度明细'!$D$5:$D$155,$E25)</f>
        <v>147</v>
      </c>
      <c r="L25" s="23" t="n">
        <f>SUMIFS('供应商月度明细'!$K$5:$K$155,'供应商月度明细'!$A$5:$A$155,$A25,'供应商月度明细'!$C$5:$C$155,$C25,'供应商月度明细'!$D$5:$D$155,$E25)</f>
        <v>124</v>
      </c>
      <c r="M25" s="23" t="n">
        <f>SUMIFS('供应商月度明细'!$M$5:$M$155,'供应商月度明细'!$A$5:$A$155,$A25,'供应商月度明细'!$C$5:$C$155,$C25,'供应商月度明细'!$D$5:$D$155,$E25)</f>
        <v>0</v>
      </c>
    </row>
    <row r="26">
      <c r="A26" s="19" t="str">
        <v>英国区</v>
      </c>
      <c r="B26" s="19" t="str">
        <v>Kenect</v>
      </c>
      <c r="C26" s="19" t="str">
        <v>S000007</v>
      </c>
      <c r="D26" s="19" t="str">
        <v>工种明细</v>
      </c>
      <c r="E26" s="19" t="str">
        <v>叉车司机</v>
      </c>
      <c r="F26" s="27" t="str">
        <f>IF(SUMIFS('供应商月度明细'!$J$5:$J$155,'供应商月度明细'!$A$5:$A$155,$A26,'供应商月度明细'!$C$5:$C$155,$C26,'供应商月度明细'!$D$5:$D$155,$E26,'供应商月度明细'!$E$5:$E$155,"2026-04")=0,"",SUMIFS('供应商月度明细'!$K$5:$K$155,'供应商月度明细'!$A$5:$A$155,$A26,'供应商月度明细'!$C$5:$C$155,$C26,'供应商月度明细'!$D$5:$D$155,$E26,'供应商月度明细'!$E$5:$E$155,"2026-04")/SUMIFS('供应商月度明细'!$J$5:$J$155,'供应商月度明细'!$A$5:$A$155,$A26,'供应商月度明细'!$C$5:$C$155,$C26,'供应商月度明细'!$D$5:$D$155,$E26,'供应商月度明细'!$E$5:$E$155,"2026-04"))</f>
      </c>
      <c r="G26" s="27" t="str">
        <f>IF(SUMIFS('供应商月度明细'!$J$5:$J$155,'供应商月度明细'!$A$5:$A$155,$A26,'供应商月度明细'!$C$5:$C$155,$C26,'供应商月度明细'!$D$5:$D$155,$E26,'供应商月度明细'!$E$5:$E$155,"2026-05")=0,"",SUMIFS('供应商月度明细'!$K$5:$K$155,'供应商月度明细'!$A$5:$A$155,$A26,'供应商月度明细'!$C$5:$C$155,$C26,'供应商月度明细'!$D$5:$D$155,$E26,'供应商月度明细'!$E$5:$E$155,"2026-05")/SUMIFS('供应商月度明细'!$J$5:$J$155,'供应商月度明细'!$A$5:$A$155,$A26,'供应商月度明细'!$C$5:$C$155,$C26,'供应商月度明细'!$D$5:$D$155,$E26,'供应商月度明细'!$E$5:$E$155,"2026-05"))</f>
      </c>
      <c r="H26" s="27" t="n">
        <f>IF(SUMIFS('供应商月度明细'!$J$5:$J$155,'供应商月度明细'!$A$5:$A$155,$A26,'供应商月度明细'!$C$5:$C$155,$C26,'供应商月度明细'!$D$5:$D$155,$E26,'供应商月度明细'!$E$5:$E$155,"2026-06")=0,"",SUMIFS('供应商月度明细'!$K$5:$K$155,'供应商月度明细'!$A$5:$A$155,$A26,'供应商月度明细'!$C$5:$C$155,$C26,'供应商月度明细'!$D$5:$D$155,$E26,'供应商月度明细'!$E$5:$E$155,"2026-06")/SUMIFS('供应商月度明细'!$J$5:$J$155,'供应商月度明细'!$A$5:$A$155,$A26,'供应商月度明细'!$C$5:$C$155,$C26,'供应商月度明细'!$D$5:$D$155,$E26,'供应商月度明细'!$E$5:$E$155,"2026-06"))</f>
        <v>0</v>
      </c>
      <c r="I26" s="27" t="n">
        <f>IF(COUNT(F26:H26)=0,"",AVERAGE(F26:H26))</f>
        <v>0</v>
      </c>
      <c r="J26" s="27" t="n">
        <f>IF(K26=0,"",L26/K26)</f>
        <v>0</v>
      </c>
      <c r="K26" s="23" t="n">
        <f>SUMIFS('供应商月度明细'!$J$5:$J$155,'供应商月度明细'!$A$5:$A$155,$A26,'供应商月度明细'!$C$5:$C$155,$C26,'供应商月度明细'!$D$5:$D$155,$E26)</f>
        <v>2</v>
      </c>
      <c r="L26" s="23" t="n">
        <f>SUMIFS('供应商月度明细'!$K$5:$K$155,'供应商月度明细'!$A$5:$A$155,$A26,'供应商月度明细'!$C$5:$C$155,$C26,'供应商月度明细'!$D$5:$D$155,$E26)</f>
        <v>0</v>
      </c>
      <c r="M26" s="23" t="n">
        <f>SUMIFS('供应商月度明细'!$M$5:$M$155,'供应商月度明细'!$A$5:$A$155,$A26,'供应商月度明细'!$C$5:$C$155,$C26,'供应商月度明细'!$D$5:$D$155,$E26)</f>
        <v>0</v>
      </c>
    </row>
    <row r="27">
      <c r="A27" s="19" t="str">
        <v>英国区</v>
      </c>
      <c r="B27" s="19" t="str">
        <v>Kenect</v>
      </c>
      <c r="C27" s="19" t="str">
        <v>S000007</v>
      </c>
      <c r="D27" s="19" t="str">
        <v>工种明细</v>
      </c>
      <c r="E27" s="19" t="str">
        <v>交运员 3.5T</v>
      </c>
      <c r="F27" s="27" t="str">
        <f>IF(SUMIFS('供应商月度明细'!$J$5:$J$155,'供应商月度明细'!$A$5:$A$155,$A27,'供应商月度明细'!$C$5:$C$155,$C27,'供应商月度明细'!$D$5:$D$155,$E27,'供应商月度明细'!$E$5:$E$155,"2026-04")=0,"",SUMIFS('供应商月度明细'!$K$5:$K$155,'供应商月度明细'!$A$5:$A$155,$A27,'供应商月度明细'!$C$5:$C$155,$C27,'供应商月度明细'!$D$5:$D$155,$E27,'供应商月度明细'!$E$5:$E$155,"2026-04")/SUMIFS('供应商月度明细'!$J$5:$J$155,'供应商月度明细'!$A$5:$A$155,$A27,'供应商月度明细'!$C$5:$C$155,$C27,'供应商月度明细'!$D$5:$D$155,$E27,'供应商月度明细'!$E$5:$E$155,"2026-04"))</f>
      </c>
      <c r="G27" s="27" t="n">
        <f>IF(SUMIFS('供应商月度明细'!$J$5:$J$155,'供应商月度明细'!$A$5:$A$155,$A27,'供应商月度明细'!$C$5:$C$155,$C27,'供应商月度明细'!$D$5:$D$155,$E27,'供应商月度明细'!$E$5:$E$155,"2026-05")=0,"",SUMIFS('供应商月度明细'!$K$5:$K$155,'供应商月度明细'!$A$5:$A$155,$A27,'供应商月度明细'!$C$5:$C$155,$C27,'供应商月度明细'!$D$5:$D$155,$E27,'供应商月度明细'!$E$5:$E$155,"2026-05")/SUMIFS('供应商月度明细'!$J$5:$J$155,'供应商月度明细'!$A$5:$A$155,$A27,'供应商月度明细'!$C$5:$C$155,$C27,'供应商月度明细'!$D$5:$D$155,$E27,'供应商月度明细'!$E$5:$E$155,"2026-05"))</f>
        <v>1</v>
      </c>
      <c r="H27" s="27" t="str">
        <f>IF(SUMIFS('供应商月度明细'!$J$5:$J$155,'供应商月度明细'!$A$5:$A$155,$A27,'供应商月度明细'!$C$5:$C$155,$C27,'供应商月度明细'!$D$5:$D$155,$E27,'供应商月度明细'!$E$5:$E$155,"2026-06")=0,"",SUMIFS('供应商月度明细'!$K$5:$K$155,'供应商月度明细'!$A$5:$A$155,$A27,'供应商月度明细'!$C$5:$C$155,$C27,'供应商月度明细'!$D$5:$D$155,$E27,'供应商月度明细'!$E$5:$E$155,"2026-06")/SUMIFS('供应商月度明细'!$J$5:$J$155,'供应商月度明细'!$A$5:$A$155,$A27,'供应商月度明细'!$C$5:$C$155,$C27,'供应商月度明细'!$D$5:$D$155,$E27,'供应商月度明细'!$E$5:$E$155,"2026-06"))</f>
      </c>
      <c r="I27" s="27" t="n">
        <f>IF(COUNT(F27:H27)=0,"",AVERAGE(F27:H27))</f>
        <v>1</v>
      </c>
      <c r="J27" s="27" t="n">
        <f>IF(K27=0,"",L27/K27)</f>
        <v>1</v>
      </c>
      <c r="K27" s="23" t="n">
        <f>SUMIFS('供应商月度明细'!$J$5:$J$155,'供应商月度明细'!$A$5:$A$155,$A27,'供应商月度明细'!$C$5:$C$155,$C27,'供应商月度明细'!$D$5:$D$155,$E27)</f>
        <v>2</v>
      </c>
      <c r="L27" s="23" t="n">
        <f>SUMIFS('供应商月度明细'!$K$5:$K$155,'供应商月度明细'!$A$5:$A$155,$A27,'供应商月度明细'!$C$5:$C$155,$C27,'供应商月度明细'!$D$5:$D$155,$E27)</f>
        <v>2</v>
      </c>
      <c r="M27" s="23" t="n">
        <f>SUMIFS('供应商月度明细'!$M$5:$M$155,'供应商月度明细'!$A$5:$A$155,$A27,'供应商月度明细'!$C$5:$C$155,$C27,'供应商月度明细'!$D$5:$D$155,$E27)</f>
        <v>0</v>
      </c>
    </row>
    <row r="28">
      <c r="A28" s="31" t="str">
        <v>英国区</v>
      </c>
      <c r="B28" s="31" t="str">
        <v>Kenect</v>
      </c>
      <c r="C28" s="31" t="str">
        <v>S000007</v>
      </c>
      <c r="D28" s="31" t="str">
        <v>供应商汇总</v>
      </c>
      <c r="E28" s="31" t="str">
        <v>全部工种</v>
      </c>
      <c r="F28" s="32" t="n">
        <f>IF(SUMIFS('供应商月度明细'!$J$5:$J$155,'供应商月度明细'!$A$5:$A$155,$A28,'供应商月度明细'!$C$5:$C$155,$C28,'供应商月度明细'!$E$5:$E$155,"2026-04")=0,"",SUMIFS('供应商月度明细'!$K$5:$K$155,'供应商月度明细'!$A$5:$A$155,$A28,'供应商月度明细'!$C$5:$C$155,$C28,'供应商月度明细'!$E$5:$E$155,"2026-04")/SUMIFS('供应商月度明细'!$J$5:$J$155,'供应商月度明细'!$A$5:$A$155,$A28,'供应商月度明细'!$C$5:$C$155,$C28,'供应商月度明细'!$E$5:$E$155,"2026-04"))</f>
        <v>0.9</v>
      </c>
      <c r="G28" s="32" t="n">
        <f>IF(SUMIFS('供应商月度明细'!$J$5:$J$155,'供应商月度明细'!$A$5:$A$155,$A28,'供应商月度明细'!$C$5:$C$155,$C28,'供应商月度明细'!$E$5:$E$155,"2026-05")=0,"",SUMIFS('供应商月度明细'!$K$5:$K$155,'供应商月度明细'!$A$5:$A$155,$A28,'供应商月度明细'!$C$5:$C$155,$C28,'供应商月度明细'!$E$5:$E$155,"2026-05")/SUMIFS('供应商月度明细'!$J$5:$J$155,'供应商月度明细'!$A$5:$A$155,$A28,'供应商月度明细'!$C$5:$C$155,$C28,'供应商月度明细'!$E$5:$E$155,"2026-05"))</f>
        <v>0.7837837837837838</v>
      </c>
      <c r="H28" s="32" t="n">
        <f>IF(SUMIFS('供应商月度明细'!$J$5:$J$155,'供应商月度明细'!$A$5:$A$155,$A28,'供应商月度明细'!$C$5:$C$155,$C28,'供应商月度明细'!$E$5:$E$155,"2026-06")=0,"",SUMIFS('供应商月度明细'!$K$5:$K$155,'供应商月度明细'!$A$5:$A$155,$A28,'供应商月度明细'!$C$5:$C$155,$C28,'供应商月度明细'!$E$5:$E$155,"2026-06")/SUMIFS('供应商月度明细'!$J$5:$J$155,'供应商月度明细'!$A$5:$A$155,$A28,'供应商月度明细'!$C$5:$C$155,$C28,'供应商月度明细'!$E$5:$E$155,"2026-06"))</f>
        <v>0.8125</v>
      </c>
      <c r="I28" s="32" t="n">
        <f>IF(COUNT(F28:H28)=0,"",AVERAGE(F28:H28))</f>
        <v>0.8320945945945946</v>
      </c>
      <c r="J28" s="32" t="n">
        <f>IF(K28=0,"",L28/K28)</f>
        <v>0.8344370860927153</v>
      </c>
      <c r="K28" s="33" t="n">
        <f>SUMIFS('供应商月度明细'!$J$5:$J$155,'供应商月度明细'!$A$5:$A$155,$A28,'供应商月度明细'!$C$5:$C$155,$C28)</f>
        <v>151</v>
      </c>
      <c r="L28" s="33" t="n">
        <f>SUMIFS('供应商月度明细'!$K$5:$K$155,'供应商月度明细'!$A$5:$A$155,$A28,'供应商月度明细'!$C$5:$C$155,$C28)</f>
        <v>126</v>
      </c>
      <c r="M28" s="33" t="n">
        <f>SUMIFS('供应商月度明细'!$M$5:$M$155,'供应商月度明细'!$A$5:$A$155,$A28,'供应商月度明细'!$C$5:$C$155,$C28)</f>
        <v>0</v>
      </c>
    </row>
    <row r="29">
      <c r="A29" s="19" t="str">
        <v>英国区</v>
      </c>
      <c r="B29" s="19" t="str">
        <v>Staffzilla Limited</v>
      </c>
      <c r="C29" s="19" t="str">
        <v>S000289</v>
      </c>
      <c r="D29" s="19" t="str">
        <v>工种明细</v>
      </c>
      <c r="E29" s="19" t="str">
        <v>操作员</v>
      </c>
      <c r="F29" s="27" t="n">
        <f>IF(SUMIFS('供应商月度明细'!$J$5:$J$155,'供应商月度明细'!$A$5:$A$155,$A29,'供应商月度明细'!$C$5:$C$155,$C29,'供应商月度明细'!$D$5:$D$155,$E29,'供应商月度明细'!$E$5:$E$155,"2026-04")=0,"",SUMIFS('供应商月度明细'!$K$5:$K$155,'供应商月度明细'!$A$5:$A$155,$A29,'供应商月度明细'!$C$5:$C$155,$C29,'供应商月度明细'!$D$5:$D$155,$E29,'供应商月度明细'!$E$5:$E$155,"2026-04")/SUMIFS('供应商月度明细'!$J$5:$J$155,'供应商月度明细'!$A$5:$A$155,$A29,'供应商月度明细'!$C$5:$C$155,$C29,'供应商月度明细'!$D$5:$D$155,$E29,'供应商月度明细'!$E$5:$E$155,"2026-04"))</f>
        <v>0.8837209302325582</v>
      </c>
      <c r="G29" s="27" t="n">
        <f>IF(SUMIFS('供应商月度明细'!$J$5:$J$155,'供应商月度明细'!$A$5:$A$155,$A29,'供应商月度明细'!$C$5:$C$155,$C29,'供应商月度明细'!$D$5:$D$155,$E29,'供应商月度明细'!$E$5:$E$155,"2026-05")=0,"",SUMIFS('供应商月度明细'!$K$5:$K$155,'供应商月度明细'!$A$5:$A$155,$A29,'供应商月度明细'!$C$5:$C$155,$C29,'供应商月度明细'!$D$5:$D$155,$E29,'供应商月度明细'!$E$5:$E$155,"2026-05")/SUMIFS('供应商月度明细'!$J$5:$J$155,'供应商月度明细'!$A$5:$A$155,$A29,'供应商月度明细'!$C$5:$C$155,$C29,'供应商月度明细'!$D$5:$D$155,$E29,'供应商月度明细'!$E$5:$E$155,"2026-05"))</f>
        <v>0.7058823529411765</v>
      </c>
      <c r="H29" s="27" t="n">
        <f>IF(SUMIFS('供应商月度明细'!$J$5:$J$155,'供应商月度明细'!$A$5:$A$155,$A29,'供应商月度明细'!$C$5:$C$155,$C29,'供应商月度明细'!$D$5:$D$155,$E29,'供应商月度明细'!$E$5:$E$155,"2026-06")=0,"",SUMIFS('供应商月度明细'!$K$5:$K$155,'供应商月度明细'!$A$5:$A$155,$A29,'供应商月度明细'!$C$5:$C$155,$C29,'供应商月度明细'!$D$5:$D$155,$E29,'供应商月度明细'!$E$5:$E$155,"2026-06")/SUMIFS('供应商月度明细'!$J$5:$J$155,'供应商月度明细'!$A$5:$A$155,$A29,'供应商月度明细'!$C$5:$C$155,$C29,'供应商月度明细'!$D$5:$D$155,$E29,'供应商月度明细'!$E$5:$E$155,"2026-06"))</f>
        <v>0.8888888888888888</v>
      </c>
      <c r="I29" s="27" t="n">
        <f>IF(COUNT(F29:H29)=0,"",AVERAGE(F29:H29))</f>
        <v>0.8261640573542078</v>
      </c>
      <c r="J29" s="27" t="n">
        <f>IF(K29=0,"",L29/K29)</f>
        <v>0.8405797101449275</v>
      </c>
      <c r="K29" s="23" t="n">
        <f>SUMIFS('供应商月度明细'!$J$5:$J$155,'供应商月度明细'!$A$5:$A$155,$A29,'供应商月度明细'!$C$5:$C$155,$C29,'供应商月度明细'!$D$5:$D$155,$E29)</f>
        <v>69</v>
      </c>
      <c r="L29" s="23" t="n">
        <f>SUMIFS('供应商月度明细'!$K$5:$K$155,'供应商月度明细'!$A$5:$A$155,$A29,'供应商月度明细'!$C$5:$C$155,$C29,'供应商月度明细'!$D$5:$D$155,$E29)</f>
        <v>58</v>
      </c>
      <c r="M29" s="23" t="n">
        <f>SUMIFS('供应商月度明细'!$M$5:$M$155,'供应商月度明细'!$A$5:$A$155,$A29,'供应商月度明细'!$C$5:$C$155,$C29,'供应商月度明细'!$D$5:$D$155,$E29)</f>
        <v>0</v>
      </c>
    </row>
    <row r="30">
      <c r="A30" s="31" t="str">
        <v>英国区</v>
      </c>
      <c r="B30" s="31" t="str">
        <v>Staffzilla Limited</v>
      </c>
      <c r="C30" s="31" t="str">
        <v>S000289</v>
      </c>
      <c r="D30" s="31" t="str">
        <v>供应商汇总</v>
      </c>
      <c r="E30" s="31" t="str">
        <v>全部工种</v>
      </c>
      <c r="F30" s="32" t="n">
        <f>IF(SUMIFS('供应商月度明细'!$J$5:$J$155,'供应商月度明细'!$A$5:$A$155,$A30,'供应商月度明细'!$C$5:$C$155,$C30,'供应商月度明细'!$E$5:$E$155,"2026-04")=0,"",SUMIFS('供应商月度明细'!$K$5:$K$155,'供应商月度明细'!$A$5:$A$155,$A30,'供应商月度明细'!$C$5:$C$155,$C30,'供应商月度明细'!$E$5:$E$155,"2026-04")/SUMIFS('供应商月度明细'!$J$5:$J$155,'供应商月度明细'!$A$5:$A$155,$A30,'供应商月度明细'!$C$5:$C$155,$C30,'供应商月度明细'!$E$5:$E$155,"2026-04"))</f>
        <v>0.8837209302325582</v>
      </c>
      <c r="G30" s="32" t="n">
        <f>IF(SUMIFS('供应商月度明细'!$J$5:$J$155,'供应商月度明细'!$A$5:$A$155,$A30,'供应商月度明细'!$C$5:$C$155,$C30,'供应商月度明细'!$E$5:$E$155,"2026-05")=0,"",SUMIFS('供应商月度明细'!$K$5:$K$155,'供应商月度明细'!$A$5:$A$155,$A30,'供应商月度明细'!$C$5:$C$155,$C30,'供应商月度明细'!$E$5:$E$155,"2026-05")/SUMIFS('供应商月度明细'!$J$5:$J$155,'供应商月度明细'!$A$5:$A$155,$A30,'供应商月度明细'!$C$5:$C$155,$C30,'供应商月度明细'!$E$5:$E$155,"2026-05"))</f>
        <v>0.7058823529411765</v>
      </c>
      <c r="H30" s="32" t="n">
        <f>IF(SUMIFS('供应商月度明细'!$J$5:$J$155,'供应商月度明细'!$A$5:$A$155,$A30,'供应商月度明细'!$C$5:$C$155,$C30,'供应商月度明细'!$E$5:$E$155,"2026-06")=0,"",SUMIFS('供应商月度明细'!$K$5:$K$155,'供应商月度明细'!$A$5:$A$155,$A30,'供应商月度明细'!$C$5:$C$155,$C30,'供应商月度明细'!$E$5:$E$155,"2026-06")/SUMIFS('供应商月度明细'!$J$5:$J$155,'供应商月度明细'!$A$5:$A$155,$A30,'供应商月度明细'!$C$5:$C$155,$C30,'供应商月度明细'!$E$5:$E$155,"2026-06"))</f>
        <v>0.8888888888888888</v>
      </c>
      <c r="I30" s="32" t="n">
        <f>IF(COUNT(F30:H30)=0,"",AVERAGE(F30:H30))</f>
        <v>0.8261640573542078</v>
      </c>
      <c r="J30" s="32" t="n">
        <f>IF(K30=0,"",L30/K30)</f>
        <v>0.8405797101449275</v>
      </c>
      <c r="K30" s="33" t="n">
        <f>SUMIFS('供应商月度明细'!$J$5:$J$155,'供应商月度明细'!$A$5:$A$155,$A30,'供应商月度明细'!$C$5:$C$155,$C30)</f>
        <v>69</v>
      </c>
      <c r="L30" s="33" t="n">
        <f>SUMIFS('供应商月度明细'!$K$5:$K$155,'供应商月度明细'!$A$5:$A$155,$A30,'供应商月度明细'!$C$5:$C$155,$C30)</f>
        <v>58</v>
      </c>
      <c r="M30" s="33" t="n">
        <f>SUMIFS('供应商月度明细'!$M$5:$M$155,'供应商月度明细'!$A$5:$A$155,$A30,'供应商月度明细'!$C$5:$C$155,$C30)</f>
        <v>0</v>
      </c>
    </row>
    <row r="31">
      <c r="A31" s="34" t="str">
        <v>英国区</v>
      </c>
      <c r="B31" s="34" t="str">
        <v>全区</v>
      </c>
      <c r="C31" s="34" t="str"/>
      <c r="D31" s="34" t="str">
        <v>区域汇总</v>
      </c>
      <c r="E31" s="34" t="str">
        <v>操作员</v>
      </c>
      <c r="F31" s="35" t="n">
        <f>IF(SUMIFS('供应商月度明细'!$J$5:$J$155,'供应商月度明细'!$A$5:$A$155,$A31,'供应商月度明细'!$D$5:$D$155,$E31,'供应商月度明细'!$E$5:$E$155,"2026-04")=0,"",SUMIFS('供应商月度明细'!$K$5:$K$155,'供应商月度明细'!$A$5:$A$155,$A31,'供应商月度明细'!$D$5:$D$155,$E31,'供应商月度明细'!$E$5:$E$155,"2026-04")/SUMIFS('供应商月度明细'!$J$5:$J$155,'供应商月度明细'!$A$5:$A$155,$A31,'供应商月度明细'!$D$5:$D$155,$E31,'供应商月度明细'!$E$5:$E$155,"2026-04"))</f>
        <v>0.9278688524590164</v>
      </c>
      <c r="G31" s="35" t="n">
        <f>IF(SUMIFS('供应商月度明细'!$J$5:$J$155,'供应商月度明细'!$A$5:$A$155,$A31,'供应商月度明细'!$D$5:$D$155,$E31,'供应商月度明细'!$E$5:$E$155,"2026-05")=0,"",SUMIFS('供应商月度明细'!$K$5:$K$155,'供应商月度明细'!$A$5:$A$155,$A31,'供应商月度明细'!$D$5:$D$155,$E31,'供应商月度明细'!$E$5:$E$155,"2026-05")/SUMIFS('供应商月度明细'!$J$5:$J$155,'供应商月度明细'!$A$5:$A$155,$A31,'供应商月度明细'!$D$5:$D$155,$E31,'供应商月度明细'!$E$5:$E$155,"2026-05"))</f>
        <v>0.8282247765006385</v>
      </c>
      <c r="H31" s="35" t="n">
        <f>IF(SUMIFS('供应商月度明细'!$J$5:$J$155,'供应商月度明细'!$A$5:$A$155,$A31,'供应商月度明细'!$D$5:$D$155,$E31,'供应商月度明细'!$E$5:$E$155,"2026-06")=0,"",SUMIFS('供应商月度明细'!$K$5:$K$155,'供应商月度明细'!$A$5:$A$155,$A31,'供应商月度明细'!$D$5:$D$155,$E31,'供应商月度明细'!$E$5:$E$155,"2026-06")/SUMIFS('供应商月度明细'!$J$5:$J$155,'供应商月度明细'!$A$5:$A$155,$A31,'供应商月度明细'!$D$5:$D$155,$E31,'供应商月度明细'!$E$5:$E$155,"2026-06"))</f>
        <v>0.90030259595477</v>
      </c>
      <c r="I31" s="35" t="n">
        <f>IF(COUNT(F31:H31)=0,"",AVERAGE(F31:H31))</f>
        <v>0.8854654083048082</v>
      </c>
      <c r="J31" s="35" t="n">
        <f>IF(K31=0,"",L31/K31)</f>
        <v>0.8830006238303182</v>
      </c>
      <c r="K31" s="36" t="n">
        <f>SUMIFS('供应商月度明细'!$J$5:$J$155,'供应商月度明细'!$A$5:$A$155,$A31,'供应商月度明细'!$D$5:$D$155,$E31)</f>
        <v>2290</v>
      </c>
      <c r="L31" s="36" t="n">
        <f>SUMIFS('供应商月度明细'!$K$5:$K$155,'供应商月度明细'!$A$5:$A$155,$A31,'供应商月度明细'!$D$5:$D$155,$E31)</f>
        <v>2022.0714285714287</v>
      </c>
      <c r="M31" s="36" t="n">
        <f>SUMIFS('供应商月度明细'!$M$5:$M$155,'供应商月度明细'!$A$5:$A$155,$A31,'供应商月度明细'!$D$5:$D$155,$E31)</f>
        <v>77</v>
      </c>
    </row>
    <row r="32">
      <c r="A32" s="34" t="str">
        <v>英国区</v>
      </c>
      <c r="B32" s="34" t="str">
        <v>全区</v>
      </c>
      <c r="C32" s="34" t="str"/>
      <c r="D32" s="34" t="str">
        <v>区域汇总</v>
      </c>
      <c r="E32" s="34" t="str">
        <v>叉车司机</v>
      </c>
      <c r="F32" s="35" t="str">
        <f>IF(SUMIFS('供应商月度明细'!$J$5:$J$155,'供应商月度明细'!$A$5:$A$155,$A32,'供应商月度明细'!$D$5:$D$155,$E32,'供应商月度明细'!$E$5:$E$155,"2026-04")=0,"",SUMIFS('供应商月度明细'!$K$5:$K$155,'供应商月度明细'!$A$5:$A$155,$A32,'供应商月度明细'!$D$5:$D$155,$E32,'供应商月度明细'!$E$5:$E$155,"2026-04")/SUMIFS('供应商月度明细'!$J$5:$J$155,'供应商月度明细'!$A$5:$A$155,$A32,'供应商月度明细'!$D$5:$D$155,$E32,'供应商月度明细'!$E$5:$E$155,"2026-04"))</f>
      </c>
      <c r="G32" s="35" t="str">
        <f>IF(SUMIFS('供应商月度明细'!$J$5:$J$155,'供应商月度明细'!$A$5:$A$155,$A32,'供应商月度明细'!$D$5:$D$155,$E32,'供应商月度明细'!$E$5:$E$155,"2026-05")=0,"",SUMIFS('供应商月度明细'!$K$5:$K$155,'供应商月度明细'!$A$5:$A$155,$A32,'供应商月度明细'!$D$5:$D$155,$E32,'供应商月度明细'!$E$5:$E$155,"2026-05")/SUMIFS('供应商月度明细'!$J$5:$J$155,'供应商月度明细'!$A$5:$A$155,$A32,'供应商月度明细'!$D$5:$D$155,$E32,'供应商月度明细'!$E$5:$E$155,"2026-05"))</f>
      </c>
      <c r="H32" s="35" t="n">
        <f>IF(SUMIFS('供应商月度明细'!$J$5:$J$155,'供应商月度明细'!$A$5:$A$155,$A32,'供应商月度明细'!$D$5:$D$155,$E32,'供应商月度明细'!$E$5:$E$155,"2026-06")=0,"",SUMIFS('供应商月度明细'!$K$5:$K$155,'供应商月度明细'!$A$5:$A$155,$A32,'供应商月度明细'!$D$5:$D$155,$E32,'供应商月度明细'!$E$5:$E$155,"2026-06")/SUMIFS('供应商月度明细'!$J$5:$J$155,'供应商月度明细'!$A$5:$A$155,$A32,'供应商月度明细'!$D$5:$D$155,$E32,'供应商月度明细'!$E$5:$E$155,"2026-06"))</f>
        <v>0.5</v>
      </c>
      <c r="I32" s="35" t="n">
        <f>IF(COUNT(F32:H32)=0,"",AVERAGE(F32:H32))</f>
        <v>0.5</v>
      </c>
      <c r="J32" s="35" t="n">
        <f>IF(K32=0,"",L32/K32)</f>
        <v>0.5</v>
      </c>
      <c r="K32" s="36" t="n">
        <f>SUMIFS('供应商月度明细'!$J$5:$J$155,'供应商月度明细'!$A$5:$A$155,$A32,'供应商月度明细'!$D$5:$D$155,$E32)</f>
        <v>12</v>
      </c>
      <c r="L32" s="36" t="n">
        <f>SUMIFS('供应商月度明细'!$K$5:$K$155,'供应商月度明细'!$A$5:$A$155,$A32,'供应商月度明细'!$D$5:$D$155,$E32)</f>
        <v>6</v>
      </c>
      <c r="M32" s="36" t="n">
        <f>SUMIFS('供应商月度明细'!$M$5:$M$155,'供应商月度明细'!$A$5:$A$155,$A32,'供应商月度明细'!$D$5:$D$155,$E32)</f>
        <v>0</v>
      </c>
    </row>
    <row r="33">
      <c r="A33" s="34" t="str">
        <v>英国区</v>
      </c>
      <c r="B33" s="34" t="str">
        <v>全区</v>
      </c>
      <c r="C33" s="34" t="str"/>
      <c r="D33" s="34" t="str">
        <v>区域汇总</v>
      </c>
      <c r="E33" s="34" t="str">
        <v>售后处理员</v>
      </c>
      <c r="F33" s="35" t="n">
        <f>IF(SUMIFS('供应商月度明细'!$J$5:$J$155,'供应商月度明细'!$A$5:$A$155,$A33,'供应商月度明细'!$D$5:$D$155,$E33,'供应商月度明细'!$E$5:$E$155,"2026-04")=0,"",SUMIFS('供应商月度明细'!$K$5:$K$155,'供应商月度明细'!$A$5:$A$155,$A33,'供应商月度明细'!$D$5:$D$155,$E33,'供应商月度明细'!$E$5:$E$155,"2026-04")/SUMIFS('供应商月度明细'!$J$5:$J$155,'供应商月度明细'!$A$5:$A$155,$A33,'供应商月度明细'!$D$5:$D$155,$E33,'供应商月度明细'!$E$5:$E$155,"2026-04"))</f>
        <v>1</v>
      </c>
      <c r="G33" s="35" t="n">
        <f>IF(SUMIFS('供应商月度明细'!$J$5:$J$155,'供应商月度明细'!$A$5:$A$155,$A33,'供应商月度明细'!$D$5:$D$155,$E33,'供应商月度明细'!$E$5:$E$155,"2026-05")=0,"",SUMIFS('供应商月度明细'!$K$5:$K$155,'供应商月度明细'!$A$5:$A$155,$A33,'供应商月度明细'!$D$5:$D$155,$E33,'供应商月度明细'!$E$5:$E$155,"2026-05")/SUMIFS('供应商月度明细'!$J$5:$J$155,'供应商月度明细'!$A$5:$A$155,$A33,'供应商月度明细'!$D$5:$D$155,$E33,'供应商月度明细'!$E$5:$E$155,"2026-05"))</f>
        <v>1</v>
      </c>
      <c r="H33" s="35" t="str">
        <f>IF(SUMIFS('供应商月度明细'!$J$5:$J$155,'供应商月度明细'!$A$5:$A$155,$A33,'供应商月度明细'!$D$5:$D$155,$E33,'供应商月度明细'!$E$5:$E$155,"2026-06")=0,"",SUMIFS('供应商月度明细'!$K$5:$K$155,'供应商月度明细'!$A$5:$A$155,$A33,'供应商月度明细'!$D$5:$D$155,$E33,'供应商月度明细'!$E$5:$E$155,"2026-06")/SUMIFS('供应商月度明细'!$J$5:$J$155,'供应商月度明细'!$A$5:$A$155,$A33,'供应商月度明细'!$D$5:$D$155,$E33,'供应商月度明细'!$E$5:$E$155,"2026-06"))</f>
      </c>
      <c r="I33" s="35" t="n">
        <f>IF(COUNT(F33:H33)=0,"",AVERAGE(F33:H33))</f>
        <v>1</v>
      </c>
      <c r="J33" s="35" t="n">
        <f>IF(K33=0,"",L33/K33)</f>
        <v>1</v>
      </c>
      <c r="K33" s="36" t="n">
        <f>SUMIFS('供应商月度明细'!$J$5:$J$155,'供应商月度明细'!$A$5:$A$155,$A33,'供应商月度明细'!$D$5:$D$155,$E33)</f>
        <v>3</v>
      </c>
      <c r="L33" s="36" t="n">
        <f>SUMIFS('供应商月度明细'!$K$5:$K$155,'供应商月度明细'!$A$5:$A$155,$A33,'供应商月度明细'!$D$5:$D$155,$E33)</f>
        <v>3</v>
      </c>
      <c r="M33" s="36" t="n">
        <f>SUMIFS('供应商月度明细'!$M$5:$M$155,'供应商月度明细'!$A$5:$A$155,$A33,'供应商月度明细'!$D$5:$D$155,$E33)</f>
        <v>0</v>
      </c>
    </row>
    <row r="34">
      <c r="A34" s="34" t="str">
        <v>英国区</v>
      </c>
      <c r="B34" s="34" t="str">
        <v>全区</v>
      </c>
      <c r="C34" s="34" t="str"/>
      <c r="D34" s="34" t="str">
        <v>区域汇总</v>
      </c>
      <c r="E34" s="34" t="str">
        <v>保洁员</v>
      </c>
      <c r="F34" s="35" t="n">
        <f>IF(SUMIFS('供应商月度明细'!$J$5:$J$155,'供应商月度明细'!$A$5:$A$155,$A34,'供应商月度明细'!$D$5:$D$155,$E34,'供应商月度明细'!$E$5:$E$155,"2026-04")=0,"",SUMIFS('供应商月度明细'!$K$5:$K$155,'供应商月度明细'!$A$5:$A$155,$A34,'供应商月度明细'!$D$5:$D$155,$E34,'供应商月度明细'!$E$5:$E$155,"2026-04")/SUMIFS('供应商月度明细'!$J$5:$J$155,'供应商月度明细'!$A$5:$A$155,$A34,'供应商月度明细'!$D$5:$D$155,$E34,'供应商月度明细'!$E$5:$E$155,"2026-04"))</f>
        <v>0.5</v>
      </c>
      <c r="G34" s="35" t="str">
        <f>IF(SUMIFS('供应商月度明细'!$J$5:$J$155,'供应商月度明细'!$A$5:$A$155,$A34,'供应商月度明细'!$D$5:$D$155,$E34,'供应商月度明细'!$E$5:$E$155,"2026-05")=0,"",SUMIFS('供应商月度明细'!$K$5:$K$155,'供应商月度明细'!$A$5:$A$155,$A34,'供应商月度明细'!$D$5:$D$155,$E34,'供应商月度明细'!$E$5:$E$155,"2026-05")/SUMIFS('供应商月度明细'!$J$5:$J$155,'供应商月度明细'!$A$5:$A$155,$A34,'供应商月度明细'!$D$5:$D$155,$E34,'供应商月度明细'!$E$5:$E$155,"2026-05"))</f>
      </c>
      <c r="H34" s="35" t="str">
        <f>IF(SUMIFS('供应商月度明细'!$J$5:$J$155,'供应商月度明细'!$A$5:$A$155,$A34,'供应商月度明细'!$D$5:$D$155,$E34,'供应商月度明细'!$E$5:$E$155,"2026-06")=0,"",SUMIFS('供应商月度明细'!$K$5:$K$155,'供应商月度明细'!$A$5:$A$155,$A34,'供应商月度明细'!$D$5:$D$155,$E34,'供应商月度明细'!$E$5:$E$155,"2026-06")/SUMIFS('供应商月度明细'!$J$5:$J$155,'供应商月度明细'!$A$5:$A$155,$A34,'供应商月度明细'!$D$5:$D$155,$E34,'供应商月度明细'!$E$5:$E$155,"2026-06"))</f>
      </c>
      <c r="I34" s="35" t="n">
        <f>IF(COUNT(F34:H34)=0,"",AVERAGE(F34:H34))</f>
        <v>0.5</v>
      </c>
      <c r="J34" s="35" t="n">
        <f>IF(K34=0,"",L34/K34)</f>
        <v>0.5</v>
      </c>
      <c r="K34" s="36" t="n">
        <f>SUMIFS('供应商月度明细'!$J$5:$J$155,'供应商月度明细'!$A$5:$A$155,$A34,'供应商月度明细'!$D$5:$D$155,$E34)</f>
        <v>2</v>
      </c>
      <c r="L34" s="36" t="n">
        <f>SUMIFS('供应商月度明细'!$K$5:$K$155,'供应商月度明细'!$A$5:$A$155,$A34,'供应商月度明细'!$D$5:$D$155,$E34)</f>
        <v>1</v>
      </c>
      <c r="M34" s="36" t="n">
        <f>SUMIFS('供应商月度明细'!$M$5:$M$155,'供应商月度明细'!$A$5:$A$155,$A34,'供应商月度明细'!$D$5:$D$155,$E34)</f>
        <v>0</v>
      </c>
    </row>
    <row r="35">
      <c r="A35" s="34" t="str">
        <v>英国区</v>
      </c>
      <c r="B35" s="34" t="str">
        <v>全区</v>
      </c>
      <c r="C35" s="34" t="str"/>
      <c r="D35" s="34" t="str">
        <v>区域汇总</v>
      </c>
      <c r="E35" s="34" t="str">
        <v>交运员 3.5T</v>
      </c>
      <c r="F35" s="35" t="str">
        <f>IF(SUMIFS('供应商月度明细'!$J$5:$J$155,'供应商月度明细'!$A$5:$A$155,$A35,'供应商月度明细'!$D$5:$D$155,$E35,'供应商月度明细'!$E$5:$E$155,"2026-04")=0,"",SUMIFS('供应商月度明细'!$K$5:$K$155,'供应商月度明细'!$A$5:$A$155,$A35,'供应商月度明细'!$D$5:$D$155,$E35,'供应商月度明细'!$E$5:$E$155,"2026-04")/SUMIFS('供应商月度明细'!$J$5:$J$155,'供应商月度明细'!$A$5:$A$155,$A35,'供应商月度明细'!$D$5:$D$155,$E35,'供应商月度明细'!$E$5:$E$155,"2026-04"))</f>
      </c>
      <c r="G35" s="35" t="n">
        <f>IF(SUMIFS('供应商月度明细'!$J$5:$J$155,'供应商月度明细'!$A$5:$A$155,$A35,'供应商月度明细'!$D$5:$D$155,$E35,'供应商月度明细'!$E$5:$E$155,"2026-05")=0,"",SUMIFS('供应商月度明细'!$K$5:$K$155,'供应商月度明细'!$A$5:$A$155,$A35,'供应商月度明细'!$D$5:$D$155,$E35,'供应商月度明细'!$E$5:$E$155,"2026-05")/SUMIFS('供应商月度明细'!$J$5:$J$155,'供应商月度明细'!$A$5:$A$155,$A35,'供应商月度明细'!$D$5:$D$155,$E35,'供应商月度明细'!$E$5:$E$155,"2026-05"))</f>
        <v>1</v>
      </c>
      <c r="H35" s="35" t="str">
        <f>IF(SUMIFS('供应商月度明细'!$J$5:$J$155,'供应商月度明细'!$A$5:$A$155,$A35,'供应商月度明细'!$D$5:$D$155,$E35,'供应商月度明细'!$E$5:$E$155,"2026-06")=0,"",SUMIFS('供应商月度明细'!$K$5:$K$155,'供应商月度明细'!$A$5:$A$155,$A35,'供应商月度明细'!$D$5:$D$155,$E35,'供应商月度明细'!$E$5:$E$155,"2026-06")/SUMIFS('供应商月度明细'!$J$5:$J$155,'供应商月度明细'!$A$5:$A$155,$A35,'供应商月度明细'!$D$5:$D$155,$E35,'供应商月度明细'!$E$5:$E$155,"2026-06"))</f>
      </c>
      <c r="I35" s="35" t="n">
        <f>IF(COUNT(F35:H35)=0,"",AVERAGE(F35:H35))</f>
        <v>1</v>
      </c>
      <c r="J35" s="35" t="n">
        <f>IF(K35=0,"",L35/K35)</f>
        <v>1</v>
      </c>
      <c r="K35" s="36" t="n">
        <f>SUMIFS('供应商月度明细'!$J$5:$J$155,'供应商月度明细'!$A$5:$A$155,$A35,'供应商月度明细'!$D$5:$D$155,$E35)</f>
        <v>4</v>
      </c>
      <c r="L35" s="36" t="n">
        <f>SUMIFS('供应商月度明细'!$K$5:$K$155,'供应商月度明细'!$A$5:$A$155,$A35,'供应商月度明细'!$D$5:$D$155,$E35)</f>
        <v>4</v>
      </c>
      <c r="M35" s="36" t="n">
        <f>SUMIFS('供应商月度明细'!$M$5:$M$155,'供应商月度明细'!$A$5:$A$155,$A35,'供应商月度明细'!$D$5:$D$155,$E35)</f>
        <v>0</v>
      </c>
    </row>
    <row r="36">
      <c r="A36" s="34" t="str">
        <v>英国区</v>
      </c>
      <c r="B36" s="34" t="str">
        <v>全区</v>
      </c>
      <c r="C36" s="34" t="str"/>
      <c r="D36" s="34" t="str">
        <v>区域汇总</v>
      </c>
      <c r="E36" s="34" t="str">
        <v>保安</v>
      </c>
      <c r="F36" s="35" t="n">
        <f>IF(SUMIFS('供应商月度明细'!$J$5:$J$155,'供应商月度明细'!$A$5:$A$155,$A36,'供应商月度明细'!$D$5:$D$155,$E36,'供应商月度明细'!$E$5:$E$155,"2026-04")=0,"",SUMIFS('供应商月度明细'!$K$5:$K$155,'供应商月度明细'!$A$5:$A$155,$A36,'供应商月度明细'!$D$5:$D$155,$E36,'供应商月度明细'!$E$5:$E$155,"2026-04")/SUMIFS('供应商月度明细'!$J$5:$J$155,'供应商月度明细'!$A$5:$A$155,$A36,'供应商月度明细'!$D$5:$D$155,$E36,'供应商月度明细'!$E$5:$E$155,"2026-04"))</f>
        <v>0.8333333333333334</v>
      </c>
      <c r="G36" s="35" t="n">
        <f>IF(SUMIFS('供应商月度明细'!$J$5:$J$155,'供应商月度明细'!$A$5:$A$155,$A36,'供应商月度明细'!$D$5:$D$155,$E36,'供应商月度明细'!$E$5:$E$155,"2026-05")=0,"",SUMIFS('供应商月度明细'!$K$5:$K$155,'供应商月度明细'!$A$5:$A$155,$A36,'供应商月度明细'!$D$5:$D$155,$E36,'供应商月度明细'!$E$5:$E$155,"2026-05")/SUMIFS('供应商月度明细'!$J$5:$J$155,'供应商月度明细'!$A$5:$A$155,$A36,'供应商月度明细'!$D$5:$D$155,$E36,'供应商月度明细'!$E$5:$E$155,"2026-05"))</f>
        <v>1</v>
      </c>
      <c r="H36" s="35" t="str">
        <f>IF(SUMIFS('供应商月度明细'!$J$5:$J$155,'供应商月度明细'!$A$5:$A$155,$A36,'供应商月度明细'!$D$5:$D$155,$E36,'供应商月度明细'!$E$5:$E$155,"2026-06")=0,"",SUMIFS('供应商月度明细'!$K$5:$K$155,'供应商月度明细'!$A$5:$A$155,$A36,'供应商月度明细'!$D$5:$D$155,$E36,'供应商月度明细'!$E$5:$E$155,"2026-06")/SUMIFS('供应商月度明细'!$J$5:$J$155,'供应商月度明细'!$A$5:$A$155,$A36,'供应商月度明细'!$D$5:$D$155,$E36,'供应商月度明细'!$E$5:$E$155,"2026-06"))</f>
      </c>
      <c r="I36" s="35" t="n">
        <f>IF(COUNT(F36:H36)=0,"",AVERAGE(F36:H36))</f>
        <v>0.9166666666666667</v>
      </c>
      <c r="J36" s="35" t="n">
        <f>IF(K36=0,"",L36/K36)</f>
        <v>0.9166666666666666</v>
      </c>
      <c r="K36" s="36" t="n">
        <f>SUMIFS('供应商月度明细'!$J$5:$J$155,'供应商月度明细'!$A$5:$A$155,$A36,'供应商月度明细'!$D$5:$D$155,$E36)</f>
        <v>6</v>
      </c>
      <c r="L36" s="36" t="n">
        <f>SUMIFS('供应商月度明细'!$K$5:$K$155,'供应商月度明细'!$A$5:$A$155,$A36,'供应商月度明细'!$D$5:$D$155,$E36)</f>
        <v>5.5</v>
      </c>
      <c r="M36" s="36" t="n">
        <f>SUMIFS('供应商月度明细'!$M$5:$M$155,'供应商月度明细'!$A$5:$A$155,$A36,'供应商月度明细'!$D$5:$D$155,$E36)</f>
        <v>1</v>
      </c>
    </row>
    <row r="37">
      <c r="A37" s="37" t="str">
        <v>英国区</v>
      </c>
      <c r="B37" s="37" t="str">
        <v>全区</v>
      </c>
      <c r="C37" s="37" t="str"/>
      <c r="D37" s="37" t="str">
        <v>区域汇总</v>
      </c>
      <c r="E37" s="37" t="str">
        <v>全部工种</v>
      </c>
      <c r="F37" s="38" t="n">
        <f>IF(SUMIFS('供应商月度明细'!$J$5:$J$155,'供应商月度明细'!$A$5:$A$155,$A37,'供应商月度明细'!$E$5:$E$155,"2026-04")=0,"",SUMIFS('供应商月度明细'!$K$5:$K$155,'供应商月度明细'!$A$5:$A$155,$A37,'供应商月度明细'!$E$5:$E$155,"2026-04")/SUMIFS('供应商月度明细'!$J$5:$J$155,'供应商月度明细'!$A$5:$A$155,$A37,'供应商月度明细'!$E$5:$E$155,"2026-04"))</f>
        <v>0.9261363636363636</v>
      </c>
      <c r="G37" s="38" t="n">
        <f>IF(SUMIFS('供应商月度明细'!$J$5:$J$155,'供应商月度明细'!$A$5:$A$155,$A37,'供应商月度明细'!$E$5:$E$155,"2026-05")=0,"",SUMIFS('供应商月度明细'!$K$5:$K$155,'供应商月度明细'!$A$5:$A$155,$A37,'供应商月度明细'!$E$5:$E$155,"2026-05")/SUMIFS('供应商月度明细'!$J$5:$J$155,'供应商月度明细'!$A$5:$A$155,$A37,'供应商月度明细'!$E$5:$E$155,"2026-05"))</f>
        <v>0.8301767676767676</v>
      </c>
      <c r="H37" s="38" t="n">
        <f>IF(SUMIFS('供应商月度明细'!$J$5:$J$155,'供应商月度明细'!$A$5:$A$155,$A37,'供应商月度明细'!$E$5:$E$155,"2026-06")=0,"",SUMIFS('供应商月度明细'!$K$5:$K$155,'供应商月度明细'!$A$5:$A$155,$A37,'供应商月度明细'!$E$5:$E$155,"2026-06")/SUMIFS('供应商月度明细'!$J$5:$J$155,'供应商月度明细'!$A$5:$A$155,$A37,'供应商月度明细'!$E$5:$E$155,"2026-06"))</f>
        <v>0.8950180732358951</v>
      </c>
      <c r="I37" s="38" t="n">
        <f>IF(COUNT(F37:H37)=0,"",AVERAGE(F37:H37))</f>
        <v>0.8837770681830088</v>
      </c>
      <c r="J37" s="38" t="n">
        <f>IF(K37=0,"",L37/K37)</f>
        <v>0.8811270731857698</v>
      </c>
      <c r="K37" s="39" t="n">
        <f>SUMIFS('供应商月度明细'!$J$5:$J$155,'供应商月度明细'!$A$5:$A$155,$A37)</f>
        <v>2317</v>
      </c>
      <c r="L37" s="39" t="n">
        <f>SUMIFS('供应商月度明细'!$K$5:$K$155,'供应商月度明细'!$A$5:$A$155,$A37)</f>
        <v>2041.5714285714287</v>
      </c>
      <c r="M37" s="39" t="n">
        <f>SUMIFS('供应商月度明细'!$M$5:$M$155,'供应商月度明细'!$A$5:$A$155,$A37)</f>
        <v>78</v>
      </c>
    </row>
    <row r="38">
      <c r="A38" s="19" t="str">
        <v>德国区</v>
      </c>
      <c r="B38" s="19" t="str">
        <v>Armz GmbH</v>
      </c>
      <c r="C38" s="19" t="str">
        <v>S000279</v>
      </c>
      <c r="D38" s="19" t="str">
        <v>工种明细</v>
      </c>
      <c r="E38" s="19" t="str">
        <v>操作员</v>
      </c>
      <c r="F38" s="27" t="n">
        <f>IF(SUMIFS('供应商月度明细'!$J$5:$J$155,'供应商月度明细'!$A$5:$A$155,$A38,'供应商月度明细'!$C$5:$C$155,$C38,'供应商月度明细'!$D$5:$D$155,$E38,'供应商月度明细'!$E$5:$E$155,"2026-04")=0,"",SUMIFS('供应商月度明细'!$K$5:$K$155,'供应商月度明细'!$A$5:$A$155,$A38,'供应商月度明细'!$C$5:$C$155,$C38,'供应商月度明细'!$D$5:$D$155,$E38,'供应商月度明细'!$E$5:$E$155,"2026-04")/SUMIFS('供应商月度明细'!$J$5:$J$155,'供应商月度明细'!$A$5:$A$155,$A38,'供应商月度明细'!$C$5:$C$155,$C38,'供应商月度明细'!$D$5:$D$155,$E38,'供应商月度明细'!$E$5:$E$155,"2026-04"))</f>
        <v>0.9414225941422594</v>
      </c>
      <c r="G38" s="27" t="n">
        <f>IF(SUMIFS('供应商月度明细'!$J$5:$J$155,'供应商月度明细'!$A$5:$A$155,$A38,'供应商月度明细'!$C$5:$C$155,$C38,'供应商月度明细'!$D$5:$D$155,$E38,'供应商月度明细'!$E$5:$E$155,"2026-05")=0,"",SUMIFS('供应商月度明细'!$K$5:$K$155,'供应商月度明细'!$A$5:$A$155,$A38,'供应商月度明细'!$C$5:$C$155,$C38,'供应商月度明细'!$D$5:$D$155,$E38,'供应商月度明细'!$E$5:$E$155,"2026-05")/SUMIFS('供应商月度明细'!$J$5:$J$155,'供应商月度明细'!$A$5:$A$155,$A38,'供应商月度明细'!$C$5:$C$155,$C38,'供应商月度明细'!$D$5:$D$155,$E38,'供应商月度明细'!$E$5:$E$155,"2026-05"))</f>
        <v>0.9136831780284452</v>
      </c>
      <c r="H38" s="27" t="n">
        <f>IF(SUMIFS('供应商月度明细'!$J$5:$J$155,'供应商月度明细'!$A$5:$A$155,$A38,'供应商月度明细'!$C$5:$C$155,$C38,'供应商月度明细'!$D$5:$D$155,$E38,'供应商月度明细'!$E$5:$E$155,"2026-06")=0,"",SUMIFS('供应商月度明细'!$K$5:$K$155,'供应商月度明细'!$A$5:$A$155,$A38,'供应商月度明细'!$C$5:$C$155,$C38,'供应商月度明细'!$D$5:$D$155,$E38,'供应商月度明细'!$E$5:$E$155,"2026-06")/SUMIFS('供应商月度明细'!$J$5:$J$155,'供应商月度明细'!$A$5:$A$155,$A38,'供应商月度明细'!$C$5:$C$155,$C38,'供应商月度明细'!$D$5:$D$155,$E38,'供应商月度明细'!$E$5:$E$155,"2026-06"))</f>
        <v>0.7284508762111047</v>
      </c>
      <c r="I38" s="27" t="n">
        <f>IF(COUNT(F38:H38)=0,"",AVERAGE(F38:H38))</f>
        <v>0.8611855494606031</v>
      </c>
      <c r="J38" s="27" t="n">
        <f>IF(K38=0,"",L38/K38)</f>
        <v>0.8176062271090432</v>
      </c>
      <c r="K38" s="23" t="n">
        <f>SUMIFS('供应商月度明细'!$J$5:$J$155,'供应商月度明细'!$A$5:$A$155,$A38,'供应商月度明细'!$C$5:$C$155,$C38,'供应商月度明细'!$D$5:$D$155,$E38)</f>
        <v>258.07189754689756</v>
      </c>
      <c r="L38" s="23" t="n">
        <f>SUMIFS('供应商月度明细'!$K$5:$K$155,'供应商月度明细'!$A$5:$A$155,$A38,'供应商月度明细'!$C$5:$C$155,$C38,'供应商月度明细'!$D$5:$D$155,$E38)</f>
        <v>211.00119047619046</v>
      </c>
      <c r="M38" s="23" t="n">
        <f>SUMIFS('供应商月度明细'!$M$5:$M$155,'供应商月度明细'!$A$5:$A$155,$A38,'供应商月度明细'!$C$5:$C$155,$C38,'供应商月度明细'!$D$5:$D$155,$E38)</f>
        <v>56.928102453102454</v>
      </c>
    </row>
    <row r="39">
      <c r="A39" s="19" t="str">
        <v>德国区</v>
      </c>
      <c r="B39" s="19" t="str">
        <v>Armz GmbH</v>
      </c>
      <c r="C39" s="19" t="str">
        <v>S000279</v>
      </c>
      <c r="D39" s="19" t="str">
        <v>工种明细</v>
      </c>
      <c r="E39" s="19" t="str">
        <v>售后处理员</v>
      </c>
      <c r="F39" s="27" t="str">
        <f>IF(SUMIFS('供应商月度明细'!$J$5:$J$155,'供应商月度明细'!$A$5:$A$155,$A39,'供应商月度明细'!$C$5:$C$155,$C39,'供应商月度明细'!$D$5:$D$155,$E39,'供应商月度明细'!$E$5:$E$155,"2026-04")=0,"",SUMIFS('供应商月度明细'!$K$5:$K$155,'供应商月度明细'!$A$5:$A$155,$A39,'供应商月度明细'!$C$5:$C$155,$C39,'供应商月度明细'!$D$5:$D$155,$E39,'供应商月度明细'!$E$5:$E$155,"2026-04")/SUMIFS('供应商月度明细'!$J$5:$J$155,'供应商月度明细'!$A$5:$A$155,$A39,'供应商月度明细'!$C$5:$C$155,$C39,'供应商月度明细'!$D$5:$D$155,$E39,'供应商月度明细'!$E$5:$E$155,"2026-04"))</f>
      </c>
      <c r="G39" s="27" t="n">
        <f>IF(SUMIFS('供应商月度明细'!$J$5:$J$155,'供应商月度明细'!$A$5:$A$155,$A39,'供应商月度明细'!$C$5:$C$155,$C39,'供应商月度明细'!$D$5:$D$155,$E39,'供应商月度明细'!$E$5:$E$155,"2026-05")=0,"",SUMIFS('供应商月度明细'!$K$5:$K$155,'供应商月度明细'!$A$5:$A$155,$A39,'供应商月度明细'!$C$5:$C$155,$C39,'供应商月度明细'!$D$5:$D$155,$E39,'供应商月度明细'!$E$5:$E$155,"2026-05")/SUMIFS('供应商月度明细'!$J$5:$J$155,'供应商月度明细'!$A$5:$A$155,$A39,'供应商月度明细'!$C$5:$C$155,$C39,'供应商月度明细'!$D$5:$D$155,$E39,'供应商月度明细'!$E$5:$E$155,"2026-05"))</f>
        <v>0.5</v>
      </c>
      <c r="H39" s="27" t="n">
        <f>IF(SUMIFS('供应商月度明细'!$J$5:$J$155,'供应商月度明细'!$A$5:$A$155,$A39,'供应商月度明细'!$C$5:$C$155,$C39,'供应商月度明细'!$D$5:$D$155,$E39,'供应商月度明细'!$E$5:$E$155,"2026-06")=0,"",SUMIFS('供应商月度明细'!$K$5:$K$155,'供应商月度明细'!$A$5:$A$155,$A39,'供应商月度明细'!$C$5:$C$155,$C39,'供应商月度明细'!$D$5:$D$155,$E39,'供应商月度明细'!$E$5:$E$155,"2026-06")/SUMIFS('供应商月度明细'!$J$5:$J$155,'供应商月度明细'!$A$5:$A$155,$A39,'供应商月度明细'!$C$5:$C$155,$C39,'供应商月度明细'!$D$5:$D$155,$E39,'供应商月度明细'!$E$5:$E$155,"2026-06"))</f>
        <v>0.6666666666666666</v>
      </c>
      <c r="I39" s="27" t="n">
        <f>IF(COUNT(F39:H39)=0,"",AVERAGE(F39:H39))</f>
        <v>0.5833333333333333</v>
      </c>
      <c r="J39" s="27" t="n">
        <f>IF(K39=0,"",L39/K39)</f>
        <v>0.5555555555555556</v>
      </c>
      <c r="K39" s="23" t="n">
        <f>SUMIFS('供应商月度明细'!$J$5:$J$155,'供应商月度明细'!$A$5:$A$155,$A39,'供应商月度明细'!$C$5:$C$155,$C39,'供应商月度明细'!$D$5:$D$155,$E39)</f>
        <v>9</v>
      </c>
      <c r="L39" s="23" t="n">
        <f>SUMIFS('供应商月度明细'!$K$5:$K$155,'供应商月度明细'!$A$5:$A$155,$A39,'供应商月度明细'!$C$5:$C$155,$C39,'供应商月度明细'!$D$5:$D$155,$E39)</f>
        <v>5</v>
      </c>
      <c r="M39" s="23" t="n">
        <f>SUMIFS('供应商月度明细'!$M$5:$M$155,'供应商月度明细'!$A$5:$A$155,$A39,'供应商月度明细'!$C$5:$C$155,$C39,'供应商月度明细'!$D$5:$D$155,$E39)</f>
        <v>0</v>
      </c>
    </row>
    <row r="40">
      <c r="A40" s="19" t="str">
        <v>德国区</v>
      </c>
      <c r="B40" s="19" t="str">
        <v>Armz GmbH</v>
      </c>
      <c r="C40" s="19" t="str">
        <v>S000279</v>
      </c>
      <c r="D40" s="19" t="str">
        <v>工种明细</v>
      </c>
      <c r="E40" s="19" t="str">
        <v>保洁员</v>
      </c>
      <c r="F40" s="27" t="str">
        <f>IF(SUMIFS('供应商月度明细'!$J$5:$J$155,'供应商月度明细'!$A$5:$A$155,$A40,'供应商月度明细'!$C$5:$C$155,$C40,'供应商月度明细'!$D$5:$D$155,$E40,'供应商月度明细'!$E$5:$E$155,"2026-04")=0,"",SUMIFS('供应商月度明细'!$K$5:$K$155,'供应商月度明细'!$A$5:$A$155,$A40,'供应商月度明细'!$C$5:$C$155,$C40,'供应商月度明细'!$D$5:$D$155,$E40,'供应商月度明细'!$E$5:$E$155,"2026-04")/SUMIFS('供应商月度明细'!$J$5:$J$155,'供应商月度明细'!$A$5:$A$155,$A40,'供应商月度明细'!$C$5:$C$155,$C40,'供应商月度明细'!$D$5:$D$155,$E40,'供应商月度明细'!$E$5:$E$155,"2026-04"))</f>
      </c>
      <c r="G40" s="27" t="str">
        <f>IF(SUMIFS('供应商月度明细'!$J$5:$J$155,'供应商月度明细'!$A$5:$A$155,$A40,'供应商月度明细'!$C$5:$C$155,$C40,'供应商月度明细'!$D$5:$D$155,$E40,'供应商月度明细'!$E$5:$E$155,"2026-05")=0,"",SUMIFS('供应商月度明细'!$K$5:$K$155,'供应商月度明细'!$A$5:$A$155,$A40,'供应商月度明细'!$C$5:$C$155,$C40,'供应商月度明细'!$D$5:$D$155,$E40,'供应商月度明细'!$E$5:$E$155,"2026-05")/SUMIFS('供应商月度明细'!$J$5:$J$155,'供应商月度明细'!$A$5:$A$155,$A40,'供应商月度明细'!$C$5:$C$155,$C40,'供应商月度明细'!$D$5:$D$155,$E40,'供应商月度明细'!$E$5:$E$155,"2026-05"))</f>
      </c>
      <c r="H40" s="27" t="n">
        <f>IF(SUMIFS('供应商月度明细'!$J$5:$J$155,'供应商月度明细'!$A$5:$A$155,$A40,'供应商月度明细'!$C$5:$C$155,$C40,'供应商月度明细'!$D$5:$D$155,$E40,'供应商月度明细'!$E$5:$E$155,"2026-06")=0,"",SUMIFS('供应商月度明细'!$K$5:$K$155,'供应商月度明细'!$A$5:$A$155,$A40,'供应商月度明细'!$C$5:$C$155,$C40,'供应商月度明细'!$D$5:$D$155,$E40,'供应商月度明细'!$E$5:$E$155,"2026-06")/SUMIFS('供应商月度明细'!$J$5:$J$155,'供应商月度明细'!$A$5:$A$155,$A40,'供应商月度明细'!$C$5:$C$155,$C40,'供应商月度明细'!$D$5:$D$155,$E40,'供应商月度明细'!$E$5:$E$155,"2026-06"))</f>
        <v>1</v>
      </c>
      <c r="I40" s="27" t="n">
        <f>IF(COUNT(F40:H40)=0,"",AVERAGE(F40:H40))</f>
        <v>1</v>
      </c>
      <c r="J40" s="27" t="n">
        <f>IF(K40=0,"",L40/K40)</f>
        <v>1</v>
      </c>
      <c r="K40" s="23" t="n">
        <f>SUMIFS('供应商月度明细'!$J$5:$J$155,'供应商月度明细'!$A$5:$A$155,$A40,'供应商月度明细'!$C$5:$C$155,$C40,'供应商月度明细'!$D$5:$D$155,$E40)</f>
        <v>2</v>
      </c>
      <c r="L40" s="23" t="n">
        <f>SUMIFS('供应商月度明细'!$K$5:$K$155,'供应商月度明细'!$A$5:$A$155,$A40,'供应商月度明细'!$C$5:$C$155,$C40,'供应商月度明细'!$D$5:$D$155,$E40)</f>
        <v>2</v>
      </c>
      <c r="M40" s="23" t="n">
        <f>SUMIFS('供应商月度明细'!$M$5:$M$155,'供应商月度明细'!$A$5:$A$155,$A40,'供应商月度明细'!$C$5:$C$155,$C40,'供应商月度明细'!$D$5:$D$155,$E40)</f>
        <v>0</v>
      </c>
    </row>
    <row r="41">
      <c r="A41" s="31" t="str">
        <v>德国区</v>
      </c>
      <c r="B41" s="31" t="str">
        <v>Armz GmbH</v>
      </c>
      <c r="C41" s="31" t="str">
        <v>S000279</v>
      </c>
      <c r="D41" s="31" t="str">
        <v>供应商汇总</v>
      </c>
      <c r="E41" s="31" t="str">
        <v>全部工种</v>
      </c>
      <c r="F41" s="32" t="n">
        <f>IF(SUMIFS('供应商月度明细'!$J$5:$J$155,'供应商月度明细'!$A$5:$A$155,$A41,'供应商月度明细'!$C$5:$C$155,$C41,'供应商月度明细'!$E$5:$E$155,"2026-04")=0,"",SUMIFS('供应商月度明细'!$K$5:$K$155,'供应商月度明细'!$A$5:$A$155,$A41,'供应商月度明细'!$C$5:$C$155,$C41,'供应商月度明细'!$E$5:$E$155,"2026-04")/SUMIFS('供应商月度明细'!$J$5:$J$155,'供应商月度明细'!$A$5:$A$155,$A41,'供应商月度明细'!$C$5:$C$155,$C41,'供应商月度明细'!$E$5:$E$155,"2026-04"))</f>
        <v>0.9414225941422594</v>
      </c>
      <c r="G41" s="32" t="n">
        <f>IF(SUMIFS('供应商月度明细'!$J$5:$J$155,'供应商月度明细'!$A$5:$A$155,$A41,'供应商月度明细'!$C$5:$C$155,$C41,'供应商月度明细'!$E$5:$E$155,"2026-05")=0,"",SUMIFS('供应商月度明细'!$K$5:$K$155,'供应商月度明细'!$A$5:$A$155,$A41,'供应商月度明细'!$C$5:$C$155,$C41,'供应商月度明细'!$E$5:$E$155,"2026-05")/SUMIFS('供应商月度明细'!$J$5:$J$155,'供应商月度明细'!$A$5:$A$155,$A41,'供应商月度明细'!$C$5:$C$155,$C41,'供应商月度明细'!$E$5:$E$155,"2026-05"))</f>
        <v>0.8863948694457168</v>
      </c>
      <c r="H41" s="32" t="n">
        <f>IF(SUMIFS('供应商月度明细'!$J$5:$J$155,'供应商月度明细'!$A$5:$A$155,$A41,'供应商月度明细'!$C$5:$C$155,$C41,'供应商月度明细'!$E$5:$E$155,"2026-06")=0,"",SUMIFS('供应商月度明细'!$K$5:$K$155,'供应商月度明细'!$A$5:$A$155,$A41,'供应商月度明细'!$C$5:$C$155,$C41,'供应商月度明细'!$E$5:$E$155,"2026-06")/SUMIFS('供应商月度明细'!$J$5:$J$155,'供应商月度明细'!$A$5:$A$155,$A41,'供应商月度明细'!$C$5:$C$155,$C41,'供应商月度明细'!$E$5:$E$155,"2026-06"))</f>
        <v>0.7309357262630586</v>
      </c>
      <c r="I41" s="32" t="n">
        <f>IF(COUNT(F41:H41)=0,"",AVERAGE(F41:H41))</f>
        <v>0.8529177299503449</v>
      </c>
      <c r="J41" s="32" t="n">
        <f>IF(K41=0,"",L41/K41)</f>
        <v>0.8101968004228097</v>
      </c>
      <c r="K41" s="33" t="n">
        <f>SUMIFS('供应商月度明细'!$J$5:$J$155,'供应商月度明细'!$A$5:$A$155,$A41,'供应商月度明细'!$C$5:$C$155,$C41)</f>
        <v>269.07189754689756</v>
      </c>
      <c r="L41" s="33" t="n">
        <f>SUMIFS('供应商月度明细'!$K$5:$K$155,'供应商月度明细'!$A$5:$A$155,$A41,'供应商月度明细'!$C$5:$C$155,$C41)</f>
        <v>218.00119047619046</v>
      </c>
      <c r="M41" s="33" t="n">
        <f>SUMIFS('供应商月度明细'!$M$5:$M$155,'供应商月度明细'!$A$5:$A$155,$A41,'供应商月度明细'!$C$5:$C$155,$C41)</f>
        <v>56.928102453102454</v>
      </c>
    </row>
    <row r="42">
      <c r="A42" s="19" t="str">
        <v>德国区</v>
      </c>
      <c r="B42" s="19" t="str">
        <v>Nivux Estate e.Kfm</v>
      </c>
      <c r="C42" s="19" t="str">
        <v>S000316</v>
      </c>
      <c r="D42" s="19" t="str">
        <v>工种明细</v>
      </c>
      <c r="E42" s="19" t="str">
        <v>操作员</v>
      </c>
      <c r="F42" s="27" t="n">
        <f>IF(SUMIFS('供应商月度明细'!$J$5:$J$155,'供应商月度明细'!$A$5:$A$155,$A42,'供应商月度明细'!$C$5:$C$155,$C42,'供应商月度明细'!$D$5:$D$155,$E42,'供应商月度明细'!$E$5:$E$155,"2026-04")=0,"",SUMIFS('供应商月度明细'!$K$5:$K$155,'供应商月度明细'!$A$5:$A$155,$A42,'供应商月度明细'!$C$5:$C$155,$C42,'供应商月度明细'!$D$5:$D$155,$E42,'供应商月度明细'!$E$5:$E$155,"2026-04")/SUMIFS('供应商月度明细'!$J$5:$J$155,'供应商月度明细'!$A$5:$A$155,$A42,'供应商月度明细'!$C$5:$C$155,$C42,'供应商月度明细'!$D$5:$D$155,$E42,'供应商月度明细'!$E$5:$E$155,"2026-04"))</f>
        <v>0.9679307711885976</v>
      </c>
      <c r="G42" s="27" t="n">
        <f>IF(SUMIFS('供应商月度明细'!$J$5:$J$155,'供应商月度明细'!$A$5:$A$155,$A42,'供应商月度明细'!$C$5:$C$155,$C42,'供应商月度明细'!$D$5:$D$155,$E42,'供应商月度明细'!$E$5:$E$155,"2026-05")=0,"",SUMIFS('供应商月度明细'!$K$5:$K$155,'供应商月度明细'!$A$5:$A$155,$A42,'供应商月度明细'!$C$5:$C$155,$C42,'供应商月度明细'!$D$5:$D$155,$E42,'供应商月度明细'!$E$5:$E$155,"2026-05")/SUMIFS('供应商月度明细'!$J$5:$J$155,'供应商月度明细'!$A$5:$A$155,$A42,'供应商月度明细'!$C$5:$C$155,$C42,'供应商月度明细'!$D$5:$D$155,$E42,'供应商月度明细'!$E$5:$E$155,"2026-05"))</f>
        <v>0.756601056168987</v>
      </c>
      <c r="H42" s="27" t="n">
        <f>IF(SUMIFS('供应商月度明细'!$J$5:$J$155,'供应商月度明细'!$A$5:$A$155,$A42,'供应商月度明细'!$C$5:$C$155,$C42,'供应商月度明细'!$D$5:$D$155,$E42,'供应商月度明细'!$E$5:$E$155,"2026-06")=0,"",SUMIFS('供应商月度明细'!$K$5:$K$155,'供应商月度明细'!$A$5:$A$155,$A42,'供应商月度明细'!$C$5:$C$155,$C42,'供应商月度明细'!$D$5:$D$155,$E42,'供应商月度明细'!$E$5:$E$155,"2026-06")/SUMIFS('供应商月度明细'!$J$5:$J$155,'供应商月度明细'!$A$5:$A$155,$A42,'供应商月度明细'!$C$5:$C$155,$C42,'供应商月度明细'!$D$5:$D$155,$E42,'供应商月度明细'!$E$5:$E$155,"2026-06"))</f>
        <v>0.970677216662788</v>
      </c>
      <c r="I42" s="27" t="n">
        <f>IF(COUNT(F42:H42)=0,"",AVERAGE(F42:H42))</f>
        <v>0.8984030146734575</v>
      </c>
      <c r="J42" s="27" t="n">
        <f>IF(K42=0,"",L42/K42)</f>
        <v>0.9090433975946117</v>
      </c>
      <c r="K42" s="23" t="n">
        <f>SUMIFS('供应商月度明细'!$J$5:$J$155,'供应商月度明细'!$A$5:$A$155,$A42,'供应商月度明细'!$C$5:$C$155,$C42,'供应商月度明细'!$D$5:$D$155,$E42)</f>
        <v>186.9023199023199</v>
      </c>
      <c r="L42" s="23" t="n">
        <f>SUMIFS('供应商月度明细'!$K$5:$K$155,'供应商月度明细'!$A$5:$A$155,$A42,'供应商月度明细'!$C$5:$C$155,$C42,'供应商月度明细'!$D$5:$D$155,$E42)</f>
        <v>169.9023199023199</v>
      </c>
      <c r="M42" s="23" t="n">
        <f>SUMIFS('供应商月度明细'!$M$5:$M$155,'供应商月度明细'!$A$5:$A$155,$A42,'供应商月度明细'!$C$5:$C$155,$C42,'供应商月度明细'!$D$5:$D$155,$E42)</f>
        <v>28.097680097680097</v>
      </c>
    </row>
    <row r="43">
      <c r="A43" s="19" t="str">
        <v>德国区</v>
      </c>
      <c r="B43" s="19" t="str">
        <v>Nivux Estate e.Kfm</v>
      </c>
      <c r="C43" s="19" t="str">
        <v>S000316</v>
      </c>
      <c r="D43" s="19" t="str">
        <v>工种明细</v>
      </c>
      <c r="E43" s="19" t="str">
        <v>售后处理员</v>
      </c>
      <c r="F43" s="27" t="n">
        <f>IF(SUMIFS('供应商月度明细'!$J$5:$J$155,'供应商月度明细'!$A$5:$A$155,$A43,'供应商月度明细'!$C$5:$C$155,$C43,'供应商月度明细'!$D$5:$D$155,$E43,'供应商月度明细'!$E$5:$E$155,"2026-04")=0,"",SUMIFS('供应商月度明细'!$K$5:$K$155,'供应商月度明细'!$A$5:$A$155,$A43,'供应商月度明细'!$C$5:$C$155,$C43,'供应商月度明细'!$D$5:$D$155,$E43,'供应商月度明细'!$E$5:$E$155,"2026-04")/SUMIFS('供应商月度明细'!$J$5:$J$155,'供应商月度明细'!$A$5:$A$155,$A43,'供应商月度明细'!$C$5:$C$155,$C43,'供应商月度明细'!$D$5:$D$155,$E43,'供应商月度明细'!$E$5:$E$155,"2026-04"))</f>
        <v>0.25</v>
      </c>
      <c r="G43" s="27" t="n">
        <f>IF(SUMIFS('供应商月度明细'!$J$5:$J$155,'供应商月度明细'!$A$5:$A$155,$A43,'供应商月度明细'!$C$5:$C$155,$C43,'供应商月度明细'!$D$5:$D$155,$E43,'供应商月度明细'!$E$5:$E$155,"2026-05")=0,"",SUMIFS('供应商月度明细'!$K$5:$K$155,'供应商月度明细'!$A$5:$A$155,$A43,'供应商月度明细'!$C$5:$C$155,$C43,'供应商月度明细'!$D$5:$D$155,$E43,'供应商月度明细'!$E$5:$E$155,"2026-05")/SUMIFS('供应商月度明细'!$J$5:$J$155,'供应商月度明细'!$A$5:$A$155,$A43,'供应商月度明细'!$C$5:$C$155,$C43,'供应商月度明细'!$D$5:$D$155,$E43,'供应商月度明细'!$E$5:$E$155,"2026-05"))</f>
        <v>0.6</v>
      </c>
      <c r="H43" s="27" t="str">
        <f>IF(SUMIFS('供应商月度明细'!$J$5:$J$155,'供应商月度明细'!$A$5:$A$155,$A43,'供应商月度明细'!$C$5:$C$155,$C43,'供应商月度明细'!$D$5:$D$155,$E43,'供应商月度明细'!$E$5:$E$155,"2026-06")=0,"",SUMIFS('供应商月度明细'!$K$5:$K$155,'供应商月度明细'!$A$5:$A$155,$A43,'供应商月度明细'!$C$5:$C$155,$C43,'供应商月度明细'!$D$5:$D$155,$E43,'供应商月度明细'!$E$5:$E$155,"2026-06")/SUMIFS('供应商月度明细'!$J$5:$J$155,'供应商月度明细'!$A$5:$A$155,$A43,'供应商月度明细'!$C$5:$C$155,$C43,'供应商月度明细'!$D$5:$D$155,$E43,'供应商月度明细'!$E$5:$E$155,"2026-06"))</f>
      </c>
      <c r="I43" s="27" t="n">
        <f>IF(COUNT(F43:H43)=0,"",AVERAGE(F43:H43))</f>
        <v>0.425</v>
      </c>
      <c r="J43" s="27" t="n">
        <f>IF(K43=0,"",L43/K43)</f>
        <v>0.4444444444444444</v>
      </c>
      <c r="K43" s="23" t="n">
        <f>SUMIFS('供应商月度明细'!$J$5:$J$155,'供应商月度明细'!$A$5:$A$155,$A43,'供应商月度明细'!$C$5:$C$155,$C43,'供应商月度明细'!$D$5:$D$155,$E43)</f>
        <v>9</v>
      </c>
      <c r="L43" s="23" t="n">
        <f>SUMIFS('供应商月度明细'!$K$5:$K$155,'供应商月度明细'!$A$5:$A$155,$A43,'供应商月度明细'!$C$5:$C$155,$C43,'供应商月度明细'!$D$5:$D$155,$E43)</f>
        <v>4</v>
      </c>
      <c r="M43" s="23" t="n">
        <f>SUMIFS('供应商月度明细'!$M$5:$M$155,'供应商月度明细'!$A$5:$A$155,$A43,'供应商月度明细'!$C$5:$C$155,$C43,'供应商月度明细'!$D$5:$D$155,$E43)</f>
        <v>4</v>
      </c>
    </row>
    <row r="44">
      <c r="A44" s="19" t="str">
        <v>德国区</v>
      </c>
      <c r="B44" s="19" t="str">
        <v>Nivux Estate e.Kfm</v>
      </c>
      <c r="C44" s="19" t="str">
        <v>S000316</v>
      </c>
      <c r="D44" s="19" t="str">
        <v>工种明细</v>
      </c>
      <c r="E44" s="19" t="str">
        <v>保洁员</v>
      </c>
      <c r="F44" s="27" t="str">
        <f>IF(SUMIFS('供应商月度明细'!$J$5:$J$155,'供应商月度明细'!$A$5:$A$155,$A44,'供应商月度明细'!$C$5:$C$155,$C44,'供应商月度明细'!$D$5:$D$155,$E44,'供应商月度明细'!$E$5:$E$155,"2026-04")=0,"",SUMIFS('供应商月度明细'!$K$5:$K$155,'供应商月度明细'!$A$5:$A$155,$A44,'供应商月度明细'!$C$5:$C$155,$C44,'供应商月度明细'!$D$5:$D$155,$E44,'供应商月度明细'!$E$5:$E$155,"2026-04")/SUMIFS('供应商月度明细'!$J$5:$J$155,'供应商月度明细'!$A$5:$A$155,$A44,'供应商月度明细'!$C$5:$C$155,$C44,'供应商月度明细'!$D$5:$D$155,$E44,'供应商月度明细'!$E$5:$E$155,"2026-04"))</f>
      </c>
      <c r="G44" s="27" t="str">
        <f>IF(SUMIFS('供应商月度明细'!$J$5:$J$155,'供应商月度明细'!$A$5:$A$155,$A44,'供应商月度明细'!$C$5:$C$155,$C44,'供应商月度明细'!$D$5:$D$155,$E44,'供应商月度明细'!$E$5:$E$155,"2026-05")=0,"",SUMIFS('供应商月度明细'!$K$5:$K$155,'供应商月度明细'!$A$5:$A$155,$A44,'供应商月度明细'!$C$5:$C$155,$C44,'供应商月度明细'!$D$5:$D$155,$E44,'供应商月度明细'!$E$5:$E$155,"2026-05")/SUMIFS('供应商月度明细'!$J$5:$J$155,'供应商月度明细'!$A$5:$A$155,$A44,'供应商月度明细'!$C$5:$C$155,$C44,'供应商月度明细'!$D$5:$D$155,$E44,'供应商月度明细'!$E$5:$E$155,"2026-05"))</f>
      </c>
      <c r="H44" s="27" t="n">
        <f>IF(SUMIFS('供应商月度明细'!$J$5:$J$155,'供应商月度明细'!$A$5:$A$155,$A44,'供应商月度明细'!$C$5:$C$155,$C44,'供应商月度明细'!$D$5:$D$155,$E44,'供应商月度明细'!$E$5:$E$155,"2026-06")=0,"",SUMIFS('供应商月度明细'!$K$5:$K$155,'供应商月度明细'!$A$5:$A$155,$A44,'供应商月度明细'!$C$5:$C$155,$C44,'供应商月度明细'!$D$5:$D$155,$E44,'供应商月度明细'!$E$5:$E$155,"2026-06")/SUMIFS('供应商月度明细'!$J$5:$J$155,'供应商月度明细'!$A$5:$A$155,$A44,'供应商月度明细'!$C$5:$C$155,$C44,'供应商月度明细'!$D$5:$D$155,$E44,'供应商月度明细'!$E$5:$E$155,"2026-06"))</f>
        <v>0</v>
      </c>
      <c r="I44" s="27" t="n">
        <f>IF(COUNT(F44:H44)=0,"",AVERAGE(F44:H44))</f>
        <v>0</v>
      </c>
      <c r="J44" s="27" t="n">
        <f>IF(K44=0,"",L44/K44)</f>
        <v>0</v>
      </c>
      <c r="K44" s="23" t="n">
        <f>SUMIFS('供应商月度明细'!$J$5:$J$155,'供应商月度明细'!$A$5:$A$155,$A44,'供应商月度明细'!$C$5:$C$155,$C44,'供应商月度明细'!$D$5:$D$155,$E44)</f>
        <v>1</v>
      </c>
      <c r="L44" s="23" t="n">
        <f>SUMIFS('供应商月度明细'!$K$5:$K$155,'供应商月度明细'!$A$5:$A$155,$A44,'供应商月度明细'!$C$5:$C$155,$C44,'供应商月度明细'!$D$5:$D$155,$E44)</f>
        <v>0</v>
      </c>
      <c r="M44" s="23" t="n">
        <f>SUMIFS('供应商月度明细'!$M$5:$M$155,'供应商月度明细'!$A$5:$A$155,$A44,'供应商月度明细'!$C$5:$C$155,$C44,'供应商月度明细'!$D$5:$D$155,$E44)</f>
        <v>0</v>
      </c>
    </row>
    <row r="45">
      <c r="A45" s="31" t="str">
        <v>德国区</v>
      </c>
      <c r="B45" s="31" t="str">
        <v>Nivux Estate e.Kfm</v>
      </c>
      <c r="C45" s="31" t="str">
        <v>S000316</v>
      </c>
      <c r="D45" s="31" t="str">
        <v>供应商汇总</v>
      </c>
      <c r="E45" s="31" t="str">
        <v>全部工种</v>
      </c>
      <c r="F45" s="32" t="n">
        <f>IF(SUMIFS('供应商月度明细'!$J$5:$J$155,'供应商月度明细'!$A$5:$A$155,$A45,'供应商月度明细'!$C$5:$C$155,$C45,'供应商月度明细'!$E$5:$E$155,"2026-04")=0,"",SUMIFS('供应商月度明细'!$K$5:$K$155,'供应商月度明细'!$A$5:$A$155,$A45,'供应商月度明细'!$C$5:$C$155,$C45,'供应商月度明细'!$E$5:$E$155,"2026-04")/SUMIFS('供应商月度明细'!$J$5:$J$155,'供应商月度明细'!$A$5:$A$155,$A45,'供应商月度明细'!$C$5:$C$155,$C45,'供应商月度明细'!$E$5:$E$155,"2026-04"))</f>
        <v>0.8863072411459508</v>
      </c>
      <c r="G45" s="32" t="n">
        <f>IF(SUMIFS('供应商月度明细'!$J$5:$J$155,'供应商月度明细'!$A$5:$A$155,$A45,'供应商月度明细'!$C$5:$C$155,$C45,'供应商月度明细'!$E$5:$E$155,"2026-05")=0,"",SUMIFS('供应商月度明细'!$K$5:$K$155,'供应商月度明细'!$A$5:$A$155,$A45,'供应商月度明细'!$C$5:$C$155,$C45,'供应商月度明细'!$E$5:$E$155,"2026-05")/SUMIFS('供应商月度明细'!$J$5:$J$155,'供应商月度明细'!$A$5:$A$155,$A45,'供应商月度明细'!$C$5:$C$155,$C45,'供应商月度明细'!$E$5:$E$155,"2026-05"))</f>
        <v>0.7431957857769974</v>
      </c>
      <c r="H45" s="32" t="n">
        <f>IF(SUMIFS('供应商月度明细'!$J$5:$J$155,'供应商月度明细'!$A$5:$A$155,$A45,'供应商月度明细'!$C$5:$C$155,$C45,'供应商月度明细'!$E$5:$E$155,"2026-06")=0,"",SUMIFS('供应商月度明细'!$K$5:$K$155,'供应商月度明细'!$A$5:$A$155,$A45,'供应商月度明细'!$C$5:$C$155,$C45,'供应商月度明细'!$E$5:$E$155,"2026-06")/SUMIFS('供应商月度明细'!$J$5:$J$155,'供应商月度明细'!$A$5:$A$155,$A45,'供应商月度明细'!$C$5:$C$155,$C45,'供应商月度明细'!$E$5:$E$155,"2026-06"))</f>
        <v>0.9612814012445264</v>
      </c>
      <c r="I45" s="32" t="n">
        <f>IF(COUNT(F45:H45)=0,"",AVERAGE(F45:H45))</f>
        <v>0.8635948093891582</v>
      </c>
      <c r="J45" s="32" t="n">
        <f>IF(K45=0,"",L45/K45)</f>
        <v>0.8831908125236415</v>
      </c>
      <c r="K45" s="33" t="n">
        <f>SUMIFS('供应商月度明细'!$J$5:$J$155,'供应商月度明细'!$A$5:$A$155,$A45,'供应商月度明细'!$C$5:$C$155,$C45)</f>
        <v>196.9023199023199</v>
      </c>
      <c r="L45" s="33" t="n">
        <f>SUMIFS('供应商月度明细'!$K$5:$K$155,'供应商月度明细'!$A$5:$A$155,$A45,'供应商月度明细'!$C$5:$C$155,$C45)</f>
        <v>173.9023199023199</v>
      </c>
      <c r="M45" s="33" t="n">
        <f>SUMIFS('供应商月度明细'!$M$5:$M$155,'供应商月度明细'!$A$5:$A$155,$A45,'供应商月度明细'!$C$5:$C$155,$C45)</f>
        <v>32.0976800976801</v>
      </c>
    </row>
    <row r="46">
      <c r="A46" s="19" t="str">
        <v>德国区</v>
      </c>
      <c r="B46" s="19" t="str">
        <v>Gohar GmbH</v>
      </c>
      <c r="C46" s="19" t="str">
        <v>S000327</v>
      </c>
      <c r="D46" s="19" t="str">
        <v>工种明细</v>
      </c>
      <c r="E46" s="19" t="str">
        <v>操作员</v>
      </c>
      <c r="F46" s="27" t="n">
        <f>IF(SUMIFS('供应商月度明细'!$J$5:$J$155,'供应商月度明细'!$A$5:$A$155,$A46,'供应商月度明细'!$C$5:$C$155,$C46,'供应商月度明细'!$D$5:$D$155,$E46,'供应商月度明细'!$E$5:$E$155,"2026-04")=0,"",SUMIFS('供应商月度明细'!$K$5:$K$155,'供应商月度明细'!$A$5:$A$155,$A46,'供应商月度明细'!$C$5:$C$155,$C46,'供应商月度明细'!$D$5:$D$155,$E46,'供应商月度明细'!$E$5:$E$155,"2026-04")/SUMIFS('供应商月度明细'!$J$5:$J$155,'供应商月度明细'!$A$5:$A$155,$A46,'供应商月度明细'!$C$5:$C$155,$C46,'供应商月度明细'!$D$5:$D$155,$E46,'供应商月度明细'!$E$5:$E$155,"2026-04"))</f>
        <v>0.8587971610011207</v>
      </c>
      <c r="G46" s="27" t="n">
        <f>IF(SUMIFS('供应商月度明细'!$J$5:$J$155,'供应商月度明细'!$A$5:$A$155,$A46,'供应商月度明细'!$C$5:$C$155,$C46,'供应商月度明细'!$D$5:$D$155,$E46,'供应商月度明细'!$E$5:$E$155,"2026-05")=0,"",SUMIFS('供应商月度明细'!$K$5:$K$155,'供应商月度明细'!$A$5:$A$155,$A46,'供应商月度明细'!$C$5:$C$155,$C46,'供应商月度明细'!$D$5:$D$155,$E46,'供应商月度明细'!$E$5:$E$155,"2026-05")/SUMIFS('供应商月度明细'!$J$5:$J$155,'供应商月度明细'!$A$5:$A$155,$A46,'供应商月度明细'!$C$5:$C$155,$C46,'供应商月度明细'!$D$5:$D$155,$E46,'供应商月度明细'!$E$5:$E$155,"2026-05"))</f>
        <v>0.9758162031438936</v>
      </c>
      <c r="H46" s="27" t="n">
        <f>IF(SUMIFS('供应商月度明细'!$J$5:$J$155,'供应商月度明细'!$A$5:$A$155,$A46,'供应商月度明细'!$C$5:$C$155,$C46,'供应商月度明细'!$D$5:$D$155,$E46,'供应商月度明细'!$E$5:$E$155,"2026-06")=0,"",SUMIFS('供应商月度明细'!$K$5:$K$155,'供应商月度明细'!$A$5:$A$155,$A46,'供应商月度明细'!$C$5:$C$155,$C46,'供应商月度明细'!$D$5:$D$155,$E46,'供应商月度明细'!$E$5:$E$155,"2026-06")/SUMIFS('供应商月度明细'!$J$5:$J$155,'供应商月度明细'!$A$5:$A$155,$A46,'供应商月度明细'!$C$5:$C$155,$C46,'供应商月度明细'!$D$5:$D$155,$E46,'供应商月度明细'!$E$5:$E$155,"2026-06"))</f>
        <v>1</v>
      </c>
      <c r="I46" s="27" t="n">
        <f>IF(COUNT(F46:H46)=0,"",AVERAGE(F46:H46))</f>
        <v>0.9448711213816714</v>
      </c>
      <c r="J46" s="27" t="n">
        <f>IF(K46=0,"",L46/K46)</f>
        <v>0.9648264772879539</v>
      </c>
      <c r="K46" s="23" t="n">
        <f>SUMIFS('供应商月度明细'!$J$5:$J$155,'供应商月度明细'!$A$5:$A$155,$A46,'供应商月度明细'!$C$5:$C$155,$C46,'供应商月度明细'!$D$5:$D$155,$E46)</f>
        <v>142.15238095238095</v>
      </c>
      <c r="L46" s="23" t="n">
        <f>SUMIFS('供应商月度明细'!$K$5:$K$155,'供应商月度明细'!$A$5:$A$155,$A46,'供应商月度明细'!$C$5:$C$155,$C46,'供应商月度明细'!$D$5:$D$155,$E46)</f>
        <v>137.15238095238095</v>
      </c>
      <c r="M46" s="23" t="n">
        <f>SUMIFS('供应商月度明细'!$M$5:$M$155,'供应商月度明细'!$A$5:$A$155,$A46,'供应商月度明细'!$C$5:$C$155,$C46,'供应商月度明细'!$D$5:$D$155,$E46)</f>
        <v>41.84761904761905</v>
      </c>
    </row>
    <row r="47">
      <c r="A47" s="19" t="str">
        <v>德国区</v>
      </c>
      <c r="B47" s="19" t="str">
        <v>Gohar GmbH</v>
      </c>
      <c r="C47" s="19" t="str">
        <v>S000327</v>
      </c>
      <c r="D47" s="19" t="str">
        <v>工种明细</v>
      </c>
      <c r="E47" s="19" t="str">
        <v>售后处理员</v>
      </c>
      <c r="F47" s="27" t="n">
        <f>IF(SUMIFS('供应商月度明细'!$J$5:$J$155,'供应商月度明细'!$A$5:$A$155,$A47,'供应商月度明细'!$C$5:$C$155,$C47,'供应商月度明细'!$D$5:$D$155,$E47,'供应商月度明细'!$E$5:$E$155,"2026-04")=0,"",SUMIFS('供应商月度明细'!$K$5:$K$155,'供应商月度明细'!$A$5:$A$155,$A47,'供应商月度明细'!$C$5:$C$155,$C47,'供应商月度明细'!$D$5:$D$155,$E47,'供应商月度明细'!$E$5:$E$155,"2026-04")/SUMIFS('供应商月度明细'!$J$5:$J$155,'供应商月度明细'!$A$5:$A$155,$A47,'供应商月度明细'!$C$5:$C$155,$C47,'供应商月度明细'!$D$5:$D$155,$E47,'供应商月度明细'!$E$5:$E$155,"2026-04"))</f>
        <v>0</v>
      </c>
      <c r="G47" s="27" t="n">
        <f>IF(SUMIFS('供应商月度明细'!$J$5:$J$155,'供应商月度明细'!$A$5:$A$155,$A47,'供应商月度明细'!$C$5:$C$155,$C47,'供应商月度明细'!$D$5:$D$155,$E47,'供应商月度明细'!$E$5:$E$155,"2026-05")=0,"",SUMIFS('供应商月度明细'!$K$5:$K$155,'供应商月度明细'!$A$5:$A$155,$A47,'供应商月度明细'!$C$5:$C$155,$C47,'供应商月度明细'!$D$5:$D$155,$E47,'供应商月度明细'!$E$5:$E$155,"2026-05")/SUMIFS('供应商月度明细'!$J$5:$J$155,'供应商月度明细'!$A$5:$A$155,$A47,'供应商月度明细'!$C$5:$C$155,$C47,'供应商月度明细'!$D$5:$D$155,$E47,'供应商月度明细'!$E$5:$E$155,"2026-05"))</f>
        <v>1</v>
      </c>
      <c r="H47" s="27" t="str">
        <f>IF(SUMIFS('供应商月度明细'!$J$5:$J$155,'供应商月度明细'!$A$5:$A$155,$A47,'供应商月度明细'!$C$5:$C$155,$C47,'供应商月度明细'!$D$5:$D$155,$E47,'供应商月度明细'!$E$5:$E$155,"2026-06")=0,"",SUMIFS('供应商月度明细'!$K$5:$K$155,'供应商月度明细'!$A$5:$A$155,$A47,'供应商月度明细'!$C$5:$C$155,$C47,'供应商月度明细'!$D$5:$D$155,$E47,'供应商月度明细'!$E$5:$E$155,"2026-06")/SUMIFS('供应商月度明细'!$J$5:$J$155,'供应商月度明细'!$A$5:$A$155,$A47,'供应商月度明细'!$C$5:$C$155,$C47,'供应商月度明细'!$D$5:$D$155,$E47,'供应商月度明细'!$E$5:$E$155,"2026-06"))</f>
      </c>
      <c r="I47" s="27" t="n">
        <f>IF(COUNT(F47:H47)=0,"",AVERAGE(F47:H47))</f>
        <v>0.5</v>
      </c>
      <c r="J47" s="27" t="n">
        <f>IF(K47=0,"",L47/K47)</f>
        <v>0.6666666666666666</v>
      </c>
      <c r="K47" s="23" t="n">
        <f>SUMIFS('供应商月度明细'!$J$5:$J$155,'供应商月度明细'!$A$5:$A$155,$A47,'供应商月度明细'!$C$5:$C$155,$C47,'供应商月度明细'!$D$5:$D$155,$E47)</f>
        <v>3</v>
      </c>
      <c r="L47" s="23" t="n">
        <f>SUMIFS('供应商月度明细'!$K$5:$K$155,'供应商月度明细'!$A$5:$A$155,$A47,'供应商月度明细'!$C$5:$C$155,$C47,'供应商月度明细'!$D$5:$D$155,$E47)</f>
        <v>2</v>
      </c>
      <c r="M47" s="23" t="n">
        <f>SUMIFS('供应商月度明细'!$M$5:$M$155,'供应商月度明细'!$A$5:$A$155,$A47,'供应商月度明细'!$C$5:$C$155,$C47,'供应商月度明细'!$D$5:$D$155,$E47)</f>
        <v>1</v>
      </c>
    </row>
    <row r="48">
      <c r="A48" s="19" t="str">
        <v>德国区</v>
      </c>
      <c r="B48" s="19" t="str">
        <v>Gohar GmbH</v>
      </c>
      <c r="C48" s="19" t="str">
        <v>S000327</v>
      </c>
      <c r="D48" s="19" t="str">
        <v>工种明细</v>
      </c>
      <c r="E48" s="19" t="str">
        <v>保洁员</v>
      </c>
      <c r="F48" s="27" t="n">
        <f>IF(SUMIFS('供应商月度明细'!$J$5:$J$155,'供应商月度明细'!$A$5:$A$155,$A48,'供应商月度明细'!$C$5:$C$155,$C48,'供应商月度明细'!$D$5:$D$155,$E48,'供应商月度明细'!$E$5:$E$155,"2026-04")=0,"",SUMIFS('供应商月度明细'!$K$5:$K$155,'供应商月度明细'!$A$5:$A$155,$A48,'供应商月度明细'!$C$5:$C$155,$C48,'供应商月度明细'!$D$5:$D$155,$E48,'供应商月度明细'!$E$5:$E$155,"2026-04")/SUMIFS('供应商月度明细'!$J$5:$J$155,'供应商月度明细'!$A$5:$A$155,$A48,'供应商月度明细'!$C$5:$C$155,$C48,'供应商月度明细'!$D$5:$D$155,$E48,'供应商月度明细'!$E$5:$E$155,"2026-04"))</f>
        <v>1</v>
      </c>
      <c r="G48" s="27" t="str">
        <f>IF(SUMIFS('供应商月度明细'!$J$5:$J$155,'供应商月度明细'!$A$5:$A$155,$A48,'供应商月度明细'!$C$5:$C$155,$C48,'供应商月度明细'!$D$5:$D$155,$E48,'供应商月度明细'!$E$5:$E$155,"2026-05")=0,"",SUMIFS('供应商月度明细'!$K$5:$K$155,'供应商月度明细'!$A$5:$A$155,$A48,'供应商月度明细'!$C$5:$C$155,$C48,'供应商月度明细'!$D$5:$D$155,$E48,'供应商月度明细'!$E$5:$E$155,"2026-05")/SUMIFS('供应商月度明细'!$J$5:$J$155,'供应商月度明细'!$A$5:$A$155,$A48,'供应商月度明细'!$C$5:$C$155,$C48,'供应商月度明细'!$D$5:$D$155,$E48,'供应商月度明细'!$E$5:$E$155,"2026-05"))</f>
      </c>
      <c r="H48" s="27" t="str">
        <f>IF(SUMIFS('供应商月度明细'!$J$5:$J$155,'供应商月度明细'!$A$5:$A$155,$A48,'供应商月度明细'!$C$5:$C$155,$C48,'供应商月度明细'!$D$5:$D$155,$E48,'供应商月度明细'!$E$5:$E$155,"2026-06")=0,"",SUMIFS('供应商月度明细'!$K$5:$K$155,'供应商月度明细'!$A$5:$A$155,$A48,'供应商月度明细'!$C$5:$C$155,$C48,'供应商月度明细'!$D$5:$D$155,$E48,'供应商月度明细'!$E$5:$E$155,"2026-06")/SUMIFS('供应商月度明细'!$J$5:$J$155,'供应商月度明细'!$A$5:$A$155,$A48,'供应商月度明细'!$C$5:$C$155,$C48,'供应商月度明细'!$D$5:$D$155,$E48,'供应商月度明细'!$E$5:$E$155,"2026-06"))</f>
      </c>
      <c r="I48" s="27" t="n">
        <f>IF(COUNT(F48:H48)=0,"",AVERAGE(F48:H48))</f>
        <v>1</v>
      </c>
      <c r="J48" s="27" t="n">
        <f>IF(K48=0,"",L48/K48)</f>
        <v>1</v>
      </c>
      <c r="K48" s="23" t="n">
        <f>SUMIFS('供应商月度明细'!$J$5:$J$155,'供应商月度明细'!$A$5:$A$155,$A48,'供应商月度明细'!$C$5:$C$155,$C48,'供应商月度明细'!$D$5:$D$155,$E48)</f>
        <v>1</v>
      </c>
      <c r="L48" s="23" t="n">
        <f>SUMIFS('供应商月度明细'!$K$5:$K$155,'供应商月度明细'!$A$5:$A$155,$A48,'供应商月度明细'!$C$5:$C$155,$C48,'供应商月度明细'!$D$5:$D$155,$E48)</f>
        <v>1</v>
      </c>
      <c r="M48" s="23" t="n">
        <f>SUMIFS('供应商月度明细'!$M$5:$M$155,'供应商月度明细'!$A$5:$A$155,$A48,'供应商月度明细'!$C$5:$C$155,$C48,'供应商月度明细'!$D$5:$D$155,$E48)</f>
        <v>0</v>
      </c>
    </row>
    <row r="49">
      <c r="A49" s="31" t="str">
        <v>德国区</v>
      </c>
      <c r="B49" s="31" t="str">
        <v>Gohar GmbH</v>
      </c>
      <c r="C49" s="31" t="str">
        <v>S000327</v>
      </c>
      <c r="D49" s="31" t="str">
        <v>供应商汇总</v>
      </c>
      <c r="E49" s="31" t="str">
        <v>全部工种</v>
      </c>
      <c r="F49" s="32" t="n">
        <f>IF(SUMIFS('供应商月度明细'!$J$5:$J$155,'供应商月度明细'!$A$5:$A$155,$A49,'供应商月度明细'!$C$5:$C$155,$C49,'供应商月度明细'!$E$5:$E$155,"2026-04")=0,"",SUMIFS('供应商月度明细'!$K$5:$K$155,'供应商月度明细'!$A$5:$A$155,$A49,'供应商月度明细'!$C$5:$C$155,$C49,'供应商月度明细'!$E$5:$E$155,"2026-04")/SUMIFS('供应商月度明细'!$J$5:$J$155,'供应商月度明细'!$A$5:$A$155,$A49,'供应商月度明细'!$C$5:$C$155,$C49,'供应商月度明细'!$E$5:$E$155,"2026-04"))</f>
        <v>0.8279276203482417</v>
      </c>
      <c r="G49" s="32" t="n">
        <f>IF(SUMIFS('供应商月度明细'!$J$5:$J$155,'供应商月度明细'!$A$5:$A$155,$A49,'供应商月度明细'!$C$5:$C$155,$C49,'供应商月度明细'!$E$5:$E$155,"2026-05")=0,"",SUMIFS('供应商月度明细'!$K$5:$K$155,'供应商月度明细'!$A$5:$A$155,$A49,'供应商月度明细'!$C$5:$C$155,$C49,'供应商月度明细'!$E$5:$E$155,"2026-05")/SUMIFS('供应商月度明细'!$J$5:$J$155,'供应商月度明细'!$A$5:$A$155,$A49,'供应商月度明细'!$C$5:$C$155,$C49,'供应商月度明细'!$E$5:$E$155,"2026-05"))</f>
        <v>0.9763872491145218</v>
      </c>
      <c r="H49" s="32" t="n">
        <f>IF(SUMIFS('供应商月度明细'!$J$5:$J$155,'供应商月度明细'!$A$5:$A$155,$A49,'供应商月度明细'!$C$5:$C$155,$C49,'供应商月度明细'!$E$5:$E$155,"2026-06")=0,"",SUMIFS('供应商月度明细'!$K$5:$K$155,'供应商月度明细'!$A$5:$A$155,$A49,'供应商月度明细'!$C$5:$C$155,$C49,'供应商月度明细'!$E$5:$E$155,"2026-06")/SUMIFS('供应商月度明细'!$J$5:$J$155,'供应商月度明细'!$A$5:$A$155,$A49,'供应商月度明细'!$C$5:$C$155,$C49,'供应商月度明细'!$E$5:$E$155,"2026-06"))</f>
        <v>1</v>
      </c>
      <c r="I49" s="32" t="n">
        <f>IF(COUNT(F49:H49)=0,"",AVERAGE(F49:H49))</f>
        <v>0.9347716231542545</v>
      </c>
      <c r="J49" s="32" t="n">
        <f>IF(K49=0,"",L49/K49)</f>
        <v>0.9589469568617229</v>
      </c>
      <c r="K49" s="33" t="n">
        <f>SUMIFS('供应商月度明细'!$J$5:$J$155,'供应商月度明细'!$A$5:$A$155,$A49,'供应商月度明细'!$C$5:$C$155,$C49)</f>
        <v>146.15238095238095</v>
      </c>
      <c r="L49" s="33" t="n">
        <f>SUMIFS('供应商月度明细'!$K$5:$K$155,'供应商月度明细'!$A$5:$A$155,$A49,'供应商月度明细'!$C$5:$C$155,$C49)</f>
        <v>140.15238095238095</v>
      </c>
      <c r="M49" s="33" t="n">
        <f>SUMIFS('供应商月度明细'!$M$5:$M$155,'供应商月度明细'!$A$5:$A$155,$A49,'供应商月度明细'!$C$5:$C$155,$C49)</f>
        <v>42.84761904761905</v>
      </c>
    </row>
    <row r="50">
      <c r="A50" s="19" t="str">
        <v>德国区</v>
      </c>
      <c r="B50" s="19" t="str">
        <v>TimePartner Personalmanagement GmbH</v>
      </c>
      <c r="C50" s="19" t="str">
        <v>S000191</v>
      </c>
      <c r="D50" s="19" t="str">
        <v>工种明细</v>
      </c>
      <c r="E50" s="19" t="str">
        <v>操作员</v>
      </c>
      <c r="F50" s="27" t="str">
        <f>IF(SUMIFS('供应商月度明细'!$J$5:$J$155,'供应商月度明细'!$A$5:$A$155,$A50,'供应商月度明细'!$C$5:$C$155,$C50,'供应商月度明细'!$D$5:$D$155,$E50,'供应商月度明细'!$E$5:$E$155,"2026-04")=0,"",SUMIFS('供应商月度明细'!$K$5:$K$155,'供应商月度明细'!$A$5:$A$155,$A50,'供应商月度明细'!$C$5:$C$155,$C50,'供应商月度明细'!$D$5:$D$155,$E50,'供应商月度明细'!$E$5:$E$155,"2026-04")/SUMIFS('供应商月度明细'!$J$5:$J$155,'供应商月度明细'!$A$5:$A$155,$A50,'供应商月度明细'!$C$5:$C$155,$C50,'供应商月度明细'!$D$5:$D$155,$E50,'供应商月度明细'!$E$5:$E$155,"2026-04"))</f>
      </c>
      <c r="G50" s="27" t="n">
        <f>IF(SUMIFS('供应商月度明细'!$J$5:$J$155,'供应商月度明细'!$A$5:$A$155,$A50,'供应商月度明细'!$C$5:$C$155,$C50,'供应商月度明细'!$D$5:$D$155,$E50,'供应商月度明细'!$E$5:$E$155,"2026-05")=0,"",SUMIFS('供应商月度明细'!$K$5:$K$155,'供应商月度明细'!$A$5:$A$155,$A50,'供应商月度明细'!$C$5:$C$155,$C50,'供应商月度明细'!$D$5:$D$155,$E50,'供应商月度明细'!$E$5:$E$155,"2026-05")/SUMIFS('供应商月度明细'!$J$5:$J$155,'供应商月度明细'!$A$5:$A$155,$A50,'供应商月度明细'!$C$5:$C$155,$C50,'供应商月度明细'!$D$5:$D$155,$E50,'供应商月度明细'!$E$5:$E$155,"2026-05"))</f>
        <v>0.870967741935484</v>
      </c>
      <c r="H50" s="27" t="n">
        <f>IF(SUMIFS('供应商月度明细'!$J$5:$J$155,'供应商月度明细'!$A$5:$A$155,$A50,'供应商月度明细'!$C$5:$C$155,$C50,'供应商月度明细'!$D$5:$D$155,$E50,'供应商月度明细'!$E$5:$E$155,"2026-06")=0,"",SUMIFS('供应商月度明细'!$K$5:$K$155,'供应商月度明细'!$A$5:$A$155,$A50,'供应商月度明细'!$C$5:$C$155,$C50,'供应商月度明细'!$D$5:$D$155,$E50,'供应商月度明细'!$E$5:$E$155,"2026-06")/SUMIFS('供应商月度明细'!$J$5:$J$155,'供应商月度明细'!$A$5:$A$155,$A50,'供应商月度明细'!$C$5:$C$155,$C50,'供应商月度明细'!$D$5:$D$155,$E50,'供应商月度明细'!$E$5:$E$155,"2026-06"))</f>
        <v>0.8307093578630815</v>
      </c>
      <c r="I50" s="27" t="n">
        <f>IF(COUNT(F50:H50)=0,"",AVERAGE(F50:H50))</f>
        <v>0.8508385498992828</v>
      </c>
      <c r="J50" s="27" t="n">
        <f>IF(K50=0,"",L50/K50)</f>
        <v>0.835043409629045</v>
      </c>
      <c r="K50" s="23" t="n">
        <f>SUMIFS('供应商月度明细'!$J$5:$J$155,'供应商月度明细'!$A$5:$A$155,$A50,'供应商月度明细'!$C$5:$C$155,$C50,'供应商月度明细'!$D$5:$D$155,$E50)</f>
        <v>95.98484848484847</v>
      </c>
      <c r="L50" s="23" t="n">
        <f>SUMIFS('供应商月度明细'!$K$5:$K$155,'供应商月度明细'!$A$5:$A$155,$A50,'供应商月度明细'!$C$5:$C$155,$C50,'供应商月度明细'!$D$5:$D$155,$E50)</f>
        <v>80.15151515151514</v>
      </c>
      <c r="M50" s="23" t="n">
        <f>SUMIFS('供应商月度明细'!$M$5:$M$155,'供应商月度明细'!$A$5:$A$155,$A50,'供应商月度明细'!$C$5:$C$155,$C50,'供应商月度明细'!$D$5:$D$155,$E50)</f>
        <v>35.015151515151516</v>
      </c>
    </row>
    <row r="51">
      <c r="A51" s="31" t="str">
        <v>德国区</v>
      </c>
      <c r="B51" s="31" t="str">
        <v>TimePartner Personalmanagement GmbH</v>
      </c>
      <c r="C51" s="31" t="str">
        <v>S000191</v>
      </c>
      <c r="D51" s="31" t="str">
        <v>供应商汇总</v>
      </c>
      <c r="E51" s="31" t="str">
        <v>全部工种</v>
      </c>
      <c r="F51" s="32" t="str">
        <f>IF(SUMIFS('供应商月度明细'!$J$5:$J$155,'供应商月度明细'!$A$5:$A$155,$A51,'供应商月度明细'!$C$5:$C$155,$C51,'供应商月度明细'!$E$5:$E$155,"2026-04")=0,"",SUMIFS('供应商月度明细'!$K$5:$K$155,'供应商月度明细'!$A$5:$A$155,$A51,'供应商月度明细'!$C$5:$C$155,$C51,'供应商月度明细'!$E$5:$E$155,"2026-04")/SUMIFS('供应商月度明细'!$J$5:$J$155,'供应商月度明细'!$A$5:$A$155,$A51,'供应商月度明细'!$C$5:$C$155,$C51,'供应商月度明细'!$E$5:$E$155,"2026-04"))</f>
      </c>
      <c r="G51" s="32" t="n">
        <f>IF(SUMIFS('供应商月度明细'!$J$5:$J$155,'供应商月度明细'!$A$5:$A$155,$A51,'供应商月度明细'!$C$5:$C$155,$C51,'供应商月度明细'!$E$5:$E$155,"2026-05")=0,"",SUMIFS('供应商月度明细'!$K$5:$K$155,'供应商月度明细'!$A$5:$A$155,$A51,'供应商月度明细'!$C$5:$C$155,$C51,'供应商月度明细'!$E$5:$E$155,"2026-05")/SUMIFS('供应商月度明细'!$J$5:$J$155,'供应商月度明细'!$A$5:$A$155,$A51,'供应商月度明细'!$C$5:$C$155,$C51,'供应商月度明细'!$E$5:$E$155,"2026-05"))</f>
        <v>0.870967741935484</v>
      </c>
      <c r="H51" s="32" t="n">
        <f>IF(SUMIFS('供应商月度明细'!$J$5:$J$155,'供应商月度明细'!$A$5:$A$155,$A51,'供应商月度明细'!$C$5:$C$155,$C51,'供应商月度明细'!$E$5:$E$155,"2026-06")=0,"",SUMIFS('供应商月度明细'!$K$5:$K$155,'供应商月度明细'!$A$5:$A$155,$A51,'供应商月度明细'!$C$5:$C$155,$C51,'供应商月度明细'!$E$5:$E$155,"2026-06")/SUMIFS('供应商月度明细'!$J$5:$J$155,'供应商月度明细'!$A$5:$A$155,$A51,'供应商月度明细'!$C$5:$C$155,$C51,'供应商月度明细'!$E$5:$E$155,"2026-06"))</f>
        <v>0.8307093578630815</v>
      </c>
      <c r="I51" s="32" t="n">
        <f>IF(COUNT(F51:H51)=0,"",AVERAGE(F51:H51))</f>
        <v>0.8508385498992828</v>
      </c>
      <c r="J51" s="32" t="n">
        <f>IF(K51=0,"",L51/K51)</f>
        <v>0.835043409629045</v>
      </c>
      <c r="K51" s="33" t="n">
        <f>SUMIFS('供应商月度明细'!$J$5:$J$155,'供应商月度明细'!$A$5:$A$155,$A51,'供应商月度明细'!$C$5:$C$155,$C51)</f>
        <v>95.98484848484847</v>
      </c>
      <c r="L51" s="33" t="n">
        <f>SUMIFS('供应商月度明细'!$K$5:$K$155,'供应商月度明细'!$A$5:$A$155,$A51,'供应商月度明细'!$C$5:$C$155,$C51)</f>
        <v>80.15151515151514</v>
      </c>
      <c r="M51" s="33" t="n">
        <f>SUMIFS('供应商月度明细'!$M$5:$M$155,'供应商月度明细'!$A$5:$A$155,$A51,'供应商月度明细'!$C$5:$C$155,$C51)</f>
        <v>35.015151515151516</v>
      </c>
    </row>
    <row r="52">
      <c r="A52" s="19" t="str">
        <v>德国区</v>
      </c>
      <c r="B52" s="19" t="str">
        <v>Go4PrimeJobs GmbH</v>
      </c>
      <c r="C52" s="19" t="str">
        <v>S000276</v>
      </c>
      <c r="D52" s="19" t="str">
        <v>工种明细</v>
      </c>
      <c r="E52" s="19" t="str">
        <v>操作员</v>
      </c>
      <c r="F52" s="27" t="n">
        <f>IF(SUMIFS('供应商月度明细'!$J$5:$J$155,'供应商月度明细'!$A$5:$A$155,$A52,'供应商月度明细'!$C$5:$C$155,$C52,'供应商月度明细'!$D$5:$D$155,$E52,'供应商月度明细'!$E$5:$E$155,"2026-04")=0,"",SUMIFS('供应商月度明细'!$K$5:$K$155,'供应商月度明细'!$A$5:$A$155,$A52,'供应商月度明细'!$C$5:$C$155,$C52,'供应商月度明细'!$D$5:$D$155,$E52,'供应商月度明细'!$E$5:$E$155,"2026-04")/SUMIFS('供应商月度明细'!$J$5:$J$155,'供应商月度明细'!$A$5:$A$155,$A52,'供应商月度明细'!$C$5:$C$155,$C52,'供应商月度明细'!$D$5:$D$155,$E52,'供应商月度明细'!$E$5:$E$155,"2026-04"))</f>
        <v>0.5223880597014926</v>
      </c>
      <c r="G52" s="27" t="n">
        <f>IF(SUMIFS('供应商月度明细'!$J$5:$J$155,'供应商月度明细'!$A$5:$A$155,$A52,'供应商月度明细'!$C$5:$C$155,$C52,'供应商月度明细'!$D$5:$D$155,$E52,'供应商月度明细'!$E$5:$E$155,"2026-05")=0,"",SUMIFS('供应商月度明细'!$K$5:$K$155,'供应商月度明细'!$A$5:$A$155,$A52,'供应商月度明细'!$C$5:$C$155,$C52,'供应商月度明细'!$D$5:$D$155,$E52,'供应商月度明细'!$E$5:$E$155,"2026-05")/SUMIFS('供应商月度明细'!$J$5:$J$155,'供应商月度明细'!$A$5:$A$155,$A52,'供应商月度明细'!$C$5:$C$155,$C52,'供应商月度明细'!$D$5:$D$155,$E52,'供应商月度明细'!$E$5:$E$155,"2026-05"))</f>
        <v>0.5979381443298969</v>
      </c>
      <c r="H52" s="27" t="n">
        <f>IF(SUMIFS('供应商月度明细'!$J$5:$J$155,'供应商月度明细'!$A$5:$A$155,$A52,'供应商月度明细'!$C$5:$C$155,$C52,'供应商月度明细'!$D$5:$D$155,$E52,'供应商月度明细'!$E$5:$E$155,"2026-06")=0,"",SUMIFS('供应商月度明细'!$K$5:$K$155,'供应商月度明细'!$A$5:$A$155,$A52,'供应商月度明细'!$C$5:$C$155,$C52,'供应商月度明细'!$D$5:$D$155,$E52,'供应商月度明细'!$E$5:$E$155,"2026-06")/SUMIFS('供应商月度明细'!$J$5:$J$155,'供应商月度明细'!$A$5:$A$155,$A52,'供应商月度明细'!$C$5:$C$155,$C52,'供应商月度明细'!$D$5:$D$155,$E52,'供应商月度明细'!$E$5:$E$155,"2026-06"))</f>
        <v>0.6674115456238361</v>
      </c>
      <c r="I52" s="27" t="n">
        <f>IF(COUNT(F52:H52)=0,"",AVERAGE(F52:H52))</f>
        <v>0.5959125832184086</v>
      </c>
      <c r="J52" s="27" t="n">
        <f>IF(K52=0,"",L52/K52)</f>
        <v>0.6359761295822677</v>
      </c>
      <c r="K52" s="23" t="n">
        <f>SUMIFS('供应商月度明细'!$J$5:$J$155,'供应商月度明细'!$A$5:$A$155,$A52,'供应商月度明细'!$C$5:$C$155,$C52,'供应商月度明细'!$D$5:$D$155,$E52)</f>
        <v>97.75</v>
      </c>
      <c r="L52" s="23" t="n">
        <f>SUMIFS('供应商月度明细'!$K$5:$K$155,'供应商月度明细'!$A$5:$A$155,$A52,'供应商月度明细'!$C$5:$C$155,$C52,'供应商月度明细'!$D$5:$D$155,$E52)</f>
        <v>62.166666666666664</v>
      </c>
      <c r="M52" s="23" t="n">
        <f>SUMIFS('供应商月度明细'!$M$5:$M$155,'供应商月度明细'!$A$5:$A$155,$A52,'供应商月度明细'!$C$5:$C$155,$C52,'供应商月度明细'!$D$5:$D$155,$E52)</f>
        <v>19.25</v>
      </c>
    </row>
    <row r="53">
      <c r="A53" s="19" t="str">
        <v>德国区</v>
      </c>
      <c r="B53" s="19" t="str">
        <v>Go4PrimeJobs GmbH</v>
      </c>
      <c r="C53" s="19" t="str">
        <v>S000276</v>
      </c>
      <c r="D53" s="19" t="str">
        <v>工种明细</v>
      </c>
      <c r="E53" s="19" t="str">
        <v>保洁员</v>
      </c>
      <c r="F53" s="27" t="str">
        <f>IF(SUMIFS('供应商月度明细'!$J$5:$J$155,'供应商月度明细'!$A$5:$A$155,$A53,'供应商月度明细'!$C$5:$C$155,$C53,'供应商月度明细'!$D$5:$D$155,$E53,'供应商月度明细'!$E$5:$E$155,"2026-04")=0,"",SUMIFS('供应商月度明细'!$K$5:$K$155,'供应商月度明细'!$A$5:$A$155,$A53,'供应商月度明细'!$C$5:$C$155,$C53,'供应商月度明细'!$D$5:$D$155,$E53,'供应商月度明细'!$E$5:$E$155,"2026-04")/SUMIFS('供应商月度明细'!$J$5:$J$155,'供应商月度明细'!$A$5:$A$155,$A53,'供应商月度明细'!$C$5:$C$155,$C53,'供应商月度明细'!$D$5:$D$155,$E53,'供应商月度明细'!$E$5:$E$155,"2026-04"))</f>
      </c>
      <c r="G53" s="27" t="n">
        <f>IF(SUMIFS('供应商月度明细'!$J$5:$J$155,'供应商月度明细'!$A$5:$A$155,$A53,'供应商月度明细'!$C$5:$C$155,$C53,'供应商月度明细'!$D$5:$D$155,$E53,'供应商月度明细'!$E$5:$E$155,"2026-05")=0,"",SUMIFS('供应商月度明细'!$K$5:$K$155,'供应商月度明细'!$A$5:$A$155,$A53,'供应商月度明细'!$C$5:$C$155,$C53,'供应商月度明细'!$D$5:$D$155,$E53,'供应商月度明细'!$E$5:$E$155,"2026-05")/SUMIFS('供应商月度明细'!$J$5:$J$155,'供应商月度明细'!$A$5:$A$155,$A53,'供应商月度明细'!$C$5:$C$155,$C53,'供应商月度明细'!$D$5:$D$155,$E53,'供应商月度明细'!$E$5:$E$155,"2026-05"))</f>
        <v>1</v>
      </c>
      <c r="H53" s="27" t="str">
        <f>IF(SUMIFS('供应商月度明细'!$J$5:$J$155,'供应商月度明细'!$A$5:$A$155,$A53,'供应商月度明细'!$C$5:$C$155,$C53,'供应商月度明细'!$D$5:$D$155,$E53,'供应商月度明细'!$E$5:$E$155,"2026-06")=0,"",SUMIFS('供应商月度明细'!$K$5:$K$155,'供应商月度明细'!$A$5:$A$155,$A53,'供应商月度明细'!$C$5:$C$155,$C53,'供应商月度明细'!$D$5:$D$155,$E53,'供应商月度明细'!$E$5:$E$155,"2026-06")/SUMIFS('供应商月度明细'!$J$5:$J$155,'供应商月度明细'!$A$5:$A$155,$A53,'供应商月度明细'!$C$5:$C$155,$C53,'供应商月度明细'!$D$5:$D$155,$E53,'供应商月度明细'!$E$5:$E$155,"2026-06"))</f>
      </c>
      <c r="I53" s="27" t="n">
        <f>IF(COUNT(F53:H53)=0,"",AVERAGE(F53:H53))</f>
        <v>1</v>
      </c>
      <c r="J53" s="27" t="n">
        <f>IF(K53=0,"",L53/K53)</f>
        <v>1</v>
      </c>
      <c r="K53" s="23" t="n">
        <f>SUMIFS('供应商月度明细'!$J$5:$J$155,'供应商月度明细'!$A$5:$A$155,$A53,'供应商月度明细'!$C$5:$C$155,$C53,'供应商月度明细'!$D$5:$D$155,$E53)</f>
        <v>2</v>
      </c>
      <c r="L53" s="23" t="n">
        <f>SUMIFS('供应商月度明细'!$K$5:$K$155,'供应商月度明细'!$A$5:$A$155,$A53,'供应商月度明细'!$C$5:$C$155,$C53,'供应商月度明细'!$D$5:$D$155,$E53)</f>
        <v>2</v>
      </c>
      <c r="M53" s="23" t="n">
        <f>SUMIFS('供应商月度明细'!$M$5:$M$155,'供应商月度明细'!$A$5:$A$155,$A53,'供应商月度明细'!$C$5:$C$155,$C53,'供应商月度明细'!$D$5:$D$155,$E53)</f>
        <v>0</v>
      </c>
    </row>
    <row r="54">
      <c r="A54" s="31" t="str">
        <v>德国区</v>
      </c>
      <c r="B54" s="31" t="str">
        <v>Go4PrimeJobs GmbH</v>
      </c>
      <c r="C54" s="31" t="str">
        <v>S000276</v>
      </c>
      <c r="D54" s="31" t="str">
        <v>供应商汇总</v>
      </c>
      <c r="E54" s="31" t="str">
        <v>全部工种</v>
      </c>
      <c r="F54" s="32" t="n">
        <f>IF(SUMIFS('供应商月度明细'!$J$5:$J$155,'供应商月度明细'!$A$5:$A$155,$A54,'供应商月度明细'!$C$5:$C$155,$C54,'供应商月度明细'!$E$5:$E$155,"2026-04")=0,"",SUMIFS('供应商月度明细'!$K$5:$K$155,'供应商月度明细'!$A$5:$A$155,$A54,'供应商月度明细'!$C$5:$C$155,$C54,'供应商月度明细'!$E$5:$E$155,"2026-04")/SUMIFS('供应商月度明细'!$J$5:$J$155,'供应商月度明细'!$A$5:$A$155,$A54,'供应商月度明细'!$C$5:$C$155,$C54,'供应商月度明细'!$E$5:$E$155,"2026-04"))</f>
        <v>0.5223880597014926</v>
      </c>
      <c r="G54" s="32" t="n">
        <f>IF(SUMIFS('供应商月度明细'!$J$5:$J$155,'供应商月度明细'!$A$5:$A$155,$A54,'供应商月度明细'!$C$5:$C$155,$C54,'供应商月度明细'!$E$5:$E$155,"2026-05")=0,"",SUMIFS('供应商月度明细'!$K$5:$K$155,'供应商月度明细'!$A$5:$A$155,$A54,'供应商月度明细'!$C$5:$C$155,$C54,'供应商月度明细'!$E$5:$E$155,"2026-05")/SUMIFS('供应商月度明细'!$J$5:$J$155,'供应商月度明细'!$A$5:$A$155,$A54,'供应商月度明细'!$C$5:$C$155,$C54,'供应商月度明细'!$E$5:$E$155,"2026-05"))</f>
        <v>0.6285714285714286</v>
      </c>
      <c r="H54" s="32" t="n">
        <f>IF(SUMIFS('供应商月度明细'!$J$5:$J$155,'供应商月度明细'!$A$5:$A$155,$A54,'供应商月度明细'!$C$5:$C$155,$C54,'供应商月度明细'!$E$5:$E$155,"2026-06")=0,"",SUMIFS('供应商月度明细'!$K$5:$K$155,'供应商月度明细'!$A$5:$A$155,$A54,'供应商月度明细'!$C$5:$C$155,$C54,'供应商月度明细'!$E$5:$E$155,"2026-06")/SUMIFS('供应商月度明细'!$J$5:$J$155,'供应商月度明细'!$A$5:$A$155,$A54,'供应商月度明细'!$C$5:$C$155,$C54,'供应商月度明细'!$E$5:$E$155,"2026-06"))</f>
        <v>0.6674115456238361</v>
      </c>
      <c r="I54" s="32" t="n">
        <f>IF(COUNT(F54:H54)=0,"",AVERAGE(F54:H54))</f>
        <v>0.6061236779655857</v>
      </c>
      <c r="J54" s="32" t="n">
        <f>IF(K54=0,"",L54/K54)</f>
        <v>0.6432748538011694</v>
      </c>
      <c r="K54" s="33" t="n">
        <f>SUMIFS('供应商月度明细'!$J$5:$J$155,'供应商月度明细'!$A$5:$A$155,$A54,'供应商月度明细'!$C$5:$C$155,$C54)</f>
        <v>99.75</v>
      </c>
      <c r="L54" s="33" t="n">
        <f>SUMIFS('供应商月度明细'!$K$5:$K$155,'供应商月度明细'!$A$5:$A$155,$A54,'供应商月度明细'!$C$5:$C$155,$C54)</f>
        <v>64.16666666666666</v>
      </c>
      <c r="M54" s="33" t="n">
        <f>SUMIFS('供应商月度明细'!$M$5:$M$155,'供应商月度明细'!$A$5:$A$155,$A54,'供应商月度明细'!$C$5:$C$155,$C54)</f>
        <v>19.25</v>
      </c>
    </row>
    <row r="55">
      <c r="A55" s="19" t="str">
        <v>德国区</v>
      </c>
      <c r="B55" s="19" t="str">
        <v>Koetter Personal Service SE Co. KG</v>
      </c>
      <c r="C55" s="19" t="str">
        <v>S000110</v>
      </c>
      <c r="D55" s="19" t="str">
        <v>工种明细</v>
      </c>
      <c r="E55" s="19" t="str">
        <v>操作员</v>
      </c>
      <c r="F55" s="27" t="str">
        <f>IF(SUMIFS('供应商月度明细'!$J$5:$J$155,'供应商月度明细'!$A$5:$A$155,$A55,'供应商月度明细'!$C$5:$C$155,$C55,'供应商月度明细'!$D$5:$D$155,$E55,'供应商月度明细'!$E$5:$E$155,"2026-04")=0,"",SUMIFS('供应商月度明细'!$K$5:$K$155,'供应商月度明细'!$A$5:$A$155,$A55,'供应商月度明细'!$C$5:$C$155,$C55,'供应商月度明细'!$D$5:$D$155,$E55,'供应商月度明细'!$E$5:$E$155,"2026-04")/SUMIFS('供应商月度明细'!$J$5:$J$155,'供应商月度明细'!$A$5:$A$155,$A55,'供应商月度明细'!$C$5:$C$155,$C55,'供应商月度明细'!$D$5:$D$155,$E55,'供应商月度明细'!$E$5:$E$155,"2026-04"))</f>
      </c>
      <c r="G55" s="27" t="n">
        <f>IF(SUMIFS('供应商月度明细'!$J$5:$J$155,'供应商月度明细'!$A$5:$A$155,$A55,'供应商月度明细'!$C$5:$C$155,$C55,'供应商月度明细'!$D$5:$D$155,$E55,'供应商月度明细'!$E$5:$E$155,"2026-05")=0,"",SUMIFS('供应商月度明细'!$K$5:$K$155,'供应商月度明细'!$A$5:$A$155,$A55,'供应商月度明细'!$C$5:$C$155,$C55,'供应商月度明细'!$D$5:$D$155,$E55,'供应商月度明细'!$E$5:$E$155,"2026-05")/SUMIFS('供应商月度明细'!$J$5:$J$155,'供应商月度明细'!$A$5:$A$155,$A55,'供应商月度明细'!$C$5:$C$155,$C55,'供应商月度明细'!$D$5:$D$155,$E55,'供应商月度明细'!$E$5:$E$155,"2026-05"))</f>
        <v>1</v>
      </c>
      <c r="H55" s="27" t="n">
        <f>IF(SUMIFS('供应商月度明细'!$J$5:$J$155,'供应商月度明细'!$A$5:$A$155,$A55,'供应商月度明细'!$C$5:$C$155,$C55,'供应商月度明细'!$D$5:$D$155,$E55,'供应商月度明细'!$E$5:$E$155,"2026-06")=0,"",SUMIFS('供应商月度明细'!$K$5:$K$155,'供应商月度明细'!$A$5:$A$155,$A55,'供应商月度明细'!$C$5:$C$155,$C55,'供应商月度明细'!$D$5:$D$155,$E55,'供应商月度明细'!$E$5:$E$155,"2026-06")/SUMIFS('供应商月度明细'!$J$5:$J$155,'供应商月度明细'!$A$5:$A$155,$A55,'供应商月度明细'!$C$5:$C$155,$C55,'供应商月度明细'!$D$5:$D$155,$E55,'供应商月度明细'!$E$5:$E$155,"2026-06"))</f>
        <v>1</v>
      </c>
      <c r="I55" s="27" t="n">
        <f>IF(COUNT(F55:H55)=0,"",AVERAGE(F55:H55))</f>
        <v>1</v>
      </c>
      <c r="J55" s="27" t="n">
        <f>IF(K55=0,"",L55/K55)</f>
        <v>1</v>
      </c>
      <c r="K55" s="23" t="n">
        <f>SUMIFS('供应商月度明细'!$J$5:$J$155,'供应商月度明细'!$A$5:$A$155,$A55,'供应商月度明细'!$C$5:$C$155,$C55,'供应商月度明细'!$D$5:$D$155,$E55)</f>
        <v>77.29166666666666</v>
      </c>
      <c r="L55" s="23" t="n">
        <f>SUMIFS('供应商月度明细'!$K$5:$K$155,'供应商月度明细'!$A$5:$A$155,$A55,'供应商月度明细'!$C$5:$C$155,$C55,'供应商月度明细'!$D$5:$D$155,$E55)</f>
        <v>77.29166666666666</v>
      </c>
      <c r="M55" s="23" t="n">
        <f>SUMIFS('供应商月度明细'!$M$5:$M$155,'供应商月度明细'!$A$5:$A$155,$A55,'供应商月度明细'!$C$5:$C$155,$C55,'供应商月度明细'!$D$5:$D$155,$E55)</f>
        <v>21.708333333333336</v>
      </c>
    </row>
    <row r="56">
      <c r="A56" s="19" t="str">
        <v>德国区</v>
      </c>
      <c r="B56" s="19" t="str">
        <v>Koetter Personal Service SE Co. KG</v>
      </c>
      <c r="C56" s="19" t="str">
        <v>S000110</v>
      </c>
      <c r="D56" s="19" t="str">
        <v>工种明细</v>
      </c>
      <c r="E56" s="19" t="str">
        <v>保洁员</v>
      </c>
      <c r="F56" s="27" t="str">
        <f>IF(SUMIFS('供应商月度明细'!$J$5:$J$155,'供应商月度明细'!$A$5:$A$155,$A56,'供应商月度明细'!$C$5:$C$155,$C56,'供应商月度明细'!$D$5:$D$155,$E56,'供应商月度明细'!$E$5:$E$155,"2026-04")=0,"",SUMIFS('供应商月度明细'!$K$5:$K$155,'供应商月度明细'!$A$5:$A$155,$A56,'供应商月度明细'!$C$5:$C$155,$C56,'供应商月度明细'!$D$5:$D$155,$E56,'供应商月度明细'!$E$5:$E$155,"2026-04")/SUMIFS('供应商月度明细'!$J$5:$J$155,'供应商月度明细'!$A$5:$A$155,$A56,'供应商月度明细'!$C$5:$C$155,$C56,'供应商月度明细'!$D$5:$D$155,$E56,'供应商月度明细'!$E$5:$E$155,"2026-04"))</f>
      </c>
      <c r="G56" s="27" t="str">
        <f>IF(SUMIFS('供应商月度明细'!$J$5:$J$155,'供应商月度明细'!$A$5:$A$155,$A56,'供应商月度明细'!$C$5:$C$155,$C56,'供应商月度明细'!$D$5:$D$155,$E56,'供应商月度明细'!$E$5:$E$155,"2026-05")=0,"",SUMIFS('供应商月度明细'!$K$5:$K$155,'供应商月度明细'!$A$5:$A$155,$A56,'供应商月度明细'!$C$5:$C$155,$C56,'供应商月度明细'!$D$5:$D$155,$E56,'供应商月度明细'!$E$5:$E$155,"2026-05")/SUMIFS('供应商月度明细'!$J$5:$J$155,'供应商月度明细'!$A$5:$A$155,$A56,'供应商月度明细'!$C$5:$C$155,$C56,'供应商月度明细'!$D$5:$D$155,$E56,'供应商月度明细'!$E$5:$E$155,"2026-05"))</f>
      </c>
      <c r="H56" s="27" t="n">
        <f>IF(SUMIFS('供应商月度明细'!$J$5:$J$155,'供应商月度明细'!$A$5:$A$155,$A56,'供应商月度明细'!$C$5:$C$155,$C56,'供应商月度明细'!$D$5:$D$155,$E56,'供应商月度明细'!$E$5:$E$155,"2026-06")=0,"",SUMIFS('供应商月度明细'!$K$5:$K$155,'供应商月度明细'!$A$5:$A$155,$A56,'供应商月度明细'!$C$5:$C$155,$C56,'供应商月度明细'!$D$5:$D$155,$E56,'供应商月度明细'!$E$5:$E$155,"2026-06")/SUMIFS('供应商月度明细'!$J$5:$J$155,'供应商月度明细'!$A$5:$A$155,$A56,'供应商月度明细'!$C$5:$C$155,$C56,'供应商月度明细'!$D$5:$D$155,$E56,'供应商月度明细'!$E$5:$E$155,"2026-06"))</f>
        <v>1</v>
      </c>
      <c r="I56" s="27" t="n">
        <f>IF(COUNT(F56:H56)=0,"",AVERAGE(F56:H56))</f>
        <v>1</v>
      </c>
      <c r="J56" s="27" t="n">
        <f>IF(K56=0,"",L56/K56)</f>
        <v>1</v>
      </c>
      <c r="K56" s="23" t="n">
        <f>SUMIFS('供应商月度明细'!$J$5:$J$155,'供应商月度明细'!$A$5:$A$155,$A56,'供应商月度明细'!$C$5:$C$155,$C56,'供应商月度明细'!$D$5:$D$155,$E56)</f>
        <v>1</v>
      </c>
      <c r="L56" s="23" t="n">
        <f>SUMIFS('供应商月度明细'!$K$5:$K$155,'供应商月度明细'!$A$5:$A$155,$A56,'供应商月度明细'!$C$5:$C$155,$C56,'供应商月度明细'!$D$5:$D$155,$E56)</f>
        <v>1</v>
      </c>
      <c r="M56" s="23" t="n">
        <f>SUMIFS('供应商月度明细'!$M$5:$M$155,'供应商月度明细'!$A$5:$A$155,$A56,'供应商月度明细'!$C$5:$C$155,$C56,'供应商月度明细'!$D$5:$D$155,$E56)</f>
        <v>1</v>
      </c>
    </row>
    <row r="57">
      <c r="A57" s="31" t="str">
        <v>德国区</v>
      </c>
      <c r="B57" s="31" t="str">
        <v>Koetter Personal Service SE Co. KG</v>
      </c>
      <c r="C57" s="31" t="str">
        <v>S000110</v>
      </c>
      <c r="D57" s="31" t="str">
        <v>供应商汇总</v>
      </c>
      <c r="E57" s="31" t="str">
        <v>全部工种</v>
      </c>
      <c r="F57" s="32" t="str">
        <f>IF(SUMIFS('供应商月度明细'!$J$5:$J$155,'供应商月度明细'!$A$5:$A$155,$A57,'供应商月度明细'!$C$5:$C$155,$C57,'供应商月度明细'!$E$5:$E$155,"2026-04")=0,"",SUMIFS('供应商月度明细'!$K$5:$K$155,'供应商月度明细'!$A$5:$A$155,$A57,'供应商月度明细'!$C$5:$C$155,$C57,'供应商月度明细'!$E$5:$E$155,"2026-04")/SUMIFS('供应商月度明细'!$J$5:$J$155,'供应商月度明细'!$A$5:$A$155,$A57,'供应商月度明细'!$C$5:$C$155,$C57,'供应商月度明细'!$E$5:$E$155,"2026-04"))</f>
      </c>
      <c r="G57" s="32" t="n">
        <f>IF(SUMIFS('供应商月度明细'!$J$5:$J$155,'供应商月度明细'!$A$5:$A$155,$A57,'供应商月度明细'!$C$5:$C$155,$C57,'供应商月度明细'!$E$5:$E$155,"2026-05")=0,"",SUMIFS('供应商月度明细'!$K$5:$K$155,'供应商月度明细'!$A$5:$A$155,$A57,'供应商月度明细'!$C$5:$C$155,$C57,'供应商月度明细'!$E$5:$E$155,"2026-05")/SUMIFS('供应商月度明细'!$J$5:$J$155,'供应商月度明细'!$A$5:$A$155,$A57,'供应商月度明细'!$C$5:$C$155,$C57,'供应商月度明细'!$E$5:$E$155,"2026-05"))</f>
        <v>1</v>
      </c>
      <c r="H57" s="32" t="n">
        <f>IF(SUMIFS('供应商月度明细'!$J$5:$J$155,'供应商月度明细'!$A$5:$A$155,$A57,'供应商月度明细'!$C$5:$C$155,$C57,'供应商月度明细'!$E$5:$E$155,"2026-06")=0,"",SUMIFS('供应商月度明细'!$K$5:$K$155,'供应商月度明细'!$A$5:$A$155,$A57,'供应商月度明细'!$C$5:$C$155,$C57,'供应商月度明细'!$E$5:$E$155,"2026-06")/SUMIFS('供应商月度明细'!$J$5:$J$155,'供应商月度明细'!$A$5:$A$155,$A57,'供应商月度明细'!$C$5:$C$155,$C57,'供应商月度明细'!$E$5:$E$155,"2026-06"))</f>
        <v>1</v>
      </c>
      <c r="I57" s="32" t="n">
        <f>IF(COUNT(F57:H57)=0,"",AVERAGE(F57:H57))</f>
        <v>1</v>
      </c>
      <c r="J57" s="32" t="n">
        <f>IF(K57=0,"",L57/K57)</f>
        <v>1</v>
      </c>
      <c r="K57" s="33" t="n">
        <f>SUMIFS('供应商月度明细'!$J$5:$J$155,'供应商月度明细'!$A$5:$A$155,$A57,'供应商月度明细'!$C$5:$C$155,$C57)</f>
        <v>78.29166666666666</v>
      </c>
      <c r="L57" s="33" t="n">
        <f>SUMIFS('供应商月度明细'!$K$5:$K$155,'供应商月度明细'!$A$5:$A$155,$A57,'供应商月度明细'!$C$5:$C$155,$C57)</f>
        <v>78.29166666666666</v>
      </c>
      <c r="M57" s="33" t="n">
        <f>SUMIFS('供应商月度明细'!$M$5:$M$155,'供应商月度明细'!$A$5:$A$155,$A57,'供应商月度明细'!$C$5:$C$155,$C57)</f>
        <v>22.708333333333336</v>
      </c>
    </row>
    <row r="58">
      <c r="A58" s="19" t="str">
        <v>德国区</v>
      </c>
      <c r="B58" s="19" t="str">
        <v>ProQuality GmbH</v>
      </c>
      <c r="C58" s="19" t="str">
        <v>S000261</v>
      </c>
      <c r="D58" s="19" t="str">
        <v>工种明细</v>
      </c>
      <c r="E58" s="19" t="str">
        <v>操作员</v>
      </c>
      <c r="F58" s="27" t="n">
        <f>IF(SUMIFS('供应商月度明细'!$J$5:$J$155,'供应商月度明细'!$A$5:$A$155,$A58,'供应商月度明细'!$C$5:$C$155,$C58,'供应商月度明细'!$D$5:$D$155,$E58,'供应商月度明细'!$E$5:$E$155,"2026-04")=0,"",SUMIFS('供应商月度明细'!$K$5:$K$155,'供应商月度明细'!$A$5:$A$155,$A58,'供应商月度明细'!$C$5:$C$155,$C58,'供应商月度明细'!$D$5:$D$155,$E58,'供应商月度明细'!$E$5:$E$155,"2026-04")/SUMIFS('供应商月度明细'!$J$5:$J$155,'供应商月度明细'!$A$5:$A$155,$A58,'供应商月度明细'!$C$5:$C$155,$C58,'供应商月度明细'!$D$5:$D$155,$E58,'供应商月度明细'!$E$5:$E$155,"2026-04"))</f>
        <v>0.75</v>
      </c>
      <c r="G58" s="27" t="n">
        <f>IF(SUMIFS('供应商月度明细'!$J$5:$J$155,'供应商月度明细'!$A$5:$A$155,$A58,'供应商月度明细'!$C$5:$C$155,$C58,'供应商月度明细'!$D$5:$D$155,$E58,'供应商月度明细'!$E$5:$E$155,"2026-05")=0,"",SUMIFS('供应商月度明细'!$K$5:$K$155,'供应商月度明细'!$A$5:$A$155,$A58,'供应商月度明细'!$C$5:$C$155,$C58,'供应商月度明细'!$D$5:$D$155,$E58,'供应商月度明细'!$E$5:$E$155,"2026-05")/SUMIFS('供应商月度明细'!$J$5:$J$155,'供应商月度明细'!$A$5:$A$155,$A58,'供应商月度明细'!$C$5:$C$155,$C58,'供应商月度明细'!$D$5:$D$155,$E58,'供应商月度明细'!$E$5:$E$155,"2026-05"))</f>
        <v>0.7984496124031008</v>
      </c>
      <c r="H58" s="27" t="n">
        <f>IF(SUMIFS('供应商月度明细'!$J$5:$J$155,'供应商月度明细'!$A$5:$A$155,$A58,'供应商月度明细'!$C$5:$C$155,$C58,'供应商月度明细'!$D$5:$D$155,$E58,'供应商月度明细'!$E$5:$E$155,"2026-06")=0,"",SUMIFS('供应商月度明细'!$K$5:$K$155,'供应商月度明细'!$A$5:$A$155,$A58,'供应商月度明细'!$C$5:$C$155,$C58,'供应商月度明细'!$D$5:$D$155,$E58,'供应商月度明细'!$E$5:$E$155,"2026-06")/SUMIFS('供应商月度明细'!$J$5:$J$155,'供应商月度明细'!$A$5:$A$155,$A58,'供应商月度明细'!$C$5:$C$155,$C58,'供应商月度明细'!$D$5:$D$155,$E58,'供应商月度明细'!$E$5:$E$155,"2026-06"))</f>
        <v>0.9893238434163701</v>
      </c>
      <c r="I58" s="27" t="n">
        <f>IF(COUNT(F58:H58)=0,"",AVERAGE(F58:H58))</f>
        <v>0.845924485273157</v>
      </c>
      <c r="J58" s="27" t="n">
        <f>IF(K58=0,"",L58/K58)</f>
        <v>0.9423929098966026</v>
      </c>
      <c r="K58" s="23" t="n">
        <f>SUMIFS('供应商月度明细'!$J$5:$J$155,'供应商月度明细'!$A$5:$A$155,$A58,'供应商月度明细'!$C$5:$C$155,$C58,'供应商月度明细'!$D$5:$D$155,$E58)</f>
        <v>60.75641025641025</v>
      </c>
      <c r="L58" s="23" t="n">
        <f>SUMIFS('供应商月度明细'!$K$5:$K$155,'供应商月度明细'!$A$5:$A$155,$A58,'供应商月度明细'!$C$5:$C$155,$C58,'供应商月度明细'!$D$5:$D$155,$E58)</f>
        <v>57.25641025641025</v>
      </c>
      <c r="M58" s="23" t="n">
        <f>SUMIFS('供应商月度明细'!$M$5:$M$155,'供应商月度明细'!$A$5:$A$155,$A58,'供应商月度明细'!$C$5:$C$155,$C58,'供应商月度明细'!$D$5:$D$155,$E58)</f>
        <v>11.243589743589745</v>
      </c>
    </row>
    <row r="59">
      <c r="A59" s="31" t="str">
        <v>德国区</v>
      </c>
      <c r="B59" s="31" t="str">
        <v>ProQuality GmbH</v>
      </c>
      <c r="C59" s="31" t="str">
        <v>S000261</v>
      </c>
      <c r="D59" s="31" t="str">
        <v>供应商汇总</v>
      </c>
      <c r="E59" s="31" t="str">
        <v>全部工种</v>
      </c>
      <c r="F59" s="32" t="n">
        <f>IF(SUMIFS('供应商月度明细'!$J$5:$J$155,'供应商月度明细'!$A$5:$A$155,$A59,'供应商月度明细'!$C$5:$C$155,$C59,'供应商月度明细'!$E$5:$E$155,"2026-04")=0,"",SUMIFS('供应商月度明细'!$K$5:$K$155,'供应商月度明细'!$A$5:$A$155,$A59,'供应商月度明细'!$C$5:$C$155,$C59,'供应商月度明细'!$E$5:$E$155,"2026-04")/SUMIFS('供应商月度明细'!$J$5:$J$155,'供应商月度明细'!$A$5:$A$155,$A59,'供应商月度明细'!$C$5:$C$155,$C59,'供应商月度明细'!$E$5:$E$155,"2026-04"))</f>
        <v>0.75</v>
      </c>
      <c r="G59" s="32" t="n">
        <f>IF(SUMIFS('供应商月度明细'!$J$5:$J$155,'供应商月度明细'!$A$5:$A$155,$A59,'供应商月度明细'!$C$5:$C$155,$C59,'供应商月度明细'!$E$5:$E$155,"2026-05")=0,"",SUMIFS('供应商月度明细'!$K$5:$K$155,'供应商月度明细'!$A$5:$A$155,$A59,'供应商月度明细'!$C$5:$C$155,$C59,'供应商月度明细'!$E$5:$E$155,"2026-05")/SUMIFS('供应商月度明细'!$J$5:$J$155,'供应商月度明细'!$A$5:$A$155,$A59,'供应商月度明细'!$C$5:$C$155,$C59,'供应商月度明细'!$E$5:$E$155,"2026-05"))</f>
        <v>0.7984496124031008</v>
      </c>
      <c r="H59" s="32" t="n">
        <f>IF(SUMIFS('供应商月度明细'!$J$5:$J$155,'供应商月度明细'!$A$5:$A$155,$A59,'供应商月度明细'!$C$5:$C$155,$C59,'供应商月度明细'!$E$5:$E$155,"2026-06")=0,"",SUMIFS('供应商月度明细'!$K$5:$K$155,'供应商月度明细'!$A$5:$A$155,$A59,'供应商月度明细'!$C$5:$C$155,$C59,'供应商月度明细'!$E$5:$E$155,"2026-06")/SUMIFS('供应商月度明细'!$J$5:$J$155,'供应商月度明细'!$A$5:$A$155,$A59,'供应商月度明细'!$C$5:$C$155,$C59,'供应商月度明细'!$E$5:$E$155,"2026-06"))</f>
        <v>0.9893238434163701</v>
      </c>
      <c r="I59" s="32" t="n">
        <f>IF(COUNT(F59:H59)=0,"",AVERAGE(F59:H59))</f>
        <v>0.845924485273157</v>
      </c>
      <c r="J59" s="32" t="n">
        <f>IF(K59=0,"",L59/K59)</f>
        <v>0.9423929098966026</v>
      </c>
      <c r="K59" s="33" t="n">
        <f>SUMIFS('供应商月度明细'!$J$5:$J$155,'供应商月度明细'!$A$5:$A$155,$A59,'供应商月度明细'!$C$5:$C$155,$C59)</f>
        <v>60.75641025641025</v>
      </c>
      <c r="L59" s="33" t="n">
        <f>SUMIFS('供应商月度明细'!$K$5:$K$155,'供应商月度明细'!$A$5:$A$155,$A59,'供应商月度明细'!$C$5:$C$155,$C59)</f>
        <v>57.25641025641025</v>
      </c>
      <c r="M59" s="33" t="n">
        <f>SUMIFS('供应商月度明细'!$M$5:$M$155,'供应商月度明细'!$A$5:$A$155,$A59,'供应商月度明细'!$C$5:$C$155,$C59)</f>
        <v>11.243589743589745</v>
      </c>
    </row>
    <row r="60">
      <c r="A60" s="19" t="str">
        <v>德国区</v>
      </c>
      <c r="B60" s="19" t="str">
        <v>Topjob Zeitarbeit GmbH</v>
      </c>
      <c r="C60" s="19" t="str">
        <v>S000086</v>
      </c>
      <c r="D60" s="19" t="str">
        <v>工种明细</v>
      </c>
      <c r="E60" s="19" t="str">
        <v>操作员</v>
      </c>
      <c r="F60" s="27" t="n">
        <f>IF(SUMIFS('供应商月度明细'!$J$5:$J$155,'供应商月度明细'!$A$5:$A$155,$A60,'供应商月度明细'!$C$5:$C$155,$C60,'供应商月度明细'!$D$5:$D$155,$E60,'供应商月度明细'!$E$5:$E$155,"2026-04")=0,"",SUMIFS('供应商月度明细'!$K$5:$K$155,'供应商月度明细'!$A$5:$A$155,$A60,'供应商月度明细'!$C$5:$C$155,$C60,'供应商月度明细'!$D$5:$D$155,$E60,'供应商月度明细'!$E$5:$E$155,"2026-04")/SUMIFS('供应商月度明细'!$J$5:$J$155,'供应商月度明细'!$A$5:$A$155,$A60,'供应商月度明细'!$C$5:$C$155,$C60,'供应商月度明细'!$D$5:$D$155,$E60,'供应商月度明细'!$E$5:$E$155,"2026-04"))</f>
        <v>0.625</v>
      </c>
      <c r="G60" s="27" t="n">
        <f>IF(SUMIFS('供应商月度明细'!$J$5:$J$155,'供应商月度明细'!$A$5:$A$155,$A60,'供应商月度明细'!$C$5:$C$155,$C60,'供应商月度明细'!$D$5:$D$155,$E60,'供应商月度明细'!$E$5:$E$155,"2026-05")=0,"",SUMIFS('供应商月度明细'!$K$5:$K$155,'供应商月度明细'!$A$5:$A$155,$A60,'供应商月度明细'!$C$5:$C$155,$C60,'供应商月度明细'!$D$5:$D$155,$E60,'供应商月度明细'!$E$5:$E$155,"2026-05")/SUMIFS('供应商月度明细'!$J$5:$J$155,'供应商月度明细'!$A$5:$A$155,$A60,'供应商月度明细'!$C$5:$C$155,$C60,'供应商月度明细'!$D$5:$D$155,$E60,'供应商月度明细'!$E$5:$E$155,"2026-05"))</f>
        <v>1</v>
      </c>
      <c r="H60" s="27" t="n">
        <f>IF(SUMIFS('供应商月度明细'!$J$5:$J$155,'供应商月度明细'!$A$5:$A$155,$A60,'供应商月度明细'!$C$5:$C$155,$C60,'供应商月度明细'!$D$5:$D$155,$E60,'供应商月度明细'!$E$5:$E$155,"2026-06")=0,"",SUMIFS('供应商月度明细'!$K$5:$K$155,'供应商月度明细'!$A$5:$A$155,$A60,'供应商月度明细'!$C$5:$C$155,$C60,'供应商月度明细'!$D$5:$D$155,$E60,'供应商月度明细'!$E$5:$E$155,"2026-06")/SUMIFS('供应商月度明细'!$J$5:$J$155,'供应商月度明细'!$A$5:$A$155,$A60,'供应商月度明细'!$C$5:$C$155,$C60,'供应商月度明细'!$D$5:$D$155,$E60,'供应商月度明细'!$E$5:$E$155,"2026-06"))</f>
        <v>0.9719626168224299</v>
      </c>
      <c r="I60" s="27" t="n">
        <f>IF(COUNT(F60:H60)=0,"",AVERAGE(F60:H60))</f>
        <v>0.8656542056074766</v>
      </c>
      <c r="J60" s="27" t="n">
        <f>IF(K60=0,"",L60/K60)</f>
        <v>0.9151943462897526</v>
      </c>
      <c r="K60" s="23" t="n">
        <f>SUMIFS('供应商月度明细'!$J$5:$J$155,'供应商月度明细'!$A$5:$A$155,$A60,'供应商月度明细'!$C$5:$C$155,$C60,'供应商月度明细'!$D$5:$D$155,$E60)</f>
        <v>47.166666666666664</v>
      </c>
      <c r="L60" s="23" t="n">
        <f>SUMIFS('供应商月度明细'!$K$5:$K$155,'供应商月度明细'!$A$5:$A$155,$A60,'供应商月度明细'!$C$5:$C$155,$C60,'供应商月度明细'!$D$5:$D$155,$E60)</f>
        <v>43.166666666666664</v>
      </c>
      <c r="M60" s="23" t="n">
        <f>SUMIFS('供应商月度明细'!$M$5:$M$155,'供应商月度明细'!$A$5:$A$155,$A60,'供应商月度明细'!$C$5:$C$155,$C60,'供应商月度明细'!$D$5:$D$155,$E60)</f>
        <v>18.833333333333336</v>
      </c>
    </row>
    <row r="61">
      <c r="A61" s="19" t="str">
        <v>德国区</v>
      </c>
      <c r="B61" s="19" t="str">
        <v>Topjob Zeitarbeit GmbH</v>
      </c>
      <c r="C61" s="19" t="str">
        <v>S000086</v>
      </c>
      <c r="D61" s="19" t="str">
        <v>工种明细</v>
      </c>
      <c r="E61" s="19" t="str">
        <v>保洁员</v>
      </c>
      <c r="F61" s="27" t="str">
        <f>IF(SUMIFS('供应商月度明细'!$J$5:$J$155,'供应商月度明细'!$A$5:$A$155,$A61,'供应商月度明细'!$C$5:$C$155,$C61,'供应商月度明细'!$D$5:$D$155,$E61,'供应商月度明细'!$E$5:$E$155,"2026-04")=0,"",SUMIFS('供应商月度明细'!$K$5:$K$155,'供应商月度明细'!$A$5:$A$155,$A61,'供应商月度明细'!$C$5:$C$155,$C61,'供应商月度明细'!$D$5:$D$155,$E61,'供应商月度明细'!$E$5:$E$155,"2026-04")/SUMIFS('供应商月度明细'!$J$5:$J$155,'供应商月度明细'!$A$5:$A$155,$A61,'供应商月度明细'!$C$5:$C$155,$C61,'供应商月度明细'!$D$5:$D$155,$E61,'供应商月度明细'!$E$5:$E$155,"2026-04"))</f>
      </c>
      <c r="G61" s="27" t="n">
        <f>IF(SUMIFS('供应商月度明细'!$J$5:$J$155,'供应商月度明细'!$A$5:$A$155,$A61,'供应商月度明细'!$C$5:$C$155,$C61,'供应商月度明细'!$D$5:$D$155,$E61,'供应商月度明细'!$E$5:$E$155,"2026-05")=0,"",SUMIFS('供应商月度明细'!$K$5:$K$155,'供应商月度明细'!$A$5:$A$155,$A61,'供应商月度明细'!$C$5:$C$155,$C61,'供应商月度明细'!$D$5:$D$155,$E61,'供应商月度明细'!$E$5:$E$155,"2026-05")/SUMIFS('供应商月度明细'!$J$5:$J$155,'供应商月度明细'!$A$5:$A$155,$A61,'供应商月度明细'!$C$5:$C$155,$C61,'供应商月度明细'!$D$5:$D$155,$E61,'供应商月度明细'!$E$5:$E$155,"2026-05"))</f>
        <v>1</v>
      </c>
      <c r="H61" s="27" t="str">
        <f>IF(SUMIFS('供应商月度明细'!$J$5:$J$155,'供应商月度明细'!$A$5:$A$155,$A61,'供应商月度明细'!$C$5:$C$155,$C61,'供应商月度明细'!$D$5:$D$155,$E61,'供应商月度明细'!$E$5:$E$155,"2026-06")=0,"",SUMIFS('供应商月度明细'!$K$5:$K$155,'供应商月度明细'!$A$5:$A$155,$A61,'供应商月度明细'!$C$5:$C$155,$C61,'供应商月度明细'!$D$5:$D$155,$E61,'供应商月度明细'!$E$5:$E$155,"2026-06")/SUMIFS('供应商月度明细'!$J$5:$J$155,'供应商月度明细'!$A$5:$A$155,$A61,'供应商月度明细'!$C$5:$C$155,$C61,'供应商月度明细'!$D$5:$D$155,$E61,'供应商月度明细'!$E$5:$E$155,"2026-06"))</f>
      </c>
      <c r="I61" s="27" t="n">
        <f>IF(COUNT(F61:H61)=0,"",AVERAGE(F61:H61))</f>
        <v>1</v>
      </c>
      <c r="J61" s="27" t="n">
        <f>IF(K61=0,"",L61/K61)</f>
        <v>1</v>
      </c>
      <c r="K61" s="23" t="n">
        <f>SUMIFS('供应商月度明细'!$J$5:$J$155,'供应商月度明细'!$A$5:$A$155,$A61,'供应商月度明细'!$C$5:$C$155,$C61,'供应商月度明细'!$D$5:$D$155,$E61)</f>
        <v>1</v>
      </c>
      <c r="L61" s="23" t="n">
        <f>SUMIFS('供应商月度明细'!$K$5:$K$155,'供应商月度明细'!$A$5:$A$155,$A61,'供应商月度明细'!$C$5:$C$155,$C61,'供应商月度明细'!$D$5:$D$155,$E61)</f>
        <v>1</v>
      </c>
      <c r="M61" s="23" t="n">
        <f>SUMIFS('供应商月度明细'!$M$5:$M$155,'供应商月度明细'!$A$5:$A$155,$A61,'供应商月度明细'!$C$5:$C$155,$C61,'供应商月度明细'!$D$5:$D$155,$E61)</f>
        <v>0</v>
      </c>
    </row>
    <row r="62">
      <c r="A62" s="31" t="str">
        <v>德国区</v>
      </c>
      <c r="B62" s="31" t="str">
        <v>Topjob Zeitarbeit GmbH</v>
      </c>
      <c r="C62" s="31" t="str">
        <v>S000086</v>
      </c>
      <c r="D62" s="31" t="str">
        <v>供应商汇总</v>
      </c>
      <c r="E62" s="31" t="str">
        <v>全部工种</v>
      </c>
      <c r="F62" s="32" t="n">
        <f>IF(SUMIFS('供应商月度明细'!$J$5:$J$155,'供应商月度明细'!$A$5:$A$155,$A62,'供应商月度明细'!$C$5:$C$155,$C62,'供应商月度明细'!$E$5:$E$155,"2026-04")=0,"",SUMIFS('供应商月度明细'!$K$5:$K$155,'供应商月度明细'!$A$5:$A$155,$A62,'供应商月度明细'!$C$5:$C$155,$C62,'供应商月度明细'!$E$5:$E$155,"2026-04")/SUMIFS('供应商月度明细'!$J$5:$J$155,'供应商月度明细'!$A$5:$A$155,$A62,'供应商月度明细'!$C$5:$C$155,$C62,'供应商月度明细'!$E$5:$E$155,"2026-04"))</f>
        <v>0.625</v>
      </c>
      <c r="G62" s="32" t="n">
        <f>IF(SUMIFS('供应商月度明细'!$J$5:$J$155,'供应商月度明细'!$A$5:$A$155,$A62,'供应商月度明细'!$C$5:$C$155,$C62,'供应商月度明细'!$E$5:$E$155,"2026-05")=0,"",SUMIFS('供应商月度明细'!$K$5:$K$155,'供应商月度明细'!$A$5:$A$155,$A62,'供应商月度明细'!$C$5:$C$155,$C62,'供应商月度明细'!$E$5:$E$155,"2026-05")/SUMIFS('供应商月度明细'!$J$5:$J$155,'供应商月度明细'!$A$5:$A$155,$A62,'供应商月度明细'!$C$5:$C$155,$C62,'供应商月度明细'!$E$5:$E$155,"2026-05"))</f>
        <v>1</v>
      </c>
      <c r="H62" s="32" t="n">
        <f>IF(SUMIFS('供应商月度明细'!$J$5:$J$155,'供应商月度明细'!$A$5:$A$155,$A62,'供应商月度明细'!$C$5:$C$155,$C62,'供应商月度明细'!$E$5:$E$155,"2026-06")=0,"",SUMIFS('供应商月度明细'!$K$5:$K$155,'供应商月度明细'!$A$5:$A$155,$A62,'供应商月度明细'!$C$5:$C$155,$C62,'供应商月度明细'!$E$5:$E$155,"2026-06")/SUMIFS('供应商月度明细'!$J$5:$J$155,'供应商月度明细'!$A$5:$A$155,$A62,'供应商月度明细'!$C$5:$C$155,$C62,'供应商月度明细'!$E$5:$E$155,"2026-06"))</f>
        <v>0.9719626168224299</v>
      </c>
      <c r="I62" s="32" t="n">
        <f>IF(COUNT(F62:H62)=0,"",AVERAGE(F62:H62))</f>
        <v>0.8656542056074766</v>
      </c>
      <c r="J62" s="32" t="n">
        <f>IF(K62=0,"",L62/K62)</f>
        <v>0.916955017301038</v>
      </c>
      <c r="K62" s="33" t="n">
        <f>SUMIFS('供应商月度明细'!$J$5:$J$155,'供应商月度明细'!$A$5:$A$155,$A62,'供应商月度明细'!$C$5:$C$155,$C62)</f>
        <v>48.166666666666664</v>
      </c>
      <c r="L62" s="33" t="n">
        <f>SUMIFS('供应商月度明细'!$K$5:$K$155,'供应商月度明细'!$A$5:$A$155,$A62,'供应商月度明细'!$C$5:$C$155,$C62)</f>
        <v>44.166666666666664</v>
      </c>
      <c r="M62" s="33" t="n">
        <f>SUMIFS('供应商月度明细'!$M$5:$M$155,'供应商月度明细'!$A$5:$A$155,$A62,'供应商月度明细'!$C$5:$C$155,$C62)</f>
        <v>18.833333333333336</v>
      </c>
    </row>
    <row r="63">
      <c r="A63" s="19" t="str">
        <v>德国区</v>
      </c>
      <c r="B63" s="19" t="str">
        <v>LeXpersonal GmbH</v>
      </c>
      <c r="C63" s="19" t="str">
        <v>S000300</v>
      </c>
      <c r="D63" s="19" t="str">
        <v>工种明细</v>
      </c>
      <c r="E63" s="19" t="str">
        <v>操作员</v>
      </c>
      <c r="F63" s="27" t="str">
        <f>IF(SUMIFS('供应商月度明细'!$J$5:$J$155,'供应商月度明细'!$A$5:$A$155,$A63,'供应商月度明细'!$C$5:$C$155,$C63,'供应商月度明细'!$D$5:$D$155,$E63,'供应商月度明细'!$E$5:$E$155,"2026-04")=0,"",SUMIFS('供应商月度明细'!$K$5:$K$155,'供应商月度明细'!$A$5:$A$155,$A63,'供应商月度明细'!$C$5:$C$155,$C63,'供应商月度明细'!$D$5:$D$155,$E63,'供应商月度明细'!$E$5:$E$155,"2026-04")/SUMIFS('供应商月度明细'!$J$5:$J$155,'供应商月度明细'!$A$5:$A$155,$A63,'供应商月度明细'!$C$5:$C$155,$C63,'供应商月度明细'!$D$5:$D$155,$E63,'供应商月度明细'!$E$5:$E$155,"2026-04"))</f>
      </c>
      <c r="G63" s="27" t="n">
        <f>IF(SUMIFS('供应商月度明细'!$J$5:$J$155,'供应商月度明细'!$A$5:$A$155,$A63,'供应商月度明细'!$C$5:$C$155,$C63,'供应商月度明细'!$D$5:$D$155,$E63,'供应商月度明细'!$E$5:$E$155,"2026-05")=0,"",SUMIFS('供应商月度明细'!$K$5:$K$155,'供应商月度明细'!$A$5:$A$155,$A63,'供应商月度明细'!$C$5:$C$155,$C63,'供应商月度明细'!$D$5:$D$155,$E63,'供应商月度明细'!$E$5:$E$155,"2026-05")/SUMIFS('供应商月度明细'!$J$5:$J$155,'供应商月度明细'!$A$5:$A$155,$A63,'供应商月度明细'!$C$5:$C$155,$C63,'供应商月度明细'!$D$5:$D$155,$E63,'供应商月度明细'!$E$5:$E$155,"2026-05"))</f>
        <v>1</v>
      </c>
      <c r="H63" s="27" t="n">
        <f>IF(SUMIFS('供应商月度明细'!$J$5:$J$155,'供应商月度明细'!$A$5:$A$155,$A63,'供应商月度明细'!$C$5:$C$155,$C63,'供应商月度明细'!$D$5:$D$155,$E63,'供应商月度明细'!$E$5:$E$155,"2026-06")=0,"",SUMIFS('供应商月度明细'!$K$5:$K$155,'供应商月度明细'!$A$5:$A$155,$A63,'供应商月度明细'!$C$5:$C$155,$C63,'供应商月度明细'!$D$5:$D$155,$E63,'供应商月度明细'!$E$5:$E$155,"2026-06")/SUMIFS('供应商月度明细'!$J$5:$J$155,'供应商月度明细'!$A$5:$A$155,$A63,'供应商月度明细'!$C$5:$C$155,$C63,'供应商月度明细'!$D$5:$D$155,$E63,'供应商月度明细'!$E$5:$E$155,"2026-06"))</f>
        <v>1</v>
      </c>
      <c r="I63" s="27" t="n">
        <f>IF(COUNT(F63:H63)=0,"",AVERAGE(F63:H63))</f>
        <v>1</v>
      </c>
      <c r="J63" s="27" t="n">
        <f>IF(K63=0,"",L63/K63)</f>
        <v>1</v>
      </c>
      <c r="K63" s="23" t="n">
        <f>SUMIFS('供应商月度明细'!$J$5:$J$155,'供应商月度明细'!$A$5:$A$155,$A63,'供应商月度明细'!$C$5:$C$155,$C63,'供应商月度明细'!$D$5:$D$155,$E63)</f>
        <v>35</v>
      </c>
      <c r="L63" s="23" t="n">
        <f>SUMIFS('供应商月度明细'!$K$5:$K$155,'供应商月度明细'!$A$5:$A$155,$A63,'供应商月度明细'!$C$5:$C$155,$C63,'供应商月度明细'!$D$5:$D$155,$E63)</f>
        <v>35</v>
      </c>
      <c r="M63" s="23" t="n">
        <f>SUMIFS('供应商月度明细'!$M$5:$M$155,'供应商月度明细'!$A$5:$A$155,$A63,'供应商月度明细'!$C$5:$C$155,$C63,'供应商月度明细'!$D$5:$D$155,$E63)</f>
        <v>7</v>
      </c>
    </row>
    <row r="64">
      <c r="A64" s="19" t="str">
        <v>德国区</v>
      </c>
      <c r="B64" s="19" t="str">
        <v>LeXpersonal GmbH</v>
      </c>
      <c r="C64" s="19" t="str">
        <v>S000300</v>
      </c>
      <c r="D64" s="19" t="str">
        <v>工种明细</v>
      </c>
      <c r="E64" s="19" t="str">
        <v>售后处理员</v>
      </c>
      <c r="F64" s="27" t="str">
        <f>IF(SUMIFS('供应商月度明细'!$J$5:$J$155,'供应商月度明细'!$A$5:$A$155,$A64,'供应商月度明细'!$C$5:$C$155,$C64,'供应商月度明细'!$D$5:$D$155,$E64,'供应商月度明细'!$E$5:$E$155,"2026-04")=0,"",SUMIFS('供应商月度明细'!$K$5:$K$155,'供应商月度明细'!$A$5:$A$155,$A64,'供应商月度明细'!$C$5:$C$155,$C64,'供应商月度明细'!$D$5:$D$155,$E64,'供应商月度明细'!$E$5:$E$155,"2026-04")/SUMIFS('供应商月度明细'!$J$5:$J$155,'供应商月度明细'!$A$5:$A$155,$A64,'供应商月度明细'!$C$5:$C$155,$C64,'供应商月度明细'!$D$5:$D$155,$E64,'供应商月度明细'!$E$5:$E$155,"2026-04"))</f>
      </c>
      <c r="G64" s="27" t="n">
        <f>IF(SUMIFS('供应商月度明细'!$J$5:$J$155,'供应商月度明细'!$A$5:$A$155,$A64,'供应商月度明细'!$C$5:$C$155,$C64,'供应商月度明细'!$D$5:$D$155,$E64,'供应商月度明细'!$E$5:$E$155,"2026-05")=0,"",SUMIFS('供应商月度明细'!$K$5:$K$155,'供应商月度明细'!$A$5:$A$155,$A64,'供应商月度明细'!$C$5:$C$155,$C64,'供应商月度明细'!$D$5:$D$155,$E64,'供应商月度明细'!$E$5:$E$155,"2026-05")/SUMIFS('供应商月度明细'!$J$5:$J$155,'供应商月度明细'!$A$5:$A$155,$A64,'供应商月度明细'!$C$5:$C$155,$C64,'供应商月度明细'!$D$5:$D$155,$E64,'供应商月度明细'!$E$5:$E$155,"2026-05"))</f>
        <v>0</v>
      </c>
      <c r="H64" s="27" t="str">
        <f>IF(SUMIFS('供应商月度明细'!$J$5:$J$155,'供应商月度明细'!$A$5:$A$155,$A64,'供应商月度明细'!$C$5:$C$155,$C64,'供应商月度明细'!$D$5:$D$155,$E64,'供应商月度明细'!$E$5:$E$155,"2026-06")=0,"",SUMIFS('供应商月度明细'!$K$5:$K$155,'供应商月度明细'!$A$5:$A$155,$A64,'供应商月度明细'!$C$5:$C$155,$C64,'供应商月度明细'!$D$5:$D$155,$E64,'供应商月度明细'!$E$5:$E$155,"2026-06")/SUMIFS('供应商月度明细'!$J$5:$J$155,'供应商月度明细'!$A$5:$A$155,$A64,'供应商月度明细'!$C$5:$C$155,$C64,'供应商月度明细'!$D$5:$D$155,$E64,'供应商月度明细'!$E$5:$E$155,"2026-06"))</f>
      </c>
      <c r="I64" s="27" t="n">
        <f>IF(COUNT(F64:H64)=0,"",AVERAGE(F64:H64))</f>
        <v>0</v>
      </c>
      <c r="J64" s="27" t="n">
        <f>IF(K64=0,"",L64/K64)</f>
        <v>0</v>
      </c>
      <c r="K64" s="23" t="n">
        <f>SUMIFS('供应商月度明细'!$J$5:$J$155,'供应商月度明细'!$A$5:$A$155,$A64,'供应商月度明细'!$C$5:$C$155,$C64,'供应商月度明细'!$D$5:$D$155,$E64)</f>
        <v>3</v>
      </c>
      <c r="L64" s="23" t="n">
        <f>SUMIFS('供应商月度明细'!$K$5:$K$155,'供应商月度明细'!$A$5:$A$155,$A64,'供应商月度明细'!$C$5:$C$155,$C64,'供应商月度明细'!$D$5:$D$155,$E64)</f>
        <v>0</v>
      </c>
      <c r="M64" s="23" t="n">
        <f>SUMIFS('供应商月度明细'!$M$5:$M$155,'供应商月度明细'!$A$5:$A$155,$A64,'供应商月度明细'!$C$5:$C$155,$C64,'供应商月度明细'!$D$5:$D$155,$E64)</f>
        <v>1</v>
      </c>
    </row>
    <row r="65">
      <c r="A65" s="31" t="str">
        <v>德国区</v>
      </c>
      <c r="B65" s="31" t="str">
        <v>LeXpersonal GmbH</v>
      </c>
      <c r="C65" s="31" t="str">
        <v>S000300</v>
      </c>
      <c r="D65" s="31" t="str">
        <v>供应商汇总</v>
      </c>
      <c r="E65" s="31" t="str">
        <v>全部工种</v>
      </c>
      <c r="F65" s="32" t="str">
        <f>IF(SUMIFS('供应商月度明细'!$J$5:$J$155,'供应商月度明细'!$A$5:$A$155,$A65,'供应商月度明细'!$C$5:$C$155,$C65,'供应商月度明细'!$E$5:$E$155,"2026-04")=0,"",SUMIFS('供应商月度明细'!$K$5:$K$155,'供应商月度明细'!$A$5:$A$155,$A65,'供应商月度明细'!$C$5:$C$155,$C65,'供应商月度明细'!$E$5:$E$155,"2026-04")/SUMIFS('供应商月度明细'!$J$5:$J$155,'供应商月度明细'!$A$5:$A$155,$A65,'供应商月度明细'!$C$5:$C$155,$C65,'供应商月度明细'!$E$5:$E$155,"2026-04"))</f>
      </c>
      <c r="G65" s="32" t="n">
        <f>IF(SUMIFS('供应商月度明细'!$J$5:$J$155,'供应商月度明细'!$A$5:$A$155,$A65,'供应商月度明细'!$C$5:$C$155,$C65,'供应商月度明细'!$E$5:$E$155,"2026-05")=0,"",SUMIFS('供应商月度明细'!$K$5:$K$155,'供应商月度明细'!$A$5:$A$155,$A65,'供应商月度明细'!$C$5:$C$155,$C65,'供应商月度明细'!$E$5:$E$155,"2026-05")/SUMIFS('供应商月度明细'!$J$5:$J$155,'供应商月度明细'!$A$5:$A$155,$A65,'供应商月度明细'!$C$5:$C$155,$C65,'供应商月度明细'!$E$5:$E$155,"2026-05"))</f>
        <v>0.9032258064516129</v>
      </c>
      <c r="H65" s="32" t="n">
        <f>IF(SUMIFS('供应商月度明细'!$J$5:$J$155,'供应商月度明细'!$A$5:$A$155,$A65,'供应商月度明细'!$C$5:$C$155,$C65,'供应商月度明细'!$E$5:$E$155,"2026-06")=0,"",SUMIFS('供应商月度明细'!$K$5:$K$155,'供应商月度明细'!$A$5:$A$155,$A65,'供应商月度明细'!$C$5:$C$155,$C65,'供应商月度明细'!$E$5:$E$155,"2026-06")/SUMIFS('供应商月度明细'!$J$5:$J$155,'供应商月度明细'!$A$5:$A$155,$A65,'供应商月度明细'!$C$5:$C$155,$C65,'供应商月度明细'!$E$5:$E$155,"2026-06"))</f>
        <v>1</v>
      </c>
      <c r="I65" s="32" t="n">
        <f>IF(COUNT(F65:H65)=0,"",AVERAGE(F65:H65))</f>
        <v>0.9516129032258065</v>
      </c>
      <c r="J65" s="32" t="n">
        <f>IF(K65=0,"",L65/K65)</f>
        <v>0.9210526315789473</v>
      </c>
      <c r="K65" s="33" t="n">
        <f>SUMIFS('供应商月度明细'!$J$5:$J$155,'供应商月度明细'!$A$5:$A$155,$A65,'供应商月度明细'!$C$5:$C$155,$C65)</f>
        <v>38</v>
      </c>
      <c r="L65" s="33" t="n">
        <f>SUMIFS('供应商月度明细'!$K$5:$K$155,'供应商月度明细'!$A$5:$A$155,$A65,'供应商月度明细'!$C$5:$C$155,$C65)</f>
        <v>35</v>
      </c>
      <c r="M65" s="33" t="n">
        <f>SUMIFS('供应商月度明细'!$M$5:$M$155,'供应商月度明细'!$A$5:$A$155,$A65,'供应商月度明细'!$C$5:$C$155,$C65)</f>
        <v>8</v>
      </c>
    </row>
    <row r="66">
      <c r="A66" s="19" t="str">
        <v>德国区</v>
      </c>
      <c r="B66" s="19" t="str">
        <v>HP Personalmanagement</v>
      </c>
      <c r="C66" s="19" t="str">
        <v>S000020</v>
      </c>
      <c r="D66" s="19" t="str">
        <v>工种明细</v>
      </c>
      <c r="E66" s="19" t="str">
        <v>操作员</v>
      </c>
      <c r="F66" s="27" t="n">
        <f>IF(SUMIFS('供应商月度明细'!$J$5:$J$155,'供应商月度明细'!$A$5:$A$155,$A66,'供应商月度明细'!$C$5:$C$155,$C66,'供应商月度明细'!$D$5:$D$155,$E66,'供应商月度明细'!$E$5:$E$155,"2026-04")=0,"",SUMIFS('供应商月度明细'!$K$5:$K$155,'供应商月度明细'!$A$5:$A$155,$A66,'供应商月度明细'!$C$5:$C$155,$C66,'供应商月度明细'!$D$5:$D$155,$E66,'供应商月度明细'!$E$5:$E$155,"2026-04")/SUMIFS('供应商月度明细'!$J$5:$J$155,'供应商月度明细'!$A$5:$A$155,$A66,'供应商月度明细'!$C$5:$C$155,$C66,'供应商月度明细'!$D$5:$D$155,$E66,'供应商月度明细'!$E$5:$E$155,"2026-04"))</f>
        <v>0</v>
      </c>
      <c r="G66" s="27" t="n">
        <f>IF(SUMIFS('供应商月度明细'!$J$5:$J$155,'供应商月度明细'!$A$5:$A$155,$A66,'供应商月度明细'!$C$5:$C$155,$C66,'供应商月度明细'!$D$5:$D$155,$E66,'供应商月度明细'!$E$5:$E$155,"2026-05")=0,"",SUMIFS('供应商月度明细'!$K$5:$K$155,'供应商月度明细'!$A$5:$A$155,$A66,'供应商月度明细'!$C$5:$C$155,$C66,'供应商月度明细'!$D$5:$D$155,$E66,'供应商月度明细'!$E$5:$E$155,"2026-05")/SUMIFS('供应商月度明细'!$J$5:$J$155,'供应商月度明细'!$A$5:$A$155,$A66,'供应商月度明细'!$C$5:$C$155,$C66,'供应商月度明细'!$D$5:$D$155,$E66,'供应商月度明细'!$E$5:$E$155,"2026-05"))</f>
        <v>1</v>
      </c>
      <c r="H66" s="27" t="n">
        <f>IF(SUMIFS('供应商月度明细'!$J$5:$J$155,'供应商月度明细'!$A$5:$A$155,$A66,'供应商月度明细'!$C$5:$C$155,$C66,'供应商月度明细'!$D$5:$D$155,$E66,'供应商月度明细'!$E$5:$E$155,"2026-06")=0,"",SUMIFS('供应商月度明细'!$K$5:$K$155,'供应商月度明细'!$A$5:$A$155,$A66,'供应商月度明细'!$C$5:$C$155,$C66,'供应商月度明细'!$D$5:$D$155,$E66,'供应商月度明细'!$E$5:$E$155,"2026-06")/SUMIFS('供应商月度明细'!$J$5:$J$155,'供应商月度明细'!$A$5:$A$155,$A66,'供应商月度明细'!$C$5:$C$155,$C66,'供应商月度明细'!$D$5:$D$155,$E66,'供应商月度明细'!$E$5:$E$155,"2026-06"))</f>
        <v>0.6461232604373758</v>
      </c>
      <c r="I66" s="27" t="n">
        <f>IF(COUNT(F66:H66)=0,"",AVERAGE(F66:H66))</f>
        <v>0.5487077534791253</v>
      </c>
      <c r="J66" s="27" t="n">
        <f>IF(K66=0,"",L66/K66)</f>
        <v>0.6079847101295391</v>
      </c>
      <c r="K66" s="23" t="n">
        <f>SUMIFS('供应商月度明细'!$J$5:$J$155,'供应商月度明细'!$A$5:$A$155,$A66,'供应商月度明细'!$C$5:$C$155,$C66,'供应商月度明细'!$D$5:$D$155,$E66)</f>
        <v>22.423809523809524</v>
      </c>
      <c r="L66" s="23" t="n">
        <f>SUMIFS('供应商月度明细'!$K$5:$K$155,'供应商月度明细'!$A$5:$A$155,$A66,'供应商月度明细'!$C$5:$C$155,$C66,'供应商月度明细'!$D$5:$D$155,$E66)</f>
        <v>13.633333333333333</v>
      </c>
      <c r="M66" s="23" t="n">
        <f>SUMIFS('供应商月度明细'!$M$5:$M$155,'供应商月度明细'!$A$5:$A$155,$A66,'供应商月度明细'!$C$5:$C$155,$C66,'供应商月度明细'!$D$5:$D$155,$E66)</f>
        <v>4.576190476190476</v>
      </c>
    </row>
    <row r="67">
      <c r="A67" s="31" t="str">
        <v>德国区</v>
      </c>
      <c r="B67" s="31" t="str">
        <v>HP Personalmanagement</v>
      </c>
      <c r="C67" s="31" t="str">
        <v>S000020</v>
      </c>
      <c r="D67" s="31" t="str">
        <v>供应商汇总</v>
      </c>
      <c r="E67" s="31" t="str">
        <v>全部工种</v>
      </c>
      <c r="F67" s="32" t="n">
        <f>IF(SUMIFS('供应商月度明细'!$J$5:$J$155,'供应商月度明细'!$A$5:$A$155,$A67,'供应商月度明细'!$C$5:$C$155,$C67,'供应商月度明细'!$E$5:$E$155,"2026-04")=0,"",SUMIFS('供应商月度明细'!$K$5:$K$155,'供应商月度明细'!$A$5:$A$155,$A67,'供应商月度明细'!$C$5:$C$155,$C67,'供应商月度明细'!$E$5:$E$155,"2026-04")/SUMIFS('供应商月度明细'!$J$5:$J$155,'供应商月度明细'!$A$5:$A$155,$A67,'供应商月度明细'!$C$5:$C$155,$C67,'供应商月度明细'!$E$5:$E$155,"2026-04"))</f>
        <v>0</v>
      </c>
      <c r="G67" s="32" t="n">
        <f>IF(SUMIFS('供应商月度明细'!$J$5:$J$155,'供应商月度明细'!$A$5:$A$155,$A67,'供应商月度明细'!$C$5:$C$155,$C67,'供应商月度明细'!$E$5:$E$155,"2026-05")=0,"",SUMIFS('供应商月度明细'!$K$5:$K$155,'供应商月度明细'!$A$5:$A$155,$A67,'供应商月度明细'!$C$5:$C$155,$C67,'供应商月度明细'!$E$5:$E$155,"2026-05")/SUMIFS('供应商月度明细'!$J$5:$J$155,'供应商月度明细'!$A$5:$A$155,$A67,'供应商月度明细'!$C$5:$C$155,$C67,'供应商月度明细'!$E$5:$E$155,"2026-05"))</f>
        <v>1</v>
      </c>
      <c r="H67" s="32" t="n">
        <f>IF(SUMIFS('供应商月度明细'!$J$5:$J$155,'供应商月度明细'!$A$5:$A$155,$A67,'供应商月度明细'!$C$5:$C$155,$C67,'供应商月度明细'!$E$5:$E$155,"2026-06")=0,"",SUMIFS('供应商月度明细'!$K$5:$K$155,'供应商月度明细'!$A$5:$A$155,$A67,'供应商月度明细'!$C$5:$C$155,$C67,'供应商月度明细'!$E$5:$E$155,"2026-06")/SUMIFS('供应商月度明细'!$J$5:$J$155,'供应商月度明细'!$A$5:$A$155,$A67,'供应商月度明细'!$C$5:$C$155,$C67,'供应商月度明细'!$E$5:$E$155,"2026-06"))</f>
        <v>0.6461232604373758</v>
      </c>
      <c r="I67" s="32" t="n">
        <f>IF(COUNT(F67:H67)=0,"",AVERAGE(F67:H67))</f>
        <v>0.5487077534791253</v>
      </c>
      <c r="J67" s="32" t="n">
        <f>IF(K67=0,"",L67/K67)</f>
        <v>0.6079847101295391</v>
      </c>
      <c r="K67" s="33" t="n">
        <f>SUMIFS('供应商月度明细'!$J$5:$J$155,'供应商月度明细'!$A$5:$A$155,$A67,'供应商月度明细'!$C$5:$C$155,$C67)</f>
        <v>22.423809523809524</v>
      </c>
      <c r="L67" s="33" t="n">
        <f>SUMIFS('供应商月度明细'!$K$5:$K$155,'供应商月度明细'!$A$5:$A$155,$A67,'供应商月度明细'!$C$5:$C$155,$C67)</f>
        <v>13.633333333333333</v>
      </c>
      <c r="M67" s="33" t="n">
        <f>SUMIFS('供应商月度明细'!$M$5:$M$155,'供应商月度明细'!$A$5:$A$155,$A67,'供应商月度明细'!$C$5:$C$155,$C67)</f>
        <v>4.576190476190476</v>
      </c>
    </row>
    <row r="68">
      <c r="A68" s="19" t="str">
        <v>德国区</v>
      </c>
      <c r="B68" s="19" t="str">
        <v>JS Logistik GmbH</v>
      </c>
      <c r="C68" s="19" t="str">
        <v>S000328</v>
      </c>
      <c r="D68" s="19" t="str">
        <v>工种明细</v>
      </c>
      <c r="E68" s="19" t="str">
        <v>操作员</v>
      </c>
      <c r="F68" s="27" t="str">
        <f>IF(SUMIFS('供应商月度明细'!$J$5:$J$155,'供应商月度明细'!$A$5:$A$155,$A68,'供应商月度明细'!$C$5:$C$155,$C68,'供应商月度明细'!$D$5:$D$155,$E68,'供应商月度明细'!$E$5:$E$155,"2026-04")=0,"",SUMIFS('供应商月度明细'!$K$5:$K$155,'供应商月度明细'!$A$5:$A$155,$A68,'供应商月度明细'!$C$5:$C$155,$C68,'供应商月度明细'!$D$5:$D$155,$E68,'供应商月度明细'!$E$5:$E$155,"2026-04")/SUMIFS('供应商月度明细'!$J$5:$J$155,'供应商月度明细'!$A$5:$A$155,$A68,'供应商月度明细'!$C$5:$C$155,$C68,'供应商月度明细'!$D$5:$D$155,$E68,'供应商月度明细'!$E$5:$E$155,"2026-04"))</f>
      </c>
      <c r="G68" s="27" t="n">
        <f>IF(SUMIFS('供应商月度明细'!$J$5:$J$155,'供应商月度明细'!$A$5:$A$155,$A68,'供应商月度明细'!$C$5:$C$155,$C68,'供应商月度明细'!$D$5:$D$155,$E68,'供应商月度明细'!$E$5:$E$155,"2026-05")=0,"",SUMIFS('供应商月度明细'!$K$5:$K$155,'供应商月度明细'!$A$5:$A$155,$A68,'供应商月度明细'!$C$5:$C$155,$C68,'供应商月度明细'!$D$5:$D$155,$E68,'供应商月度明细'!$E$5:$E$155,"2026-05")/SUMIFS('供应商月度明细'!$J$5:$J$155,'供应商月度明细'!$A$5:$A$155,$A68,'供应商月度明细'!$C$5:$C$155,$C68,'供应商月度明细'!$D$5:$D$155,$E68,'供应商月度明细'!$E$5:$E$155,"2026-05"))</f>
        <v>1</v>
      </c>
      <c r="H68" s="27" t="n">
        <f>IF(SUMIFS('供应商月度明细'!$J$5:$J$155,'供应商月度明细'!$A$5:$A$155,$A68,'供应商月度明细'!$C$5:$C$155,$C68,'供应商月度明细'!$D$5:$D$155,$E68,'供应商月度明细'!$E$5:$E$155,"2026-06")=0,"",SUMIFS('供应商月度明细'!$K$5:$K$155,'供应商月度明细'!$A$5:$A$155,$A68,'供应商月度明细'!$C$5:$C$155,$C68,'供应商月度明细'!$D$5:$D$155,$E68,'供应商月度明细'!$E$5:$E$155,"2026-06")/SUMIFS('供应商月度明细'!$J$5:$J$155,'供应商月度明细'!$A$5:$A$155,$A68,'供应商月度明细'!$C$5:$C$155,$C68,'供应商月度明细'!$D$5:$D$155,$E68,'供应商月度明细'!$E$5:$E$155,"2026-06"))</f>
        <v>0.3939393939393939</v>
      </c>
      <c r="I68" s="27" t="n">
        <f>IF(COUNT(F68:H68)=0,"",AVERAGE(F68:H68))</f>
        <v>0.696969696969697</v>
      </c>
      <c r="J68" s="27" t="n">
        <f>IF(K68=0,"",L68/K68)</f>
        <v>0.4594594594594595</v>
      </c>
      <c r="K68" s="23" t="n">
        <f>SUMIFS('供应商月度明细'!$J$5:$J$155,'供应商月度明细'!$A$5:$A$155,$A68,'供应商月度明细'!$C$5:$C$155,$C68,'供应商月度明细'!$D$5:$D$155,$E68)</f>
        <v>18.5</v>
      </c>
      <c r="L68" s="23" t="n">
        <f>SUMIFS('供应商月度明细'!$K$5:$K$155,'供应商月度明细'!$A$5:$A$155,$A68,'供应商月度明细'!$C$5:$C$155,$C68,'供应商月度明细'!$D$5:$D$155,$E68)</f>
        <v>8.5</v>
      </c>
      <c r="M68" s="23" t="n">
        <f>SUMIFS('供应商月度明细'!$M$5:$M$155,'供应商月度明细'!$A$5:$A$155,$A68,'供应商月度明细'!$C$5:$C$155,$C68,'供应商月度明细'!$D$5:$D$155,$E68)</f>
        <v>2.5</v>
      </c>
    </row>
    <row r="69">
      <c r="A69" s="31" t="str">
        <v>德国区</v>
      </c>
      <c r="B69" s="31" t="str">
        <v>JS Logistik GmbH</v>
      </c>
      <c r="C69" s="31" t="str">
        <v>S000328</v>
      </c>
      <c r="D69" s="31" t="str">
        <v>供应商汇总</v>
      </c>
      <c r="E69" s="31" t="str">
        <v>全部工种</v>
      </c>
      <c r="F69" s="32" t="str">
        <f>IF(SUMIFS('供应商月度明细'!$J$5:$J$155,'供应商月度明细'!$A$5:$A$155,$A69,'供应商月度明细'!$C$5:$C$155,$C69,'供应商月度明细'!$E$5:$E$155,"2026-04")=0,"",SUMIFS('供应商月度明细'!$K$5:$K$155,'供应商月度明细'!$A$5:$A$155,$A69,'供应商月度明细'!$C$5:$C$155,$C69,'供应商月度明细'!$E$5:$E$155,"2026-04")/SUMIFS('供应商月度明细'!$J$5:$J$155,'供应商月度明细'!$A$5:$A$155,$A69,'供应商月度明细'!$C$5:$C$155,$C69,'供应商月度明细'!$E$5:$E$155,"2026-04"))</f>
      </c>
      <c r="G69" s="32" t="n">
        <f>IF(SUMIFS('供应商月度明细'!$J$5:$J$155,'供应商月度明细'!$A$5:$A$155,$A69,'供应商月度明细'!$C$5:$C$155,$C69,'供应商月度明细'!$E$5:$E$155,"2026-05")=0,"",SUMIFS('供应商月度明细'!$K$5:$K$155,'供应商月度明细'!$A$5:$A$155,$A69,'供应商月度明细'!$C$5:$C$155,$C69,'供应商月度明细'!$E$5:$E$155,"2026-05")/SUMIFS('供应商月度明细'!$J$5:$J$155,'供应商月度明细'!$A$5:$A$155,$A69,'供应商月度明细'!$C$5:$C$155,$C69,'供应商月度明细'!$E$5:$E$155,"2026-05"))</f>
        <v>1</v>
      </c>
      <c r="H69" s="32" t="n">
        <f>IF(SUMIFS('供应商月度明细'!$J$5:$J$155,'供应商月度明细'!$A$5:$A$155,$A69,'供应商月度明细'!$C$5:$C$155,$C69,'供应商月度明细'!$E$5:$E$155,"2026-06")=0,"",SUMIFS('供应商月度明细'!$K$5:$K$155,'供应商月度明细'!$A$5:$A$155,$A69,'供应商月度明细'!$C$5:$C$155,$C69,'供应商月度明细'!$E$5:$E$155,"2026-06")/SUMIFS('供应商月度明细'!$J$5:$J$155,'供应商月度明细'!$A$5:$A$155,$A69,'供应商月度明细'!$C$5:$C$155,$C69,'供应商月度明细'!$E$5:$E$155,"2026-06"))</f>
        <v>0.3939393939393939</v>
      </c>
      <c r="I69" s="32" t="n">
        <f>IF(COUNT(F69:H69)=0,"",AVERAGE(F69:H69))</f>
        <v>0.696969696969697</v>
      </c>
      <c r="J69" s="32" t="n">
        <f>IF(K69=0,"",L69/K69)</f>
        <v>0.4594594594594595</v>
      </c>
      <c r="K69" s="33" t="n">
        <f>SUMIFS('供应商月度明细'!$J$5:$J$155,'供应商月度明细'!$A$5:$A$155,$A69,'供应商月度明细'!$C$5:$C$155,$C69)</f>
        <v>18.5</v>
      </c>
      <c r="L69" s="33" t="n">
        <f>SUMIFS('供应商月度明细'!$K$5:$K$155,'供应商月度明细'!$A$5:$A$155,$A69,'供应商月度明细'!$C$5:$C$155,$C69)</f>
        <v>8.5</v>
      </c>
      <c r="M69" s="33" t="n">
        <f>SUMIFS('供应商月度明细'!$M$5:$M$155,'供应商月度明细'!$A$5:$A$155,$A69,'供应商月度明细'!$C$5:$C$155,$C69)</f>
        <v>2.5</v>
      </c>
    </row>
    <row r="70">
      <c r="A70" s="34" t="str">
        <v>德国区</v>
      </c>
      <c r="B70" s="34" t="str">
        <v>全区</v>
      </c>
      <c r="C70" s="34" t="str"/>
      <c r="D70" s="34" t="str">
        <v>区域汇总</v>
      </c>
      <c r="E70" s="34" t="str">
        <v>操作员</v>
      </c>
      <c r="F70" s="35" t="n">
        <f>IF(SUMIFS('供应商月度明细'!$J$5:$J$155,'供应商月度明细'!$A$5:$A$155,$A70,'供应商月度明细'!$D$5:$D$155,$E70,'供应商月度明细'!$E$5:$E$155,"2026-04")=0,"",SUMIFS('供应商月度明细'!$K$5:$K$155,'供应商月度明细'!$A$5:$A$155,$A70,'供应商月度明细'!$D$5:$D$155,$E70,'供应商月度明细'!$E$5:$E$155,"2026-04")/SUMIFS('供应商月度明细'!$J$5:$J$155,'供应商月度明细'!$A$5:$A$155,$A70,'供应商月度明细'!$D$5:$D$155,$E70,'供应商月度明细'!$E$5:$E$155,"2026-04"))</f>
        <v>0.842985842985843</v>
      </c>
      <c r="G70" s="35" t="n">
        <f>IF(SUMIFS('供应商月度明细'!$J$5:$J$155,'供应商月度明细'!$A$5:$A$155,$A70,'供应商月度明细'!$D$5:$D$155,$E70,'供应商月度明细'!$E$5:$E$155,"2026-05")=0,"",SUMIFS('供应商月度明细'!$K$5:$K$155,'供应商月度明细'!$A$5:$A$155,$A70,'供应商月度明细'!$D$5:$D$155,$E70,'供应商月度明细'!$E$5:$E$155,"2026-05")/SUMIFS('供应商月度明细'!$J$5:$J$155,'供应商月度明细'!$A$5:$A$155,$A70,'供应商月度明细'!$D$5:$D$155,$E70,'供应商月度明细'!$E$5:$E$155,"2026-05"))</f>
        <v>0.8875661375661376</v>
      </c>
      <c r="H70" s="35" t="n">
        <f>IF(SUMIFS('供应商月度明细'!$J$5:$J$155,'供应商月度明细'!$A$5:$A$155,$A70,'供应商月度明细'!$D$5:$D$155,$E70,'供应商月度明细'!$E$5:$E$155,"2026-06")=0,"",SUMIFS('供应商月度明细'!$K$5:$K$155,'供应商月度明细'!$A$5:$A$155,$A70,'供应商月度明细'!$D$5:$D$155,$E70,'供应商月度明细'!$E$5:$E$155,"2026-06")/SUMIFS('供应商月度明细'!$J$5:$J$155,'供应商月度明细'!$A$5:$A$155,$A70,'供应商月度明细'!$D$5:$D$155,$E70,'供应商月度明细'!$E$5:$E$155,"2026-06"))</f>
        <v>0.8475119937782275</v>
      </c>
      <c r="I70" s="35" t="n">
        <f>IF(COUNT(F70:H70)=0,"",AVERAGE(F70:H70))</f>
        <v>0.8593546581100694</v>
      </c>
      <c r="J70" s="35" t="n">
        <f>IF(K70=0,"",L70/K70)</f>
        <v>0.8591383398005279</v>
      </c>
      <c r="K70" s="36" t="n">
        <f>SUMIFS('供应商月度明细'!$J$5:$J$155,'供应商月度明细'!$A$5:$A$155,$A70,'供应商月度明细'!$D$5:$D$155,$E70)</f>
        <v>1042</v>
      </c>
      <c r="L70" s="36" t="n">
        <f>SUMIFS('供应商月度明细'!$K$5:$K$155,'供应商月度明细'!$A$5:$A$155,$A70,'供应商月度明细'!$D$5:$D$155,$E70)</f>
        <v>895.22215007215</v>
      </c>
      <c r="M70" s="36" t="n">
        <f>SUMIFS('供应商月度明细'!$M$5:$M$155,'供应商月度明细'!$A$5:$A$155,$A70,'供应商月度明细'!$D$5:$D$155,$E70)</f>
        <v>247</v>
      </c>
    </row>
    <row r="71">
      <c r="A71" s="34" t="str">
        <v>德国区</v>
      </c>
      <c r="B71" s="34" t="str">
        <v>全区</v>
      </c>
      <c r="C71" s="34" t="str"/>
      <c r="D71" s="34" t="str">
        <v>区域汇总</v>
      </c>
      <c r="E71" s="34" t="str">
        <v>售后处理员</v>
      </c>
      <c r="F71" s="35" t="n">
        <f>IF(SUMIFS('供应商月度明细'!$J$5:$J$155,'供应商月度明细'!$A$5:$A$155,$A71,'供应商月度明细'!$D$5:$D$155,$E71,'供应商月度明细'!$E$5:$E$155,"2026-04")=0,"",SUMIFS('供应商月度明细'!$K$5:$K$155,'供应商月度明细'!$A$5:$A$155,$A71,'供应商月度明细'!$D$5:$D$155,$E71,'供应商月度明细'!$E$5:$E$155,"2026-04")/SUMIFS('供应商月度明细'!$J$5:$J$155,'供应商月度明细'!$A$5:$A$155,$A71,'供应商月度明细'!$D$5:$D$155,$E71,'供应商月度明细'!$E$5:$E$155,"2026-04"))</f>
        <v>0.2</v>
      </c>
      <c r="G71" s="35" t="n">
        <f>IF(SUMIFS('供应商月度明细'!$J$5:$J$155,'供应商月度明细'!$A$5:$A$155,$A71,'供应商月度明细'!$D$5:$D$155,$E71,'供应商月度明细'!$E$5:$E$155,"2026-05")=0,"",SUMIFS('供应商月度明细'!$K$5:$K$155,'供应商月度明细'!$A$5:$A$155,$A71,'供应商月度明细'!$D$5:$D$155,$E71,'供应商月度明细'!$E$5:$E$155,"2026-05")/SUMIFS('供应商月度明细'!$J$5:$J$155,'供应商月度明细'!$A$5:$A$155,$A71,'供应商月度明细'!$D$5:$D$155,$E71,'供应商月度明细'!$E$5:$E$155,"2026-05"))</f>
        <v>0.5</v>
      </c>
      <c r="H71" s="35" t="n">
        <f>IF(SUMIFS('供应商月度明细'!$J$5:$J$155,'供应商月度明细'!$A$5:$A$155,$A71,'供应商月度明细'!$D$5:$D$155,$E71,'供应商月度明细'!$E$5:$E$155,"2026-06")=0,"",SUMIFS('供应商月度明细'!$K$5:$K$155,'供应商月度明细'!$A$5:$A$155,$A71,'供应商月度明细'!$D$5:$D$155,$E71,'供应商月度明细'!$E$5:$E$155,"2026-06")/SUMIFS('供应商月度明细'!$J$5:$J$155,'供应商月度明细'!$A$5:$A$155,$A71,'供应商月度明细'!$D$5:$D$155,$E71,'供应商月度明细'!$E$5:$E$155,"2026-06"))</f>
        <v>0.6666666666666666</v>
      </c>
      <c r="I71" s="35" t="n">
        <f>IF(COUNT(F71:H71)=0,"",AVERAGE(F71:H71))</f>
        <v>0.45555555555555555</v>
      </c>
      <c r="J71" s="35" t="n">
        <f>IF(K71=0,"",L71/K71)</f>
        <v>0.4583333333333333</v>
      </c>
      <c r="K71" s="36" t="n">
        <f>SUMIFS('供应商月度明细'!$J$5:$J$155,'供应商月度明细'!$A$5:$A$155,$A71,'供应商月度明细'!$D$5:$D$155,$E71)</f>
        <v>24</v>
      </c>
      <c r="L71" s="36" t="n">
        <f>SUMIFS('供应商月度明细'!$K$5:$K$155,'供应商月度明细'!$A$5:$A$155,$A71,'供应商月度明细'!$D$5:$D$155,$E71)</f>
        <v>11</v>
      </c>
      <c r="M71" s="36" t="n">
        <f>SUMIFS('供应商月度明细'!$M$5:$M$155,'供应商月度明细'!$A$5:$A$155,$A71,'供应商月度明细'!$D$5:$D$155,$E71)</f>
        <v>6</v>
      </c>
    </row>
    <row r="72">
      <c r="A72" s="34" t="str">
        <v>德国区</v>
      </c>
      <c r="B72" s="34" t="str">
        <v>全区</v>
      </c>
      <c r="C72" s="34" t="str"/>
      <c r="D72" s="34" t="str">
        <v>区域汇总</v>
      </c>
      <c r="E72" s="34" t="str">
        <v>保洁员</v>
      </c>
      <c r="F72" s="35" t="n">
        <f>IF(SUMIFS('供应商月度明细'!$J$5:$J$155,'供应商月度明细'!$A$5:$A$155,$A72,'供应商月度明细'!$D$5:$D$155,$E72,'供应商月度明细'!$E$5:$E$155,"2026-04")=0,"",SUMIFS('供应商月度明细'!$K$5:$K$155,'供应商月度明细'!$A$5:$A$155,$A72,'供应商月度明细'!$D$5:$D$155,$E72,'供应商月度明细'!$E$5:$E$155,"2026-04")/SUMIFS('供应商月度明细'!$J$5:$J$155,'供应商月度明细'!$A$5:$A$155,$A72,'供应商月度明细'!$D$5:$D$155,$E72,'供应商月度明细'!$E$5:$E$155,"2026-04"))</f>
        <v>1</v>
      </c>
      <c r="G72" s="35" t="n">
        <f>IF(SUMIFS('供应商月度明细'!$J$5:$J$155,'供应商月度明细'!$A$5:$A$155,$A72,'供应商月度明细'!$D$5:$D$155,$E72,'供应商月度明细'!$E$5:$E$155,"2026-05")=0,"",SUMIFS('供应商月度明细'!$K$5:$K$155,'供应商月度明细'!$A$5:$A$155,$A72,'供应商月度明细'!$D$5:$D$155,$E72,'供应商月度明细'!$E$5:$E$155,"2026-05")/SUMIFS('供应商月度明细'!$J$5:$J$155,'供应商月度明细'!$A$5:$A$155,$A72,'供应商月度明细'!$D$5:$D$155,$E72,'供应商月度明细'!$E$5:$E$155,"2026-05"))</f>
        <v>1</v>
      </c>
      <c r="H72" s="35" t="n">
        <f>IF(SUMIFS('供应商月度明细'!$J$5:$J$155,'供应商月度明细'!$A$5:$A$155,$A72,'供应商月度明细'!$D$5:$D$155,$E72,'供应商月度明细'!$E$5:$E$155,"2026-06")=0,"",SUMIFS('供应商月度明细'!$K$5:$K$155,'供应商月度明细'!$A$5:$A$155,$A72,'供应商月度明细'!$D$5:$D$155,$E72,'供应商月度明细'!$E$5:$E$155,"2026-06")/SUMIFS('供应商月度明细'!$J$5:$J$155,'供应商月度明细'!$A$5:$A$155,$A72,'供应商月度明细'!$D$5:$D$155,$E72,'供应商月度明细'!$E$5:$E$155,"2026-06"))</f>
        <v>0.75</v>
      </c>
      <c r="I72" s="35" t="n">
        <f>IF(COUNT(F72:H72)=0,"",AVERAGE(F72:H72))</f>
        <v>0.9166666666666666</v>
      </c>
      <c r="J72" s="35" t="n">
        <f>IF(K72=0,"",L72/K72)</f>
        <v>0.875</v>
      </c>
      <c r="K72" s="36" t="n">
        <f>SUMIFS('供应商月度明细'!$J$5:$J$155,'供应商月度明细'!$A$5:$A$155,$A72,'供应商月度明细'!$D$5:$D$155,$E72)</f>
        <v>8</v>
      </c>
      <c r="L72" s="36" t="n">
        <f>SUMIFS('供应商月度明细'!$K$5:$K$155,'供应商月度明细'!$A$5:$A$155,$A72,'供应商月度明细'!$D$5:$D$155,$E72)</f>
        <v>7</v>
      </c>
      <c r="M72" s="36" t="n">
        <f>SUMIFS('供应商月度明细'!$M$5:$M$155,'供应商月度明细'!$A$5:$A$155,$A72,'供应商月度明细'!$D$5:$D$155,$E72)</f>
        <v>1</v>
      </c>
    </row>
    <row r="73">
      <c r="A73" s="37" t="str">
        <v>德国区</v>
      </c>
      <c r="B73" s="37" t="str">
        <v>全区</v>
      </c>
      <c r="C73" s="37" t="str"/>
      <c r="D73" s="37" t="str">
        <v>区域汇总</v>
      </c>
      <c r="E73" s="37" t="str">
        <v>全部工种</v>
      </c>
      <c r="F73" s="38" t="n">
        <f>IF(SUMIFS('供应商月度明细'!$J$5:$J$155,'供应商月度明细'!$A$5:$A$155,$A73,'供应商月度明细'!$E$5:$E$155,"2026-04")=0,"",SUMIFS('供应商月度明细'!$K$5:$K$155,'供应商月度明细'!$A$5:$A$155,$A73,'供应商月度明细'!$E$5:$E$155,"2026-04")/SUMIFS('供应商月度明细'!$J$5:$J$155,'供应商月度明细'!$A$5:$A$155,$A73,'供应商月度明细'!$E$5:$E$155,"2026-04"))</f>
        <v>0.8168498168498168</v>
      </c>
      <c r="G73" s="38" t="n">
        <f>IF(SUMIFS('供应商月度明细'!$J$5:$J$155,'供应商月度明细'!$A$5:$A$155,$A73,'供应商月度明细'!$E$5:$E$155,"2026-05")=0,"",SUMIFS('供应商月度明细'!$K$5:$K$155,'供应商月度明细'!$A$5:$A$155,$A73,'供应商月度明细'!$E$5:$E$155,"2026-05")/SUMIFS('供应商月度明细'!$J$5:$J$155,'供应商月度明细'!$A$5:$A$155,$A73,'供应商月度明细'!$E$5:$E$155,"2026-05"))</f>
        <v>0.8700099800399201</v>
      </c>
      <c r="H73" s="38" t="n">
        <f>IF(SUMIFS('供应商月度明细'!$J$5:$J$155,'供应商月度明细'!$A$5:$A$155,$A73,'供应商月度明细'!$E$5:$E$155,"2026-06")=0,"",SUMIFS('供应商月度明细'!$K$5:$K$155,'供应商月度明细'!$A$5:$A$155,$A73,'供应商月度明细'!$E$5:$E$155,"2026-06")/SUMIFS('供应商月度明细'!$J$5:$J$155,'供应商月度明细'!$A$5:$A$155,$A73,'供应商月度明细'!$E$5:$E$155,"2026-06"))</f>
        <v>0.8460150692895475</v>
      </c>
      <c r="I73" s="38" t="n">
        <f>IF(COUNT(F73:H73)=0,"",AVERAGE(F73:H73))</f>
        <v>0.8442916220597615</v>
      </c>
      <c r="J73" s="38" t="n">
        <f>IF(K73=0,"",L73/K73)</f>
        <v>0.850299953512244</v>
      </c>
      <c r="K73" s="39" t="n">
        <f>SUMIFS('供应商月度明细'!$J$5:$J$155,'供应商月度明细'!$A$5:$A$155,$A73)</f>
        <v>1074</v>
      </c>
      <c r="L73" s="39" t="n">
        <f>SUMIFS('供应商月度明细'!$K$5:$K$155,'供应商月度明细'!$A$5:$A$155,$A73)</f>
        <v>913.22215007215</v>
      </c>
      <c r="M73" s="39" t="n">
        <f>SUMIFS('供应商月度明细'!$M$5:$M$155,'供应商月度明细'!$A$5:$A$155,$A73)</f>
        <v>254</v>
      </c>
    </row>
    <row r="74">
      <c r="A74" s="19" t="str">
        <v>波兰区</v>
      </c>
      <c r="B74" s="19" t="str">
        <v>Tez sp z o.o.</v>
      </c>
      <c r="C74" s="19" t="str">
        <v>S000298</v>
      </c>
      <c r="D74" s="19" t="str">
        <v>工种明细</v>
      </c>
      <c r="E74" s="19" t="str">
        <v>操作员</v>
      </c>
      <c r="F74" s="27" t="n">
        <f>IF(SUMIFS('供应商月度明细'!$J$5:$J$155,'供应商月度明细'!$A$5:$A$155,$A74,'供应商月度明细'!$C$5:$C$155,$C74,'供应商月度明细'!$D$5:$D$155,$E74,'供应商月度明细'!$E$5:$E$155,"2026-04")=0,"",SUMIFS('供应商月度明细'!$K$5:$K$155,'供应商月度明细'!$A$5:$A$155,$A74,'供应商月度明细'!$C$5:$C$155,$C74,'供应商月度明细'!$D$5:$D$155,$E74,'供应商月度明细'!$E$5:$E$155,"2026-04")/SUMIFS('供应商月度明细'!$J$5:$J$155,'供应商月度明细'!$A$5:$A$155,$A74,'供应商月度明细'!$C$5:$C$155,$C74,'供应商月度明细'!$D$5:$D$155,$E74,'供应商月度明细'!$E$5:$E$155,"2026-04"))</f>
        <v>1</v>
      </c>
      <c r="G74" s="27" t="n">
        <f>IF(SUMIFS('供应商月度明细'!$J$5:$J$155,'供应商月度明细'!$A$5:$A$155,$A74,'供应商月度明细'!$C$5:$C$155,$C74,'供应商月度明细'!$D$5:$D$155,$E74,'供应商月度明细'!$E$5:$E$155,"2026-05")=0,"",SUMIFS('供应商月度明细'!$K$5:$K$155,'供应商月度明细'!$A$5:$A$155,$A74,'供应商月度明细'!$C$5:$C$155,$C74,'供应商月度明细'!$D$5:$D$155,$E74,'供应商月度明细'!$E$5:$E$155,"2026-05")/SUMIFS('供应商月度明细'!$J$5:$J$155,'供应商月度明细'!$A$5:$A$155,$A74,'供应商月度明细'!$C$5:$C$155,$C74,'供应商月度明细'!$D$5:$D$155,$E74,'供应商月度明细'!$E$5:$E$155,"2026-05"))</f>
        <v>0.7196298507242579</v>
      </c>
      <c r="H74" s="27" t="n">
        <f>IF(SUMIFS('供应商月度明细'!$J$5:$J$155,'供应商月度明细'!$A$5:$A$155,$A74,'供应商月度明细'!$C$5:$C$155,$C74,'供应商月度明细'!$D$5:$D$155,$E74,'供应商月度明细'!$E$5:$E$155,"2026-06")=0,"",SUMIFS('供应商月度明细'!$K$5:$K$155,'供应商月度明细'!$A$5:$A$155,$A74,'供应商月度明细'!$C$5:$C$155,$C74,'供应商月度明细'!$D$5:$D$155,$E74,'供应商月度明细'!$E$5:$E$155,"2026-06")/SUMIFS('供应商月度明细'!$J$5:$J$155,'供应商月度明细'!$A$5:$A$155,$A74,'供应商月度明细'!$C$5:$C$155,$C74,'供应商月度明细'!$D$5:$D$155,$E74,'供应商月度明细'!$E$5:$E$155,"2026-06"))</f>
        <v>0.37500810723165057</v>
      </c>
      <c r="I74" s="27" t="n">
        <f>IF(COUNT(F74:H74)=0,"",AVERAGE(F74:H74))</f>
        <v>0.6982126526519695</v>
      </c>
      <c r="J74" s="27" t="n">
        <f>IF(K74=0,"",L74/K74)</f>
        <v>0.5926738990917861</v>
      </c>
      <c r="K74" s="23" t="n">
        <f>SUMIFS('供应商月度明细'!$J$5:$J$155,'供应商月度明细'!$A$5:$A$155,$A74,'供应商月度明细'!$C$5:$C$155,$C74,'供应商月度明细'!$D$5:$D$155,$E74)</f>
        <v>279.60103834021186</v>
      </c>
      <c r="L74" s="23" t="n">
        <f>SUMIFS('供应商月度明细'!$K$5:$K$155,'供应商月度明细'!$A$5:$A$155,$A74,'供应商月度明细'!$C$5:$C$155,$C74,'供应商月度明细'!$D$5:$D$155,$E74)</f>
        <v>165.71223758320534</v>
      </c>
      <c r="M74" s="23" t="n">
        <f>SUMIFS('供应商月度明细'!$M$5:$M$155,'供应商月度明细'!$A$5:$A$155,$A74,'供应商月度明细'!$C$5:$C$155,$C74,'供应商月度明细'!$D$5:$D$155,$E74)</f>
        <v>95.39896165978818</v>
      </c>
    </row>
    <row r="75">
      <c r="A75" s="31" t="str">
        <v>波兰区</v>
      </c>
      <c r="B75" s="31" t="str">
        <v>Tez sp z o.o.</v>
      </c>
      <c r="C75" s="31" t="str">
        <v>S000298</v>
      </c>
      <c r="D75" s="31" t="str">
        <v>供应商汇总</v>
      </c>
      <c r="E75" s="31" t="str">
        <v>全部工种</v>
      </c>
      <c r="F75" s="32" t="n">
        <f>IF(SUMIFS('供应商月度明细'!$J$5:$J$155,'供应商月度明细'!$A$5:$A$155,$A75,'供应商月度明细'!$C$5:$C$155,$C75,'供应商月度明细'!$E$5:$E$155,"2026-04")=0,"",SUMIFS('供应商月度明细'!$K$5:$K$155,'供应商月度明细'!$A$5:$A$155,$A75,'供应商月度明细'!$C$5:$C$155,$C75,'供应商月度明细'!$E$5:$E$155,"2026-04")/SUMIFS('供应商月度明细'!$J$5:$J$155,'供应商月度明细'!$A$5:$A$155,$A75,'供应商月度明细'!$C$5:$C$155,$C75,'供应商月度明细'!$E$5:$E$155,"2026-04"))</f>
        <v>1</v>
      </c>
      <c r="G75" s="32" t="n">
        <f>IF(SUMIFS('供应商月度明细'!$J$5:$J$155,'供应商月度明细'!$A$5:$A$155,$A75,'供应商月度明细'!$C$5:$C$155,$C75,'供应商月度明细'!$E$5:$E$155,"2026-05")=0,"",SUMIFS('供应商月度明细'!$K$5:$K$155,'供应商月度明细'!$A$5:$A$155,$A75,'供应商月度明细'!$C$5:$C$155,$C75,'供应商月度明细'!$E$5:$E$155,"2026-05")/SUMIFS('供应商月度明细'!$J$5:$J$155,'供应商月度明细'!$A$5:$A$155,$A75,'供应商月度明细'!$C$5:$C$155,$C75,'供应商月度明细'!$E$5:$E$155,"2026-05"))</f>
        <v>0.7196298507242579</v>
      </c>
      <c r="H75" s="32" t="n">
        <f>IF(SUMIFS('供应商月度明细'!$J$5:$J$155,'供应商月度明细'!$A$5:$A$155,$A75,'供应商月度明细'!$C$5:$C$155,$C75,'供应商月度明细'!$E$5:$E$155,"2026-06")=0,"",SUMIFS('供应商月度明细'!$K$5:$K$155,'供应商月度明细'!$A$5:$A$155,$A75,'供应商月度明细'!$C$5:$C$155,$C75,'供应商月度明细'!$E$5:$E$155,"2026-06")/SUMIFS('供应商月度明细'!$J$5:$J$155,'供应商月度明细'!$A$5:$A$155,$A75,'供应商月度明细'!$C$5:$C$155,$C75,'供应商月度明细'!$E$5:$E$155,"2026-06"))</f>
        <v>0.37500810723165057</v>
      </c>
      <c r="I75" s="32" t="n">
        <f>IF(COUNT(F75:H75)=0,"",AVERAGE(F75:H75))</f>
        <v>0.6982126526519695</v>
      </c>
      <c r="J75" s="32" t="n">
        <f>IF(K75=0,"",L75/K75)</f>
        <v>0.5926738990917861</v>
      </c>
      <c r="K75" s="33" t="n">
        <f>SUMIFS('供应商月度明细'!$J$5:$J$155,'供应商月度明细'!$A$5:$A$155,$A75,'供应商月度明细'!$C$5:$C$155,$C75)</f>
        <v>279.60103834021186</v>
      </c>
      <c r="L75" s="33" t="n">
        <f>SUMIFS('供应商月度明细'!$K$5:$K$155,'供应商月度明细'!$A$5:$A$155,$A75,'供应商月度明细'!$C$5:$C$155,$C75)</f>
        <v>165.71223758320534</v>
      </c>
      <c r="M75" s="33" t="n">
        <f>SUMIFS('供应商月度明细'!$M$5:$M$155,'供应商月度明细'!$A$5:$A$155,$A75,'供应商月度明细'!$C$5:$C$155,$C75)</f>
        <v>95.39896165978818</v>
      </c>
    </row>
    <row r="76">
      <c r="A76" s="19" t="str">
        <v>波兰区</v>
      </c>
      <c r="B76" s="19" t="str">
        <v>Work-up sp. z o.o. sp. k.</v>
      </c>
      <c r="C76" s="19" t="str">
        <v>S000286</v>
      </c>
      <c r="D76" s="19" t="str">
        <v>工种明细</v>
      </c>
      <c r="E76" s="19" t="str">
        <v>操作员</v>
      </c>
      <c r="F76" s="27" t="n">
        <f>IF(SUMIFS('供应商月度明细'!$J$5:$J$155,'供应商月度明细'!$A$5:$A$155,$A76,'供应商月度明细'!$C$5:$C$155,$C76,'供应商月度明细'!$D$5:$D$155,$E76,'供应商月度明细'!$E$5:$E$155,"2026-04")=0,"",SUMIFS('供应商月度明细'!$K$5:$K$155,'供应商月度明细'!$A$5:$A$155,$A76,'供应商月度明细'!$C$5:$C$155,$C76,'供应商月度明细'!$D$5:$D$155,$E76,'供应商月度明细'!$E$5:$E$155,"2026-04")/SUMIFS('供应商月度明细'!$J$5:$J$155,'供应商月度明细'!$A$5:$A$155,$A76,'供应商月度明细'!$C$5:$C$155,$C76,'供应商月度明细'!$D$5:$D$155,$E76,'供应商月度明细'!$E$5:$E$155,"2026-04"))</f>
        <v>0.9812755185391774</v>
      </c>
      <c r="G76" s="27" t="n">
        <f>IF(SUMIFS('供应商月度明细'!$J$5:$J$155,'供应商月度明细'!$A$5:$A$155,$A76,'供应商月度明细'!$C$5:$C$155,$C76,'供应商月度明细'!$D$5:$D$155,$E76,'供应商月度明细'!$E$5:$E$155,"2026-05")=0,"",SUMIFS('供应商月度明细'!$K$5:$K$155,'供应商月度明细'!$A$5:$A$155,$A76,'供应商月度明细'!$C$5:$C$155,$C76,'供应商月度明细'!$D$5:$D$155,$E76,'供应商月度明细'!$E$5:$E$155,"2026-05")/SUMIFS('供应商月度明细'!$J$5:$J$155,'供应商月度明细'!$A$5:$A$155,$A76,'供应商月度明细'!$C$5:$C$155,$C76,'供应商月度明细'!$D$5:$D$155,$E76,'供应商月度明细'!$E$5:$E$155,"2026-05"))</f>
        <v>0.8174940984490231</v>
      </c>
      <c r="H76" s="27" t="n">
        <f>IF(SUMIFS('供应商月度明细'!$J$5:$J$155,'供应商月度明细'!$A$5:$A$155,$A76,'供应商月度明细'!$C$5:$C$155,$C76,'供应商月度明细'!$D$5:$D$155,$E76,'供应商月度明细'!$E$5:$E$155,"2026-06")=0,"",SUMIFS('供应商月度明细'!$K$5:$K$155,'供应商月度明细'!$A$5:$A$155,$A76,'供应商月度明细'!$C$5:$C$155,$C76,'供应商月度明细'!$D$5:$D$155,$E76,'供应商月度明细'!$E$5:$E$155,"2026-06")/SUMIFS('供应商月度明细'!$J$5:$J$155,'供应商月度明细'!$A$5:$A$155,$A76,'供应商月度明细'!$C$5:$C$155,$C76,'供应商月度明细'!$D$5:$D$155,$E76,'供应商月度明细'!$E$5:$E$155,"2026-06"))</f>
        <v>0.5809673973856874</v>
      </c>
      <c r="I76" s="27" t="n">
        <f>IF(COUNT(F76:H76)=0,"",AVERAGE(F76:H76))</f>
        <v>0.7932456714579627</v>
      </c>
      <c r="J76" s="27" t="n">
        <f>IF(K76=0,"",L76/K76)</f>
        <v>0.752180534010876</v>
      </c>
      <c r="K76" s="23" t="n">
        <f>SUMIFS('供应商月度明细'!$J$5:$J$155,'供应商月度明细'!$A$5:$A$155,$A76,'供应商月度明细'!$C$5:$C$155,$C76,'供应商月度明细'!$D$5:$D$155,$E76)</f>
        <v>252.90292667369835</v>
      </c>
      <c r="L76" s="23" t="n">
        <f>SUMIFS('供应商月度明细'!$K$5:$K$155,'供应商月度明细'!$A$5:$A$155,$A76,'供应商月度明细'!$C$5:$C$155,$C76,'供应商月度明细'!$D$5:$D$155,$E76)</f>
        <v>190.22865843833586</v>
      </c>
      <c r="M76" s="23" t="n">
        <f>SUMIFS('供应商月度明细'!$M$5:$M$155,'供应商月度明细'!$A$5:$A$155,$A76,'供应商月度明细'!$C$5:$C$155,$C76,'供应商月度明细'!$D$5:$D$155,$E76)</f>
        <v>61.09707332630166</v>
      </c>
    </row>
    <row r="77">
      <c r="A77" s="31" t="str">
        <v>波兰区</v>
      </c>
      <c r="B77" s="31" t="str">
        <v>Work-up sp. z o.o. sp. k.</v>
      </c>
      <c r="C77" s="31" t="str">
        <v>S000286</v>
      </c>
      <c r="D77" s="31" t="str">
        <v>供应商汇总</v>
      </c>
      <c r="E77" s="31" t="str">
        <v>全部工种</v>
      </c>
      <c r="F77" s="32" t="n">
        <f>IF(SUMIFS('供应商月度明细'!$J$5:$J$155,'供应商月度明细'!$A$5:$A$155,$A77,'供应商月度明细'!$C$5:$C$155,$C77,'供应商月度明细'!$E$5:$E$155,"2026-04")=0,"",SUMIFS('供应商月度明细'!$K$5:$K$155,'供应商月度明细'!$A$5:$A$155,$A77,'供应商月度明细'!$C$5:$C$155,$C77,'供应商月度明细'!$E$5:$E$155,"2026-04")/SUMIFS('供应商月度明细'!$J$5:$J$155,'供应商月度明细'!$A$5:$A$155,$A77,'供应商月度明细'!$C$5:$C$155,$C77,'供应商月度明细'!$E$5:$E$155,"2026-04"))</f>
        <v>0.9812755185391774</v>
      </c>
      <c r="G77" s="32" t="n">
        <f>IF(SUMIFS('供应商月度明细'!$J$5:$J$155,'供应商月度明细'!$A$5:$A$155,$A77,'供应商月度明细'!$C$5:$C$155,$C77,'供应商月度明细'!$E$5:$E$155,"2026-05")=0,"",SUMIFS('供应商月度明细'!$K$5:$K$155,'供应商月度明细'!$A$5:$A$155,$A77,'供应商月度明细'!$C$5:$C$155,$C77,'供应商月度明细'!$E$5:$E$155,"2026-05")/SUMIFS('供应商月度明细'!$J$5:$J$155,'供应商月度明细'!$A$5:$A$155,$A77,'供应商月度明细'!$C$5:$C$155,$C77,'供应商月度明细'!$E$5:$E$155,"2026-05"))</f>
        <v>0.8174940984490231</v>
      </c>
      <c r="H77" s="32" t="n">
        <f>IF(SUMIFS('供应商月度明细'!$J$5:$J$155,'供应商月度明细'!$A$5:$A$155,$A77,'供应商月度明细'!$C$5:$C$155,$C77,'供应商月度明细'!$E$5:$E$155,"2026-06")=0,"",SUMIFS('供应商月度明细'!$K$5:$K$155,'供应商月度明细'!$A$5:$A$155,$A77,'供应商月度明细'!$C$5:$C$155,$C77,'供应商月度明细'!$E$5:$E$155,"2026-06")/SUMIFS('供应商月度明细'!$J$5:$J$155,'供应商月度明细'!$A$5:$A$155,$A77,'供应商月度明细'!$C$5:$C$155,$C77,'供应商月度明细'!$E$5:$E$155,"2026-06"))</f>
        <v>0.5809673973856874</v>
      </c>
      <c r="I77" s="32" t="n">
        <f>IF(COUNT(F77:H77)=0,"",AVERAGE(F77:H77))</f>
        <v>0.7932456714579627</v>
      </c>
      <c r="J77" s="32" t="n">
        <f>IF(K77=0,"",L77/K77)</f>
        <v>0.752180534010876</v>
      </c>
      <c r="K77" s="33" t="n">
        <f>SUMIFS('供应商月度明细'!$J$5:$J$155,'供应商月度明细'!$A$5:$A$155,$A77,'供应商月度明细'!$C$5:$C$155,$C77)</f>
        <v>252.90292667369835</v>
      </c>
      <c r="L77" s="33" t="n">
        <f>SUMIFS('供应商月度明细'!$K$5:$K$155,'供应商月度明细'!$A$5:$A$155,$A77,'供应商月度明细'!$C$5:$C$155,$C77)</f>
        <v>190.22865843833586</v>
      </c>
      <c r="M77" s="33" t="n">
        <f>SUMIFS('供应商月度明细'!$M$5:$M$155,'供应商月度明细'!$A$5:$A$155,$A77,'供应商月度明细'!$C$5:$C$155,$C77)</f>
        <v>61.09707332630166</v>
      </c>
    </row>
    <row r="78">
      <c r="A78" s="19" t="str">
        <v>波兰区</v>
      </c>
      <c r="B78" s="19" t="str">
        <v>ATLAS WORK SPÓŁKA Z OGRANICZONĄ ODPOWIEDZIALNOŚCIĄ</v>
      </c>
      <c r="C78" s="19" t="str">
        <v>S000201</v>
      </c>
      <c r="D78" s="19" t="str">
        <v>工种明细</v>
      </c>
      <c r="E78" s="19" t="str">
        <v>操作员</v>
      </c>
      <c r="F78" s="27" t="n">
        <f>IF(SUMIFS('供应商月度明细'!$J$5:$J$155,'供应商月度明细'!$A$5:$A$155,$A78,'供应商月度明细'!$C$5:$C$155,$C78,'供应商月度明细'!$D$5:$D$155,$E78,'供应商月度明细'!$E$5:$E$155,"2026-04")=0,"",SUMIFS('供应商月度明细'!$K$5:$K$155,'供应商月度明细'!$A$5:$A$155,$A78,'供应商月度明细'!$C$5:$C$155,$C78,'供应商月度明细'!$D$5:$D$155,$E78,'供应商月度明细'!$E$5:$E$155,"2026-04")/SUMIFS('供应商月度明细'!$J$5:$J$155,'供应商月度明细'!$A$5:$A$155,$A78,'供应商月度明细'!$C$5:$C$155,$C78,'供应商月度明细'!$D$5:$D$155,$E78,'供应商月度明细'!$E$5:$E$155,"2026-04"))</f>
        <v>0.9651400408702969</v>
      </c>
      <c r="G78" s="27" t="n">
        <f>IF(SUMIFS('供应商月度明细'!$J$5:$J$155,'供应商月度明细'!$A$5:$A$155,$A78,'供应商月度明细'!$C$5:$C$155,$C78,'供应商月度明细'!$D$5:$D$155,$E78,'供应商月度明细'!$E$5:$E$155,"2026-05")=0,"",SUMIFS('供应商月度明细'!$K$5:$K$155,'供应商月度明细'!$A$5:$A$155,$A78,'供应商月度明细'!$C$5:$C$155,$C78,'供应商月度明细'!$D$5:$D$155,$E78,'供应商月度明细'!$E$5:$E$155,"2026-05")/SUMIFS('供应商月度明细'!$J$5:$J$155,'供应商月度明细'!$A$5:$A$155,$A78,'供应商月度明细'!$C$5:$C$155,$C78,'供应商月度明细'!$D$5:$D$155,$E78,'供应商月度明细'!$E$5:$E$155,"2026-05"))</f>
        <v>0.719297138680273</v>
      </c>
      <c r="H78" s="27" t="n">
        <f>IF(SUMIFS('供应商月度明细'!$J$5:$J$155,'供应商月度明细'!$A$5:$A$155,$A78,'供应商月度明细'!$C$5:$C$155,$C78,'供应商月度明细'!$D$5:$D$155,$E78,'供应商月度明细'!$E$5:$E$155,"2026-06")=0,"",SUMIFS('供应商月度明细'!$K$5:$K$155,'供应商月度明细'!$A$5:$A$155,$A78,'供应商月度明细'!$C$5:$C$155,$C78,'供应商月度明细'!$D$5:$D$155,$E78,'供应商月度明细'!$E$5:$E$155,"2026-06")/SUMIFS('供应商月度明细'!$J$5:$J$155,'供应商月度明细'!$A$5:$A$155,$A78,'供应商月度明细'!$C$5:$C$155,$C78,'供应商月度明细'!$D$5:$D$155,$E78,'供应商月度明细'!$E$5:$E$155,"2026-06"))</f>
        <v>0.5550239234449761</v>
      </c>
      <c r="I78" s="27" t="n">
        <f>IF(COUNT(F78:H78)=0,"",AVERAGE(F78:H78))</f>
        <v>0.7464870343318486</v>
      </c>
      <c r="J78" s="27" t="n">
        <f>IF(K78=0,"",L78/K78)</f>
        <v>0.6820906397188945</v>
      </c>
      <c r="K78" s="23" t="n">
        <f>SUMIFS('供应商月度明细'!$J$5:$J$155,'供应商月度明细'!$A$5:$A$155,$A78,'供应商月度明细'!$C$5:$C$155,$C78,'供应商月度明细'!$D$5:$D$155,$E78)</f>
        <v>216.81181573339526</v>
      </c>
      <c r="L78" s="23" t="n">
        <f>SUMIFS('供应商月度明细'!$K$5:$K$155,'供应商月度明细'!$A$5:$A$155,$A78,'供应商月度明细'!$C$5:$C$155,$C78,'供应商月度明细'!$D$5:$D$155,$E78)</f>
        <v>147.88531009220665</v>
      </c>
      <c r="M78" s="23" t="n">
        <f>SUMIFS('供应商月度明细'!$M$5:$M$155,'供应商月度明细'!$A$5:$A$155,$A78,'供应商月度明细'!$C$5:$C$155,$C78,'供应商月度明细'!$D$5:$D$155,$E78)</f>
        <v>32.188184266604736</v>
      </c>
    </row>
    <row r="79">
      <c r="A79" s="31" t="str">
        <v>波兰区</v>
      </c>
      <c r="B79" s="31" t="str">
        <v>ATLAS WORK SPÓŁKA Z OGRANICZONĄ ODPOWIEDZIALNOŚCIĄ</v>
      </c>
      <c r="C79" s="31" t="str">
        <v>S000201</v>
      </c>
      <c r="D79" s="31" t="str">
        <v>供应商汇总</v>
      </c>
      <c r="E79" s="31" t="str">
        <v>全部工种</v>
      </c>
      <c r="F79" s="32" t="n">
        <f>IF(SUMIFS('供应商月度明细'!$J$5:$J$155,'供应商月度明细'!$A$5:$A$155,$A79,'供应商月度明细'!$C$5:$C$155,$C79,'供应商月度明细'!$E$5:$E$155,"2026-04")=0,"",SUMIFS('供应商月度明细'!$K$5:$K$155,'供应商月度明细'!$A$5:$A$155,$A79,'供应商月度明细'!$C$5:$C$155,$C79,'供应商月度明细'!$E$5:$E$155,"2026-04")/SUMIFS('供应商月度明细'!$J$5:$J$155,'供应商月度明细'!$A$5:$A$155,$A79,'供应商月度明细'!$C$5:$C$155,$C79,'供应商月度明细'!$E$5:$E$155,"2026-04"))</f>
        <v>0.9651400408702969</v>
      </c>
      <c r="G79" s="32" t="n">
        <f>IF(SUMIFS('供应商月度明细'!$J$5:$J$155,'供应商月度明细'!$A$5:$A$155,$A79,'供应商月度明细'!$C$5:$C$155,$C79,'供应商月度明细'!$E$5:$E$155,"2026-05")=0,"",SUMIFS('供应商月度明细'!$K$5:$K$155,'供应商月度明细'!$A$5:$A$155,$A79,'供应商月度明细'!$C$5:$C$155,$C79,'供应商月度明细'!$E$5:$E$155,"2026-05")/SUMIFS('供应商月度明细'!$J$5:$J$155,'供应商月度明细'!$A$5:$A$155,$A79,'供应商月度明细'!$C$5:$C$155,$C79,'供应商月度明细'!$E$5:$E$155,"2026-05"))</f>
        <v>0.719297138680273</v>
      </c>
      <c r="H79" s="32" t="n">
        <f>IF(SUMIFS('供应商月度明细'!$J$5:$J$155,'供应商月度明细'!$A$5:$A$155,$A79,'供应商月度明细'!$C$5:$C$155,$C79,'供应商月度明细'!$E$5:$E$155,"2026-06")=0,"",SUMIFS('供应商月度明细'!$K$5:$K$155,'供应商月度明细'!$A$5:$A$155,$A79,'供应商月度明细'!$C$5:$C$155,$C79,'供应商月度明细'!$E$5:$E$155,"2026-06")/SUMIFS('供应商月度明细'!$J$5:$J$155,'供应商月度明细'!$A$5:$A$155,$A79,'供应商月度明细'!$C$5:$C$155,$C79,'供应商月度明细'!$E$5:$E$155,"2026-06"))</f>
        <v>0.5550239234449761</v>
      </c>
      <c r="I79" s="32" t="n">
        <f>IF(COUNT(F79:H79)=0,"",AVERAGE(F79:H79))</f>
        <v>0.7464870343318486</v>
      </c>
      <c r="J79" s="32" t="n">
        <f>IF(K79=0,"",L79/K79)</f>
        <v>0.6820906397188945</v>
      </c>
      <c r="K79" s="33" t="n">
        <f>SUMIFS('供应商月度明细'!$J$5:$J$155,'供应商月度明细'!$A$5:$A$155,$A79,'供应商月度明细'!$C$5:$C$155,$C79)</f>
        <v>216.81181573339526</v>
      </c>
      <c r="L79" s="33" t="n">
        <f>SUMIFS('供应商月度明细'!$K$5:$K$155,'供应商月度明细'!$A$5:$A$155,$A79,'供应商月度明细'!$C$5:$C$155,$C79)</f>
        <v>147.88531009220665</v>
      </c>
      <c r="M79" s="33" t="n">
        <f>SUMIFS('供应商月度明细'!$M$5:$M$155,'供应商月度明细'!$A$5:$A$155,$A79,'供应商月度明细'!$C$5:$C$155,$C79)</f>
        <v>32.188184266604736</v>
      </c>
    </row>
    <row r="80">
      <c r="A80" s="19" t="str">
        <v>波兰区</v>
      </c>
      <c r="B80" s="19" t="str">
        <v>Niden Service Sp. z o.o.</v>
      </c>
      <c r="C80" s="19" t="str">
        <v>S000207</v>
      </c>
      <c r="D80" s="19" t="str">
        <v>工种明细</v>
      </c>
      <c r="E80" s="19" t="str">
        <v>操作员</v>
      </c>
      <c r="F80" s="27" t="n">
        <f>IF(SUMIFS('供应商月度明细'!$J$5:$J$155,'供应商月度明细'!$A$5:$A$155,$A80,'供应商月度明细'!$C$5:$C$155,$C80,'供应商月度明细'!$D$5:$D$155,$E80,'供应商月度明细'!$E$5:$E$155,"2026-04")=0,"",SUMIFS('供应商月度明细'!$K$5:$K$155,'供应商月度明细'!$A$5:$A$155,$A80,'供应商月度明细'!$C$5:$C$155,$C80,'供应商月度明细'!$D$5:$D$155,$E80,'供应商月度明细'!$E$5:$E$155,"2026-04")/SUMIFS('供应商月度明细'!$J$5:$J$155,'供应商月度明细'!$A$5:$A$155,$A80,'供应商月度明细'!$C$5:$C$155,$C80,'供应商月度明细'!$D$5:$D$155,$E80,'供应商月度明细'!$E$5:$E$155,"2026-04"))</f>
        <v>0.9966316104644636</v>
      </c>
      <c r="G80" s="27" t="n">
        <f>IF(SUMIFS('供应商月度明细'!$J$5:$J$155,'供应商月度明细'!$A$5:$A$155,$A80,'供应商月度明细'!$C$5:$C$155,$C80,'供应商月度明细'!$D$5:$D$155,$E80,'供应商月度明细'!$E$5:$E$155,"2026-05")=0,"",SUMIFS('供应商月度明细'!$K$5:$K$155,'供应商月度明细'!$A$5:$A$155,$A80,'供应商月度明细'!$C$5:$C$155,$C80,'供应商月度明细'!$D$5:$D$155,$E80,'供应商月度明细'!$E$5:$E$155,"2026-05")/SUMIFS('供应商月度明细'!$J$5:$J$155,'供应商月度明细'!$A$5:$A$155,$A80,'供应商月度明细'!$C$5:$C$155,$C80,'供应商月度明细'!$D$5:$D$155,$E80,'供应商月度明细'!$E$5:$E$155,"2026-05"))</f>
        <v>0.33606204222317965</v>
      </c>
      <c r="H80" s="27" t="n">
        <f>IF(SUMIFS('供应商月度明细'!$J$5:$J$155,'供应商月度明细'!$A$5:$A$155,$A80,'供应商月度明细'!$C$5:$C$155,$C80,'供应商月度明细'!$D$5:$D$155,$E80,'供应商月度明细'!$E$5:$E$155,"2026-06")=0,"",SUMIFS('供应商月度明细'!$K$5:$K$155,'供应商月度明细'!$A$5:$A$155,$A80,'供应商月度明细'!$C$5:$C$155,$C80,'供应商月度明细'!$D$5:$D$155,$E80,'供应商月度明细'!$E$5:$E$155,"2026-06")/SUMIFS('供应商月度明细'!$J$5:$J$155,'供应商月度明细'!$A$5:$A$155,$A80,'供应商月度明细'!$C$5:$C$155,$C80,'供应商月度明细'!$D$5:$D$155,$E80,'供应商月度明细'!$E$5:$E$155,"2026-06"))</f>
        <v>0.5072815533980582</v>
      </c>
      <c r="I80" s="27" t="n">
        <f>IF(COUNT(F80:H80)=0,"",AVERAGE(F80:H80))</f>
        <v>0.6133250686952337</v>
      </c>
      <c r="J80" s="27" t="n">
        <f>IF(K80=0,"",L80/K80)</f>
        <v>0.6287646479410286</v>
      </c>
      <c r="K80" s="23" t="n">
        <f>SUMIFS('供应商月度明细'!$J$5:$J$155,'供应商月度明细'!$A$5:$A$155,$A80,'供应商月度明细'!$C$5:$C$155,$C80,'供应商月度明细'!$D$5:$D$155,$E80)</f>
        <v>129.9726733839637</v>
      </c>
      <c r="L80" s="23" t="n">
        <f>SUMIFS('供应商月度明细'!$K$5:$K$155,'供应商月度明细'!$A$5:$A$155,$A80,'供应商月度明细'!$C$5:$C$155,$C80,'供应商月度明细'!$D$5:$D$155,$E80)</f>
        <v>81.72222222222223</v>
      </c>
      <c r="M80" s="23" t="n">
        <f>SUMIFS('供应商月度明细'!$M$5:$M$155,'供应商月度明细'!$A$5:$A$155,$A80,'供应商月度明细'!$C$5:$C$155,$C80,'供应商月度明细'!$D$5:$D$155,$E80)</f>
        <v>31.02732661603629</v>
      </c>
    </row>
    <row r="81">
      <c r="A81" s="31" t="str">
        <v>波兰区</v>
      </c>
      <c r="B81" s="31" t="str">
        <v>Niden Service Sp. z o.o.</v>
      </c>
      <c r="C81" s="31" t="str">
        <v>S000207</v>
      </c>
      <c r="D81" s="31" t="str">
        <v>供应商汇总</v>
      </c>
      <c r="E81" s="31" t="str">
        <v>全部工种</v>
      </c>
      <c r="F81" s="32" t="n">
        <f>IF(SUMIFS('供应商月度明细'!$J$5:$J$155,'供应商月度明细'!$A$5:$A$155,$A81,'供应商月度明细'!$C$5:$C$155,$C81,'供应商月度明细'!$E$5:$E$155,"2026-04")=0,"",SUMIFS('供应商月度明细'!$K$5:$K$155,'供应商月度明细'!$A$5:$A$155,$A81,'供应商月度明细'!$C$5:$C$155,$C81,'供应商月度明细'!$E$5:$E$155,"2026-04")/SUMIFS('供应商月度明细'!$J$5:$J$155,'供应商月度明细'!$A$5:$A$155,$A81,'供应商月度明细'!$C$5:$C$155,$C81,'供应商月度明细'!$E$5:$E$155,"2026-04"))</f>
        <v>0.9966316104644636</v>
      </c>
      <c r="G81" s="32" t="n">
        <f>IF(SUMIFS('供应商月度明细'!$J$5:$J$155,'供应商月度明细'!$A$5:$A$155,$A81,'供应商月度明细'!$C$5:$C$155,$C81,'供应商月度明细'!$E$5:$E$155,"2026-05")=0,"",SUMIFS('供应商月度明细'!$K$5:$K$155,'供应商月度明细'!$A$5:$A$155,$A81,'供应商月度明细'!$C$5:$C$155,$C81,'供应商月度明细'!$E$5:$E$155,"2026-05")/SUMIFS('供应商月度明细'!$J$5:$J$155,'供应商月度明细'!$A$5:$A$155,$A81,'供应商月度明细'!$C$5:$C$155,$C81,'供应商月度明细'!$E$5:$E$155,"2026-05"))</f>
        <v>0.33606204222317965</v>
      </c>
      <c r="H81" s="32" t="n">
        <f>IF(SUMIFS('供应商月度明细'!$J$5:$J$155,'供应商月度明细'!$A$5:$A$155,$A81,'供应商月度明细'!$C$5:$C$155,$C81,'供应商月度明细'!$E$5:$E$155,"2026-06")=0,"",SUMIFS('供应商月度明细'!$K$5:$K$155,'供应商月度明细'!$A$5:$A$155,$A81,'供应商月度明细'!$C$5:$C$155,$C81,'供应商月度明细'!$E$5:$E$155,"2026-06")/SUMIFS('供应商月度明细'!$J$5:$J$155,'供应商月度明细'!$A$5:$A$155,$A81,'供应商月度明细'!$C$5:$C$155,$C81,'供应商月度明细'!$E$5:$E$155,"2026-06"))</f>
        <v>0.5072815533980582</v>
      </c>
      <c r="I81" s="32" t="n">
        <f>IF(COUNT(F81:H81)=0,"",AVERAGE(F81:H81))</f>
        <v>0.6133250686952337</v>
      </c>
      <c r="J81" s="32" t="n">
        <f>IF(K81=0,"",L81/K81)</f>
        <v>0.6287646479410286</v>
      </c>
      <c r="K81" s="33" t="n">
        <f>SUMIFS('供应商月度明细'!$J$5:$J$155,'供应商月度明细'!$A$5:$A$155,$A81,'供应商月度明细'!$C$5:$C$155,$C81)</f>
        <v>129.9726733839637</v>
      </c>
      <c r="L81" s="33" t="n">
        <f>SUMIFS('供应商月度明细'!$K$5:$K$155,'供应商月度明细'!$A$5:$A$155,$A81,'供应商月度明细'!$C$5:$C$155,$C81)</f>
        <v>81.72222222222223</v>
      </c>
      <c r="M81" s="33" t="n">
        <f>SUMIFS('供应商月度明细'!$M$5:$M$155,'供应商月度明细'!$A$5:$A$155,$A81,'供应商月度明细'!$C$5:$C$155,$C81)</f>
        <v>31.02732661603629</v>
      </c>
    </row>
    <row r="82">
      <c r="A82" s="19" t="str">
        <v>波兰区</v>
      </c>
      <c r="B82" s="19" t="str">
        <v>Dreman Sp. z o.o.</v>
      </c>
      <c r="C82" s="19" t="str">
        <v>S000212</v>
      </c>
      <c r="D82" s="19" t="str">
        <v>工种明细</v>
      </c>
      <c r="E82" s="19" t="str">
        <v>操作员</v>
      </c>
      <c r="F82" s="27" t="n">
        <f>IF(SUMIFS('供应商月度明细'!$J$5:$J$155,'供应商月度明细'!$A$5:$A$155,$A82,'供应商月度明细'!$C$5:$C$155,$C82,'供应商月度明细'!$D$5:$D$155,$E82,'供应商月度明细'!$E$5:$E$155,"2026-04")=0,"",SUMIFS('供应商月度明细'!$K$5:$K$155,'供应商月度明细'!$A$5:$A$155,$A82,'供应商月度明细'!$C$5:$C$155,$C82,'供应商月度明细'!$D$5:$D$155,$E82,'供应商月度明细'!$E$5:$E$155,"2026-04")/SUMIFS('供应商月度明细'!$J$5:$J$155,'供应商月度明细'!$A$5:$A$155,$A82,'供应商月度明细'!$C$5:$C$155,$C82,'供应商月度明细'!$D$5:$D$155,$E82,'供应商月度明细'!$E$5:$E$155,"2026-04"))</f>
        <v>0.9860062453896795</v>
      </c>
      <c r="G82" s="27" t="n">
        <f>IF(SUMIFS('供应商月度明细'!$J$5:$J$155,'供应商月度明细'!$A$5:$A$155,$A82,'供应商月度明细'!$C$5:$C$155,$C82,'供应商月度明细'!$D$5:$D$155,$E82,'供应商月度明细'!$E$5:$E$155,"2026-05")=0,"",SUMIFS('供应商月度明细'!$K$5:$K$155,'供应商月度明细'!$A$5:$A$155,$A82,'供应商月度明细'!$C$5:$C$155,$C82,'供应商月度明细'!$D$5:$D$155,$E82,'供应商月度明细'!$E$5:$E$155,"2026-05")/SUMIFS('供应商月度明细'!$J$5:$J$155,'供应商月度明细'!$A$5:$A$155,$A82,'供应商月度明细'!$C$5:$C$155,$C82,'供应商月度明细'!$D$5:$D$155,$E82,'供应商月度明细'!$E$5:$E$155,"2026-05"))</f>
        <v>0.8206388979168197</v>
      </c>
      <c r="H82" s="27" t="n">
        <f>IF(SUMIFS('供应商月度明细'!$J$5:$J$155,'供应商月度明细'!$A$5:$A$155,$A82,'供应商月度明细'!$C$5:$C$155,$C82,'供应商月度明细'!$D$5:$D$155,$E82,'供应商月度明细'!$E$5:$E$155,"2026-06")=0,"",SUMIFS('供应商月度明细'!$K$5:$K$155,'供应商月度明细'!$A$5:$A$155,$A82,'供应商月度明细'!$C$5:$C$155,$C82,'供应商月度明细'!$D$5:$D$155,$E82,'供应商月度明细'!$E$5:$E$155,"2026-06")/SUMIFS('供应商月度明细'!$J$5:$J$155,'供应商月度明细'!$A$5:$A$155,$A82,'供应商月度明细'!$C$5:$C$155,$C82,'供应商月度明细'!$D$5:$D$155,$E82,'供应商月度明细'!$E$5:$E$155,"2026-06"))</f>
        <v>0.4462685605002471</v>
      </c>
      <c r="I82" s="27" t="n">
        <f>IF(COUNT(F82:H82)=0,"",AVERAGE(F82:H82))</f>
        <v>0.7509712346022487</v>
      </c>
      <c r="J82" s="27" t="n">
        <f>IF(K82=0,"",L82/K82)</f>
        <v>0.7430117959125624</v>
      </c>
      <c r="K82" s="23" t="n">
        <f>SUMIFS('供应商月度明细'!$J$5:$J$155,'供应商月度明细'!$A$5:$A$155,$A82,'供应商月度明细'!$C$5:$C$155,$C82,'供应商月度明细'!$D$5:$D$155,$E82)</f>
        <v>102.64636551523111</v>
      </c>
      <c r="L82" s="23" t="n">
        <f>SUMIFS('供应商月度明细'!$K$5:$K$155,'供应商月度明细'!$A$5:$A$155,$A82,'供应商月度明细'!$C$5:$C$155,$C82,'供应商月度明细'!$D$5:$D$155,$E82)</f>
        <v>76.26746038536918</v>
      </c>
      <c r="M82" s="23" t="n">
        <f>SUMIFS('供应商月度明细'!$M$5:$M$155,'供应商月度明细'!$A$5:$A$155,$A82,'供应商月度明细'!$C$5:$C$155,$C82,'供应商月度明细'!$D$5:$D$155,$E82)</f>
        <v>22.35363448476889</v>
      </c>
    </row>
    <row r="83">
      <c r="A83" s="31" t="str">
        <v>波兰区</v>
      </c>
      <c r="B83" s="31" t="str">
        <v>Dreman Sp. z o.o.</v>
      </c>
      <c r="C83" s="31" t="str">
        <v>S000212</v>
      </c>
      <c r="D83" s="31" t="str">
        <v>供应商汇总</v>
      </c>
      <c r="E83" s="31" t="str">
        <v>全部工种</v>
      </c>
      <c r="F83" s="32" t="n">
        <f>IF(SUMIFS('供应商月度明细'!$J$5:$J$155,'供应商月度明细'!$A$5:$A$155,$A83,'供应商月度明细'!$C$5:$C$155,$C83,'供应商月度明细'!$E$5:$E$155,"2026-04")=0,"",SUMIFS('供应商月度明细'!$K$5:$K$155,'供应商月度明细'!$A$5:$A$155,$A83,'供应商月度明细'!$C$5:$C$155,$C83,'供应商月度明细'!$E$5:$E$155,"2026-04")/SUMIFS('供应商月度明细'!$J$5:$J$155,'供应商月度明细'!$A$5:$A$155,$A83,'供应商月度明细'!$C$5:$C$155,$C83,'供应商月度明细'!$E$5:$E$155,"2026-04"))</f>
        <v>0.9860062453896795</v>
      </c>
      <c r="G83" s="32" t="n">
        <f>IF(SUMIFS('供应商月度明细'!$J$5:$J$155,'供应商月度明细'!$A$5:$A$155,$A83,'供应商月度明细'!$C$5:$C$155,$C83,'供应商月度明细'!$E$5:$E$155,"2026-05")=0,"",SUMIFS('供应商月度明细'!$K$5:$K$155,'供应商月度明细'!$A$5:$A$155,$A83,'供应商月度明细'!$C$5:$C$155,$C83,'供应商月度明细'!$E$5:$E$155,"2026-05")/SUMIFS('供应商月度明细'!$J$5:$J$155,'供应商月度明细'!$A$5:$A$155,$A83,'供应商月度明细'!$C$5:$C$155,$C83,'供应商月度明细'!$E$5:$E$155,"2026-05"))</f>
        <v>0.8206388979168197</v>
      </c>
      <c r="H83" s="32" t="n">
        <f>IF(SUMIFS('供应商月度明细'!$J$5:$J$155,'供应商月度明细'!$A$5:$A$155,$A83,'供应商月度明细'!$C$5:$C$155,$C83,'供应商月度明细'!$E$5:$E$155,"2026-06")=0,"",SUMIFS('供应商月度明细'!$K$5:$K$155,'供应商月度明细'!$A$5:$A$155,$A83,'供应商月度明细'!$C$5:$C$155,$C83,'供应商月度明细'!$E$5:$E$155,"2026-06")/SUMIFS('供应商月度明细'!$J$5:$J$155,'供应商月度明细'!$A$5:$A$155,$A83,'供应商月度明细'!$C$5:$C$155,$C83,'供应商月度明细'!$E$5:$E$155,"2026-06"))</f>
        <v>0.4462685605002471</v>
      </c>
      <c r="I83" s="32" t="n">
        <f>IF(COUNT(F83:H83)=0,"",AVERAGE(F83:H83))</f>
        <v>0.7509712346022487</v>
      </c>
      <c r="J83" s="32" t="n">
        <f>IF(K83=0,"",L83/K83)</f>
        <v>0.7430117959125624</v>
      </c>
      <c r="K83" s="33" t="n">
        <f>SUMIFS('供应商月度明细'!$J$5:$J$155,'供应商月度明细'!$A$5:$A$155,$A83,'供应商月度明细'!$C$5:$C$155,$C83)</f>
        <v>102.64636551523111</v>
      </c>
      <c r="L83" s="33" t="n">
        <f>SUMIFS('供应商月度明细'!$K$5:$K$155,'供应商月度明细'!$A$5:$A$155,$A83,'供应商月度明细'!$C$5:$C$155,$C83)</f>
        <v>76.26746038536918</v>
      </c>
      <c r="M83" s="33" t="n">
        <f>SUMIFS('供应商月度明细'!$M$5:$M$155,'供应商月度明细'!$A$5:$A$155,$A83,'供应商月度明细'!$C$5:$C$155,$C83)</f>
        <v>22.35363448476889</v>
      </c>
    </row>
    <row r="84">
      <c r="A84" s="19" t="str">
        <v>波兰区</v>
      </c>
      <c r="B84" s="19" t="str">
        <v>Zenith Zone Sp. z o.o.</v>
      </c>
      <c r="C84" s="19" t="str">
        <v>S000206</v>
      </c>
      <c r="D84" s="19" t="str">
        <v>工种明细</v>
      </c>
      <c r="E84" s="19" t="str">
        <v>操作员</v>
      </c>
      <c r="F84" s="27" t="n">
        <f>IF(SUMIFS('供应商月度明细'!$J$5:$J$155,'供应商月度明细'!$A$5:$A$155,$A84,'供应商月度明细'!$C$5:$C$155,$C84,'供应商月度明细'!$D$5:$D$155,$E84,'供应商月度明细'!$E$5:$E$155,"2026-04")=0,"",SUMIFS('供应商月度明细'!$K$5:$K$155,'供应商月度明细'!$A$5:$A$155,$A84,'供应商月度明细'!$C$5:$C$155,$C84,'供应商月度明细'!$D$5:$D$155,$E84,'供应商月度明细'!$E$5:$E$155,"2026-04")/SUMIFS('供应商月度明细'!$J$5:$J$155,'供应商月度明细'!$A$5:$A$155,$A84,'供应商月度明细'!$C$5:$C$155,$C84,'供应商月度明细'!$D$5:$D$155,$E84,'供应商月度明细'!$E$5:$E$155,"2026-04"))</f>
        <v>0.9624999999999999</v>
      </c>
      <c r="G84" s="27" t="n">
        <f>IF(SUMIFS('供应商月度明细'!$J$5:$J$155,'供应商月度明细'!$A$5:$A$155,$A84,'供应商月度明细'!$C$5:$C$155,$C84,'供应商月度明细'!$D$5:$D$155,$E84,'供应商月度明细'!$E$5:$E$155,"2026-05")=0,"",SUMIFS('供应商月度明细'!$K$5:$K$155,'供应商月度明细'!$A$5:$A$155,$A84,'供应商月度明细'!$C$5:$C$155,$C84,'供应商月度明细'!$D$5:$D$155,$E84,'供应商月度明细'!$E$5:$E$155,"2026-05")/SUMIFS('供应商月度明细'!$J$5:$J$155,'供应商月度明细'!$A$5:$A$155,$A84,'供应商月度明细'!$C$5:$C$155,$C84,'供应商月度明细'!$D$5:$D$155,$E84,'供应商月度明细'!$E$5:$E$155,"2026-05"))</f>
        <v>0.6431552545264376</v>
      </c>
      <c r="H84" s="27" t="n">
        <f>IF(SUMIFS('供应商月度明细'!$J$5:$J$155,'供应商月度明细'!$A$5:$A$155,$A84,'供应商月度明细'!$C$5:$C$155,$C84,'供应商月度明细'!$D$5:$D$155,$E84,'供应商月度明细'!$E$5:$E$155,"2026-06")=0,"",SUMIFS('供应商月度明细'!$K$5:$K$155,'供应商月度明细'!$A$5:$A$155,$A84,'供应商月度明细'!$C$5:$C$155,$C84,'供应商月度明细'!$D$5:$D$155,$E84,'供应商月度明细'!$E$5:$E$155,"2026-06")/SUMIFS('供应商月度明细'!$J$5:$J$155,'供应商月度明细'!$A$5:$A$155,$A84,'供应商月度明细'!$C$5:$C$155,$C84,'供应商月度明细'!$D$5:$D$155,$E84,'供应商月度明细'!$E$5:$E$155,"2026-06"))</f>
        <v>0.25806451612903225</v>
      </c>
      <c r="I84" s="27" t="n">
        <f>IF(COUNT(F84:H84)=0,"",AVERAGE(F84:H84))</f>
        <v>0.6212399235518232</v>
      </c>
      <c r="J84" s="27" t="n">
        <f>IF(K84=0,"",L84/K84)</f>
        <v>0.5209761177312437</v>
      </c>
      <c r="K84" s="23" t="n">
        <f>SUMIFS('供应商月度明细'!$J$5:$J$155,'供应商月度明细'!$A$5:$A$155,$A84,'供应商月度明细'!$C$5:$C$155,$C84,'供应商月度明细'!$D$5:$D$155,$E84)</f>
        <v>78.69842513808031</v>
      </c>
      <c r="L84" s="23" t="n">
        <f>SUMIFS('供应商月度明细'!$K$5:$K$155,'供应商月度明细'!$A$5:$A$155,$A84,'供应商月度明细'!$C$5:$C$155,$C84,'供应商月度明细'!$D$5:$D$155,$E84)</f>
        <v>41</v>
      </c>
      <c r="M84" s="23" t="n">
        <f>SUMIFS('供应商月度明细'!$M$5:$M$155,'供应商月度明细'!$A$5:$A$155,$A84,'供应商月度明细'!$C$5:$C$155,$C84,'供应商月度明细'!$D$5:$D$155,$E84)</f>
        <v>45.30157486191969</v>
      </c>
    </row>
    <row r="85">
      <c r="A85" s="31" t="str">
        <v>波兰区</v>
      </c>
      <c r="B85" s="31" t="str">
        <v>Zenith Zone Sp. z o.o.</v>
      </c>
      <c r="C85" s="31" t="str">
        <v>S000206</v>
      </c>
      <c r="D85" s="31" t="str">
        <v>供应商汇总</v>
      </c>
      <c r="E85" s="31" t="str">
        <v>全部工种</v>
      </c>
      <c r="F85" s="32" t="n">
        <f>IF(SUMIFS('供应商月度明细'!$J$5:$J$155,'供应商月度明细'!$A$5:$A$155,$A85,'供应商月度明细'!$C$5:$C$155,$C85,'供应商月度明细'!$E$5:$E$155,"2026-04")=0,"",SUMIFS('供应商月度明细'!$K$5:$K$155,'供应商月度明细'!$A$5:$A$155,$A85,'供应商月度明细'!$C$5:$C$155,$C85,'供应商月度明细'!$E$5:$E$155,"2026-04")/SUMIFS('供应商月度明细'!$J$5:$J$155,'供应商月度明细'!$A$5:$A$155,$A85,'供应商月度明细'!$C$5:$C$155,$C85,'供应商月度明细'!$E$5:$E$155,"2026-04"))</f>
        <v>0.9624999999999999</v>
      </c>
      <c r="G85" s="32" t="n">
        <f>IF(SUMIFS('供应商月度明细'!$J$5:$J$155,'供应商月度明细'!$A$5:$A$155,$A85,'供应商月度明细'!$C$5:$C$155,$C85,'供应商月度明细'!$E$5:$E$155,"2026-05")=0,"",SUMIFS('供应商月度明细'!$K$5:$K$155,'供应商月度明细'!$A$5:$A$155,$A85,'供应商月度明细'!$C$5:$C$155,$C85,'供应商月度明细'!$E$5:$E$155,"2026-05")/SUMIFS('供应商月度明细'!$J$5:$J$155,'供应商月度明细'!$A$5:$A$155,$A85,'供应商月度明细'!$C$5:$C$155,$C85,'供应商月度明细'!$E$5:$E$155,"2026-05"))</f>
        <v>0.6431552545264376</v>
      </c>
      <c r="H85" s="32" t="n">
        <f>IF(SUMIFS('供应商月度明细'!$J$5:$J$155,'供应商月度明细'!$A$5:$A$155,$A85,'供应商月度明细'!$C$5:$C$155,$C85,'供应商月度明细'!$E$5:$E$155,"2026-06")=0,"",SUMIFS('供应商月度明细'!$K$5:$K$155,'供应商月度明细'!$A$5:$A$155,$A85,'供应商月度明细'!$C$5:$C$155,$C85,'供应商月度明细'!$E$5:$E$155,"2026-06")/SUMIFS('供应商月度明细'!$J$5:$J$155,'供应商月度明细'!$A$5:$A$155,$A85,'供应商月度明细'!$C$5:$C$155,$C85,'供应商月度明细'!$E$5:$E$155,"2026-06"))</f>
        <v>0.25806451612903225</v>
      </c>
      <c r="I85" s="32" t="n">
        <f>IF(COUNT(F85:H85)=0,"",AVERAGE(F85:H85))</f>
        <v>0.6212399235518232</v>
      </c>
      <c r="J85" s="32" t="n">
        <f>IF(K85=0,"",L85/K85)</f>
        <v>0.5209761177312437</v>
      </c>
      <c r="K85" s="33" t="n">
        <f>SUMIFS('供应商月度明细'!$J$5:$J$155,'供应商月度明细'!$A$5:$A$155,$A85,'供应商月度明细'!$C$5:$C$155,$C85)</f>
        <v>78.69842513808031</v>
      </c>
      <c r="L85" s="33" t="n">
        <f>SUMIFS('供应商月度明细'!$K$5:$K$155,'供应商月度明细'!$A$5:$A$155,$A85,'供应商月度明细'!$C$5:$C$155,$C85)</f>
        <v>41</v>
      </c>
      <c r="M85" s="33" t="n">
        <f>SUMIFS('供应商月度明细'!$M$5:$M$155,'供应商月度明细'!$A$5:$A$155,$A85,'供应商月度明细'!$C$5:$C$155,$C85)</f>
        <v>45.30157486191969</v>
      </c>
    </row>
    <row r="86">
      <c r="A86" s="19" t="str">
        <v>波兰区</v>
      </c>
      <c r="B86" s="19" t="str">
        <v>Gremi 2024.07</v>
      </c>
      <c r="C86" s="19" t="str">
        <v>S000249</v>
      </c>
      <c r="D86" s="19" t="str">
        <v>工种明细</v>
      </c>
      <c r="E86" s="19" t="str">
        <v>操作员</v>
      </c>
      <c r="F86" s="27" t="n">
        <f>IF(SUMIFS('供应商月度明细'!$J$5:$J$155,'供应商月度明细'!$A$5:$A$155,$A86,'供应商月度明细'!$C$5:$C$155,$C86,'供应商月度明细'!$D$5:$D$155,$E86,'供应商月度明细'!$E$5:$E$155,"2026-04")=0,"",SUMIFS('供应商月度明细'!$K$5:$K$155,'供应商月度明细'!$A$5:$A$155,$A86,'供应商月度明细'!$C$5:$C$155,$C86,'供应商月度明细'!$D$5:$D$155,$E86,'供应商月度明细'!$E$5:$E$155,"2026-04")/SUMIFS('供应商月度明细'!$J$5:$J$155,'供应商月度明细'!$A$5:$A$155,$A86,'供应商月度明细'!$C$5:$C$155,$C86,'供应商月度明细'!$D$5:$D$155,$E86,'供应商月度明细'!$E$5:$E$155,"2026-04"))</f>
        <v>1</v>
      </c>
      <c r="G86" s="27" t="n">
        <f>IF(SUMIFS('供应商月度明细'!$J$5:$J$155,'供应商月度明细'!$A$5:$A$155,$A86,'供应商月度明细'!$C$5:$C$155,$C86,'供应商月度明细'!$D$5:$D$155,$E86,'供应商月度明细'!$E$5:$E$155,"2026-05")=0,"",SUMIFS('供应商月度明细'!$K$5:$K$155,'供应商月度明细'!$A$5:$A$155,$A86,'供应商月度明细'!$C$5:$C$155,$C86,'供应商月度明细'!$D$5:$D$155,$E86,'供应商月度明细'!$E$5:$E$155,"2026-05")/SUMIFS('供应商月度明细'!$J$5:$J$155,'供应商月度明细'!$A$5:$A$155,$A86,'供应商月度明细'!$C$5:$C$155,$C86,'供应商月度明细'!$D$5:$D$155,$E86,'供应商月度明细'!$E$5:$E$155,"2026-05"))</f>
        <v>0.8975982825707768</v>
      </c>
      <c r="H86" s="27" t="n">
        <f>IF(SUMIFS('供应商月度明细'!$J$5:$J$155,'供应商月度明细'!$A$5:$A$155,$A86,'供应商月度明细'!$C$5:$C$155,$C86,'供应商月度明细'!$D$5:$D$155,$E86,'供应商月度明细'!$E$5:$E$155,"2026-06")=0,"",SUMIFS('供应商月度明细'!$K$5:$K$155,'供应商月度明细'!$A$5:$A$155,$A86,'供应商月度明细'!$C$5:$C$155,$C86,'供应商月度明细'!$D$5:$D$155,$E86,'供应商月度明细'!$E$5:$E$155,"2026-06")/SUMIFS('供应商月度明细'!$J$5:$J$155,'供应商月度明细'!$A$5:$A$155,$A86,'供应商月度明细'!$C$5:$C$155,$C86,'供应商月度明细'!$D$5:$D$155,$E86,'供应商月度明细'!$E$5:$E$155,"2026-06"))</f>
        <v>0.47190114169631053</v>
      </c>
      <c r="I86" s="27" t="n">
        <f>IF(COUNT(F86:H86)=0,"",AVERAGE(F86:H86))</f>
        <v>0.7898331414223625</v>
      </c>
      <c r="J86" s="27" t="n">
        <f>IF(K86=0,"",L86/K86)</f>
        <v>0.7383135865160204</v>
      </c>
      <c r="K86" s="23" t="n">
        <f>SUMIFS('供应商月度明细'!$J$5:$J$155,'供应商月度明细'!$A$5:$A$155,$A86,'供应商月度明细'!$C$5:$C$155,$C86,'供应商月度明细'!$D$5:$D$155,$E86)</f>
        <v>100.98469891690232</v>
      </c>
      <c r="L86" s="23" t="n">
        <f>SUMIFS('供应商月度明细'!$K$5:$K$155,'供应商月度明细'!$A$5:$A$155,$A86,'供应商月度明细'!$C$5:$C$155,$C86,'供应商月度明细'!$D$5:$D$155,$E86)</f>
        <v>74.55837524057863</v>
      </c>
      <c r="M86" s="23" t="n">
        <f>SUMIFS('供应商月度明细'!$M$5:$M$155,'供应商月度明细'!$A$5:$A$155,$A86,'供应商月度明细'!$C$5:$C$155,$C86,'供应商月度明细'!$D$5:$D$155,$E86)</f>
        <v>21.015301083097693</v>
      </c>
    </row>
    <row r="87">
      <c r="A87" s="31" t="str">
        <v>波兰区</v>
      </c>
      <c r="B87" s="31" t="str">
        <v>Gremi 2024.07</v>
      </c>
      <c r="C87" s="31" t="str">
        <v>S000249</v>
      </c>
      <c r="D87" s="31" t="str">
        <v>供应商汇总</v>
      </c>
      <c r="E87" s="31" t="str">
        <v>全部工种</v>
      </c>
      <c r="F87" s="32" t="n">
        <f>IF(SUMIFS('供应商月度明细'!$J$5:$J$155,'供应商月度明细'!$A$5:$A$155,$A87,'供应商月度明细'!$C$5:$C$155,$C87,'供应商月度明细'!$E$5:$E$155,"2026-04")=0,"",SUMIFS('供应商月度明细'!$K$5:$K$155,'供应商月度明细'!$A$5:$A$155,$A87,'供应商月度明细'!$C$5:$C$155,$C87,'供应商月度明细'!$E$5:$E$155,"2026-04")/SUMIFS('供应商月度明细'!$J$5:$J$155,'供应商月度明细'!$A$5:$A$155,$A87,'供应商月度明细'!$C$5:$C$155,$C87,'供应商月度明细'!$E$5:$E$155,"2026-04"))</f>
        <v>1</v>
      </c>
      <c r="G87" s="32" t="n">
        <f>IF(SUMIFS('供应商月度明细'!$J$5:$J$155,'供应商月度明细'!$A$5:$A$155,$A87,'供应商月度明细'!$C$5:$C$155,$C87,'供应商月度明细'!$E$5:$E$155,"2026-05")=0,"",SUMIFS('供应商月度明细'!$K$5:$K$155,'供应商月度明细'!$A$5:$A$155,$A87,'供应商月度明细'!$C$5:$C$155,$C87,'供应商月度明细'!$E$5:$E$155,"2026-05")/SUMIFS('供应商月度明细'!$J$5:$J$155,'供应商月度明细'!$A$5:$A$155,$A87,'供应商月度明细'!$C$5:$C$155,$C87,'供应商月度明细'!$E$5:$E$155,"2026-05"))</f>
        <v>0.8975982825707768</v>
      </c>
      <c r="H87" s="32" t="n">
        <f>IF(SUMIFS('供应商月度明细'!$J$5:$J$155,'供应商月度明细'!$A$5:$A$155,$A87,'供应商月度明细'!$C$5:$C$155,$C87,'供应商月度明细'!$E$5:$E$155,"2026-06")=0,"",SUMIFS('供应商月度明细'!$K$5:$K$155,'供应商月度明细'!$A$5:$A$155,$A87,'供应商月度明细'!$C$5:$C$155,$C87,'供应商月度明细'!$E$5:$E$155,"2026-06")/SUMIFS('供应商月度明细'!$J$5:$J$155,'供应商月度明细'!$A$5:$A$155,$A87,'供应商月度明细'!$C$5:$C$155,$C87,'供应商月度明细'!$E$5:$E$155,"2026-06"))</f>
        <v>0.47190114169631053</v>
      </c>
      <c r="I87" s="32" t="n">
        <f>IF(COUNT(F87:H87)=0,"",AVERAGE(F87:H87))</f>
        <v>0.7898331414223625</v>
      </c>
      <c r="J87" s="32" t="n">
        <f>IF(K87=0,"",L87/K87)</f>
        <v>0.7383135865160204</v>
      </c>
      <c r="K87" s="33" t="n">
        <f>SUMIFS('供应商月度明细'!$J$5:$J$155,'供应商月度明细'!$A$5:$A$155,$A87,'供应商月度明细'!$C$5:$C$155,$C87)</f>
        <v>100.98469891690232</v>
      </c>
      <c r="L87" s="33" t="n">
        <f>SUMIFS('供应商月度明细'!$K$5:$K$155,'供应商月度明细'!$A$5:$A$155,$A87,'供应商月度明细'!$C$5:$C$155,$C87)</f>
        <v>74.55837524057863</v>
      </c>
      <c r="M87" s="33" t="n">
        <f>SUMIFS('供应商月度明细'!$M$5:$M$155,'供应商月度明细'!$A$5:$A$155,$A87,'供应商月度明细'!$C$5:$C$155,$C87)</f>
        <v>21.015301083097693</v>
      </c>
    </row>
    <row r="88">
      <c r="A88" s="19" t="str">
        <v>波兰区</v>
      </c>
      <c r="B88" s="19" t="str">
        <v>Gi Group sp. z o.o.</v>
      </c>
      <c r="C88" s="19" t="str">
        <v>S000196</v>
      </c>
      <c r="D88" s="19" t="str">
        <v>工种明细</v>
      </c>
      <c r="E88" s="19" t="str">
        <v>操作员</v>
      </c>
      <c r="F88" s="27" t="n">
        <f>IF(SUMIFS('供应商月度明细'!$J$5:$J$155,'供应商月度明细'!$A$5:$A$155,$A88,'供应商月度明细'!$C$5:$C$155,$C88,'供应商月度明细'!$D$5:$D$155,$E88,'供应商月度明细'!$E$5:$E$155,"2026-04")=0,"",SUMIFS('供应商月度明细'!$K$5:$K$155,'供应商月度明细'!$A$5:$A$155,$A88,'供应商月度明细'!$C$5:$C$155,$C88,'供应商月度明细'!$D$5:$D$155,$E88,'供应商月度明细'!$E$5:$E$155,"2026-04")/SUMIFS('供应商月度明细'!$J$5:$J$155,'供应商月度明细'!$A$5:$A$155,$A88,'供应商月度明细'!$C$5:$C$155,$C88,'供应商月度明细'!$D$5:$D$155,$E88,'供应商月度明细'!$E$5:$E$155,"2026-04"))</f>
        <v>1</v>
      </c>
      <c r="G88" s="27" t="n">
        <f>IF(SUMIFS('供应商月度明细'!$J$5:$J$155,'供应商月度明细'!$A$5:$A$155,$A88,'供应商月度明细'!$C$5:$C$155,$C88,'供应商月度明细'!$D$5:$D$155,$E88,'供应商月度明细'!$E$5:$E$155,"2026-05")=0,"",SUMIFS('供应商月度明细'!$K$5:$K$155,'供应商月度明细'!$A$5:$A$155,$A88,'供应商月度明细'!$C$5:$C$155,$C88,'供应商月度明细'!$D$5:$D$155,$E88,'供应商月度明细'!$E$5:$E$155,"2026-05")/SUMIFS('供应商月度明细'!$J$5:$J$155,'供应商月度明细'!$A$5:$A$155,$A88,'供应商月度明细'!$C$5:$C$155,$C88,'供应商月度明细'!$D$5:$D$155,$E88,'供应商月度明细'!$E$5:$E$155,"2026-05"))</f>
        <v>0.39722578743769293</v>
      </c>
      <c r="H88" s="27" t="n">
        <f>IF(SUMIFS('供应商月度明细'!$J$5:$J$155,'供应商月度明细'!$A$5:$A$155,$A88,'供应商月度明细'!$C$5:$C$155,$C88,'供应商月度明细'!$D$5:$D$155,$E88,'供应商月度明细'!$E$5:$E$155,"2026-06")=0,"",SUMIFS('供应商月度明细'!$K$5:$K$155,'供应商月度明细'!$A$5:$A$155,$A88,'供应商月度明细'!$C$5:$C$155,$C88,'供应商月度明细'!$D$5:$D$155,$E88,'供应商月度明细'!$E$5:$E$155,"2026-06")/SUMIFS('供应商月度明细'!$J$5:$J$155,'供应商月度明细'!$A$5:$A$155,$A88,'供应商月度明细'!$C$5:$C$155,$C88,'供应商月度明细'!$D$5:$D$155,$E88,'供应商月度明细'!$E$5:$E$155,"2026-06"))</f>
        <v>0.1293103448275862</v>
      </c>
      <c r="I88" s="27" t="n">
        <f>IF(COUNT(F88:H88)=0,"",AVERAGE(F88:H88))</f>
        <v>0.5088453774217597</v>
      </c>
      <c r="J88" s="27" t="n">
        <f>IF(K88=0,"",L88/K88)</f>
        <v>0.381028582864224</v>
      </c>
      <c r="K88" s="23" t="n">
        <f>SUMIFS('供应商月度明细'!$J$5:$J$155,'供应商月度明细'!$A$5:$A$155,$A88,'供应商月度明细'!$C$5:$C$155,$C88,'供应商月度明细'!$D$5:$D$155,$E88)</f>
        <v>81.35872581256342</v>
      </c>
      <c r="L88" s="23" t="n">
        <f>SUMIFS('供应商月度明细'!$K$5:$K$155,'供应商月度明细'!$A$5:$A$155,$A88,'供应商月度明细'!$C$5:$C$155,$C88,'供应商月度明细'!$D$5:$D$155,$E88)</f>
        <v>31</v>
      </c>
      <c r="M88" s="23" t="n">
        <f>SUMIFS('供应商月度明细'!$M$5:$M$155,'供应商月度明细'!$A$5:$A$155,$A88,'供应商月度明细'!$C$5:$C$155,$C88,'供应商月度明细'!$D$5:$D$155,$E88)</f>
        <v>19.64127418743659</v>
      </c>
    </row>
    <row r="89">
      <c r="A89" s="31" t="str">
        <v>波兰区</v>
      </c>
      <c r="B89" s="31" t="str">
        <v>Gi Group sp. z o.o.</v>
      </c>
      <c r="C89" s="31" t="str">
        <v>S000196</v>
      </c>
      <c r="D89" s="31" t="str">
        <v>供应商汇总</v>
      </c>
      <c r="E89" s="31" t="str">
        <v>全部工种</v>
      </c>
      <c r="F89" s="32" t="n">
        <f>IF(SUMIFS('供应商月度明细'!$J$5:$J$155,'供应商月度明细'!$A$5:$A$155,$A89,'供应商月度明细'!$C$5:$C$155,$C89,'供应商月度明细'!$E$5:$E$155,"2026-04")=0,"",SUMIFS('供应商月度明细'!$K$5:$K$155,'供应商月度明细'!$A$5:$A$155,$A89,'供应商月度明细'!$C$5:$C$155,$C89,'供应商月度明细'!$E$5:$E$155,"2026-04")/SUMIFS('供应商月度明细'!$J$5:$J$155,'供应商月度明细'!$A$5:$A$155,$A89,'供应商月度明细'!$C$5:$C$155,$C89,'供应商月度明细'!$E$5:$E$155,"2026-04"))</f>
        <v>1</v>
      </c>
      <c r="G89" s="32" t="n">
        <f>IF(SUMIFS('供应商月度明细'!$J$5:$J$155,'供应商月度明细'!$A$5:$A$155,$A89,'供应商月度明细'!$C$5:$C$155,$C89,'供应商月度明细'!$E$5:$E$155,"2026-05")=0,"",SUMIFS('供应商月度明细'!$K$5:$K$155,'供应商月度明细'!$A$5:$A$155,$A89,'供应商月度明细'!$C$5:$C$155,$C89,'供应商月度明细'!$E$5:$E$155,"2026-05")/SUMIFS('供应商月度明细'!$J$5:$J$155,'供应商月度明细'!$A$5:$A$155,$A89,'供应商月度明细'!$C$5:$C$155,$C89,'供应商月度明细'!$E$5:$E$155,"2026-05"))</f>
        <v>0.39722578743769293</v>
      </c>
      <c r="H89" s="32" t="n">
        <f>IF(SUMIFS('供应商月度明细'!$J$5:$J$155,'供应商月度明细'!$A$5:$A$155,$A89,'供应商月度明细'!$C$5:$C$155,$C89,'供应商月度明细'!$E$5:$E$155,"2026-06")=0,"",SUMIFS('供应商月度明细'!$K$5:$K$155,'供应商月度明细'!$A$5:$A$155,$A89,'供应商月度明细'!$C$5:$C$155,$C89,'供应商月度明细'!$E$5:$E$155,"2026-06")/SUMIFS('供应商月度明细'!$J$5:$J$155,'供应商月度明细'!$A$5:$A$155,$A89,'供应商月度明细'!$C$5:$C$155,$C89,'供应商月度明细'!$E$5:$E$155,"2026-06"))</f>
        <v>0.1293103448275862</v>
      </c>
      <c r="I89" s="32" t="n">
        <f>IF(COUNT(F89:H89)=0,"",AVERAGE(F89:H89))</f>
        <v>0.5088453774217597</v>
      </c>
      <c r="J89" s="32" t="n">
        <f>IF(K89=0,"",L89/K89)</f>
        <v>0.381028582864224</v>
      </c>
      <c r="K89" s="33" t="n">
        <f>SUMIFS('供应商月度明细'!$J$5:$J$155,'供应商月度明细'!$A$5:$A$155,$A89,'供应商月度明细'!$C$5:$C$155,$C89)</f>
        <v>81.35872581256342</v>
      </c>
      <c r="L89" s="33" t="n">
        <f>SUMIFS('供应商月度明细'!$K$5:$K$155,'供应商月度明细'!$A$5:$A$155,$A89,'供应商月度明细'!$C$5:$C$155,$C89)</f>
        <v>31</v>
      </c>
      <c r="M89" s="33" t="n">
        <f>SUMIFS('供应商月度明细'!$M$5:$M$155,'供应商月度明细'!$A$5:$A$155,$A89,'供应商月度明细'!$C$5:$C$155,$C89)</f>
        <v>19.64127418743659</v>
      </c>
    </row>
    <row r="90">
      <c r="A90" s="19" t="str">
        <v>波兰区</v>
      </c>
      <c r="B90" s="19" t="str">
        <v>Global Solution</v>
      </c>
      <c r="C90" s="19" t="str">
        <v>S000288</v>
      </c>
      <c r="D90" s="19" t="str">
        <v>工种明细</v>
      </c>
      <c r="E90" s="19" t="str">
        <v>操作员</v>
      </c>
      <c r="F90" s="27" t="n">
        <f>IF(SUMIFS('供应商月度明细'!$J$5:$J$155,'供应商月度明细'!$A$5:$A$155,$A90,'供应商月度明细'!$C$5:$C$155,$C90,'供应商月度明细'!$D$5:$D$155,$E90,'供应商月度明细'!$E$5:$E$155,"2026-04")=0,"",SUMIFS('供应商月度明细'!$K$5:$K$155,'供应商月度明细'!$A$5:$A$155,$A90,'供应商月度明细'!$C$5:$C$155,$C90,'供应商月度明细'!$D$5:$D$155,$E90,'供应商月度明细'!$E$5:$E$155,"2026-04")/SUMIFS('供应商月度明细'!$J$5:$J$155,'供应商月度明细'!$A$5:$A$155,$A90,'供应商月度明细'!$C$5:$C$155,$C90,'供应商月度明细'!$D$5:$D$155,$E90,'供应商月度明细'!$E$5:$E$155,"2026-04"))</f>
        <v>0.9516676875104405</v>
      </c>
      <c r="G90" s="27" t="n">
        <f>IF(SUMIFS('供应商月度明细'!$J$5:$J$155,'供应商月度明细'!$A$5:$A$155,$A90,'供应商月度明细'!$C$5:$C$155,$C90,'供应商月度明细'!$D$5:$D$155,$E90,'供应商月度明细'!$E$5:$E$155,"2026-05")=0,"",SUMIFS('供应商月度明细'!$K$5:$K$155,'供应商月度明细'!$A$5:$A$155,$A90,'供应商月度明细'!$C$5:$C$155,$C90,'供应商月度明细'!$D$5:$D$155,$E90,'供应商月度明细'!$E$5:$E$155,"2026-05")/SUMIFS('供应商月度明细'!$J$5:$J$155,'供应商月度明细'!$A$5:$A$155,$A90,'供应商月度明细'!$C$5:$C$155,$C90,'供应商月度明细'!$D$5:$D$155,$E90,'供应商月度明细'!$E$5:$E$155,"2026-05"))</f>
        <v>0.768531976744186</v>
      </c>
      <c r="H90" s="27" t="n">
        <f>IF(SUMIFS('供应商月度明细'!$J$5:$J$155,'供应商月度明细'!$A$5:$A$155,$A90,'供应商月度明细'!$C$5:$C$155,$C90,'供应商月度明细'!$D$5:$D$155,$E90,'供应商月度明细'!$E$5:$E$155,"2026-06")=0,"",SUMIFS('供应商月度明细'!$K$5:$K$155,'供应商月度明细'!$A$5:$A$155,$A90,'供应商月度明细'!$C$5:$C$155,$C90,'供应商月度明细'!$D$5:$D$155,$E90,'供应商月度明细'!$E$5:$E$155,"2026-06")/SUMIFS('供应商月度明细'!$J$5:$J$155,'供应商月度明细'!$A$5:$A$155,$A90,'供应商月度明细'!$C$5:$C$155,$C90,'供应商月度明细'!$D$5:$D$155,$E90,'供应商月度明细'!$E$5:$E$155,"2026-06"))</f>
        <v>0.17523766664791585</v>
      </c>
      <c r="I90" s="27" t="n">
        <f>IF(COUNT(F90:H90)=0,"",AVERAGE(F90:H90))</f>
        <v>0.6318124436341808</v>
      </c>
      <c r="J90" s="27" t="n">
        <f>IF(K90=0,"",L90/K90)</f>
        <v>0.5525394212730709</v>
      </c>
      <c r="K90" s="23" t="n">
        <f>SUMIFS('供应商月度明细'!$J$5:$J$155,'供应商月度明细'!$A$5:$A$155,$A90,'供应商月度明细'!$C$5:$C$155,$C90,'供应商月度明细'!$D$5:$D$155,$E90)</f>
        <v>75.85677821257372</v>
      </c>
      <c r="L90" s="23" t="n">
        <f>SUMIFS('供应商月度明细'!$K$5:$K$155,'供应商月度明细'!$A$5:$A$155,$A90,'供应商月度明细'!$C$5:$C$155,$C90,'供应商月度明细'!$D$5:$D$155,$E90)</f>
        <v>41.91386033321517</v>
      </c>
      <c r="M90" s="23" t="n">
        <f>SUMIFS('供应商月度明细'!$M$5:$M$155,'供应商月度明细'!$A$5:$A$155,$A90,'供应商月度明细'!$C$5:$C$155,$C90,'供应商月度明细'!$D$5:$D$155,$E90)</f>
        <v>22.14322178742627</v>
      </c>
    </row>
    <row r="91">
      <c r="A91" s="31" t="str">
        <v>波兰区</v>
      </c>
      <c r="B91" s="31" t="str">
        <v>Global Solution</v>
      </c>
      <c r="C91" s="31" t="str">
        <v>S000288</v>
      </c>
      <c r="D91" s="31" t="str">
        <v>供应商汇总</v>
      </c>
      <c r="E91" s="31" t="str">
        <v>全部工种</v>
      </c>
      <c r="F91" s="32" t="n">
        <f>IF(SUMIFS('供应商月度明细'!$J$5:$J$155,'供应商月度明细'!$A$5:$A$155,$A91,'供应商月度明细'!$C$5:$C$155,$C91,'供应商月度明细'!$E$5:$E$155,"2026-04")=0,"",SUMIFS('供应商月度明细'!$K$5:$K$155,'供应商月度明细'!$A$5:$A$155,$A91,'供应商月度明细'!$C$5:$C$155,$C91,'供应商月度明细'!$E$5:$E$155,"2026-04")/SUMIFS('供应商月度明细'!$J$5:$J$155,'供应商月度明细'!$A$5:$A$155,$A91,'供应商月度明细'!$C$5:$C$155,$C91,'供应商月度明细'!$E$5:$E$155,"2026-04"))</f>
        <v>0.9516676875104405</v>
      </c>
      <c r="G91" s="32" t="n">
        <f>IF(SUMIFS('供应商月度明细'!$J$5:$J$155,'供应商月度明细'!$A$5:$A$155,$A91,'供应商月度明细'!$C$5:$C$155,$C91,'供应商月度明细'!$E$5:$E$155,"2026-05")=0,"",SUMIFS('供应商月度明细'!$K$5:$K$155,'供应商月度明细'!$A$5:$A$155,$A91,'供应商月度明细'!$C$5:$C$155,$C91,'供应商月度明细'!$E$5:$E$155,"2026-05")/SUMIFS('供应商月度明细'!$J$5:$J$155,'供应商月度明细'!$A$5:$A$155,$A91,'供应商月度明细'!$C$5:$C$155,$C91,'供应商月度明细'!$E$5:$E$155,"2026-05"))</f>
        <v>0.768531976744186</v>
      </c>
      <c r="H91" s="32" t="n">
        <f>IF(SUMIFS('供应商月度明细'!$J$5:$J$155,'供应商月度明细'!$A$5:$A$155,$A91,'供应商月度明细'!$C$5:$C$155,$C91,'供应商月度明细'!$E$5:$E$155,"2026-06")=0,"",SUMIFS('供应商月度明细'!$K$5:$K$155,'供应商月度明细'!$A$5:$A$155,$A91,'供应商月度明细'!$C$5:$C$155,$C91,'供应商月度明细'!$E$5:$E$155,"2026-06")/SUMIFS('供应商月度明细'!$J$5:$J$155,'供应商月度明细'!$A$5:$A$155,$A91,'供应商月度明细'!$C$5:$C$155,$C91,'供应商月度明细'!$E$5:$E$155,"2026-06"))</f>
        <v>0.17523766664791585</v>
      </c>
      <c r="I91" s="32" t="n">
        <f>IF(COUNT(F91:H91)=0,"",AVERAGE(F91:H91))</f>
        <v>0.6318124436341808</v>
      </c>
      <c r="J91" s="32" t="n">
        <f>IF(K91=0,"",L91/K91)</f>
        <v>0.5525394212730709</v>
      </c>
      <c r="K91" s="33" t="n">
        <f>SUMIFS('供应商月度明细'!$J$5:$J$155,'供应商月度明细'!$A$5:$A$155,$A91,'供应商月度明细'!$C$5:$C$155,$C91)</f>
        <v>75.85677821257372</v>
      </c>
      <c r="L91" s="33" t="n">
        <f>SUMIFS('供应商月度明细'!$K$5:$K$155,'供应商月度明细'!$A$5:$A$155,$A91,'供应商月度明细'!$C$5:$C$155,$C91)</f>
        <v>41.91386033321517</v>
      </c>
      <c r="M91" s="33" t="n">
        <f>SUMIFS('供应商月度明细'!$M$5:$M$155,'供应商月度明细'!$A$5:$A$155,$A91,'供应商月度明细'!$C$5:$C$155,$C91)</f>
        <v>22.14322178742627</v>
      </c>
    </row>
    <row r="92">
      <c r="A92" s="19" t="str">
        <v>波兰区</v>
      </c>
      <c r="B92" s="19" t="str">
        <v>PWP NIAGARA HREBENIUKOV SPÓŁKA JAWNA</v>
      </c>
      <c r="C92" s="19" t="str">
        <v>S000323</v>
      </c>
      <c r="D92" s="19" t="str">
        <v>工种明细</v>
      </c>
      <c r="E92" s="19" t="str">
        <v>操作员</v>
      </c>
      <c r="F92" s="27" t="n">
        <f>IF(SUMIFS('供应商月度明细'!$J$5:$J$155,'供应商月度明细'!$A$5:$A$155,$A92,'供应商月度明细'!$C$5:$C$155,$C92,'供应商月度明细'!$D$5:$D$155,$E92,'供应商月度明细'!$E$5:$E$155,"2026-04")=0,"",SUMIFS('供应商月度明细'!$K$5:$K$155,'供应商月度明细'!$A$5:$A$155,$A92,'供应商月度明细'!$C$5:$C$155,$C92,'供应商月度明细'!$D$5:$D$155,$E92,'供应商月度明细'!$E$5:$E$155,"2026-04")/SUMIFS('供应商月度明细'!$J$5:$J$155,'供应商月度明细'!$A$5:$A$155,$A92,'供应商月度明细'!$C$5:$C$155,$C92,'供应商月度明细'!$D$5:$D$155,$E92,'供应商月度明细'!$E$5:$E$155,"2026-04"))</f>
        <v>1</v>
      </c>
      <c r="G92" s="27" t="n">
        <f>IF(SUMIFS('供应商月度明细'!$J$5:$J$155,'供应商月度明细'!$A$5:$A$155,$A92,'供应商月度明细'!$C$5:$C$155,$C92,'供应商月度明细'!$D$5:$D$155,$E92,'供应商月度明细'!$E$5:$E$155,"2026-05")=0,"",SUMIFS('供应商月度明细'!$K$5:$K$155,'供应商月度明细'!$A$5:$A$155,$A92,'供应商月度明细'!$C$5:$C$155,$C92,'供应商月度明细'!$D$5:$D$155,$E92,'供应商月度明细'!$E$5:$E$155,"2026-05")/SUMIFS('供应商月度明细'!$J$5:$J$155,'供应商月度明细'!$A$5:$A$155,$A92,'供应商月度明细'!$C$5:$C$155,$C92,'供应商月度明细'!$D$5:$D$155,$E92,'供应商月度明细'!$E$5:$E$155,"2026-05"))</f>
        <v>1</v>
      </c>
      <c r="H92" s="27" t="n">
        <f>IF(SUMIFS('供应商月度明细'!$J$5:$J$155,'供应商月度明细'!$A$5:$A$155,$A92,'供应商月度明细'!$C$5:$C$155,$C92,'供应商月度明细'!$D$5:$D$155,$E92,'供应商月度明细'!$E$5:$E$155,"2026-06")=0,"",SUMIFS('供应商月度明细'!$K$5:$K$155,'供应商月度明细'!$A$5:$A$155,$A92,'供应商月度明细'!$C$5:$C$155,$C92,'供应商月度明细'!$D$5:$D$155,$E92,'供应商月度明细'!$E$5:$E$155,"2026-06")/SUMIFS('供应商月度明细'!$J$5:$J$155,'供应商月度明细'!$A$5:$A$155,$A92,'供应商月度明细'!$C$5:$C$155,$C92,'供应商月度明细'!$D$5:$D$155,$E92,'供应商月度明细'!$E$5:$E$155,"2026-06"))</f>
        <v>0.4897959183673469</v>
      </c>
      <c r="I92" s="27" t="n">
        <f>IF(COUNT(F92:H92)=0,"",AVERAGE(F92:H92))</f>
        <v>0.8299319727891157</v>
      </c>
      <c r="J92" s="27" t="n">
        <f>IF(K92=0,"",L92/K92)</f>
        <v>0.7539406570156514</v>
      </c>
      <c r="K92" s="23" t="n">
        <f>SUMIFS('供应商月度明细'!$J$5:$J$155,'供应商月度明细'!$A$5:$A$155,$A92,'供应商月度明细'!$C$5:$C$155,$C92,'供应商月度明细'!$D$5:$D$155,$E92)</f>
        <v>50.800753380842366</v>
      </c>
      <c r="L92" s="23" t="n">
        <f>SUMIFS('供应商月度明细'!$K$5:$K$155,'供应商月度明细'!$A$5:$A$155,$A92,'供应商月度明细'!$C$5:$C$155,$C92,'供应商月度明细'!$D$5:$D$155,$E92)</f>
        <v>38.300753380842366</v>
      </c>
      <c r="M92" s="23" t="n">
        <f>SUMIFS('供应商月度明细'!$M$5:$M$155,'供应商月度明细'!$A$5:$A$155,$A92,'供应商月度明细'!$C$5:$C$155,$C92,'供应商月度明细'!$D$5:$D$155,$E92)</f>
        <v>13.199246619157632</v>
      </c>
    </row>
    <row r="93">
      <c r="A93" s="31" t="str">
        <v>波兰区</v>
      </c>
      <c r="B93" s="31" t="str">
        <v>PWP NIAGARA HREBENIUKOV SPÓŁKA JAWNA</v>
      </c>
      <c r="C93" s="31" t="str">
        <v>S000323</v>
      </c>
      <c r="D93" s="31" t="str">
        <v>供应商汇总</v>
      </c>
      <c r="E93" s="31" t="str">
        <v>全部工种</v>
      </c>
      <c r="F93" s="32" t="n">
        <f>IF(SUMIFS('供应商月度明细'!$J$5:$J$155,'供应商月度明细'!$A$5:$A$155,$A93,'供应商月度明细'!$C$5:$C$155,$C93,'供应商月度明细'!$E$5:$E$155,"2026-04")=0,"",SUMIFS('供应商月度明细'!$K$5:$K$155,'供应商月度明细'!$A$5:$A$155,$A93,'供应商月度明细'!$C$5:$C$155,$C93,'供应商月度明细'!$E$5:$E$155,"2026-04")/SUMIFS('供应商月度明细'!$J$5:$J$155,'供应商月度明细'!$A$5:$A$155,$A93,'供应商月度明细'!$C$5:$C$155,$C93,'供应商月度明细'!$E$5:$E$155,"2026-04"))</f>
        <v>1</v>
      </c>
      <c r="G93" s="32" t="n">
        <f>IF(SUMIFS('供应商月度明细'!$J$5:$J$155,'供应商月度明细'!$A$5:$A$155,$A93,'供应商月度明细'!$C$5:$C$155,$C93,'供应商月度明细'!$E$5:$E$155,"2026-05")=0,"",SUMIFS('供应商月度明细'!$K$5:$K$155,'供应商月度明细'!$A$5:$A$155,$A93,'供应商月度明细'!$C$5:$C$155,$C93,'供应商月度明细'!$E$5:$E$155,"2026-05")/SUMIFS('供应商月度明细'!$J$5:$J$155,'供应商月度明细'!$A$5:$A$155,$A93,'供应商月度明细'!$C$5:$C$155,$C93,'供应商月度明细'!$E$5:$E$155,"2026-05"))</f>
        <v>1</v>
      </c>
      <c r="H93" s="32" t="n">
        <f>IF(SUMIFS('供应商月度明细'!$J$5:$J$155,'供应商月度明细'!$A$5:$A$155,$A93,'供应商月度明细'!$C$5:$C$155,$C93,'供应商月度明细'!$E$5:$E$155,"2026-06")=0,"",SUMIFS('供应商月度明细'!$K$5:$K$155,'供应商月度明细'!$A$5:$A$155,$A93,'供应商月度明细'!$C$5:$C$155,$C93,'供应商月度明细'!$E$5:$E$155,"2026-06")/SUMIFS('供应商月度明细'!$J$5:$J$155,'供应商月度明细'!$A$5:$A$155,$A93,'供应商月度明细'!$C$5:$C$155,$C93,'供应商月度明细'!$E$5:$E$155,"2026-06"))</f>
        <v>0.4897959183673469</v>
      </c>
      <c r="I93" s="32" t="n">
        <f>IF(COUNT(F93:H93)=0,"",AVERAGE(F93:H93))</f>
        <v>0.8299319727891157</v>
      </c>
      <c r="J93" s="32" t="n">
        <f>IF(K93=0,"",L93/K93)</f>
        <v>0.7539406570156514</v>
      </c>
      <c r="K93" s="33" t="n">
        <f>SUMIFS('供应商月度明细'!$J$5:$J$155,'供应商月度明细'!$A$5:$A$155,$A93,'供应商月度明细'!$C$5:$C$155,$C93)</f>
        <v>50.800753380842366</v>
      </c>
      <c r="L93" s="33" t="n">
        <f>SUMIFS('供应商月度明细'!$K$5:$K$155,'供应商月度明细'!$A$5:$A$155,$A93,'供应商月度明细'!$C$5:$C$155,$C93)</f>
        <v>38.300753380842366</v>
      </c>
      <c r="M93" s="33" t="n">
        <f>SUMIFS('供应商月度明细'!$M$5:$M$155,'供应商月度明细'!$A$5:$A$155,$A93,'供应商月度明细'!$C$5:$C$155,$C93)</f>
        <v>13.199246619157632</v>
      </c>
    </row>
    <row r="94">
      <c r="A94" s="19" t="str">
        <v>波兰区</v>
      </c>
      <c r="B94" s="19" t="str">
        <v>APT CREATION</v>
      </c>
      <c r="C94" s="19" t="str">
        <v>S000330</v>
      </c>
      <c r="D94" s="19" t="str">
        <v>工种明细</v>
      </c>
      <c r="E94" s="19" t="str">
        <v>操作员</v>
      </c>
      <c r="F94" s="27" t="n">
        <f>IF(SUMIFS('供应商月度明细'!$J$5:$J$155,'供应商月度明细'!$A$5:$A$155,$A94,'供应商月度明细'!$C$5:$C$155,$C94,'供应商月度明细'!$D$5:$D$155,$E94,'供应商月度明细'!$E$5:$E$155,"2026-04")=0,"",SUMIFS('供应商月度明细'!$K$5:$K$155,'供应商月度明细'!$A$5:$A$155,$A94,'供应商月度明细'!$C$5:$C$155,$C94,'供应商月度明细'!$D$5:$D$155,$E94,'供应商月度明细'!$E$5:$E$155,"2026-04")/SUMIFS('供应商月度明细'!$J$5:$J$155,'供应商月度明细'!$A$5:$A$155,$A94,'供应商月度明细'!$C$5:$C$155,$C94,'供应商月度明细'!$D$5:$D$155,$E94,'供应商月度明细'!$E$5:$E$155,"2026-04"))</f>
        <v>0.9388635331604184</v>
      </c>
      <c r="G94" s="27" t="str">
        <f>IF(SUMIFS('供应商月度明细'!$J$5:$J$155,'供应商月度明细'!$A$5:$A$155,$A94,'供应商月度明细'!$C$5:$C$155,$C94,'供应商月度明细'!$D$5:$D$155,$E94,'供应商月度明细'!$E$5:$E$155,"2026-05")=0,"",SUMIFS('供应商月度明细'!$K$5:$K$155,'供应商月度明细'!$A$5:$A$155,$A94,'供应商月度明细'!$C$5:$C$155,$C94,'供应商月度明细'!$D$5:$D$155,$E94,'供应商月度明细'!$E$5:$E$155,"2026-05")/SUMIFS('供应商月度明细'!$J$5:$J$155,'供应商月度明细'!$A$5:$A$155,$A94,'供应商月度明细'!$C$5:$C$155,$C94,'供应商月度明细'!$D$5:$D$155,$E94,'供应商月度明细'!$E$5:$E$155,"2026-05"))</f>
      </c>
      <c r="H94" s="27" t="str">
        <f>IF(SUMIFS('供应商月度明细'!$J$5:$J$155,'供应商月度明细'!$A$5:$A$155,$A94,'供应商月度明细'!$C$5:$C$155,$C94,'供应商月度明细'!$D$5:$D$155,$E94,'供应商月度明细'!$E$5:$E$155,"2026-06")=0,"",SUMIFS('供应商月度明细'!$K$5:$K$155,'供应商月度明细'!$A$5:$A$155,$A94,'供应商月度明细'!$C$5:$C$155,$C94,'供应商月度明细'!$D$5:$D$155,$E94,'供应商月度明细'!$E$5:$E$155,"2026-06")/SUMIFS('供应商月度明细'!$J$5:$J$155,'供应商月度明细'!$A$5:$A$155,$A94,'供应商月度明细'!$C$5:$C$155,$C94,'供应商月度明细'!$D$5:$D$155,$E94,'供应商月度明细'!$E$5:$E$155,"2026-06"))</f>
      </c>
      <c r="I94" s="27" t="n">
        <f>IF(COUNT(F94:H94)=0,"",AVERAGE(F94:H94))</f>
        <v>0.9388635331604184</v>
      </c>
      <c r="J94" s="27" t="n">
        <f>IF(K94=0,"",L94/K94)</f>
        <v>0.9388635331604184</v>
      </c>
      <c r="K94" s="23" t="n">
        <f>SUMIFS('供应商月度明细'!$J$5:$J$155,'供应商月度明细'!$A$5:$A$155,$A94,'供应商月度明细'!$C$5:$C$155,$C94,'供应商月度明细'!$D$5:$D$155,$E94)</f>
        <v>37.71305004063625</v>
      </c>
      <c r="L94" s="23" t="n">
        <f>SUMIFS('供应商月度明细'!$K$5:$K$155,'供应商月度明细'!$A$5:$A$155,$A94,'供应商月度明细'!$C$5:$C$155,$C94,'供应商月度明细'!$D$5:$D$155,$E94)</f>
        <v>35.407407407407405</v>
      </c>
      <c r="M94" s="23" t="n">
        <f>SUMIFS('供应商月度明细'!$M$5:$M$155,'供应商月度明细'!$A$5:$A$155,$A94,'供应商月度明细'!$C$5:$C$155,$C94,'供应商月度明细'!$D$5:$D$155,$E94)</f>
        <v>12.286949959363753</v>
      </c>
    </row>
    <row r="95">
      <c r="A95" s="31" t="str">
        <v>波兰区</v>
      </c>
      <c r="B95" s="31" t="str">
        <v>APT CREATION</v>
      </c>
      <c r="C95" s="31" t="str">
        <v>S000330</v>
      </c>
      <c r="D95" s="31" t="str">
        <v>供应商汇总</v>
      </c>
      <c r="E95" s="31" t="str">
        <v>全部工种</v>
      </c>
      <c r="F95" s="32" t="n">
        <f>IF(SUMIFS('供应商月度明细'!$J$5:$J$155,'供应商月度明细'!$A$5:$A$155,$A95,'供应商月度明细'!$C$5:$C$155,$C95,'供应商月度明细'!$E$5:$E$155,"2026-04")=0,"",SUMIFS('供应商月度明细'!$K$5:$K$155,'供应商月度明细'!$A$5:$A$155,$A95,'供应商月度明细'!$C$5:$C$155,$C95,'供应商月度明细'!$E$5:$E$155,"2026-04")/SUMIFS('供应商月度明细'!$J$5:$J$155,'供应商月度明细'!$A$5:$A$155,$A95,'供应商月度明细'!$C$5:$C$155,$C95,'供应商月度明细'!$E$5:$E$155,"2026-04"))</f>
        <v>0.9388635331604184</v>
      </c>
      <c r="G95" s="32" t="str">
        <f>IF(SUMIFS('供应商月度明细'!$J$5:$J$155,'供应商月度明细'!$A$5:$A$155,$A95,'供应商月度明细'!$C$5:$C$155,$C95,'供应商月度明细'!$E$5:$E$155,"2026-05")=0,"",SUMIFS('供应商月度明细'!$K$5:$K$155,'供应商月度明细'!$A$5:$A$155,$A95,'供应商月度明细'!$C$5:$C$155,$C95,'供应商月度明细'!$E$5:$E$155,"2026-05")/SUMIFS('供应商月度明细'!$J$5:$J$155,'供应商月度明细'!$A$5:$A$155,$A95,'供应商月度明细'!$C$5:$C$155,$C95,'供应商月度明细'!$E$5:$E$155,"2026-05"))</f>
      </c>
      <c r="H95" s="32" t="str">
        <f>IF(SUMIFS('供应商月度明细'!$J$5:$J$155,'供应商月度明细'!$A$5:$A$155,$A95,'供应商月度明细'!$C$5:$C$155,$C95,'供应商月度明细'!$E$5:$E$155,"2026-06")=0,"",SUMIFS('供应商月度明细'!$K$5:$K$155,'供应商月度明细'!$A$5:$A$155,$A95,'供应商月度明细'!$C$5:$C$155,$C95,'供应商月度明细'!$E$5:$E$155,"2026-06")/SUMIFS('供应商月度明细'!$J$5:$J$155,'供应商月度明细'!$A$5:$A$155,$A95,'供应商月度明细'!$C$5:$C$155,$C95,'供应商月度明细'!$E$5:$E$155,"2026-06"))</f>
      </c>
      <c r="I95" s="32" t="n">
        <f>IF(COUNT(F95:H95)=0,"",AVERAGE(F95:H95))</f>
        <v>0.9388635331604184</v>
      </c>
      <c r="J95" s="32" t="n">
        <f>IF(K95=0,"",L95/K95)</f>
        <v>0.9388635331604184</v>
      </c>
      <c r="K95" s="33" t="n">
        <f>SUMIFS('供应商月度明细'!$J$5:$J$155,'供应商月度明细'!$A$5:$A$155,$A95,'供应商月度明细'!$C$5:$C$155,$C95)</f>
        <v>37.71305004063625</v>
      </c>
      <c r="L95" s="33" t="n">
        <f>SUMIFS('供应商月度明细'!$K$5:$K$155,'供应商月度明细'!$A$5:$A$155,$A95,'供应商月度明细'!$C$5:$C$155,$C95)</f>
        <v>35.407407407407405</v>
      </c>
      <c r="M95" s="33" t="n">
        <f>SUMIFS('供应商月度明细'!$M$5:$M$155,'供应商月度明细'!$A$5:$A$155,$A95,'供应商月度明细'!$C$5:$C$155,$C95)</f>
        <v>12.286949959363753</v>
      </c>
    </row>
    <row r="96">
      <c r="A96" s="19" t="str">
        <v>波兰区</v>
      </c>
      <c r="B96" s="19" t="str">
        <v>DK Global</v>
      </c>
      <c r="C96" s="19" t="str">
        <v>S000287</v>
      </c>
      <c r="D96" s="19" t="str">
        <v>工种明细</v>
      </c>
      <c r="E96" s="19" t="str">
        <v>操作员</v>
      </c>
      <c r="F96" s="27" t="n">
        <f>IF(SUMIFS('供应商月度明细'!$J$5:$J$155,'供应商月度明细'!$A$5:$A$155,$A96,'供应商月度明细'!$C$5:$C$155,$C96,'供应商月度明细'!$D$5:$D$155,$E96,'供应商月度明细'!$E$5:$E$155,"2026-04")=0,"",SUMIFS('供应商月度明细'!$K$5:$K$155,'供应商月度明细'!$A$5:$A$155,$A96,'供应商月度明细'!$C$5:$C$155,$C96,'供应商月度明细'!$D$5:$D$155,$E96,'供应商月度明细'!$E$5:$E$155,"2026-04")/SUMIFS('供应商月度明细'!$J$5:$J$155,'供应商月度明细'!$A$5:$A$155,$A96,'供应商月度明细'!$C$5:$C$155,$C96,'供应商月度明细'!$D$5:$D$155,$E96,'供应商月度明细'!$E$5:$E$155,"2026-04"))</f>
        <v>1</v>
      </c>
      <c r="G96" s="27" t="n">
        <f>IF(SUMIFS('供应商月度明细'!$J$5:$J$155,'供应商月度明细'!$A$5:$A$155,$A96,'供应商月度明细'!$C$5:$C$155,$C96,'供应商月度明细'!$D$5:$D$155,$E96,'供应商月度明细'!$E$5:$E$155,"2026-05")=0,"",SUMIFS('供应商月度明细'!$K$5:$K$155,'供应商月度明细'!$A$5:$A$155,$A96,'供应商月度明细'!$C$5:$C$155,$C96,'供应商月度明细'!$D$5:$D$155,$E96,'供应商月度明细'!$E$5:$E$155,"2026-05")/SUMIFS('供应商月度明细'!$J$5:$J$155,'供应商月度明细'!$A$5:$A$155,$A96,'供应商月度明细'!$C$5:$C$155,$C96,'供应商月度明细'!$D$5:$D$155,$E96,'供应商月度明细'!$E$5:$E$155,"2026-05"))</f>
        <v>0.7261485335635456</v>
      </c>
      <c r="H96" s="27" t="str">
        <f>IF(SUMIFS('供应商月度明细'!$J$5:$J$155,'供应商月度明细'!$A$5:$A$155,$A96,'供应商月度明细'!$C$5:$C$155,$C96,'供应商月度明细'!$D$5:$D$155,$E96,'供应商月度明细'!$E$5:$E$155,"2026-06")=0,"",SUMIFS('供应商月度明细'!$K$5:$K$155,'供应商月度明细'!$A$5:$A$155,$A96,'供应商月度明细'!$C$5:$C$155,$C96,'供应商月度明细'!$D$5:$D$155,$E96,'供应商月度明细'!$E$5:$E$155,"2026-06")/SUMIFS('供应商月度明细'!$J$5:$J$155,'供应商月度明细'!$A$5:$A$155,$A96,'供应商月度明细'!$C$5:$C$155,$C96,'供应商月度明细'!$D$5:$D$155,$E96,'供应商月度明细'!$E$5:$E$155,"2026-06"))</f>
      </c>
      <c r="I96" s="27" t="n">
        <f>IF(COUNT(F96:H96)=0,"",AVERAGE(F96:H96))</f>
        <v>0.8630742667817728</v>
      </c>
      <c r="J96" s="27" t="n">
        <f>IF(K96=0,"",L96/K96)</f>
        <v>0.7346011215629522</v>
      </c>
      <c r="K96" s="23" t="n">
        <f>SUMIFS('供应商月度明细'!$J$5:$J$155,'供应商月度明细'!$A$5:$A$155,$A96,'供应商月度明细'!$C$5:$C$155,$C96,'供应商月度明细'!$D$5:$D$155,$E96)</f>
        <v>26.998778998779</v>
      </c>
      <c r="L96" s="23" t="n">
        <f>SUMIFS('供应商月度明细'!$K$5:$K$155,'供应商月度明细'!$A$5:$A$155,$A96,'供应商月度明细'!$C$5:$C$155,$C96,'供应商月度明细'!$D$5:$D$155,$E96)</f>
        <v>19.833333333333332</v>
      </c>
      <c r="M96" s="23" t="n">
        <f>SUMIFS('供应商月度明细'!$M$5:$M$155,'供应商月度明细'!$A$5:$A$155,$A96,'供应商月度明细'!$C$5:$C$155,$C96,'供应商月度明细'!$D$5:$D$155,$E96)</f>
        <v>19.001221001221005</v>
      </c>
    </row>
    <row r="97">
      <c r="A97" s="31" t="str">
        <v>波兰区</v>
      </c>
      <c r="B97" s="31" t="str">
        <v>DK Global</v>
      </c>
      <c r="C97" s="31" t="str">
        <v>S000287</v>
      </c>
      <c r="D97" s="31" t="str">
        <v>供应商汇总</v>
      </c>
      <c r="E97" s="31" t="str">
        <v>全部工种</v>
      </c>
      <c r="F97" s="32" t="n">
        <f>IF(SUMIFS('供应商月度明细'!$J$5:$J$155,'供应商月度明细'!$A$5:$A$155,$A97,'供应商月度明细'!$C$5:$C$155,$C97,'供应商月度明细'!$E$5:$E$155,"2026-04")=0,"",SUMIFS('供应商月度明细'!$K$5:$K$155,'供应商月度明细'!$A$5:$A$155,$A97,'供应商月度明细'!$C$5:$C$155,$C97,'供应商月度明细'!$E$5:$E$155,"2026-04")/SUMIFS('供应商月度明细'!$J$5:$J$155,'供应商月度明细'!$A$5:$A$155,$A97,'供应商月度明细'!$C$5:$C$155,$C97,'供应商月度明细'!$E$5:$E$155,"2026-04"))</f>
        <v>1</v>
      </c>
      <c r="G97" s="32" t="n">
        <f>IF(SUMIFS('供应商月度明细'!$J$5:$J$155,'供应商月度明细'!$A$5:$A$155,$A97,'供应商月度明细'!$C$5:$C$155,$C97,'供应商月度明细'!$E$5:$E$155,"2026-05")=0,"",SUMIFS('供应商月度明细'!$K$5:$K$155,'供应商月度明细'!$A$5:$A$155,$A97,'供应商月度明细'!$C$5:$C$155,$C97,'供应商月度明细'!$E$5:$E$155,"2026-05")/SUMIFS('供应商月度明细'!$J$5:$J$155,'供应商月度明细'!$A$5:$A$155,$A97,'供应商月度明细'!$C$5:$C$155,$C97,'供应商月度明细'!$E$5:$E$155,"2026-05"))</f>
        <v>0.7261485335635456</v>
      </c>
      <c r="H97" s="32" t="str">
        <f>IF(SUMIFS('供应商月度明细'!$J$5:$J$155,'供应商月度明细'!$A$5:$A$155,$A97,'供应商月度明细'!$C$5:$C$155,$C97,'供应商月度明细'!$E$5:$E$155,"2026-06")=0,"",SUMIFS('供应商月度明细'!$K$5:$K$155,'供应商月度明细'!$A$5:$A$155,$A97,'供应商月度明细'!$C$5:$C$155,$C97,'供应商月度明细'!$E$5:$E$155,"2026-06")/SUMIFS('供应商月度明细'!$J$5:$J$155,'供应商月度明细'!$A$5:$A$155,$A97,'供应商月度明细'!$C$5:$C$155,$C97,'供应商月度明细'!$E$5:$E$155,"2026-06"))</f>
      </c>
      <c r="I97" s="32" t="n">
        <f>IF(COUNT(F97:H97)=0,"",AVERAGE(F97:H97))</f>
        <v>0.8630742667817728</v>
      </c>
      <c r="J97" s="32" t="n">
        <f>IF(K97=0,"",L97/K97)</f>
        <v>0.7346011215629522</v>
      </c>
      <c r="K97" s="33" t="n">
        <f>SUMIFS('供应商月度明细'!$J$5:$J$155,'供应商月度明细'!$A$5:$A$155,$A97,'供应商月度明细'!$C$5:$C$155,$C97)</f>
        <v>26.998778998779</v>
      </c>
      <c r="L97" s="33" t="n">
        <f>SUMIFS('供应商月度明细'!$K$5:$K$155,'供应商月度明细'!$A$5:$A$155,$A97,'供应商月度明细'!$C$5:$C$155,$C97)</f>
        <v>19.833333333333332</v>
      </c>
      <c r="M97" s="33" t="n">
        <f>SUMIFS('供应商月度明细'!$M$5:$M$155,'供应商月度明细'!$A$5:$A$155,$A97,'供应商月度明细'!$C$5:$C$155,$C97)</f>
        <v>19.001221001221005</v>
      </c>
    </row>
    <row r="98">
      <c r="A98" s="19" t="str">
        <v>波兰区</v>
      </c>
      <c r="B98" s="19" t="str">
        <v>VIKTORIA SOLUTION</v>
      </c>
      <c r="C98" s="19" t="str">
        <v>S000342</v>
      </c>
      <c r="D98" s="19" t="str">
        <v>工种明细</v>
      </c>
      <c r="E98" s="19" t="str">
        <v>操作员</v>
      </c>
      <c r="F98" s="27" t="str">
        <f>IF(SUMIFS('供应商月度明细'!$J$5:$J$155,'供应商月度明细'!$A$5:$A$155,$A98,'供应商月度明细'!$C$5:$C$155,$C98,'供应商月度明细'!$D$5:$D$155,$E98,'供应商月度明细'!$E$5:$E$155,"2026-04")=0,"",SUMIFS('供应商月度明细'!$K$5:$K$155,'供应商月度明细'!$A$5:$A$155,$A98,'供应商月度明细'!$C$5:$C$155,$C98,'供应商月度明细'!$D$5:$D$155,$E98,'供应商月度明细'!$E$5:$E$155,"2026-04")/SUMIFS('供应商月度明细'!$J$5:$J$155,'供应商月度明细'!$A$5:$A$155,$A98,'供应商月度明细'!$C$5:$C$155,$C98,'供应商月度明细'!$D$5:$D$155,$E98,'供应商月度明细'!$E$5:$E$155,"2026-04"))</f>
      </c>
      <c r="G98" s="27" t="str">
        <f>IF(SUMIFS('供应商月度明细'!$J$5:$J$155,'供应商月度明细'!$A$5:$A$155,$A98,'供应商月度明细'!$C$5:$C$155,$C98,'供应商月度明细'!$D$5:$D$155,$E98,'供应商月度明细'!$E$5:$E$155,"2026-05")=0,"",SUMIFS('供应商月度明细'!$K$5:$K$155,'供应商月度明细'!$A$5:$A$155,$A98,'供应商月度明细'!$C$5:$C$155,$C98,'供应商月度明细'!$D$5:$D$155,$E98,'供应商月度明细'!$E$5:$E$155,"2026-05")/SUMIFS('供应商月度明细'!$J$5:$J$155,'供应商月度明细'!$A$5:$A$155,$A98,'供应商月度明细'!$C$5:$C$155,$C98,'供应商月度明细'!$D$5:$D$155,$E98,'供应商月度明细'!$E$5:$E$155,"2026-05"))</f>
      </c>
      <c r="H98" s="27" t="n">
        <f>IF(SUMIFS('供应商月度明细'!$J$5:$J$155,'供应商月度明细'!$A$5:$A$155,$A98,'供应商月度明细'!$C$5:$C$155,$C98,'供应商月度明细'!$D$5:$D$155,$E98,'供应商月度明细'!$E$5:$E$155,"2026-06")=0,"",SUMIFS('供应商月度明细'!$K$5:$K$155,'供应商月度明细'!$A$5:$A$155,$A98,'供应商月度明细'!$C$5:$C$155,$C98,'供应商月度明细'!$D$5:$D$155,$E98,'供应商月度明细'!$E$5:$E$155,"2026-06")/SUMIFS('供应商月度明细'!$J$5:$J$155,'供应商月度明细'!$A$5:$A$155,$A98,'供应商月度明细'!$C$5:$C$155,$C98,'供应商月度明细'!$D$5:$D$155,$E98,'供应商月度明细'!$E$5:$E$155,"2026-06"))</f>
        <v>0.6868451688009314</v>
      </c>
      <c r="I98" s="27" t="n">
        <f>IF(COUNT(F98:H98)=0,"",AVERAGE(F98:H98))</f>
        <v>0.6868451688009314</v>
      </c>
      <c r="J98" s="27" t="n">
        <f>IF(K98=0,"",L98/K98)</f>
        <v>0.6868451688009314</v>
      </c>
      <c r="K98" s="23" t="n">
        <f>SUMIFS('供应商月度明细'!$J$5:$J$155,'供应商月度明细'!$A$5:$A$155,$A98,'供应商月度明细'!$C$5:$C$155,$C98,'供应商月度明细'!$D$5:$D$155,$E98)</f>
        <v>29.11864406779661</v>
      </c>
      <c r="L98" s="23" t="n">
        <f>SUMIFS('供应商月度明细'!$K$5:$K$155,'供应商月度明细'!$A$5:$A$155,$A98,'供应商月度明细'!$C$5:$C$155,$C98,'供应商月度明细'!$D$5:$D$155,$E98)</f>
        <v>20</v>
      </c>
      <c r="M98" s="23" t="n">
        <f>SUMIFS('供应商月度明细'!$M$5:$M$155,'供应商月度明细'!$A$5:$A$155,$A98,'供应商月度明细'!$C$5:$C$155,$C98,'供应商月度明细'!$D$5:$D$155,$E98)</f>
        <v>4.88135593220339</v>
      </c>
    </row>
    <row r="99">
      <c r="A99" s="31" t="str">
        <v>波兰区</v>
      </c>
      <c r="B99" s="31" t="str">
        <v>VIKTORIA SOLUTION</v>
      </c>
      <c r="C99" s="31" t="str">
        <v>S000342</v>
      </c>
      <c r="D99" s="31" t="str">
        <v>供应商汇总</v>
      </c>
      <c r="E99" s="31" t="str">
        <v>全部工种</v>
      </c>
      <c r="F99" s="32" t="str">
        <f>IF(SUMIFS('供应商月度明细'!$J$5:$J$155,'供应商月度明细'!$A$5:$A$155,$A99,'供应商月度明细'!$C$5:$C$155,$C99,'供应商月度明细'!$E$5:$E$155,"2026-04")=0,"",SUMIFS('供应商月度明细'!$K$5:$K$155,'供应商月度明细'!$A$5:$A$155,$A99,'供应商月度明细'!$C$5:$C$155,$C99,'供应商月度明细'!$E$5:$E$155,"2026-04")/SUMIFS('供应商月度明细'!$J$5:$J$155,'供应商月度明细'!$A$5:$A$155,$A99,'供应商月度明细'!$C$5:$C$155,$C99,'供应商月度明细'!$E$5:$E$155,"2026-04"))</f>
      </c>
      <c r="G99" s="32" t="str">
        <f>IF(SUMIFS('供应商月度明细'!$J$5:$J$155,'供应商月度明细'!$A$5:$A$155,$A99,'供应商月度明细'!$C$5:$C$155,$C99,'供应商月度明细'!$E$5:$E$155,"2026-05")=0,"",SUMIFS('供应商月度明细'!$K$5:$K$155,'供应商月度明细'!$A$5:$A$155,$A99,'供应商月度明细'!$C$5:$C$155,$C99,'供应商月度明细'!$E$5:$E$155,"2026-05")/SUMIFS('供应商月度明细'!$J$5:$J$155,'供应商月度明细'!$A$5:$A$155,$A99,'供应商月度明细'!$C$5:$C$155,$C99,'供应商月度明细'!$E$5:$E$155,"2026-05"))</f>
      </c>
      <c r="H99" s="32" t="n">
        <f>IF(SUMIFS('供应商月度明细'!$J$5:$J$155,'供应商月度明细'!$A$5:$A$155,$A99,'供应商月度明细'!$C$5:$C$155,$C99,'供应商月度明细'!$E$5:$E$155,"2026-06")=0,"",SUMIFS('供应商月度明细'!$K$5:$K$155,'供应商月度明细'!$A$5:$A$155,$A99,'供应商月度明细'!$C$5:$C$155,$C99,'供应商月度明细'!$E$5:$E$155,"2026-06")/SUMIFS('供应商月度明细'!$J$5:$J$155,'供应商月度明细'!$A$5:$A$155,$A99,'供应商月度明细'!$C$5:$C$155,$C99,'供应商月度明细'!$E$5:$E$155,"2026-06"))</f>
        <v>0.6868451688009314</v>
      </c>
      <c r="I99" s="32" t="n">
        <f>IF(COUNT(F99:H99)=0,"",AVERAGE(F99:H99))</f>
        <v>0.6868451688009314</v>
      </c>
      <c r="J99" s="32" t="n">
        <f>IF(K99=0,"",L99/K99)</f>
        <v>0.6868451688009314</v>
      </c>
      <c r="K99" s="33" t="n">
        <f>SUMIFS('供应商月度明细'!$J$5:$J$155,'供应商月度明细'!$A$5:$A$155,$A99,'供应商月度明细'!$C$5:$C$155,$C99)</f>
        <v>29.11864406779661</v>
      </c>
      <c r="L99" s="33" t="n">
        <f>SUMIFS('供应商月度明细'!$K$5:$K$155,'供应商月度明细'!$A$5:$A$155,$A99,'供应商月度明细'!$C$5:$C$155,$C99)</f>
        <v>20</v>
      </c>
      <c r="M99" s="33" t="n">
        <f>SUMIFS('供应商月度明细'!$M$5:$M$155,'供应商月度明细'!$A$5:$A$155,$A99,'供应商月度明细'!$C$5:$C$155,$C99)</f>
        <v>4.88135593220339</v>
      </c>
    </row>
    <row r="100">
      <c r="A100" s="19" t="str">
        <v>波兰区</v>
      </c>
      <c r="B100" s="19" t="str">
        <v>VOKS Service</v>
      </c>
      <c r="C100" s="19" t="str">
        <v>S000278</v>
      </c>
      <c r="D100" s="19" t="str">
        <v>工种明细</v>
      </c>
      <c r="E100" s="19" t="str">
        <v>操作员</v>
      </c>
      <c r="F100" s="27" t="n">
        <f>IF(SUMIFS('供应商月度明细'!$J$5:$J$155,'供应商月度明细'!$A$5:$A$155,$A100,'供应商月度明细'!$C$5:$C$155,$C100,'供应商月度明细'!$D$5:$D$155,$E100,'供应商月度明细'!$E$5:$E$155,"2026-04")=0,"",SUMIFS('供应商月度明细'!$K$5:$K$155,'供应商月度明细'!$A$5:$A$155,$A100,'供应商月度明细'!$C$5:$C$155,$C100,'供应商月度明细'!$D$5:$D$155,$E100,'供应商月度明细'!$E$5:$E$155,"2026-04")/SUMIFS('供应商月度明细'!$J$5:$J$155,'供应商月度明细'!$A$5:$A$155,$A100,'供应商月度明细'!$C$5:$C$155,$C100,'供应商月度明细'!$D$5:$D$155,$E100,'供应商月度明细'!$E$5:$E$155,"2026-04"))</f>
        <v>0</v>
      </c>
      <c r="G100" s="27" t="n">
        <f>IF(SUMIFS('供应商月度明细'!$J$5:$J$155,'供应商月度明细'!$A$5:$A$155,$A100,'供应商月度明细'!$C$5:$C$155,$C100,'供应商月度明细'!$D$5:$D$155,$E100,'供应商月度明细'!$E$5:$E$155,"2026-05")=0,"",SUMIFS('供应商月度明细'!$K$5:$K$155,'供应商月度明细'!$A$5:$A$155,$A100,'供应商月度明细'!$C$5:$C$155,$C100,'供应商月度明细'!$D$5:$D$155,$E100,'供应商月度明细'!$E$5:$E$155,"2026-05")/SUMIFS('供应商月度明细'!$J$5:$J$155,'供应商月度明细'!$A$5:$A$155,$A100,'供应商月度明细'!$C$5:$C$155,$C100,'供应商月度明细'!$D$5:$D$155,$E100,'供应商月度明细'!$E$5:$E$155,"2026-05"))</f>
        <v>0</v>
      </c>
      <c r="H100" s="27" t="str">
        <f>IF(SUMIFS('供应商月度明细'!$J$5:$J$155,'供应商月度明细'!$A$5:$A$155,$A100,'供应商月度明细'!$C$5:$C$155,$C100,'供应商月度明细'!$D$5:$D$155,$E100,'供应商月度明细'!$E$5:$E$155,"2026-06")=0,"",SUMIFS('供应商月度明细'!$K$5:$K$155,'供应商月度明细'!$A$5:$A$155,$A100,'供应商月度明细'!$C$5:$C$155,$C100,'供应商月度明细'!$D$5:$D$155,$E100,'供应商月度明细'!$E$5:$E$155,"2026-06")/SUMIFS('供应商月度明细'!$J$5:$J$155,'供应商月度明细'!$A$5:$A$155,$A100,'供应商月度明细'!$C$5:$C$155,$C100,'供应商月度明细'!$D$5:$D$155,$E100,'供应商月度明细'!$E$5:$E$155,"2026-06"))</f>
      </c>
      <c r="I100" s="27" t="n">
        <f>IF(COUNT(F100:H100)=0,"",AVERAGE(F100:H100))</f>
        <v>0</v>
      </c>
      <c r="J100" s="27" t="n">
        <f>IF(K100=0,"",L100/K100)</f>
        <v>0</v>
      </c>
      <c r="K100" s="23" t="n">
        <f>SUMIFS('供应商月度明细'!$J$5:$J$155,'供应商月度明细'!$A$5:$A$155,$A100,'供应商月度明细'!$C$5:$C$155,$C100,'供应商月度明细'!$D$5:$D$155,$E100)</f>
        <v>16.403596403596403</v>
      </c>
      <c r="L100" s="23" t="n">
        <f>SUMIFS('供应商月度明细'!$K$5:$K$155,'供应商月度明细'!$A$5:$A$155,$A100,'供应商月度明细'!$C$5:$C$155,$C100,'供应商月度明细'!$D$5:$D$155,$E100)</f>
        <v>0</v>
      </c>
      <c r="M100" s="23" t="n">
        <f>SUMIFS('供应商月度明细'!$M$5:$M$155,'供应商月度明细'!$A$5:$A$155,$A100,'供应商月度明细'!$C$5:$C$155,$C100,'供应商月度明细'!$D$5:$D$155,$E100)</f>
        <v>13.596403596403595</v>
      </c>
    </row>
    <row r="101">
      <c r="A101" s="31" t="str">
        <v>波兰区</v>
      </c>
      <c r="B101" s="31" t="str">
        <v>VOKS Service</v>
      </c>
      <c r="C101" s="31" t="str">
        <v>S000278</v>
      </c>
      <c r="D101" s="31" t="str">
        <v>供应商汇总</v>
      </c>
      <c r="E101" s="31" t="str">
        <v>全部工种</v>
      </c>
      <c r="F101" s="32" t="n">
        <f>IF(SUMIFS('供应商月度明细'!$J$5:$J$155,'供应商月度明细'!$A$5:$A$155,$A101,'供应商月度明细'!$C$5:$C$155,$C101,'供应商月度明细'!$E$5:$E$155,"2026-04")=0,"",SUMIFS('供应商月度明细'!$K$5:$K$155,'供应商月度明细'!$A$5:$A$155,$A101,'供应商月度明细'!$C$5:$C$155,$C101,'供应商月度明细'!$E$5:$E$155,"2026-04")/SUMIFS('供应商月度明细'!$J$5:$J$155,'供应商月度明细'!$A$5:$A$155,$A101,'供应商月度明细'!$C$5:$C$155,$C101,'供应商月度明细'!$E$5:$E$155,"2026-04"))</f>
        <v>0</v>
      </c>
      <c r="G101" s="32" t="n">
        <f>IF(SUMIFS('供应商月度明细'!$J$5:$J$155,'供应商月度明细'!$A$5:$A$155,$A101,'供应商月度明细'!$C$5:$C$155,$C101,'供应商月度明细'!$E$5:$E$155,"2026-05")=0,"",SUMIFS('供应商月度明细'!$K$5:$K$155,'供应商月度明细'!$A$5:$A$155,$A101,'供应商月度明细'!$C$5:$C$155,$C101,'供应商月度明细'!$E$5:$E$155,"2026-05")/SUMIFS('供应商月度明细'!$J$5:$J$155,'供应商月度明细'!$A$5:$A$155,$A101,'供应商月度明细'!$C$5:$C$155,$C101,'供应商月度明细'!$E$5:$E$155,"2026-05"))</f>
        <v>0</v>
      </c>
      <c r="H101" s="32" t="str">
        <f>IF(SUMIFS('供应商月度明细'!$J$5:$J$155,'供应商月度明细'!$A$5:$A$155,$A101,'供应商月度明细'!$C$5:$C$155,$C101,'供应商月度明细'!$E$5:$E$155,"2026-06")=0,"",SUMIFS('供应商月度明细'!$K$5:$K$155,'供应商月度明细'!$A$5:$A$155,$A101,'供应商月度明细'!$C$5:$C$155,$C101,'供应商月度明细'!$E$5:$E$155,"2026-06")/SUMIFS('供应商月度明细'!$J$5:$J$155,'供应商月度明细'!$A$5:$A$155,$A101,'供应商月度明细'!$C$5:$C$155,$C101,'供应商月度明细'!$E$5:$E$155,"2026-06"))</f>
      </c>
      <c r="I101" s="32" t="n">
        <f>IF(COUNT(F101:H101)=0,"",AVERAGE(F101:H101))</f>
        <v>0</v>
      </c>
      <c r="J101" s="32" t="n">
        <f>IF(K101=0,"",L101/K101)</f>
        <v>0</v>
      </c>
      <c r="K101" s="33" t="n">
        <f>SUMIFS('供应商月度明细'!$J$5:$J$155,'供应商月度明细'!$A$5:$A$155,$A101,'供应商月度明细'!$C$5:$C$155,$C101)</f>
        <v>16.403596403596403</v>
      </c>
      <c r="L101" s="33" t="n">
        <f>SUMIFS('供应商月度明细'!$K$5:$K$155,'供应商月度明细'!$A$5:$A$155,$A101,'供应商月度明细'!$C$5:$C$155,$C101)</f>
        <v>0</v>
      </c>
      <c r="M101" s="33" t="n">
        <f>SUMIFS('供应商月度明细'!$M$5:$M$155,'供应商月度明细'!$A$5:$A$155,$A101,'供应商月度明细'!$C$5:$C$155,$C101)</f>
        <v>13.596403596403595</v>
      </c>
    </row>
    <row r="102">
      <c r="A102" s="19" t="str">
        <v>波兰区</v>
      </c>
      <c r="B102" s="19" t="str">
        <v>PROWORK APT Sp. z o.o.</v>
      </c>
      <c r="C102" s="19" t="str">
        <v>S000259</v>
      </c>
      <c r="D102" s="19" t="str">
        <v>工种明细</v>
      </c>
      <c r="E102" s="19" t="str">
        <v>操作员</v>
      </c>
      <c r="F102" s="27" t="n">
        <f>IF(SUMIFS('供应商月度明细'!$J$5:$J$155,'供应商月度明细'!$A$5:$A$155,$A102,'供应商月度明细'!$C$5:$C$155,$C102,'供应商月度明细'!$D$5:$D$155,$E102,'供应商月度明细'!$E$5:$E$155,"2026-04")=0,"",SUMIFS('供应商月度明细'!$K$5:$K$155,'供应商月度明细'!$A$5:$A$155,$A102,'供应商月度明细'!$C$5:$C$155,$C102,'供应商月度明细'!$D$5:$D$155,$E102,'供应商月度明细'!$E$5:$E$155,"2026-04")/SUMIFS('供应商月度明细'!$J$5:$J$155,'供应商月度明细'!$A$5:$A$155,$A102,'供应商月度明细'!$C$5:$C$155,$C102,'供应商月度明细'!$D$5:$D$155,$E102,'供应商月度明细'!$E$5:$E$155,"2026-04"))</f>
        <v>0.5833333333333334</v>
      </c>
      <c r="G102" s="27" t="n">
        <f>IF(SUMIFS('供应商月度明细'!$J$5:$J$155,'供应商月度明细'!$A$5:$A$155,$A102,'供应商月度明细'!$C$5:$C$155,$C102,'供应商月度明细'!$D$5:$D$155,$E102,'供应商月度明细'!$E$5:$E$155,"2026-05")=0,"",SUMIFS('供应商月度明细'!$K$5:$K$155,'供应商月度明细'!$A$5:$A$155,$A102,'供应商月度明细'!$C$5:$C$155,$C102,'供应商月度明细'!$D$5:$D$155,$E102,'供应商月度明细'!$E$5:$E$155,"2026-05")/SUMIFS('供应商月度明细'!$J$5:$J$155,'供应商月度明细'!$A$5:$A$155,$A102,'供应商月度明细'!$C$5:$C$155,$C102,'供应商月度明细'!$D$5:$D$155,$E102,'供应商月度明细'!$E$5:$E$155,"2026-05"))</f>
        <v>0</v>
      </c>
      <c r="H102" s="27" t="str">
        <f>IF(SUMIFS('供应商月度明细'!$J$5:$J$155,'供应商月度明细'!$A$5:$A$155,$A102,'供应商月度明细'!$C$5:$C$155,$C102,'供应商月度明细'!$D$5:$D$155,$E102,'供应商月度明细'!$E$5:$E$155,"2026-06")=0,"",SUMIFS('供应商月度明细'!$K$5:$K$155,'供应商月度明细'!$A$5:$A$155,$A102,'供应商月度明细'!$C$5:$C$155,$C102,'供应商月度明细'!$D$5:$D$155,$E102,'供应商月度明细'!$E$5:$E$155,"2026-06")/SUMIFS('供应商月度明细'!$J$5:$J$155,'供应商月度明细'!$A$5:$A$155,$A102,'供应商月度明细'!$C$5:$C$155,$C102,'供应商月度明细'!$D$5:$D$155,$E102,'供应商月度明细'!$E$5:$E$155,"2026-06"))</f>
      </c>
      <c r="I102" s="27" t="n">
        <f>IF(COUNT(F102:H102)=0,"",AVERAGE(F102:H102))</f>
        <v>0.2916666666666667</v>
      </c>
      <c r="J102" s="27" t="n">
        <f>IF(K102=0,"",L102/K102)</f>
        <v>0.4375000000000001</v>
      </c>
      <c r="K102" s="23" t="n">
        <f>SUMIFS('供应商月度明细'!$J$5:$J$155,'供应商月度明细'!$A$5:$A$155,$A102,'供应商月度明细'!$C$5:$C$155,$C102,'供应商月度明细'!$D$5:$D$155,$E102)</f>
        <v>13.333333333333332</v>
      </c>
      <c r="L102" s="23" t="n">
        <f>SUMIFS('供应商月度明细'!$K$5:$K$155,'供应商月度明细'!$A$5:$A$155,$A102,'供应商月度明细'!$C$5:$C$155,$C102,'供应商月度明细'!$D$5:$D$155,$E102)</f>
        <v>5.833333333333334</v>
      </c>
      <c r="M102" s="23" t="n">
        <f>SUMIFS('供应商月度明细'!$M$5:$M$155,'供应商月度明细'!$A$5:$A$155,$A102,'供应商月度明细'!$C$5:$C$155,$C102,'供应商月度明细'!$D$5:$D$155,$E102)</f>
        <v>3.666666666666666</v>
      </c>
    </row>
    <row r="103">
      <c r="A103" s="31" t="str">
        <v>波兰区</v>
      </c>
      <c r="B103" s="31" t="str">
        <v>PROWORK APT Sp. z o.o.</v>
      </c>
      <c r="C103" s="31" t="str">
        <v>S000259</v>
      </c>
      <c r="D103" s="31" t="str">
        <v>供应商汇总</v>
      </c>
      <c r="E103" s="31" t="str">
        <v>全部工种</v>
      </c>
      <c r="F103" s="32" t="n">
        <f>IF(SUMIFS('供应商月度明细'!$J$5:$J$155,'供应商月度明细'!$A$5:$A$155,$A103,'供应商月度明细'!$C$5:$C$155,$C103,'供应商月度明细'!$E$5:$E$155,"2026-04")=0,"",SUMIFS('供应商月度明细'!$K$5:$K$155,'供应商月度明细'!$A$5:$A$155,$A103,'供应商月度明细'!$C$5:$C$155,$C103,'供应商月度明细'!$E$5:$E$155,"2026-04")/SUMIFS('供应商月度明细'!$J$5:$J$155,'供应商月度明细'!$A$5:$A$155,$A103,'供应商月度明细'!$C$5:$C$155,$C103,'供应商月度明细'!$E$5:$E$155,"2026-04"))</f>
        <v>0.5833333333333334</v>
      </c>
      <c r="G103" s="32" t="n">
        <f>IF(SUMIFS('供应商月度明细'!$J$5:$J$155,'供应商月度明细'!$A$5:$A$155,$A103,'供应商月度明细'!$C$5:$C$155,$C103,'供应商月度明细'!$E$5:$E$155,"2026-05")=0,"",SUMIFS('供应商月度明细'!$K$5:$K$155,'供应商月度明细'!$A$5:$A$155,$A103,'供应商月度明细'!$C$5:$C$155,$C103,'供应商月度明细'!$E$5:$E$155,"2026-05")/SUMIFS('供应商月度明细'!$J$5:$J$155,'供应商月度明细'!$A$5:$A$155,$A103,'供应商月度明细'!$C$5:$C$155,$C103,'供应商月度明细'!$E$5:$E$155,"2026-05"))</f>
        <v>0</v>
      </c>
      <c r="H103" s="32" t="str">
        <f>IF(SUMIFS('供应商月度明细'!$J$5:$J$155,'供应商月度明细'!$A$5:$A$155,$A103,'供应商月度明细'!$C$5:$C$155,$C103,'供应商月度明细'!$E$5:$E$155,"2026-06")=0,"",SUMIFS('供应商月度明细'!$K$5:$K$155,'供应商月度明细'!$A$5:$A$155,$A103,'供应商月度明细'!$C$5:$C$155,$C103,'供应商月度明细'!$E$5:$E$155,"2026-06")/SUMIFS('供应商月度明细'!$J$5:$J$155,'供应商月度明细'!$A$5:$A$155,$A103,'供应商月度明细'!$C$5:$C$155,$C103,'供应商月度明细'!$E$5:$E$155,"2026-06"))</f>
      </c>
      <c r="I103" s="32" t="n">
        <f>IF(COUNT(F103:H103)=0,"",AVERAGE(F103:H103))</f>
        <v>0.2916666666666667</v>
      </c>
      <c r="J103" s="32" t="n">
        <f>IF(K103=0,"",L103/K103)</f>
        <v>0.4375000000000001</v>
      </c>
      <c r="K103" s="33" t="n">
        <f>SUMIFS('供应商月度明细'!$J$5:$J$155,'供应商月度明细'!$A$5:$A$155,$A103,'供应商月度明细'!$C$5:$C$155,$C103)</f>
        <v>13.333333333333332</v>
      </c>
      <c r="L103" s="33" t="n">
        <f>SUMIFS('供应商月度明细'!$K$5:$K$155,'供应商月度明细'!$A$5:$A$155,$A103,'供应商月度明细'!$C$5:$C$155,$C103)</f>
        <v>5.833333333333334</v>
      </c>
      <c r="M103" s="33" t="n">
        <f>SUMIFS('供应商月度明细'!$M$5:$M$155,'供应商月度明细'!$A$5:$A$155,$A103,'供应商月度明细'!$C$5:$C$155,$C103)</f>
        <v>3.666666666666666</v>
      </c>
    </row>
    <row r="104">
      <c r="A104" s="19" t="str">
        <v>波兰区</v>
      </c>
      <c r="B104" s="19" t="str">
        <v>Eurojob-West</v>
      </c>
      <c r="C104" s="19" t="str">
        <v>S000297</v>
      </c>
      <c r="D104" s="19" t="str">
        <v>工种明细</v>
      </c>
      <c r="E104" s="19" t="str">
        <v>操作员</v>
      </c>
      <c r="F104" s="27" t="str">
        <f>IF(SUMIFS('供应商月度明细'!$J$5:$J$155,'供应商月度明细'!$A$5:$A$155,$A104,'供应商月度明细'!$C$5:$C$155,$C104,'供应商月度明细'!$D$5:$D$155,$E104,'供应商月度明细'!$E$5:$E$155,"2026-04")=0,"",SUMIFS('供应商月度明细'!$K$5:$K$155,'供应商月度明细'!$A$5:$A$155,$A104,'供应商月度明细'!$C$5:$C$155,$C104,'供应商月度明细'!$D$5:$D$155,$E104,'供应商月度明细'!$E$5:$E$155,"2026-04")/SUMIFS('供应商月度明细'!$J$5:$J$155,'供应商月度明细'!$A$5:$A$155,$A104,'供应商月度明细'!$C$5:$C$155,$C104,'供应商月度明细'!$D$5:$D$155,$E104,'供应商月度明细'!$E$5:$E$155,"2026-04"))</f>
      </c>
      <c r="G104" s="27" t="n">
        <f>IF(SUMIFS('供应商月度明细'!$J$5:$J$155,'供应商月度明细'!$A$5:$A$155,$A104,'供应商月度明细'!$C$5:$C$155,$C104,'供应商月度明细'!$D$5:$D$155,$E104,'供应商月度明细'!$E$5:$E$155,"2026-05")=0,"",SUMIFS('供应商月度明细'!$K$5:$K$155,'供应商月度明细'!$A$5:$A$155,$A104,'供应商月度明细'!$C$5:$C$155,$C104,'供应商月度明细'!$D$5:$D$155,$E104,'供应商月度明细'!$E$5:$E$155,"2026-05")/SUMIFS('供应商月度明细'!$J$5:$J$155,'供应商月度明细'!$A$5:$A$155,$A104,'供应商月度明细'!$C$5:$C$155,$C104,'供应商月度明细'!$D$5:$D$155,$E104,'供应商月度明细'!$E$5:$E$155,"2026-05"))</f>
        <v>1</v>
      </c>
      <c r="H104" s="27" t="n">
        <f>IF(SUMIFS('供应商月度明细'!$J$5:$J$155,'供应商月度明细'!$A$5:$A$155,$A104,'供应商月度明细'!$C$5:$C$155,$C104,'供应商月度明细'!$D$5:$D$155,$E104,'供应商月度明细'!$E$5:$E$155,"2026-06")=0,"",SUMIFS('供应商月度明细'!$K$5:$K$155,'供应商月度明细'!$A$5:$A$155,$A104,'供应商月度明细'!$C$5:$C$155,$C104,'供应商月度明细'!$D$5:$D$155,$E104,'供应商月度明细'!$E$5:$E$155,"2026-06")/SUMIFS('供应商月度明细'!$J$5:$J$155,'供应商月度明细'!$A$5:$A$155,$A104,'供应商月度明细'!$C$5:$C$155,$C104,'供应商月度明细'!$D$5:$D$155,$E104,'供应商月度明细'!$E$5:$E$155,"2026-06"))</f>
        <v>0.6376811594202899</v>
      </c>
      <c r="I104" s="27" t="n">
        <f>IF(COUNT(F104:H104)=0,"",AVERAGE(F104:H104))</f>
        <v>0.818840579710145</v>
      </c>
      <c r="J104" s="27" t="n">
        <f>IF(K104=0,"",L104/K104)</f>
        <v>0.711758329495474</v>
      </c>
      <c r="K104" s="23" t="n">
        <f>SUMIFS('供应商月度明细'!$J$5:$J$155,'供应商月度明细'!$A$5:$A$155,$A104,'供应商月度明细'!$C$5:$C$155,$C104,'供应商月度明细'!$D$5:$D$155,$E104)</f>
        <v>13.798396048396047</v>
      </c>
      <c r="L104" s="23" t="n">
        <f>SUMIFS('供应商月度明细'!$K$5:$K$155,'供应商月度明细'!$A$5:$A$155,$A104,'供应商月度明细'!$C$5:$C$155,$C104,'供应商月度明细'!$D$5:$D$155,$E104)</f>
        <v>9.82112332112332</v>
      </c>
      <c r="M104" s="23" t="n">
        <f>SUMIFS('供应商月度明细'!$M$5:$M$155,'供应商月度明细'!$A$5:$A$155,$A104,'供应商月度明细'!$C$5:$C$155,$C104,'供应商月度明细'!$D$5:$D$155,$E104)</f>
        <v>2.2016039516039516</v>
      </c>
    </row>
    <row r="105">
      <c r="A105" s="31" t="str">
        <v>波兰区</v>
      </c>
      <c r="B105" s="31" t="str">
        <v>Eurojob-West</v>
      </c>
      <c r="C105" s="31" t="str">
        <v>S000297</v>
      </c>
      <c r="D105" s="31" t="str">
        <v>供应商汇总</v>
      </c>
      <c r="E105" s="31" t="str">
        <v>全部工种</v>
      </c>
      <c r="F105" s="32" t="str">
        <f>IF(SUMIFS('供应商月度明细'!$J$5:$J$155,'供应商月度明细'!$A$5:$A$155,$A105,'供应商月度明细'!$C$5:$C$155,$C105,'供应商月度明细'!$E$5:$E$155,"2026-04")=0,"",SUMIFS('供应商月度明细'!$K$5:$K$155,'供应商月度明细'!$A$5:$A$155,$A105,'供应商月度明细'!$C$5:$C$155,$C105,'供应商月度明细'!$E$5:$E$155,"2026-04")/SUMIFS('供应商月度明细'!$J$5:$J$155,'供应商月度明细'!$A$5:$A$155,$A105,'供应商月度明细'!$C$5:$C$155,$C105,'供应商月度明细'!$E$5:$E$155,"2026-04"))</f>
      </c>
      <c r="G105" s="32" t="n">
        <f>IF(SUMIFS('供应商月度明细'!$J$5:$J$155,'供应商月度明细'!$A$5:$A$155,$A105,'供应商月度明细'!$C$5:$C$155,$C105,'供应商月度明细'!$E$5:$E$155,"2026-05")=0,"",SUMIFS('供应商月度明细'!$K$5:$K$155,'供应商月度明细'!$A$5:$A$155,$A105,'供应商月度明细'!$C$5:$C$155,$C105,'供应商月度明细'!$E$5:$E$155,"2026-05")/SUMIFS('供应商月度明细'!$J$5:$J$155,'供应商月度明细'!$A$5:$A$155,$A105,'供应商月度明细'!$C$5:$C$155,$C105,'供应商月度明细'!$E$5:$E$155,"2026-05"))</f>
        <v>1</v>
      </c>
      <c r="H105" s="32" t="n">
        <f>IF(SUMIFS('供应商月度明细'!$J$5:$J$155,'供应商月度明细'!$A$5:$A$155,$A105,'供应商月度明细'!$C$5:$C$155,$C105,'供应商月度明细'!$E$5:$E$155,"2026-06")=0,"",SUMIFS('供应商月度明细'!$K$5:$K$155,'供应商月度明细'!$A$5:$A$155,$A105,'供应商月度明细'!$C$5:$C$155,$C105,'供应商月度明细'!$E$5:$E$155,"2026-06")/SUMIFS('供应商月度明细'!$J$5:$J$155,'供应商月度明细'!$A$5:$A$155,$A105,'供应商月度明细'!$C$5:$C$155,$C105,'供应商月度明细'!$E$5:$E$155,"2026-06"))</f>
        <v>0.6376811594202899</v>
      </c>
      <c r="I105" s="32" t="n">
        <f>IF(COUNT(F105:H105)=0,"",AVERAGE(F105:H105))</f>
        <v>0.818840579710145</v>
      </c>
      <c r="J105" s="32" t="n">
        <f>IF(K105=0,"",L105/K105)</f>
        <v>0.711758329495474</v>
      </c>
      <c r="K105" s="33" t="n">
        <f>SUMIFS('供应商月度明细'!$J$5:$J$155,'供应商月度明细'!$A$5:$A$155,$A105,'供应商月度明细'!$C$5:$C$155,$C105)</f>
        <v>13.798396048396047</v>
      </c>
      <c r="L105" s="33" t="n">
        <f>SUMIFS('供应商月度明细'!$K$5:$K$155,'供应商月度明细'!$A$5:$A$155,$A105,'供应商月度明细'!$C$5:$C$155,$C105)</f>
        <v>9.82112332112332</v>
      </c>
      <c r="M105" s="33" t="n">
        <f>SUMIFS('供应商月度明细'!$M$5:$M$155,'供应商月度明细'!$A$5:$A$155,$A105,'供应商月度明细'!$C$5:$C$155,$C105)</f>
        <v>2.2016039516039516</v>
      </c>
    </row>
    <row r="106">
      <c r="A106" s="34" t="str">
        <v>波兰区</v>
      </c>
      <c r="B106" s="34" t="str">
        <v>全区</v>
      </c>
      <c r="C106" s="34" t="str"/>
      <c r="D106" s="34" t="str">
        <v>区域汇总</v>
      </c>
      <c r="E106" s="34" t="str">
        <v>操作员</v>
      </c>
      <c r="F106" s="35" t="n">
        <f>IF(SUMIFS('供应商月度明细'!$J$5:$J$155,'供应商月度明细'!$A$5:$A$155,$A106,'供应商月度明细'!$D$5:$D$155,$E106,'供应商月度明细'!$E$5:$E$155,"2026-04")=0,"",SUMIFS('供应商月度明细'!$K$5:$K$155,'供应商月度明细'!$A$5:$A$155,$A106,'供应商月度明细'!$D$5:$D$155,$E106,'供应商月度明细'!$E$5:$E$155,"2026-04")/SUMIFS('供应商月度明细'!$J$5:$J$155,'供应商月度明细'!$A$5:$A$155,$A106,'供应商月度明细'!$D$5:$D$155,$E106,'供应商月度明细'!$E$5:$E$155,"2026-04"))</f>
        <v>0.9389695990276157</v>
      </c>
      <c r="G106" s="35" t="n">
        <f>IF(SUMIFS('供应商月度明细'!$J$5:$J$155,'供应商月度明细'!$A$5:$A$155,$A106,'供应商月度明细'!$D$5:$D$155,$E106,'供应商月度明细'!$E$5:$E$155,"2026-05")=0,"",SUMIFS('供应商月度明细'!$K$5:$K$155,'供应商月度明细'!$A$5:$A$155,$A106,'供应商月度明细'!$D$5:$D$155,$E106,'供应商月度明细'!$E$5:$E$155,"2026-05")/SUMIFS('供应商月度明细'!$J$5:$J$155,'供应商月度明细'!$A$5:$A$155,$A106,'供应商月度明细'!$D$5:$D$155,$E106,'供应商月度明细'!$E$5:$E$155,"2026-05"))</f>
        <v>0.6933728736329171</v>
      </c>
      <c r="H106" s="35" t="n">
        <f>IF(SUMIFS('供应商月度明细'!$J$5:$J$155,'供应商月度明细'!$A$5:$A$155,$A106,'供应商月度明细'!$D$5:$D$155,$E106,'供应商月度明细'!$E$5:$E$155,"2026-06")=0,"",SUMIFS('供应商月度明细'!$K$5:$K$155,'供应商月度明细'!$A$5:$A$155,$A106,'供应商月度明细'!$D$5:$D$155,$E106,'供应商月度明细'!$E$5:$E$155,"2026-06")/SUMIFS('供应商月度明细'!$J$5:$J$155,'供应商月度明细'!$A$5:$A$155,$A106,'供应商月度明细'!$D$5:$D$155,$E106,'供应商月度明细'!$E$5:$E$155,"2026-06"))</f>
        <v>0.45187937763995084</v>
      </c>
      <c r="I106" s="35" t="n">
        <f>IF(COUNT(F106:H106)=0,"",AVERAGE(F106:H106))</f>
        <v>0.6947406167668279</v>
      </c>
      <c r="J106" s="35" t="n">
        <f>IF(K106=0,"",L106/K106)</f>
        <v>0.6499562541945407</v>
      </c>
      <c r="K106" s="36" t="n">
        <f>SUMIFS('供应商月度明细'!$J$5:$J$155,'供应商月度明细'!$A$5:$A$155,$A106,'供应商月度明细'!$D$5:$D$155,$E106)</f>
        <v>1507</v>
      </c>
      <c r="L106" s="36" t="n">
        <f>SUMIFS('供应商月度明细'!$K$5:$K$155,'供应商月度明细'!$A$5:$A$155,$A106,'供应商月度明细'!$D$5:$D$155,$E106)</f>
        <v>979.4840750711728</v>
      </c>
      <c r="M106" s="36" t="n">
        <f>SUMIFS('供应商月度明细'!$M$5:$M$155,'供应商月度明细'!$A$5:$A$155,$A106,'供应商月度明细'!$D$5:$D$155,$E106)</f>
        <v>419.00000000000006</v>
      </c>
    </row>
    <row r="107">
      <c r="A107" s="37" t="str">
        <v>波兰区</v>
      </c>
      <c r="B107" s="37" t="str">
        <v>全区</v>
      </c>
      <c r="C107" s="37" t="str"/>
      <c r="D107" s="37" t="str">
        <v>区域汇总</v>
      </c>
      <c r="E107" s="37" t="str">
        <v>全部工种</v>
      </c>
      <c r="F107" s="38" t="n">
        <f>IF(SUMIFS('供应商月度明细'!$J$5:$J$155,'供应商月度明细'!$A$5:$A$155,$A107,'供应商月度明细'!$E$5:$E$155,"2026-04")=0,"",SUMIFS('供应商月度明细'!$K$5:$K$155,'供应商月度明细'!$A$5:$A$155,$A107,'供应商月度明细'!$E$5:$E$155,"2026-04")/SUMIFS('供应商月度明细'!$J$5:$J$155,'供应商月度明细'!$A$5:$A$155,$A107,'供应商月度明细'!$E$5:$E$155,"2026-04"))</f>
        <v>0.9389695990276157</v>
      </c>
      <c r="G107" s="38" t="n">
        <f>IF(SUMIFS('供应商月度明细'!$J$5:$J$155,'供应商月度明细'!$A$5:$A$155,$A107,'供应商月度明细'!$E$5:$E$155,"2026-05")=0,"",SUMIFS('供应商月度明细'!$K$5:$K$155,'供应商月度明细'!$A$5:$A$155,$A107,'供应商月度明细'!$E$5:$E$155,"2026-05")/SUMIFS('供应商月度明细'!$J$5:$J$155,'供应商月度明细'!$A$5:$A$155,$A107,'供应商月度明细'!$E$5:$E$155,"2026-05"))</f>
        <v>0.6933728736329171</v>
      </c>
      <c r="H107" s="38" t="n">
        <f>IF(SUMIFS('供应商月度明细'!$J$5:$J$155,'供应商月度明细'!$A$5:$A$155,$A107,'供应商月度明细'!$E$5:$E$155,"2026-06")=0,"",SUMIFS('供应商月度明细'!$K$5:$K$155,'供应商月度明细'!$A$5:$A$155,$A107,'供应商月度明细'!$E$5:$E$155,"2026-06")/SUMIFS('供应商月度明细'!$J$5:$J$155,'供应商月度明细'!$A$5:$A$155,$A107,'供应商月度明细'!$E$5:$E$155,"2026-06"))</f>
        <v>0.45187937763995084</v>
      </c>
      <c r="I107" s="38" t="n">
        <f>IF(COUNT(F107:H107)=0,"",AVERAGE(F107:H107))</f>
        <v>0.6947406167668279</v>
      </c>
      <c r="J107" s="38" t="n">
        <f>IF(K107=0,"",L107/K107)</f>
        <v>0.6499562541945407</v>
      </c>
      <c r="K107" s="39" t="n">
        <f>SUMIFS('供应商月度明细'!$J$5:$J$155,'供应商月度明细'!$A$5:$A$155,$A107)</f>
        <v>1507</v>
      </c>
      <c r="L107" s="39" t="n">
        <f>SUMIFS('供应商月度明细'!$K$5:$K$155,'供应商月度明细'!$A$5:$A$155,$A107)</f>
        <v>979.4840750711728</v>
      </c>
      <c r="M107" s="39" t="n">
        <f>SUMIFS('供应商月度明细'!$M$5:$M$155,'供应商月度明细'!$A$5:$A$155,$A107)</f>
        <v>419.00000000000006</v>
      </c>
    </row>
    <row r="108">
      <c r="A108" s="19" t="str">
        <v>捷克区</v>
      </c>
      <c r="B108" s="19" t="str">
        <v>Středoevropská pracovní agentura s.r.o.</v>
      </c>
      <c r="C108" s="19" t="str">
        <v>S000317</v>
      </c>
      <c r="D108" s="19" t="str">
        <v>工种明细</v>
      </c>
      <c r="E108" s="19" t="str">
        <v>操作员</v>
      </c>
      <c r="F108" s="27" t="n">
        <f>IF(SUMIFS('供应商月度明细'!$J$5:$J$155,'供应商月度明细'!$A$5:$A$155,$A108,'供应商月度明细'!$C$5:$C$155,$C108,'供应商月度明细'!$D$5:$D$155,$E108,'供应商月度明细'!$E$5:$E$155,"2026-04")=0,"",SUMIFS('供应商月度明细'!$K$5:$K$155,'供应商月度明细'!$A$5:$A$155,$A108,'供应商月度明细'!$C$5:$C$155,$C108,'供应商月度明细'!$D$5:$D$155,$E108,'供应商月度明细'!$E$5:$E$155,"2026-04")/SUMIFS('供应商月度明细'!$J$5:$J$155,'供应商月度明细'!$A$5:$A$155,$A108,'供应商月度明细'!$C$5:$C$155,$C108,'供应商月度明细'!$D$5:$D$155,$E108,'供应商月度明细'!$E$5:$E$155,"2026-04"))</f>
        <v>0.125</v>
      </c>
      <c r="G108" s="27" t="n">
        <f>IF(SUMIFS('供应商月度明细'!$J$5:$J$155,'供应商月度明细'!$A$5:$A$155,$A108,'供应商月度明细'!$C$5:$C$155,$C108,'供应商月度明细'!$D$5:$D$155,$E108,'供应商月度明细'!$E$5:$E$155,"2026-05")=0,"",SUMIFS('供应商月度明细'!$K$5:$K$155,'供应商月度明细'!$A$5:$A$155,$A108,'供应商月度明细'!$C$5:$C$155,$C108,'供应商月度明细'!$D$5:$D$155,$E108,'供应商月度明细'!$E$5:$E$155,"2026-05")/SUMIFS('供应商月度明细'!$J$5:$J$155,'供应商月度明细'!$A$5:$A$155,$A108,'供应商月度明细'!$C$5:$C$155,$C108,'供应商月度明细'!$D$5:$D$155,$E108,'供应商月度明细'!$E$5:$E$155,"2026-05"))</f>
        <v>0</v>
      </c>
      <c r="H108" s="27" t="n">
        <f>IF(SUMIFS('供应商月度明细'!$J$5:$J$155,'供应商月度明细'!$A$5:$A$155,$A108,'供应商月度明细'!$C$5:$C$155,$C108,'供应商月度明细'!$D$5:$D$155,$E108,'供应商月度明细'!$E$5:$E$155,"2026-06")=0,"",SUMIFS('供应商月度明细'!$K$5:$K$155,'供应商月度明细'!$A$5:$A$155,$A108,'供应商月度明细'!$C$5:$C$155,$C108,'供应商月度明细'!$D$5:$D$155,$E108,'供应商月度明细'!$E$5:$E$155,"2026-06")/SUMIFS('供应商月度明细'!$J$5:$J$155,'供应商月度明细'!$A$5:$A$155,$A108,'供应商月度明细'!$C$5:$C$155,$C108,'供应商月度明细'!$D$5:$D$155,$E108,'供应商月度明细'!$E$5:$E$155,"2026-06"))</f>
        <v>0.72</v>
      </c>
      <c r="I108" s="27" t="n">
        <f>IF(COUNT(F108:H108)=0,"",AVERAGE(F108:H108))</f>
        <v>0.2816666666666667</v>
      </c>
      <c r="J108" s="27" t="n">
        <f>IF(K108=0,"",L108/K108)</f>
        <v>0.5285714285714286</v>
      </c>
      <c r="K108" s="23" t="n">
        <f>SUMIFS('供应商月度明细'!$J$5:$J$155,'供应商月度明细'!$A$5:$A$155,$A108,'供应商月度明细'!$C$5:$C$155,$C108,'供应商月度明细'!$D$5:$D$155,$E108)</f>
        <v>70</v>
      </c>
      <c r="L108" s="23" t="n">
        <f>SUMIFS('供应商月度明细'!$K$5:$K$155,'供应商月度明细'!$A$5:$A$155,$A108,'供应商月度明细'!$C$5:$C$155,$C108,'供应商月度明细'!$D$5:$D$155,$E108)</f>
        <v>37</v>
      </c>
      <c r="M108" s="23" t="n">
        <f>SUMIFS('供应商月度明细'!$M$5:$M$155,'供应商月度明细'!$A$5:$A$155,$A108,'供应商月度明细'!$C$5:$C$155,$C108,'供应商月度明细'!$D$5:$D$155,$E108)</f>
        <v>1</v>
      </c>
    </row>
    <row r="109">
      <c r="A109" s="19" t="str">
        <v>捷克区</v>
      </c>
      <c r="B109" s="19" t="str">
        <v>Středoevropská pracovní agentura s.r.o.</v>
      </c>
      <c r="C109" s="19" t="str">
        <v>S000317</v>
      </c>
      <c r="D109" s="19" t="str">
        <v>工种明细</v>
      </c>
      <c r="E109" s="19" t="str">
        <v>叉车司机</v>
      </c>
      <c r="F109" s="27" t="n">
        <f>IF(SUMIFS('供应商月度明细'!$J$5:$J$155,'供应商月度明细'!$A$5:$A$155,$A109,'供应商月度明细'!$C$5:$C$155,$C109,'供应商月度明细'!$D$5:$D$155,$E109,'供应商月度明细'!$E$5:$E$155,"2026-04")=0,"",SUMIFS('供应商月度明细'!$K$5:$K$155,'供应商月度明细'!$A$5:$A$155,$A109,'供应商月度明细'!$C$5:$C$155,$C109,'供应商月度明细'!$D$5:$D$155,$E109,'供应商月度明细'!$E$5:$E$155,"2026-04")/SUMIFS('供应商月度明细'!$J$5:$J$155,'供应商月度明细'!$A$5:$A$155,$A109,'供应商月度明细'!$C$5:$C$155,$C109,'供应商月度明细'!$D$5:$D$155,$E109,'供应商月度明细'!$E$5:$E$155,"2026-04"))</f>
        <v>0.1</v>
      </c>
      <c r="G109" s="27" t="n">
        <f>IF(SUMIFS('供应商月度明细'!$J$5:$J$155,'供应商月度明细'!$A$5:$A$155,$A109,'供应商月度明细'!$C$5:$C$155,$C109,'供应商月度明细'!$D$5:$D$155,$E109,'供应商月度明细'!$E$5:$E$155,"2026-05")=0,"",SUMIFS('供应商月度明细'!$K$5:$K$155,'供应商月度明细'!$A$5:$A$155,$A109,'供应商月度明细'!$C$5:$C$155,$C109,'供应商月度明细'!$D$5:$D$155,$E109,'供应商月度明细'!$E$5:$E$155,"2026-05")/SUMIFS('供应商月度明细'!$J$5:$J$155,'供应商月度明细'!$A$5:$A$155,$A109,'供应商月度明细'!$C$5:$C$155,$C109,'供应商月度明细'!$D$5:$D$155,$E109,'供应商月度明细'!$E$5:$E$155,"2026-05"))</f>
        <v>0</v>
      </c>
      <c r="H109" s="27" t="n">
        <f>IF(SUMIFS('供应商月度明细'!$J$5:$J$155,'供应商月度明细'!$A$5:$A$155,$A109,'供应商月度明细'!$C$5:$C$155,$C109,'供应商月度明细'!$D$5:$D$155,$E109,'供应商月度明细'!$E$5:$E$155,"2026-06")=0,"",SUMIFS('供应商月度明细'!$K$5:$K$155,'供应商月度明细'!$A$5:$A$155,$A109,'供应商月度明细'!$C$5:$C$155,$C109,'供应商月度明细'!$D$5:$D$155,$E109,'供应商月度明细'!$E$5:$E$155,"2026-06")/SUMIFS('供应商月度明细'!$J$5:$J$155,'供应商月度明细'!$A$5:$A$155,$A109,'供应商月度明细'!$C$5:$C$155,$C109,'供应商月度明细'!$D$5:$D$155,$E109,'供应商月度明细'!$E$5:$E$155,"2026-06"))</f>
        <v>0.32</v>
      </c>
      <c r="I109" s="27" t="n">
        <f>IF(COUNT(F109:H109)=0,"",AVERAGE(F109:H109))</f>
        <v>0.14</v>
      </c>
      <c r="J109" s="27" t="n">
        <f>IF(K109=0,"",L109/K109)</f>
        <v>0.15517241379310345</v>
      </c>
      <c r="K109" s="23" t="n">
        <f>SUMIFS('供应商月度明细'!$J$5:$J$155,'供应商月度明细'!$A$5:$A$155,$A109,'供应商月度明细'!$C$5:$C$155,$C109,'供应商月度明细'!$D$5:$D$155,$E109)</f>
        <v>58</v>
      </c>
      <c r="L109" s="23" t="n">
        <f>SUMIFS('供应商月度明细'!$K$5:$K$155,'供应商月度明细'!$A$5:$A$155,$A109,'供应商月度明细'!$C$5:$C$155,$C109,'供应商月度明细'!$D$5:$D$155,$E109)</f>
        <v>9</v>
      </c>
      <c r="M109" s="23" t="n">
        <f>SUMIFS('供应商月度明细'!$M$5:$M$155,'供应商月度明细'!$A$5:$A$155,$A109,'供应商月度明细'!$C$5:$C$155,$C109,'供应商月度明细'!$D$5:$D$155,$E109)</f>
        <v>0</v>
      </c>
    </row>
    <row r="110">
      <c r="A110" s="31" t="str">
        <v>捷克区</v>
      </c>
      <c r="B110" s="31" t="str">
        <v>Středoevropská pracovní agentura s.r.o.</v>
      </c>
      <c r="C110" s="31" t="str">
        <v>S000317</v>
      </c>
      <c r="D110" s="31" t="str">
        <v>供应商汇总</v>
      </c>
      <c r="E110" s="31" t="str">
        <v>全部工种</v>
      </c>
      <c r="F110" s="32" t="n">
        <f>IF(SUMIFS('供应商月度明细'!$J$5:$J$155,'供应商月度明细'!$A$5:$A$155,$A110,'供应商月度明细'!$C$5:$C$155,$C110,'供应商月度明细'!$E$5:$E$155,"2026-04")=0,"",SUMIFS('供应商月度明细'!$K$5:$K$155,'供应商月度明细'!$A$5:$A$155,$A110,'供应商月度明细'!$C$5:$C$155,$C110,'供应商月度明细'!$E$5:$E$155,"2026-04")/SUMIFS('供应商月度明细'!$J$5:$J$155,'供应商月度明细'!$A$5:$A$155,$A110,'供应商月度明细'!$C$5:$C$155,$C110,'供应商月度明细'!$E$5:$E$155,"2026-04"))</f>
        <v>0.1111111111111111</v>
      </c>
      <c r="G110" s="32" t="n">
        <f>IF(SUMIFS('供应商月度明细'!$J$5:$J$155,'供应商月度明细'!$A$5:$A$155,$A110,'供应商月度明细'!$C$5:$C$155,$C110,'供应商月度明细'!$E$5:$E$155,"2026-05")=0,"",SUMIFS('供应商月度明细'!$K$5:$K$155,'供应商月度明细'!$A$5:$A$155,$A110,'供应商月度明细'!$C$5:$C$155,$C110,'供应商月度明细'!$E$5:$E$155,"2026-05")/SUMIFS('供应商月度明细'!$J$5:$J$155,'供应商月度明细'!$A$5:$A$155,$A110,'供应商月度明细'!$C$5:$C$155,$C110,'供应商月度明细'!$E$5:$E$155,"2026-05"))</f>
        <v>0</v>
      </c>
      <c r="H110" s="32" t="n">
        <f>IF(SUMIFS('供应商月度明细'!$J$5:$J$155,'供应商月度明细'!$A$5:$A$155,$A110,'供应商月度明细'!$C$5:$C$155,$C110,'供应商月度明细'!$E$5:$E$155,"2026-06")=0,"",SUMIFS('供应商月度明细'!$K$5:$K$155,'供应商月度明细'!$A$5:$A$155,$A110,'供应商月度明细'!$C$5:$C$155,$C110,'供应商月度明细'!$E$5:$E$155,"2026-06")/SUMIFS('供应商月度明细'!$J$5:$J$155,'供应商月度明细'!$A$5:$A$155,$A110,'供应商月度明细'!$C$5:$C$155,$C110,'供应商月度明细'!$E$5:$E$155,"2026-06"))</f>
        <v>0.5866666666666667</v>
      </c>
      <c r="I110" s="32" t="n">
        <f>IF(COUNT(F110:H110)=0,"",AVERAGE(F110:H110))</f>
        <v>0.2325925925925926</v>
      </c>
      <c r="J110" s="32" t="n">
        <f>IF(K110=0,"",L110/K110)</f>
        <v>0.359375</v>
      </c>
      <c r="K110" s="33" t="n">
        <f>SUMIFS('供应商月度明细'!$J$5:$J$155,'供应商月度明细'!$A$5:$A$155,$A110,'供应商月度明细'!$C$5:$C$155,$C110)</f>
        <v>128</v>
      </c>
      <c r="L110" s="33" t="n">
        <f>SUMIFS('供应商月度明细'!$K$5:$K$155,'供应商月度明细'!$A$5:$A$155,$A110,'供应商月度明细'!$C$5:$C$155,$C110)</f>
        <v>46</v>
      </c>
      <c r="M110" s="33" t="n">
        <f>SUMIFS('供应商月度明细'!$M$5:$M$155,'供应商月度明细'!$A$5:$A$155,$A110,'供应商月度明细'!$C$5:$C$155,$C110)</f>
        <v>1</v>
      </c>
    </row>
    <row r="111">
      <c r="A111" s="19" t="str">
        <v>捷克区</v>
      </c>
      <c r="B111" s="19" t="str">
        <v>PERSONALEK Plus s.r.o.</v>
      </c>
      <c r="C111" s="19" t="str">
        <v>S000098</v>
      </c>
      <c r="D111" s="19" t="str">
        <v>工种明细</v>
      </c>
      <c r="E111" s="19" t="str">
        <v>操作员</v>
      </c>
      <c r="F111" s="27" t="n">
        <f>IF(SUMIFS('供应商月度明细'!$J$5:$J$155,'供应商月度明细'!$A$5:$A$155,$A111,'供应商月度明细'!$C$5:$C$155,$C111,'供应商月度明细'!$D$5:$D$155,$E111,'供应商月度明细'!$E$5:$E$155,"2026-04")=0,"",SUMIFS('供应商月度明细'!$K$5:$K$155,'供应商月度明细'!$A$5:$A$155,$A111,'供应商月度明细'!$C$5:$C$155,$C111,'供应商月度明细'!$D$5:$D$155,$E111,'供应商月度明细'!$E$5:$E$155,"2026-04")/SUMIFS('供应商月度明细'!$J$5:$J$155,'供应商月度明细'!$A$5:$A$155,$A111,'供应商月度明细'!$C$5:$C$155,$C111,'供应商月度明细'!$D$5:$D$155,$E111,'供应商月度明细'!$E$5:$E$155,"2026-04"))</f>
        <v>1</v>
      </c>
      <c r="G111" s="27" t="n">
        <f>IF(SUMIFS('供应商月度明细'!$J$5:$J$155,'供应商月度明细'!$A$5:$A$155,$A111,'供应商月度明细'!$C$5:$C$155,$C111,'供应商月度明细'!$D$5:$D$155,$E111,'供应商月度明细'!$E$5:$E$155,"2026-05")=0,"",SUMIFS('供应商月度明细'!$K$5:$K$155,'供应商月度明细'!$A$5:$A$155,$A111,'供应商月度明细'!$C$5:$C$155,$C111,'供应商月度明细'!$D$5:$D$155,$E111,'供应商月度明细'!$E$5:$E$155,"2026-05")/SUMIFS('供应商月度明细'!$J$5:$J$155,'供应商月度明细'!$A$5:$A$155,$A111,'供应商月度明细'!$C$5:$C$155,$C111,'供应商月度明细'!$D$5:$D$155,$E111,'供应商月度明细'!$E$5:$E$155,"2026-05"))</f>
        <v>0</v>
      </c>
      <c r="H111" s="27" t="n">
        <f>IF(SUMIFS('供应商月度明细'!$J$5:$J$155,'供应商月度明细'!$A$5:$A$155,$A111,'供应商月度明细'!$C$5:$C$155,$C111,'供应商月度明细'!$D$5:$D$155,$E111,'供应商月度明细'!$E$5:$E$155,"2026-06")=0,"",SUMIFS('供应商月度明细'!$K$5:$K$155,'供应商月度明细'!$A$5:$A$155,$A111,'供应商月度明细'!$C$5:$C$155,$C111,'供应商月度明细'!$D$5:$D$155,$E111,'供应商月度明细'!$E$5:$E$155,"2026-06")/SUMIFS('供应商月度明细'!$J$5:$J$155,'供应商月度明细'!$A$5:$A$155,$A111,'供应商月度明细'!$C$5:$C$155,$C111,'供应商月度明细'!$D$5:$D$155,$E111,'供应商月度明细'!$E$5:$E$155,"2026-06"))</f>
        <v>0.5</v>
      </c>
      <c r="I111" s="27" t="n">
        <f>IF(COUNT(F111:H111)=0,"",AVERAGE(F111:H111))</f>
        <v>0.5</v>
      </c>
      <c r="J111" s="27" t="n">
        <f>IF(K111=0,"",L111/K111)</f>
        <v>0.4</v>
      </c>
      <c r="K111" s="23" t="n">
        <f>SUMIFS('供应商月度明细'!$J$5:$J$155,'供应商月度明细'!$A$5:$A$155,$A111,'供应商月度明细'!$C$5:$C$155,$C111,'供应商月度明细'!$D$5:$D$155,$E111)</f>
        <v>15</v>
      </c>
      <c r="L111" s="23" t="n">
        <f>SUMIFS('供应商月度明细'!$K$5:$K$155,'供应商月度明细'!$A$5:$A$155,$A111,'供应商月度明细'!$C$5:$C$155,$C111,'供应商月度明细'!$D$5:$D$155,$E111)</f>
        <v>6</v>
      </c>
      <c r="M111" s="23" t="n">
        <f>SUMIFS('供应商月度明细'!$M$5:$M$155,'供应商月度明细'!$A$5:$A$155,$A111,'供应商月度明细'!$C$5:$C$155,$C111,'供应商月度明细'!$D$5:$D$155,$E111)</f>
        <v>0</v>
      </c>
    </row>
    <row r="112">
      <c r="A112" s="19" t="str">
        <v>捷克区</v>
      </c>
      <c r="B112" s="19" t="str">
        <v>PERSONALEK Plus s.r.o.</v>
      </c>
      <c r="C112" s="19" t="str">
        <v>S000098</v>
      </c>
      <c r="D112" s="19" t="str">
        <v>工种明细</v>
      </c>
      <c r="E112" s="19" t="str">
        <v>叉车司机</v>
      </c>
      <c r="F112" s="27" t="n">
        <f>IF(SUMIFS('供应商月度明细'!$J$5:$J$155,'供应商月度明细'!$A$5:$A$155,$A112,'供应商月度明细'!$C$5:$C$155,$C112,'供应商月度明细'!$D$5:$D$155,$E112,'供应商月度明细'!$E$5:$E$155,"2026-04")=0,"",SUMIFS('供应商月度明细'!$K$5:$K$155,'供应商月度明细'!$A$5:$A$155,$A112,'供应商月度明细'!$C$5:$C$155,$C112,'供应商月度明细'!$D$5:$D$155,$E112,'供应商月度明细'!$E$5:$E$155,"2026-04")/SUMIFS('供应商月度明细'!$J$5:$J$155,'供应商月度明细'!$A$5:$A$155,$A112,'供应商月度明细'!$C$5:$C$155,$C112,'供应商月度明细'!$D$5:$D$155,$E112,'供应商月度明细'!$E$5:$E$155,"2026-04"))</f>
        <v>1</v>
      </c>
      <c r="G112" s="27" t="str">
        <f>IF(SUMIFS('供应商月度明细'!$J$5:$J$155,'供应商月度明细'!$A$5:$A$155,$A112,'供应商月度明细'!$C$5:$C$155,$C112,'供应商月度明细'!$D$5:$D$155,$E112,'供应商月度明细'!$E$5:$E$155,"2026-05")=0,"",SUMIFS('供应商月度明细'!$K$5:$K$155,'供应商月度明细'!$A$5:$A$155,$A112,'供应商月度明细'!$C$5:$C$155,$C112,'供应商月度明细'!$D$5:$D$155,$E112,'供应商月度明细'!$E$5:$E$155,"2026-05")/SUMIFS('供应商月度明细'!$J$5:$J$155,'供应商月度明细'!$A$5:$A$155,$A112,'供应商月度明细'!$C$5:$C$155,$C112,'供应商月度明细'!$D$5:$D$155,$E112,'供应商月度明细'!$E$5:$E$155,"2026-05"))</f>
      </c>
      <c r="H112" s="27" t="n">
        <f>IF(SUMIFS('供应商月度明细'!$J$5:$J$155,'供应商月度明细'!$A$5:$A$155,$A112,'供应商月度明细'!$C$5:$C$155,$C112,'供应商月度明细'!$D$5:$D$155,$E112,'供应商月度明细'!$E$5:$E$155,"2026-06")=0,"",SUMIFS('供应商月度明细'!$K$5:$K$155,'供应商月度明细'!$A$5:$A$155,$A112,'供应商月度明细'!$C$5:$C$155,$C112,'供应商月度明细'!$D$5:$D$155,$E112,'供应商月度明细'!$E$5:$E$155,"2026-06")/SUMIFS('供应商月度明细'!$J$5:$J$155,'供应商月度明细'!$A$5:$A$155,$A112,'供应商月度明细'!$C$5:$C$155,$C112,'供应商月度明细'!$D$5:$D$155,$E112,'供应商月度明细'!$E$5:$E$155,"2026-06"))</f>
        <v>0.6</v>
      </c>
      <c r="I112" s="27" t="n">
        <f>IF(COUNT(F112:H112)=0,"",AVERAGE(F112:H112))</f>
        <v>0.8</v>
      </c>
      <c r="J112" s="27" t="n">
        <f>IF(K112=0,"",L112/K112)</f>
        <v>0.625</v>
      </c>
      <c r="K112" s="23" t="n">
        <f>SUMIFS('供应商月度明细'!$J$5:$J$155,'供应商月度明细'!$A$5:$A$155,$A112,'供应商月度明细'!$C$5:$C$155,$C112,'供应商月度明细'!$D$5:$D$155,$E112)</f>
        <v>16</v>
      </c>
      <c r="L112" s="23" t="n">
        <f>SUMIFS('供应商月度明细'!$K$5:$K$155,'供应商月度明细'!$A$5:$A$155,$A112,'供应商月度明细'!$C$5:$C$155,$C112,'供应商月度明细'!$D$5:$D$155,$E112)</f>
        <v>10</v>
      </c>
      <c r="M112" s="23" t="n">
        <f>SUMIFS('供应商月度明细'!$M$5:$M$155,'供应商月度明细'!$A$5:$A$155,$A112,'供应商月度明细'!$C$5:$C$155,$C112,'供应商月度明细'!$D$5:$D$155,$E112)</f>
        <v>0</v>
      </c>
    </row>
    <row r="113">
      <c r="A113" s="19" t="str">
        <v>捷克区</v>
      </c>
      <c r="B113" s="19" t="str">
        <v>PERSONALEK Plus s.r.o.</v>
      </c>
      <c r="C113" s="19" t="str">
        <v>S000098</v>
      </c>
      <c r="D113" s="19" t="str">
        <v>工种明细</v>
      </c>
      <c r="E113" s="19" t="str">
        <v>交运员 3.5T</v>
      </c>
      <c r="F113" s="27" t="str">
        <f>IF(SUMIFS('供应商月度明细'!$J$5:$J$155,'供应商月度明细'!$A$5:$A$155,$A113,'供应商月度明细'!$C$5:$C$155,$C113,'供应商月度明细'!$D$5:$D$155,$E113,'供应商月度明细'!$E$5:$E$155,"2026-04")=0,"",SUMIFS('供应商月度明细'!$K$5:$K$155,'供应商月度明细'!$A$5:$A$155,$A113,'供应商月度明细'!$C$5:$C$155,$C113,'供应商月度明细'!$D$5:$D$155,$E113,'供应商月度明细'!$E$5:$E$155,"2026-04")/SUMIFS('供应商月度明细'!$J$5:$J$155,'供应商月度明细'!$A$5:$A$155,$A113,'供应商月度明细'!$C$5:$C$155,$C113,'供应商月度明细'!$D$5:$D$155,$E113,'供应商月度明细'!$E$5:$E$155,"2026-04"))</f>
      </c>
      <c r="G113" s="27" t="str">
        <f>IF(SUMIFS('供应商月度明细'!$J$5:$J$155,'供应商月度明细'!$A$5:$A$155,$A113,'供应商月度明细'!$C$5:$C$155,$C113,'供应商月度明细'!$D$5:$D$155,$E113,'供应商月度明细'!$E$5:$E$155,"2026-05")=0,"",SUMIFS('供应商月度明细'!$K$5:$K$155,'供应商月度明细'!$A$5:$A$155,$A113,'供应商月度明细'!$C$5:$C$155,$C113,'供应商月度明细'!$D$5:$D$155,$E113,'供应商月度明细'!$E$5:$E$155,"2026-05")/SUMIFS('供应商月度明细'!$J$5:$J$155,'供应商月度明细'!$A$5:$A$155,$A113,'供应商月度明细'!$C$5:$C$155,$C113,'供应商月度明细'!$D$5:$D$155,$E113,'供应商月度明细'!$E$5:$E$155,"2026-05"))</f>
      </c>
      <c r="H113" s="27" t="n">
        <f>IF(SUMIFS('供应商月度明细'!$J$5:$J$155,'供应商月度明细'!$A$5:$A$155,$A113,'供应商月度明细'!$C$5:$C$155,$C113,'供应商月度明细'!$D$5:$D$155,$E113,'供应商月度明细'!$E$5:$E$155,"2026-06")=0,"",SUMIFS('供应商月度明细'!$K$5:$K$155,'供应商月度明细'!$A$5:$A$155,$A113,'供应商月度明细'!$C$5:$C$155,$C113,'供应商月度明细'!$D$5:$D$155,$E113,'供应商月度明细'!$E$5:$E$155,"2026-06")/SUMIFS('供应商月度明细'!$J$5:$J$155,'供应商月度明细'!$A$5:$A$155,$A113,'供应商月度明细'!$C$5:$C$155,$C113,'供应商月度明细'!$D$5:$D$155,$E113,'供应商月度明细'!$E$5:$E$155,"2026-06"))</f>
        <v>1</v>
      </c>
      <c r="I113" s="27" t="n">
        <f>IF(COUNT(F113:H113)=0,"",AVERAGE(F113:H113))</f>
        <v>1</v>
      </c>
      <c r="J113" s="27" t="n">
        <f>IF(K113=0,"",L113/K113)</f>
        <v>1</v>
      </c>
      <c r="K113" s="23" t="n">
        <f>SUMIFS('供应商月度明细'!$J$5:$J$155,'供应商月度明细'!$A$5:$A$155,$A113,'供应商月度明细'!$C$5:$C$155,$C113,'供应商月度明细'!$D$5:$D$155,$E113)</f>
        <v>5</v>
      </c>
      <c r="L113" s="23" t="n">
        <f>SUMIFS('供应商月度明细'!$K$5:$K$155,'供应商月度明细'!$A$5:$A$155,$A113,'供应商月度明细'!$C$5:$C$155,$C113,'供应商月度明细'!$D$5:$D$155,$E113)</f>
        <v>5</v>
      </c>
      <c r="M113" s="23" t="n">
        <f>SUMIFS('供应商月度明细'!$M$5:$M$155,'供应商月度明细'!$A$5:$A$155,$A113,'供应商月度明细'!$C$5:$C$155,$C113,'供应商月度明细'!$D$5:$D$155,$E113)</f>
        <v>0</v>
      </c>
    </row>
    <row r="114">
      <c r="A114" s="31" t="str">
        <v>捷克区</v>
      </c>
      <c r="B114" s="31" t="str">
        <v>PERSONALEK Plus s.r.o.</v>
      </c>
      <c r="C114" s="31" t="str">
        <v>S000098</v>
      </c>
      <c r="D114" s="31" t="str">
        <v>供应商汇总</v>
      </c>
      <c r="E114" s="31" t="str">
        <v>全部工种</v>
      </c>
      <c r="F114" s="32" t="n">
        <f>IF(SUMIFS('供应商月度明细'!$J$5:$J$155,'供应商月度明细'!$A$5:$A$155,$A114,'供应商月度明细'!$C$5:$C$155,$C114,'供应商月度明细'!$E$5:$E$155,"2026-04")=0,"",SUMIFS('供应商月度明细'!$K$5:$K$155,'供应商月度明细'!$A$5:$A$155,$A114,'供应商月度明细'!$C$5:$C$155,$C114,'供应商月度明细'!$E$5:$E$155,"2026-04")/SUMIFS('供应商月度明细'!$J$5:$J$155,'供应商月度明细'!$A$5:$A$155,$A114,'供应商月度明细'!$C$5:$C$155,$C114,'供应商月度明细'!$E$5:$E$155,"2026-04"))</f>
        <v>1</v>
      </c>
      <c r="G114" s="32" t="n">
        <f>IF(SUMIFS('供应商月度明细'!$J$5:$J$155,'供应商月度明细'!$A$5:$A$155,$A114,'供应商月度明细'!$C$5:$C$155,$C114,'供应商月度明细'!$E$5:$E$155,"2026-05")=0,"",SUMIFS('供应商月度明细'!$K$5:$K$155,'供应商月度明细'!$A$5:$A$155,$A114,'供应商月度明细'!$C$5:$C$155,$C114,'供应商月度明细'!$E$5:$E$155,"2026-05")/SUMIFS('供应商月度明细'!$J$5:$J$155,'供应商月度明细'!$A$5:$A$155,$A114,'供应商月度明细'!$C$5:$C$155,$C114,'供应商月度明细'!$E$5:$E$155,"2026-05"))</f>
        <v>0</v>
      </c>
      <c r="H114" s="32" t="n">
        <f>IF(SUMIFS('供应商月度明细'!$J$5:$J$155,'供应商月度明细'!$A$5:$A$155,$A114,'供应商月度明细'!$C$5:$C$155,$C114,'供应商月度明细'!$E$5:$E$155,"2026-06")=0,"",SUMIFS('供应商月度明细'!$K$5:$K$155,'供应商月度明细'!$A$5:$A$155,$A114,'供应商月度明细'!$C$5:$C$155,$C114,'供应商月度明细'!$E$5:$E$155,"2026-06")/SUMIFS('供应商月度明细'!$J$5:$J$155,'供应商月度明细'!$A$5:$A$155,$A114,'供应商月度明细'!$C$5:$C$155,$C114,'供应商月度明细'!$E$5:$E$155,"2026-06"))</f>
        <v>0.6333333333333333</v>
      </c>
      <c r="I114" s="32" t="n">
        <f>IF(COUNT(F114:H114)=0,"",AVERAGE(F114:H114))</f>
        <v>0.5444444444444444</v>
      </c>
      <c r="J114" s="32" t="n">
        <f>IF(K114=0,"",L114/K114)</f>
        <v>0.5833333333333334</v>
      </c>
      <c r="K114" s="33" t="n">
        <f>SUMIFS('供应商月度明细'!$J$5:$J$155,'供应商月度明细'!$A$5:$A$155,$A114,'供应商月度明细'!$C$5:$C$155,$C114)</f>
        <v>36</v>
      </c>
      <c r="L114" s="33" t="n">
        <f>SUMIFS('供应商月度明细'!$K$5:$K$155,'供应商月度明细'!$A$5:$A$155,$A114,'供应商月度明细'!$C$5:$C$155,$C114)</f>
        <v>21</v>
      </c>
      <c r="M114" s="33" t="n">
        <f>SUMIFS('供应商月度明细'!$M$5:$M$155,'供应商月度明细'!$A$5:$A$155,$A114,'供应商月度明细'!$C$5:$C$155,$C114)</f>
        <v>0</v>
      </c>
    </row>
    <row r="115">
      <c r="A115" s="19" t="str">
        <v>捷克区</v>
      </c>
      <c r="B115" s="19" t="str">
        <v>Easy Jobs s.r.o.</v>
      </c>
      <c r="C115" s="19" t="str">
        <v>S000310</v>
      </c>
      <c r="D115" s="19" t="str">
        <v>工种明细</v>
      </c>
      <c r="E115" s="19" t="str">
        <v>操作员</v>
      </c>
      <c r="F115" s="27" t="str">
        <f>IF(SUMIFS('供应商月度明细'!$J$5:$J$155,'供应商月度明细'!$A$5:$A$155,$A115,'供应商月度明细'!$C$5:$C$155,$C115,'供应商月度明细'!$D$5:$D$155,$E115,'供应商月度明细'!$E$5:$E$155,"2026-04")=0,"",SUMIFS('供应商月度明细'!$K$5:$K$155,'供应商月度明细'!$A$5:$A$155,$A115,'供应商月度明细'!$C$5:$C$155,$C115,'供应商月度明细'!$D$5:$D$155,$E115,'供应商月度明细'!$E$5:$E$155,"2026-04")/SUMIFS('供应商月度明细'!$J$5:$J$155,'供应商月度明细'!$A$5:$A$155,$A115,'供应商月度明细'!$C$5:$C$155,$C115,'供应商月度明细'!$D$5:$D$155,$E115,'供应商月度明细'!$E$5:$E$155,"2026-04"))</f>
      </c>
      <c r="G115" s="27" t="n">
        <f>IF(SUMIFS('供应商月度明细'!$J$5:$J$155,'供应商月度明细'!$A$5:$A$155,$A115,'供应商月度明细'!$C$5:$C$155,$C115,'供应商月度明细'!$D$5:$D$155,$E115,'供应商月度明细'!$E$5:$E$155,"2026-05")=0,"",SUMIFS('供应商月度明细'!$K$5:$K$155,'供应商月度明细'!$A$5:$A$155,$A115,'供应商月度明细'!$C$5:$C$155,$C115,'供应商月度明细'!$D$5:$D$155,$E115,'供应商月度明细'!$E$5:$E$155,"2026-05")/SUMIFS('供应商月度明细'!$J$5:$J$155,'供应商月度明细'!$A$5:$A$155,$A115,'供应商月度明细'!$C$5:$C$155,$C115,'供应商月度明细'!$D$5:$D$155,$E115,'供应商月度明细'!$E$5:$E$155,"2026-05"))</f>
        <v>1</v>
      </c>
      <c r="H115" s="27" t="n">
        <f>IF(SUMIFS('供应商月度明细'!$J$5:$J$155,'供应商月度明细'!$A$5:$A$155,$A115,'供应商月度明细'!$C$5:$C$155,$C115,'供应商月度明细'!$D$5:$D$155,$E115,'供应商月度明细'!$E$5:$E$155,"2026-06")=0,"",SUMIFS('供应商月度明细'!$K$5:$K$155,'供应商月度明细'!$A$5:$A$155,$A115,'供应商月度明细'!$C$5:$C$155,$C115,'供应商月度明细'!$D$5:$D$155,$E115,'供应商月度明细'!$E$5:$E$155,"2026-06")/SUMIFS('供应商月度明细'!$J$5:$J$155,'供应商月度明细'!$A$5:$A$155,$A115,'供应商月度明细'!$C$5:$C$155,$C115,'供应商月度明细'!$D$5:$D$155,$E115,'供应商月度明细'!$E$5:$E$155,"2026-06"))</f>
        <v>0</v>
      </c>
      <c r="I115" s="27" t="n">
        <f>IF(COUNT(F115:H115)=0,"",AVERAGE(F115:H115))</f>
        <v>0.5</v>
      </c>
      <c r="J115" s="27" t="n">
        <f>IF(K115=0,"",L115/K115)</f>
        <v>0.5</v>
      </c>
      <c r="K115" s="23" t="n">
        <f>SUMIFS('供应商月度明细'!$J$5:$J$155,'供应商月度明细'!$A$5:$A$155,$A115,'供应商月度明细'!$C$5:$C$155,$C115,'供应商月度明细'!$D$5:$D$155,$E115)</f>
        <v>12</v>
      </c>
      <c r="L115" s="23" t="n">
        <f>SUMIFS('供应商月度明细'!$K$5:$K$155,'供应商月度明细'!$A$5:$A$155,$A115,'供应商月度明细'!$C$5:$C$155,$C115,'供应商月度明细'!$D$5:$D$155,$E115)</f>
        <v>6</v>
      </c>
      <c r="M115" s="23" t="n">
        <f>SUMIFS('供应商月度明细'!$M$5:$M$155,'供应商月度明细'!$A$5:$A$155,$A115,'供应商月度明细'!$C$5:$C$155,$C115,'供应商月度明细'!$D$5:$D$155,$E115)</f>
        <v>0</v>
      </c>
    </row>
    <row r="116">
      <c r="A116" s="19" t="str">
        <v>捷克区</v>
      </c>
      <c r="B116" s="19" t="str">
        <v>Easy Jobs s.r.o.</v>
      </c>
      <c r="C116" s="19" t="str">
        <v>S000310</v>
      </c>
      <c r="D116" s="19" t="str">
        <v>工种明细</v>
      </c>
      <c r="E116" s="19" t="str">
        <v>叉车司机</v>
      </c>
      <c r="F116" s="27" t="str">
        <f>IF(SUMIFS('供应商月度明细'!$J$5:$J$155,'供应商月度明细'!$A$5:$A$155,$A116,'供应商月度明细'!$C$5:$C$155,$C116,'供应商月度明细'!$D$5:$D$155,$E116,'供应商月度明细'!$E$5:$E$155,"2026-04")=0,"",SUMIFS('供应商月度明细'!$K$5:$K$155,'供应商月度明细'!$A$5:$A$155,$A116,'供应商月度明细'!$C$5:$C$155,$C116,'供应商月度明细'!$D$5:$D$155,$E116,'供应商月度明细'!$E$5:$E$155,"2026-04")/SUMIFS('供应商月度明细'!$J$5:$J$155,'供应商月度明细'!$A$5:$A$155,$A116,'供应商月度明细'!$C$5:$C$155,$C116,'供应商月度明细'!$D$5:$D$155,$E116,'供应商月度明细'!$E$5:$E$155,"2026-04"))</f>
      </c>
      <c r="G116" s="27" t="str">
        <f>IF(SUMIFS('供应商月度明细'!$J$5:$J$155,'供应商月度明细'!$A$5:$A$155,$A116,'供应商月度明细'!$C$5:$C$155,$C116,'供应商月度明细'!$D$5:$D$155,$E116,'供应商月度明细'!$E$5:$E$155,"2026-05")=0,"",SUMIFS('供应商月度明细'!$K$5:$K$155,'供应商月度明细'!$A$5:$A$155,$A116,'供应商月度明细'!$C$5:$C$155,$C116,'供应商月度明细'!$D$5:$D$155,$E116,'供应商月度明细'!$E$5:$E$155,"2026-05")/SUMIFS('供应商月度明细'!$J$5:$J$155,'供应商月度明细'!$A$5:$A$155,$A116,'供应商月度明细'!$C$5:$C$155,$C116,'供应商月度明细'!$D$5:$D$155,$E116,'供应商月度明细'!$E$5:$E$155,"2026-05"))</f>
      </c>
      <c r="H116" s="27" t="n">
        <f>IF(SUMIFS('供应商月度明细'!$J$5:$J$155,'供应商月度明细'!$A$5:$A$155,$A116,'供应商月度明细'!$C$5:$C$155,$C116,'供应商月度明细'!$D$5:$D$155,$E116,'供应商月度明细'!$E$5:$E$155,"2026-06")=0,"",SUMIFS('供应商月度明细'!$K$5:$K$155,'供应商月度明细'!$A$5:$A$155,$A116,'供应商月度明细'!$C$5:$C$155,$C116,'供应商月度明细'!$D$5:$D$155,$E116,'供应商月度明细'!$E$5:$E$155,"2026-06")/SUMIFS('供应商月度明细'!$J$5:$J$155,'供应商月度明细'!$A$5:$A$155,$A116,'供应商月度明细'!$C$5:$C$155,$C116,'供应商月度明细'!$D$5:$D$155,$E116,'供应商月度明细'!$E$5:$E$155,"2026-06"))</f>
        <v>0.5</v>
      </c>
      <c r="I116" s="27" t="n">
        <f>IF(COUNT(F116:H116)=0,"",AVERAGE(F116:H116))</f>
        <v>0.5</v>
      </c>
      <c r="J116" s="27" t="n">
        <f>IF(K116=0,"",L116/K116)</f>
        <v>0.5</v>
      </c>
      <c r="K116" s="23" t="n">
        <f>SUMIFS('供应商月度明细'!$J$5:$J$155,'供应商月度明细'!$A$5:$A$155,$A116,'供应商月度明细'!$C$5:$C$155,$C116,'供应商月度明细'!$D$5:$D$155,$E116)</f>
        <v>16</v>
      </c>
      <c r="L116" s="23" t="n">
        <f>SUMIFS('供应商月度明细'!$K$5:$K$155,'供应商月度明细'!$A$5:$A$155,$A116,'供应商月度明细'!$C$5:$C$155,$C116,'供应商月度明细'!$D$5:$D$155,$E116)</f>
        <v>8</v>
      </c>
      <c r="M116" s="23" t="n">
        <f>SUMIFS('供应商月度明细'!$M$5:$M$155,'供应商月度明细'!$A$5:$A$155,$A116,'供应商月度明细'!$C$5:$C$155,$C116,'供应商月度明细'!$D$5:$D$155,$E116)</f>
        <v>0</v>
      </c>
    </row>
    <row r="117">
      <c r="A117" s="31" t="str">
        <v>捷克区</v>
      </c>
      <c r="B117" s="31" t="str">
        <v>Easy Jobs s.r.o.</v>
      </c>
      <c r="C117" s="31" t="str">
        <v>S000310</v>
      </c>
      <c r="D117" s="31" t="str">
        <v>供应商汇总</v>
      </c>
      <c r="E117" s="31" t="str">
        <v>全部工种</v>
      </c>
      <c r="F117" s="32" t="str">
        <f>IF(SUMIFS('供应商月度明细'!$J$5:$J$155,'供应商月度明细'!$A$5:$A$155,$A117,'供应商月度明细'!$C$5:$C$155,$C117,'供应商月度明细'!$E$5:$E$155,"2026-04")=0,"",SUMIFS('供应商月度明细'!$K$5:$K$155,'供应商月度明细'!$A$5:$A$155,$A117,'供应商月度明细'!$C$5:$C$155,$C117,'供应商月度明细'!$E$5:$E$155,"2026-04")/SUMIFS('供应商月度明细'!$J$5:$J$155,'供应商月度明细'!$A$5:$A$155,$A117,'供应商月度明细'!$C$5:$C$155,$C117,'供应商月度明细'!$E$5:$E$155,"2026-04"))</f>
      </c>
      <c r="G117" s="32" t="n">
        <f>IF(SUMIFS('供应商月度明细'!$J$5:$J$155,'供应商月度明细'!$A$5:$A$155,$A117,'供应商月度明细'!$C$5:$C$155,$C117,'供应商月度明细'!$E$5:$E$155,"2026-05")=0,"",SUMIFS('供应商月度明细'!$K$5:$K$155,'供应商月度明细'!$A$5:$A$155,$A117,'供应商月度明细'!$C$5:$C$155,$C117,'供应商月度明细'!$E$5:$E$155,"2026-05")/SUMIFS('供应商月度明细'!$J$5:$J$155,'供应商月度明细'!$A$5:$A$155,$A117,'供应商月度明细'!$C$5:$C$155,$C117,'供应商月度明细'!$E$5:$E$155,"2026-05"))</f>
        <v>1</v>
      </c>
      <c r="H117" s="32" t="n">
        <f>IF(SUMIFS('供应商月度明细'!$J$5:$J$155,'供应商月度明细'!$A$5:$A$155,$A117,'供应商月度明细'!$C$5:$C$155,$C117,'供应商月度明细'!$E$5:$E$155,"2026-06")=0,"",SUMIFS('供应商月度明细'!$K$5:$K$155,'供应商月度明细'!$A$5:$A$155,$A117,'供应商月度明细'!$C$5:$C$155,$C117,'供应商月度明细'!$E$5:$E$155,"2026-06")/SUMIFS('供应商月度明细'!$J$5:$J$155,'供应商月度明细'!$A$5:$A$155,$A117,'供应商月度明细'!$C$5:$C$155,$C117,'供应商月度明细'!$E$5:$E$155,"2026-06"))</f>
        <v>0.36363636363636365</v>
      </c>
      <c r="I117" s="32" t="n">
        <f>IF(COUNT(F117:H117)=0,"",AVERAGE(F117:H117))</f>
        <v>0.6818181818181819</v>
      </c>
      <c r="J117" s="32" t="n">
        <f>IF(K117=0,"",L117/K117)</f>
        <v>0.5</v>
      </c>
      <c r="K117" s="33" t="n">
        <f>SUMIFS('供应商月度明细'!$J$5:$J$155,'供应商月度明细'!$A$5:$A$155,$A117,'供应商月度明细'!$C$5:$C$155,$C117)</f>
        <v>28</v>
      </c>
      <c r="L117" s="33" t="n">
        <f>SUMIFS('供应商月度明细'!$K$5:$K$155,'供应商月度明细'!$A$5:$A$155,$A117,'供应商月度明细'!$C$5:$C$155,$C117)</f>
        <v>14</v>
      </c>
      <c r="M117" s="33" t="n">
        <f>SUMIFS('供应商月度明细'!$M$5:$M$155,'供应商月度明细'!$A$5:$A$155,$A117,'供应商月度明细'!$C$5:$C$155,$C117)</f>
        <v>0</v>
      </c>
    </row>
    <row r="118">
      <c r="A118" s="19" t="str">
        <v>捷克区</v>
      </c>
      <c r="B118" s="19" t="str">
        <v>Wildenborch s.r.o.</v>
      </c>
      <c r="C118" s="19" t="str">
        <v>S000266</v>
      </c>
      <c r="D118" s="19" t="str">
        <v>工种明细</v>
      </c>
      <c r="E118" s="19" t="str">
        <v>操作员</v>
      </c>
      <c r="F118" s="27" t="n">
        <f>IF(SUMIFS('供应商月度明细'!$J$5:$J$155,'供应商月度明细'!$A$5:$A$155,$A118,'供应商月度明细'!$C$5:$C$155,$C118,'供应商月度明细'!$D$5:$D$155,$E118,'供应商月度明细'!$E$5:$E$155,"2026-04")=0,"",SUMIFS('供应商月度明细'!$K$5:$K$155,'供应商月度明细'!$A$5:$A$155,$A118,'供应商月度明细'!$C$5:$C$155,$C118,'供应商月度明细'!$D$5:$D$155,$E118,'供应商月度明细'!$E$5:$E$155,"2026-04")/SUMIFS('供应商月度明细'!$J$5:$J$155,'供应商月度明细'!$A$5:$A$155,$A118,'供应商月度明细'!$C$5:$C$155,$C118,'供应商月度明细'!$D$5:$D$155,$E118,'供应商月度明细'!$E$5:$E$155,"2026-04"))</f>
        <v>1</v>
      </c>
      <c r="G118" s="27" t="n">
        <f>IF(SUMIFS('供应商月度明细'!$J$5:$J$155,'供应商月度明细'!$A$5:$A$155,$A118,'供应商月度明细'!$C$5:$C$155,$C118,'供应商月度明细'!$D$5:$D$155,$E118,'供应商月度明细'!$E$5:$E$155,"2026-05")=0,"",SUMIFS('供应商月度明细'!$K$5:$K$155,'供应商月度明细'!$A$5:$A$155,$A118,'供应商月度明细'!$C$5:$C$155,$C118,'供应商月度明细'!$D$5:$D$155,$E118,'供应商月度明细'!$E$5:$E$155,"2026-05")/SUMIFS('供应商月度明细'!$J$5:$J$155,'供应商月度明细'!$A$5:$A$155,$A118,'供应商月度明细'!$C$5:$C$155,$C118,'供应商月度明细'!$D$5:$D$155,$E118,'供应商月度明细'!$E$5:$E$155,"2026-05"))</f>
        <v>1</v>
      </c>
      <c r="H118" s="27" t="n">
        <f>IF(SUMIFS('供应商月度明细'!$J$5:$J$155,'供应商月度明细'!$A$5:$A$155,$A118,'供应商月度明细'!$C$5:$C$155,$C118,'供应商月度明细'!$D$5:$D$155,$E118,'供应商月度明细'!$E$5:$E$155,"2026-06")=0,"",SUMIFS('供应商月度明细'!$K$5:$K$155,'供应商月度明细'!$A$5:$A$155,$A118,'供应商月度明细'!$C$5:$C$155,$C118,'供应商月度明细'!$D$5:$D$155,$E118,'供应商月度明细'!$E$5:$E$155,"2026-06")/SUMIFS('供应商月度明细'!$J$5:$J$155,'供应商月度明细'!$A$5:$A$155,$A118,'供应商月度明细'!$C$5:$C$155,$C118,'供应商月度明细'!$D$5:$D$155,$E118,'供应商月度明细'!$E$5:$E$155,"2026-06"))</f>
        <v>1</v>
      </c>
      <c r="I118" s="27" t="n">
        <f>IF(COUNT(F118:H118)=0,"",AVERAGE(F118:H118))</f>
        <v>1</v>
      </c>
      <c r="J118" s="27" t="n">
        <f>IF(K118=0,"",L118/K118)</f>
        <v>1</v>
      </c>
      <c r="K118" s="23" t="n">
        <f>SUMIFS('供应商月度明细'!$J$5:$J$155,'供应商月度明细'!$A$5:$A$155,$A118,'供应商月度明细'!$C$5:$C$155,$C118,'供应商月度明细'!$D$5:$D$155,$E118)</f>
        <v>7</v>
      </c>
      <c r="L118" s="23" t="n">
        <f>SUMIFS('供应商月度明细'!$K$5:$K$155,'供应商月度明细'!$A$5:$A$155,$A118,'供应商月度明细'!$C$5:$C$155,$C118,'供应商月度明细'!$D$5:$D$155,$E118)</f>
        <v>7</v>
      </c>
      <c r="M118" s="23" t="n">
        <f>SUMIFS('供应商月度明细'!$M$5:$M$155,'供应商月度明细'!$A$5:$A$155,$A118,'供应商月度明细'!$C$5:$C$155,$C118,'供应商月度明细'!$D$5:$D$155,$E118)</f>
        <v>0</v>
      </c>
    </row>
    <row r="119">
      <c r="A119" s="19" t="str">
        <v>捷克区</v>
      </c>
      <c r="B119" s="19" t="str">
        <v>Wildenborch s.r.o.</v>
      </c>
      <c r="C119" s="19" t="str">
        <v>S000266</v>
      </c>
      <c r="D119" s="19" t="str">
        <v>工种明细</v>
      </c>
      <c r="E119" s="19" t="str">
        <v>叉车司机</v>
      </c>
      <c r="F119" s="27" t="n">
        <f>IF(SUMIFS('供应商月度明细'!$J$5:$J$155,'供应商月度明细'!$A$5:$A$155,$A119,'供应商月度明细'!$C$5:$C$155,$C119,'供应商月度明细'!$D$5:$D$155,$E119,'供应商月度明细'!$E$5:$E$155,"2026-04")=0,"",SUMIFS('供应商月度明细'!$K$5:$K$155,'供应商月度明细'!$A$5:$A$155,$A119,'供应商月度明细'!$C$5:$C$155,$C119,'供应商月度明细'!$D$5:$D$155,$E119,'供应商月度明细'!$E$5:$E$155,"2026-04")/SUMIFS('供应商月度明细'!$J$5:$J$155,'供应商月度明细'!$A$5:$A$155,$A119,'供应商月度明细'!$C$5:$C$155,$C119,'供应商月度明细'!$D$5:$D$155,$E119,'供应商月度明细'!$E$5:$E$155,"2026-04"))</f>
        <v>0.625</v>
      </c>
      <c r="G119" s="27" t="str">
        <f>IF(SUMIFS('供应商月度明细'!$J$5:$J$155,'供应商月度明细'!$A$5:$A$155,$A119,'供应商月度明细'!$C$5:$C$155,$C119,'供应商月度明细'!$D$5:$D$155,$E119,'供应商月度明细'!$E$5:$E$155,"2026-05")=0,"",SUMIFS('供应商月度明细'!$K$5:$K$155,'供应商月度明细'!$A$5:$A$155,$A119,'供应商月度明细'!$C$5:$C$155,$C119,'供应商月度明细'!$D$5:$D$155,$E119,'供应商月度明细'!$E$5:$E$155,"2026-05")/SUMIFS('供应商月度明细'!$J$5:$J$155,'供应商月度明细'!$A$5:$A$155,$A119,'供应商月度明细'!$C$5:$C$155,$C119,'供应商月度明细'!$D$5:$D$155,$E119,'供应商月度明细'!$E$5:$E$155,"2026-05"))</f>
      </c>
      <c r="H119" s="27" t="str">
        <f>IF(SUMIFS('供应商月度明细'!$J$5:$J$155,'供应商月度明细'!$A$5:$A$155,$A119,'供应商月度明细'!$C$5:$C$155,$C119,'供应商月度明细'!$D$5:$D$155,$E119,'供应商月度明细'!$E$5:$E$155,"2026-06")=0,"",SUMIFS('供应商月度明细'!$K$5:$K$155,'供应商月度明细'!$A$5:$A$155,$A119,'供应商月度明细'!$C$5:$C$155,$C119,'供应商月度明细'!$D$5:$D$155,$E119,'供应商月度明细'!$E$5:$E$155,"2026-06")/SUMIFS('供应商月度明细'!$J$5:$J$155,'供应商月度明细'!$A$5:$A$155,$A119,'供应商月度明细'!$C$5:$C$155,$C119,'供应商月度明细'!$D$5:$D$155,$E119,'供应商月度明细'!$E$5:$E$155,"2026-06"))</f>
      </c>
      <c r="I119" s="27" t="n">
        <f>IF(COUNT(F119:H119)=0,"",AVERAGE(F119:H119))</f>
        <v>0.625</v>
      </c>
      <c r="J119" s="27" t="n">
        <f>IF(K119=0,"",L119/K119)</f>
        <v>0.625</v>
      </c>
      <c r="K119" s="23" t="n">
        <f>SUMIFS('供应商月度明细'!$J$5:$J$155,'供应商月度明细'!$A$5:$A$155,$A119,'供应商月度明细'!$C$5:$C$155,$C119,'供应商月度明细'!$D$5:$D$155,$E119)</f>
        <v>16</v>
      </c>
      <c r="L119" s="23" t="n">
        <f>SUMIFS('供应商月度明细'!$K$5:$K$155,'供应商月度明细'!$A$5:$A$155,$A119,'供应商月度明细'!$C$5:$C$155,$C119,'供应商月度明细'!$D$5:$D$155,$E119)</f>
        <v>10</v>
      </c>
      <c r="M119" s="23" t="n">
        <f>SUMIFS('供应商月度明细'!$M$5:$M$155,'供应商月度明细'!$A$5:$A$155,$A119,'供应商月度明细'!$C$5:$C$155,$C119,'供应商月度明细'!$D$5:$D$155,$E119)</f>
        <v>0</v>
      </c>
    </row>
    <row r="120">
      <c r="A120" s="31" t="str">
        <v>捷克区</v>
      </c>
      <c r="B120" s="31" t="str">
        <v>Wildenborch s.r.o.</v>
      </c>
      <c r="C120" s="31" t="str">
        <v>S000266</v>
      </c>
      <c r="D120" s="31" t="str">
        <v>供应商汇总</v>
      </c>
      <c r="E120" s="31" t="str">
        <v>全部工种</v>
      </c>
      <c r="F120" s="32" t="n">
        <f>IF(SUMIFS('供应商月度明细'!$J$5:$J$155,'供应商月度明细'!$A$5:$A$155,$A120,'供应商月度明细'!$C$5:$C$155,$C120,'供应商月度明细'!$E$5:$E$155,"2026-04")=0,"",SUMIFS('供应商月度明细'!$K$5:$K$155,'供应商月度明细'!$A$5:$A$155,$A120,'供应商月度明细'!$C$5:$C$155,$C120,'供应商月度明细'!$E$5:$E$155,"2026-04")/SUMIFS('供应商月度明细'!$J$5:$J$155,'供应商月度明细'!$A$5:$A$155,$A120,'供应商月度明细'!$C$5:$C$155,$C120,'供应商月度明细'!$E$5:$E$155,"2026-04"))</f>
        <v>0.7142857142857143</v>
      </c>
      <c r="G120" s="32" t="n">
        <f>IF(SUMIFS('供应商月度明细'!$J$5:$J$155,'供应商月度明细'!$A$5:$A$155,$A120,'供应商月度明细'!$C$5:$C$155,$C120,'供应商月度明细'!$E$5:$E$155,"2026-05")=0,"",SUMIFS('供应商月度明细'!$K$5:$K$155,'供应商月度明细'!$A$5:$A$155,$A120,'供应商月度明细'!$C$5:$C$155,$C120,'供应商月度明细'!$E$5:$E$155,"2026-05")/SUMIFS('供应商月度明细'!$J$5:$J$155,'供应商月度明细'!$A$5:$A$155,$A120,'供应商月度明细'!$C$5:$C$155,$C120,'供应商月度明细'!$E$5:$E$155,"2026-05"))</f>
        <v>1</v>
      </c>
      <c r="H120" s="32" t="n">
        <f>IF(SUMIFS('供应商月度明细'!$J$5:$J$155,'供应商月度明细'!$A$5:$A$155,$A120,'供应商月度明细'!$C$5:$C$155,$C120,'供应商月度明细'!$E$5:$E$155,"2026-06")=0,"",SUMIFS('供应商月度明细'!$K$5:$K$155,'供应商月度明细'!$A$5:$A$155,$A120,'供应商月度明细'!$C$5:$C$155,$C120,'供应商月度明细'!$E$5:$E$155,"2026-06")/SUMIFS('供应商月度明细'!$J$5:$J$155,'供应商月度明细'!$A$5:$A$155,$A120,'供应商月度明细'!$C$5:$C$155,$C120,'供应商月度明细'!$E$5:$E$155,"2026-06"))</f>
        <v>1</v>
      </c>
      <c r="I120" s="32" t="n">
        <f>IF(COUNT(F120:H120)=0,"",AVERAGE(F120:H120))</f>
        <v>0.9047619047619048</v>
      </c>
      <c r="J120" s="32" t="n">
        <f>IF(K120=0,"",L120/K120)</f>
        <v>0.7391304347826086</v>
      </c>
      <c r="K120" s="33" t="n">
        <f>SUMIFS('供应商月度明细'!$J$5:$J$155,'供应商月度明细'!$A$5:$A$155,$A120,'供应商月度明细'!$C$5:$C$155,$C120)</f>
        <v>23</v>
      </c>
      <c r="L120" s="33" t="n">
        <f>SUMIFS('供应商月度明细'!$K$5:$K$155,'供应商月度明细'!$A$5:$A$155,$A120,'供应商月度明细'!$C$5:$C$155,$C120)</f>
        <v>17</v>
      </c>
      <c r="M120" s="33" t="n">
        <f>SUMIFS('供应商月度明细'!$M$5:$M$155,'供应商月度明细'!$A$5:$A$155,$A120,'供应商月度明细'!$C$5:$C$155,$C120)</f>
        <v>0</v>
      </c>
    </row>
    <row r="121">
      <c r="A121" s="19" t="str">
        <v>捷克区</v>
      </c>
      <c r="B121" s="19" t="str">
        <v>Personal work agency s.r.o.</v>
      </c>
      <c r="C121" s="19" t="str">
        <v>S000341</v>
      </c>
      <c r="D121" s="19" t="str">
        <v>工种明细</v>
      </c>
      <c r="E121" s="19" t="str">
        <v>操作员</v>
      </c>
      <c r="F121" s="27" t="str">
        <f>IF(SUMIFS('供应商月度明细'!$J$5:$J$155,'供应商月度明细'!$A$5:$A$155,$A121,'供应商月度明细'!$C$5:$C$155,$C121,'供应商月度明细'!$D$5:$D$155,$E121,'供应商月度明细'!$E$5:$E$155,"2026-04")=0,"",SUMIFS('供应商月度明细'!$K$5:$K$155,'供应商月度明细'!$A$5:$A$155,$A121,'供应商月度明细'!$C$5:$C$155,$C121,'供应商月度明细'!$D$5:$D$155,$E121,'供应商月度明细'!$E$5:$E$155,"2026-04")/SUMIFS('供应商月度明细'!$J$5:$J$155,'供应商月度明细'!$A$5:$A$155,$A121,'供应商月度明细'!$C$5:$C$155,$C121,'供应商月度明细'!$D$5:$D$155,$E121,'供应商月度明细'!$E$5:$E$155,"2026-04"))</f>
      </c>
      <c r="G121" s="27" t="str">
        <f>IF(SUMIFS('供应商月度明细'!$J$5:$J$155,'供应商月度明细'!$A$5:$A$155,$A121,'供应商月度明细'!$C$5:$C$155,$C121,'供应商月度明细'!$D$5:$D$155,$E121,'供应商月度明细'!$E$5:$E$155,"2026-05")=0,"",SUMIFS('供应商月度明细'!$K$5:$K$155,'供应商月度明细'!$A$5:$A$155,$A121,'供应商月度明细'!$C$5:$C$155,$C121,'供应商月度明细'!$D$5:$D$155,$E121,'供应商月度明细'!$E$5:$E$155,"2026-05")/SUMIFS('供应商月度明细'!$J$5:$J$155,'供应商月度明细'!$A$5:$A$155,$A121,'供应商月度明细'!$C$5:$C$155,$C121,'供应商月度明细'!$D$5:$D$155,$E121,'供应商月度明细'!$E$5:$E$155,"2026-05"))</f>
      </c>
      <c r="H121" s="27" t="n">
        <f>IF(SUMIFS('供应商月度明细'!$J$5:$J$155,'供应商月度明细'!$A$5:$A$155,$A121,'供应商月度明细'!$C$5:$C$155,$C121,'供应商月度明细'!$D$5:$D$155,$E121,'供应商月度明细'!$E$5:$E$155,"2026-06")=0,"",SUMIFS('供应商月度明细'!$K$5:$K$155,'供应商月度明细'!$A$5:$A$155,$A121,'供应商月度明细'!$C$5:$C$155,$C121,'供应商月度明细'!$D$5:$D$155,$E121,'供应商月度明细'!$E$5:$E$155,"2026-06")/SUMIFS('供应商月度明细'!$J$5:$J$155,'供应商月度明细'!$A$5:$A$155,$A121,'供应商月度明细'!$C$5:$C$155,$C121,'供应商月度明细'!$D$5:$D$155,$E121,'供应商月度明细'!$E$5:$E$155,"2026-06"))</f>
        <v>1</v>
      </c>
      <c r="I121" s="27" t="n">
        <f>IF(COUNT(F121:H121)=0,"",AVERAGE(F121:H121))</f>
        <v>1</v>
      </c>
      <c r="J121" s="27" t="n">
        <f>IF(K121=0,"",L121/K121)</f>
        <v>1</v>
      </c>
      <c r="K121" s="23" t="n">
        <f>SUMIFS('供应商月度明细'!$J$5:$J$155,'供应商月度明细'!$A$5:$A$155,$A121,'供应商月度明细'!$C$5:$C$155,$C121,'供应商月度明细'!$D$5:$D$155,$E121)</f>
        <v>3</v>
      </c>
      <c r="L121" s="23" t="n">
        <f>SUMIFS('供应商月度明细'!$K$5:$K$155,'供应商月度明细'!$A$5:$A$155,$A121,'供应商月度明细'!$C$5:$C$155,$C121,'供应商月度明细'!$D$5:$D$155,$E121)</f>
        <v>3</v>
      </c>
      <c r="M121" s="23" t="n">
        <f>SUMIFS('供应商月度明细'!$M$5:$M$155,'供应商月度明细'!$A$5:$A$155,$A121,'供应商月度明细'!$C$5:$C$155,$C121,'供应商月度明细'!$D$5:$D$155,$E121)</f>
        <v>0</v>
      </c>
    </row>
    <row r="122">
      <c r="A122" s="19" t="str">
        <v>捷克区</v>
      </c>
      <c r="B122" s="19" t="str">
        <v>Personal work agency s.r.o.</v>
      </c>
      <c r="C122" s="19" t="str">
        <v>S000341</v>
      </c>
      <c r="D122" s="19" t="str">
        <v>工种明细</v>
      </c>
      <c r="E122" s="19" t="str">
        <v>叉车司机</v>
      </c>
      <c r="F122" s="27" t="str">
        <f>IF(SUMIFS('供应商月度明细'!$J$5:$J$155,'供应商月度明细'!$A$5:$A$155,$A122,'供应商月度明细'!$C$5:$C$155,$C122,'供应商月度明细'!$D$5:$D$155,$E122,'供应商月度明细'!$E$5:$E$155,"2026-04")=0,"",SUMIFS('供应商月度明细'!$K$5:$K$155,'供应商月度明细'!$A$5:$A$155,$A122,'供应商月度明细'!$C$5:$C$155,$C122,'供应商月度明细'!$D$5:$D$155,$E122,'供应商月度明细'!$E$5:$E$155,"2026-04")/SUMIFS('供应商月度明细'!$J$5:$J$155,'供应商月度明细'!$A$5:$A$155,$A122,'供应商月度明细'!$C$5:$C$155,$C122,'供应商月度明细'!$D$5:$D$155,$E122,'供应商月度明细'!$E$5:$E$155,"2026-04"))</f>
      </c>
      <c r="G122" s="27" t="str">
        <f>IF(SUMIFS('供应商月度明细'!$J$5:$J$155,'供应商月度明细'!$A$5:$A$155,$A122,'供应商月度明细'!$C$5:$C$155,$C122,'供应商月度明细'!$D$5:$D$155,$E122,'供应商月度明细'!$E$5:$E$155,"2026-05")=0,"",SUMIFS('供应商月度明细'!$K$5:$K$155,'供应商月度明细'!$A$5:$A$155,$A122,'供应商月度明细'!$C$5:$C$155,$C122,'供应商月度明细'!$D$5:$D$155,$E122,'供应商月度明细'!$E$5:$E$155,"2026-05")/SUMIFS('供应商月度明细'!$J$5:$J$155,'供应商月度明细'!$A$5:$A$155,$A122,'供应商月度明细'!$C$5:$C$155,$C122,'供应商月度明细'!$D$5:$D$155,$E122,'供应商月度明细'!$E$5:$E$155,"2026-05"))</f>
      </c>
      <c r="H122" s="27" t="n">
        <f>IF(SUMIFS('供应商月度明细'!$J$5:$J$155,'供应商月度明细'!$A$5:$A$155,$A122,'供应商月度明细'!$C$5:$C$155,$C122,'供应商月度明细'!$D$5:$D$155,$E122,'供应商月度明细'!$E$5:$E$155,"2026-06")=0,"",SUMIFS('供应商月度明细'!$K$5:$K$155,'供应商月度明细'!$A$5:$A$155,$A122,'供应商月度明细'!$C$5:$C$155,$C122,'供应商月度明细'!$D$5:$D$155,$E122,'供应商月度明细'!$E$5:$E$155,"2026-06")/SUMIFS('供应商月度明细'!$J$5:$J$155,'供应商月度明细'!$A$5:$A$155,$A122,'供应商月度明细'!$C$5:$C$155,$C122,'供应商月度明细'!$D$5:$D$155,$E122,'供应商月度明细'!$E$5:$E$155,"2026-06"))</f>
        <v>0.9473684210526315</v>
      </c>
      <c r="I122" s="27" t="n">
        <f>IF(COUNT(F122:H122)=0,"",AVERAGE(F122:H122))</f>
        <v>0.9473684210526315</v>
      </c>
      <c r="J122" s="27" t="n">
        <f>IF(K122=0,"",L122/K122)</f>
        <v>0.9473684210526315</v>
      </c>
      <c r="K122" s="23" t="n">
        <f>SUMIFS('供应商月度明细'!$J$5:$J$155,'供应商月度明细'!$A$5:$A$155,$A122,'供应商月度明细'!$C$5:$C$155,$C122,'供应商月度明细'!$D$5:$D$155,$E122)</f>
        <v>19</v>
      </c>
      <c r="L122" s="23" t="n">
        <f>SUMIFS('供应商月度明细'!$K$5:$K$155,'供应商月度明细'!$A$5:$A$155,$A122,'供应商月度明细'!$C$5:$C$155,$C122,'供应商月度明细'!$D$5:$D$155,$E122)</f>
        <v>18</v>
      </c>
      <c r="M122" s="23" t="n">
        <f>SUMIFS('供应商月度明细'!$M$5:$M$155,'供应商月度明细'!$A$5:$A$155,$A122,'供应商月度明细'!$C$5:$C$155,$C122,'供应商月度明细'!$D$5:$D$155,$E122)</f>
        <v>0</v>
      </c>
    </row>
    <row r="123">
      <c r="A123" s="31" t="str">
        <v>捷克区</v>
      </c>
      <c r="B123" s="31" t="str">
        <v>Personal work agency s.r.o.</v>
      </c>
      <c r="C123" s="31" t="str">
        <v>S000341</v>
      </c>
      <c r="D123" s="31" t="str">
        <v>供应商汇总</v>
      </c>
      <c r="E123" s="31" t="str">
        <v>全部工种</v>
      </c>
      <c r="F123" s="32" t="str">
        <f>IF(SUMIFS('供应商月度明细'!$J$5:$J$155,'供应商月度明细'!$A$5:$A$155,$A123,'供应商月度明细'!$C$5:$C$155,$C123,'供应商月度明细'!$E$5:$E$155,"2026-04")=0,"",SUMIFS('供应商月度明细'!$K$5:$K$155,'供应商月度明细'!$A$5:$A$155,$A123,'供应商月度明细'!$C$5:$C$155,$C123,'供应商月度明细'!$E$5:$E$155,"2026-04")/SUMIFS('供应商月度明细'!$J$5:$J$155,'供应商月度明细'!$A$5:$A$155,$A123,'供应商月度明细'!$C$5:$C$155,$C123,'供应商月度明细'!$E$5:$E$155,"2026-04"))</f>
      </c>
      <c r="G123" s="32" t="str">
        <f>IF(SUMIFS('供应商月度明细'!$J$5:$J$155,'供应商月度明细'!$A$5:$A$155,$A123,'供应商月度明细'!$C$5:$C$155,$C123,'供应商月度明细'!$E$5:$E$155,"2026-05")=0,"",SUMIFS('供应商月度明细'!$K$5:$K$155,'供应商月度明细'!$A$5:$A$155,$A123,'供应商月度明细'!$C$5:$C$155,$C123,'供应商月度明细'!$E$5:$E$155,"2026-05")/SUMIFS('供应商月度明细'!$J$5:$J$155,'供应商月度明细'!$A$5:$A$155,$A123,'供应商月度明细'!$C$5:$C$155,$C123,'供应商月度明细'!$E$5:$E$155,"2026-05"))</f>
      </c>
      <c r="H123" s="32" t="n">
        <f>IF(SUMIFS('供应商月度明细'!$J$5:$J$155,'供应商月度明细'!$A$5:$A$155,$A123,'供应商月度明细'!$C$5:$C$155,$C123,'供应商月度明细'!$E$5:$E$155,"2026-06")=0,"",SUMIFS('供应商月度明细'!$K$5:$K$155,'供应商月度明细'!$A$5:$A$155,$A123,'供应商月度明细'!$C$5:$C$155,$C123,'供应商月度明细'!$E$5:$E$155,"2026-06")/SUMIFS('供应商月度明细'!$J$5:$J$155,'供应商月度明细'!$A$5:$A$155,$A123,'供应商月度明细'!$C$5:$C$155,$C123,'供应商月度明细'!$E$5:$E$155,"2026-06"))</f>
        <v>0.9545454545454546</v>
      </c>
      <c r="I123" s="32" t="n">
        <f>IF(COUNT(F123:H123)=0,"",AVERAGE(F123:H123))</f>
        <v>0.9545454545454546</v>
      </c>
      <c r="J123" s="32" t="n">
        <f>IF(K123=0,"",L123/K123)</f>
        <v>0.9545454545454546</v>
      </c>
      <c r="K123" s="33" t="n">
        <f>SUMIFS('供应商月度明细'!$J$5:$J$155,'供应商月度明细'!$A$5:$A$155,$A123,'供应商月度明细'!$C$5:$C$155,$C123)</f>
        <v>22</v>
      </c>
      <c r="L123" s="33" t="n">
        <f>SUMIFS('供应商月度明细'!$K$5:$K$155,'供应商月度明细'!$A$5:$A$155,$A123,'供应商月度明细'!$C$5:$C$155,$C123)</f>
        <v>21</v>
      </c>
      <c r="M123" s="33" t="n">
        <f>SUMIFS('供应商月度明细'!$M$5:$M$155,'供应商月度明细'!$A$5:$A$155,$A123,'供应商月度明细'!$C$5:$C$155,$C123)</f>
        <v>0</v>
      </c>
    </row>
    <row r="124">
      <c r="A124" s="19" t="str">
        <v>捷克区</v>
      </c>
      <c r="B124" s="19" t="str">
        <v>Armz HR</v>
      </c>
      <c r="C124" s="19" t="str">
        <v>S000175</v>
      </c>
      <c r="D124" s="19" t="str">
        <v>工种明细</v>
      </c>
      <c r="E124" s="19" t="str">
        <v>操作员</v>
      </c>
      <c r="F124" s="27" t="n">
        <f>IF(SUMIFS('供应商月度明细'!$J$5:$J$155,'供应商月度明细'!$A$5:$A$155,$A124,'供应商月度明细'!$C$5:$C$155,$C124,'供应商月度明细'!$D$5:$D$155,$E124,'供应商月度明细'!$E$5:$E$155,"2026-04")=0,"",SUMIFS('供应商月度明细'!$K$5:$K$155,'供应商月度明细'!$A$5:$A$155,$A124,'供应商月度明细'!$C$5:$C$155,$C124,'供应商月度明细'!$D$5:$D$155,$E124,'供应商月度明细'!$E$5:$E$155,"2026-04")/SUMIFS('供应商月度明细'!$J$5:$J$155,'供应商月度明细'!$A$5:$A$155,$A124,'供应商月度明细'!$C$5:$C$155,$C124,'供应商月度明细'!$D$5:$D$155,$E124,'供应商月度明细'!$E$5:$E$155,"2026-04"))</f>
        <v>1</v>
      </c>
      <c r="G124" s="27" t="n">
        <f>IF(SUMIFS('供应商月度明细'!$J$5:$J$155,'供应商月度明细'!$A$5:$A$155,$A124,'供应商月度明细'!$C$5:$C$155,$C124,'供应商月度明细'!$D$5:$D$155,$E124,'供应商月度明细'!$E$5:$E$155,"2026-05")=0,"",SUMIFS('供应商月度明细'!$K$5:$K$155,'供应商月度明细'!$A$5:$A$155,$A124,'供应商月度明细'!$C$5:$C$155,$C124,'供应商月度明细'!$D$5:$D$155,$E124,'供应商月度明细'!$E$5:$E$155,"2026-05")/SUMIFS('供应商月度明细'!$J$5:$J$155,'供应商月度明细'!$A$5:$A$155,$A124,'供应商月度明细'!$C$5:$C$155,$C124,'供应商月度明细'!$D$5:$D$155,$E124,'供应商月度明细'!$E$5:$E$155,"2026-05"))</f>
        <v>0</v>
      </c>
      <c r="H124" s="27" t="n">
        <f>IF(SUMIFS('供应商月度明细'!$J$5:$J$155,'供应商月度明细'!$A$5:$A$155,$A124,'供应商月度明细'!$C$5:$C$155,$C124,'供应商月度明细'!$D$5:$D$155,$E124,'供应商月度明细'!$E$5:$E$155,"2026-06")=0,"",SUMIFS('供应商月度明细'!$K$5:$K$155,'供应商月度明细'!$A$5:$A$155,$A124,'供应商月度明细'!$C$5:$C$155,$C124,'供应商月度明细'!$D$5:$D$155,$E124,'供应商月度明细'!$E$5:$E$155,"2026-06")/SUMIFS('供应商月度明细'!$J$5:$J$155,'供应商月度明细'!$A$5:$A$155,$A124,'供应商月度明细'!$C$5:$C$155,$C124,'供应商月度明细'!$D$5:$D$155,$E124,'供应商月度明细'!$E$5:$E$155,"2026-06"))</f>
        <v>0.1</v>
      </c>
      <c r="I124" s="27" t="n">
        <f>IF(COUNT(F124:H124)=0,"",AVERAGE(F124:H124))</f>
        <v>0.3666666666666667</v>
      </c>
      <c r="J124" s="27" t="n">
        <f>IF(K124=0,"",L124/K124)</f>
        <v>0.10526315789473684</v>
      </c>
      <c r="K124" s="23" t="n">
        <f>SUMIFS('供应商月度明细'!$J$5:$J$155,'供应商月度明细'!$A$5:$A$155,$A124,'供应商月度明细'!$C$5:$C$155,$C124,'供应商月度明细'!$D$5:$D$155,$E124)</f>
        <v>19</v>
      </c>
      <c r="L124" s="23" t="n">
        <f>SUMIFS('供应商月度明细'!$K$5:$K$155,'供应商月度明细'!$A$5:$A$155,$A124,'供应商月度明细'!$C$5:$C$155,$C124,'供应商月度明细'!$D$5:$D$155,$E124)</f>
        <v>2</v>
      </c>
      <c r="M124" s="23" t="n">
        <f>SUMIFS('供应商月度明细'!$M$5:$M$155,'供应商月度明细'!$A$5:$A$155,$A124,'供应商月度明细'!$C$5:$C$155,$C124,'供应商月度明细'!$D$5:$D$155,$E124)</f>
        <v>0</v>
      </c>
    </row>
    <row r="125">
      <c r="A125" s="31" t="str">
        <v>捷克区</v>
      </c>
      <c r="B125" s="31" t="str">
        <v>Armz HR</v>
      </c>
      <c r="C125" s="31" t="str">
        <v>S000175</v>
      </c>
      <c r="D125" s="31" t="str">
        <v>供应商汇总</v>
      </c>
      <c r="E125" s="31" t="str">
        <v>全部工种</v>
      </c>
      <c r="F125" s="32" t="n">
        <f>IF(SUMIFS('供应商月度明细'!$J$5:$J$155,'供应商月度明细'!$A$5:$A$155,$A125,'供应商月度明细'!$C$5:$C$155,$C125,'供应商月度明细'!$E$5:$E$155,"2026-04")=0,"",SUMIFS('供应商月度明细'!$K$5:$K$155,'供应商月度明细'!$A$5:$A$155,$A125,'供应商月度明细'!$C$5:$C$155,$C125,'供应商月度明细'!$E$5:$E$155,"2026-04")/SUMIFS('供应商月度明细'!$J$5:$J$155,'供应商月度明细'!$A$5:$A$155,$A125,'供应商月度明细'!$C$5:$C$155,$C125,'供应商月度明细'!$E$5:$E$155,"2026-04"))</f>
        <v>1</v>
      </c>
      <c r="G125" s="32" t="n">
        <f>IF(SUMIFS('供应商月度明细'!$J$5:$J$155,'供应商月度明细'!$A$5:$A$155,$A125,'供应商月度明细'!$C$5:$C$155,$C125,'供应商月度明细'!$E$5:$E$155,"2026-05")=0,"",SUMIFS('供应商月度明细'!$K$5:$K$155,'供应商月度明细'!$A$5:$A$155,$A125,'供应商月度明细'!$C$5:$C$155,$C125,'供应商月度明细'!$E$5:$E$155,"2026-05")/SUMIFS('供应商月度明细'!$J$5:$J$155,'供应商月度明细'!$A$5:$A$155,$A125,'供应商月度明细'!$C$5:$C$155,$C125,'供应商月度明细'!$E$5:$E$155,"2026-05"))</f>
        <v>0</v>
      </c>
      <c r="H125" s="32" t="n">
        <f>IF(SUMIFS('供应商月度明细'!$J$5:$J$155,'供应商月度明细'!$A$5:$A$155,$A125,'供应商月度明细'!$C$5:$C$155,$C125,'供应商月度明细'!$E$5:$E$155,"2026-06")=0,"",SUMIFS('供应商月度明细'!$K$5:$K$155,'供应商月度明细'!$A$5:$A$155,$A125,'供应商月度明细'!$C$5:$C$155,$C125,'供应商月度明细'!$E$5:$E$155,"2026-06")/SUMIFS('供应商月度明细'!$J$5:$J$155,'供应商月度明细'!$A$5:$A$155,$A125,'供应商月度明细'!$C$5:$C$155,$C125,'供应商月度明细'!$E$5:$E$155,"2026-06"))</f>
        <v>0.1</v>
      </c>
      <c r="I125" s="32" t="n">
        <f>IF(COUNT(F125:H125)=0,"",AVERAGE(F125:H125))</f>
        <v>0.3666666666666667</v>
      </c>
      <c r="J125" s="32" t="n">
        <f>IF(K125=0,"",L125/K125)</f>
        <v>0.10526315789473684</v>
      </c>
      <c r="K125" s="33" t="n">
        <f>SUMIFS('供应商月度明细'!$J$5:$J$155,'供应商月度明细'!$A$5:$A$155,$A125,'供应商月度明细'!$C$5:$C$155,$C125)</f>
        <v>19</v>
      </c>
      <c r="L125" s="33" t="n">
        <f>SUMIFS('供应商月度明细'!$K$5:$K$155,'供应商月度明细'!$A$5:$A$155,$A125,'供应商月度明细'!$C$5:$C$155,$C125)</f>
        <v>2</v>
      </c>
      <c r="M125" s="33" t="n">
        <f>SUMIFS('供应商月度明细'!$M$5:$M$155,'供应商月度明细'!$A$5:$A$155,$A125,'供应商月度明细'!$C$5:$C$155,$C125)</f>
        <v>0</v>
      </c>
    </row>
    <row r="126">
      <c r="A126" s="19" t="str">
        <v>捷克区</v>
      </c>
      <c r="B126" s="19" t="str">
        <v>FILKOPI Agency s.r.o.</v>
      </c>
      <c r="C126" s="19" t="str">
        <v>S000192</v>
      </c>
      <c r="D126" s="19" t="str">
        <v>工种明细</v>
      </c>
      <c r="E126" s="19" t="str">
        <v>叉车司机</v>
      </c>
      <c r="F126" s="27" t="str">
        <f>IF(SUMIFS('供应商月度明细'!$J$5:$J$155,'供应商月度明细'!$A$5:$A$155,$A126,'供应商月度明细'!$C$5:$C$155,$C126,'供应商月度明细'!$D$5:$D$155,$E126,'供应商月度明细'!$E$5:$E$155,"2026-04")=0,"",SUMIFS('供应商月度明细'!$K$5:$K$155,'供应商月度明细'!$A$5:$A$155,$A126,'供应商月度明细'!$C$5:$C$155,$C126,'供应商月度明细'!$D$5:$D$155,$E126,'供应商月度明细'!$E$5:$E$155,"2026-04")/SUMIFS('供应商月度明细'!$J$5:$J$155,'供应商月度明细'!$A$5:$A$155,$A126,'供应商月度明细'!$C$5:$C$155,$C126,'供应商月度明细'!$D$5:$D$155,$E126,'供应商月度明细'!$E$5:$E$155,"2026-04"))</f>
      </c>
      <c r="G126" s="27" t="str">
        <f>IF(SUMIFS('供应商月度明细'!$J$5:$J$155,'供应商月度明细'!$A$5:$A$155,$A126,'供应商月度明细'!$C$5:$C$155,$C126,'供应商月度明细'!$D$5:$D$155,$E126,'供应商月度明细'!$E$5:$E$155,"2026-05")=0,"",SUMIFS('供应商月度明细'!$K$5:$K$155,'供应商月度明细'!$A$5:$A$155,$A126,'供应商月度明细'!$C$5:$C$155,$C126,'供应商月度明细'!$D$5:$D$155,$E126,'供应商月度明细'!$E$5:$E$155,"2026-05")/SUMIFS('供应商月度明细'!$J$5:$J$155,'供应商月度明细'!$A$5:$A$155,$A126,'供应商月度明细'!$C$5:$C$155,$C126,'供应商月度明细'!$D$5:$D$155,$E126,'供应商月度明细'!$E$5:$E$155,"2026-05"))</f>
      </c>
      <c r="H126" s="27" t="n">
        <f>IF(SUMIFS('供应商月度明细'!$J$5:$J$155,'供应商月度明细'!$A$5:$A$155,$A126,'供应商月度明细'!$C$5:$C$155,$C126,'供应商月度明细'!$D$5:$D$155,$E126,'供应商月度明细'!$E$5:$E$155,"2026-06")=0,"",SUMIFS('供应商月度明细'!$K$5:$K$155,'供应商月度明细'!$A$5:$A$155,$A126,'供应商月度明细'!$C$5:$C$155,$C126,'供应商月度明细'!$D$5:$D$155,$E126,'供应商月度明细'!$E$5:$E$155,"2026-06")/SUMIFS('供应商月度明细'!$J$5:$J$155,'供应商月度明细'!$A$5:$A$155,$A126,'供应商月度明细'!$C$5:$C$155,$C126,'供应商月度明细'!$D$5:$D$155,$E126,'供应商月度明细'!$E$5:$E$155,"2026-06"))</f>
        <v>0.7272727272727273</v>
      </c>
      <c r="I126" s="27" t="n">
        <f>IF(COUNT(F126:H126)=0,"",AVERAGE(F126:H126))</f>
        <v>0.7272727272727273</v>
      </c>
      <c r="J126" s="27" t="n">
        <f>IF(K126=0,"",L126/K126)</f>
        <v>0.7272727272727273</v>
      </c>
      <c r="K126" s="23" t="n">
        <f>SUMIFS('供应商月度明细'!$J$5:$J$155,'供应商月度明细'!$A$5:$A$155,$A126,'供应商月度明细'!$C$5:$C$155,$C126,'供应商月度明细'!$D$5:$D$155,$E126)</f>
        <v>11</v>
      </c>
      <c r="L126" s="23" t="n">
        <f>SUMIFS('供应商月度明细'!$K$5:$K$155,'供应商月度明细'!$A$5:$A$155,$A126,'供应商月度明细'!$C$5:$C$155,$C126,'供应商月度明细'!$D$5:$D$155,$E126)</f>
        <v>8</v>
      </c>
      <c r="M126" s="23" t="n">
        <f>SUMIFS('供应商月度明细'!$M$5:$M$155,'供应商月度明细'!$A$5:$A$155,$A126,'供应商月度明细'!$C$5:$C$155,$C126,'供应商月度明细'!$D$5:$D$155,$E126)</f>
        <v>0</v>
      </c>
    </row>
    <row r="127">
      <c r="A127" s="31" t="str">
        <v>捷克区</v>
      </c>
      <c r="B127" s="31" t="str">
        <v>FILKOPI Agency s.r.o.</v>
      </c>
      <c r="C127" s="31" t="str">
        <v>S000192</v>
      </c>
      <c r="D127" s="31" t="str">
        <v>供应商汇总</v>
      </c>
      <c r="E127" s="31" t="str">
        <v>全部工种</v>
      </c>
      <c r="F127" s="32" t="str">
        <f>IF(SUMIFS('供应商月度明细'!$J$5:$J$155,'供应商月度明细'!$A$5:$A$155,$A127,'供应商月度明细'!$C$5:$C$155,$C127,'供应商月度明细'!$E$5:$E$155,"2026-04")=0,"",SUMIFS('供应商月度明细'!$K$5:$K$155,'供应商月度明细'!$A$5:$A$155,$A127,'供应商月度明细'!$C$5:$C$155,$C127,'供应商月度明细'!$E$5:$E$155,"2026-04")/SUMIFS('供应商月度明细'!$J$5:$J$155,'供应商月度明细'!$A$5:$A$155,$A127,'供应商月度明细'!$C$5:$C$155,$C127,'供应商月度明细'!$E$5:$E$155,"2026-04"))</f>
      </c>
      <c r="G127" s="32" t="str">
        <f>IF(SUMIFS('供应商月度明细'!$J$5:$J$155,'供应商月度明细'!$A$5:$A$155,$A127,'供应商月度明细'!$C$5:$C$155,$C127,'供应商月度明细'!$E$5:$E$155,"2026-05")=0,"",SUMIFS('供应商月度明细'!$K$5:$K$155,'供应商月度明细'!$A$5:$A$155,$A127,'供应商月度明细'!$C$5:$C$155,$C127,'供应商月度明细'!$E$5:$E$155,"2026-05")/SUMIFS('供应商月度明细'!$J$5:$J$155,'供应商月度明细'!$A$5:$A$155,$A127,'供应商月度明细'!$C$5:$C$155,$C127,'供应商月度明细'!$E$5:$E$155,"2026-05"))</f>
      </c>
      <c r="H127" s="32" t="n">
        <f>IF(SUMIFS('供应商月度明细'!$J$5:$J$155,'供应商月度明细'!$A$5:$A$155,$A127,'供应商月度明细'!$C$5:$C$155,$C127,'供应商月度明细'!$E$5:$E$155,"2026-06")=0,"",SUMIFS('供应商月度明细'!$K$5:$K$155,'供应商月度明细'!$A$5:$A$155,$A127,'供应商月度明细'!$C$5:$C$155,$C127,'供应商月度明细'!$E$5:$E$155,"2026-06")/SUMIFS('供应商月度明细'!$J$5:$J$155,'供应商月度明细'!$A$5:$A$155,$A127,'供应商月度明细'!$C$5:$C$155,$C127,'供应商月度明细'!$E$5:$E$155,"2026-06"))</f>
        <v>0.7272727272727273</v>
      </c>
      <c r="I127" s="32" t="n">
        <f>IF(COUNT(F127:H127)=0,"",AVERAGE(F127:H127))</f>
        <v>0.7272727272727273</v>
      </c>
      <c r="J127" s="32" t="n">
        <f>IF(K127=0,"",L127/K127)</f>
        <v>0.7272727272727273</v>
      </c>
      <c r="K127" s="33" t="n">
        <f>SUMIFS('供应商月度明细'!$J$5:$J$155,'供应商月度明细'!$A$5:$A$155,$A127,'供应商月度明细'!$C$5:$C$155,$C127)</f>
        <v>11</v>
      </c>
      <c r="L127" s="33" t="n">
        <f>SUMIFS('供应商月度明细'!$K$5:$K$155,'供应商月度明细'!$A$5:$A$155,$A127,'供应商月度明细'!$C$5:$C$155,$C127)</f>
        <v>8</v>
      </c>
      <c r="M127" s="33" t="n">
        <f>SUMIFS('供应商月度明细'!$M$5:$M$155,'供应商月度明细'!$A$5:$A$155,$A127,'供应商月度明细'!$C$5:$C$155,$C127)</f>
        <v>0</v>
      </c>
    </row>
    <row r="128">
      <c r="A128" s="34" t="str">
        <v>捷克区</v>
      </c>
      <c r="B128" s="34" t="str">
        <v>全区</v>
      </c>
      <c r="C128" s="34" t="str"/>
      <c r="D128" s="34" t="str">
        <v>区域汇总</v>
      </c>
      <c r="E128" s="34" t="str">
        <v>操作员</v>
      </c>
      <c r="F128" s="35" t="n">
        <f>IF(SUMIFS('供应商月度明细'!$J$5:$J$155,'供应商月度明细'!$A$5:$A$155,$A128,'供应商月度明细'!$D$5:$D$155,$E128,'供应商月度明细'!$E$5:$E$155,"2026-04")=0,"",SUMIFS('供应商月度明细'!$K$5:$K$155,'供应商月度明细'!$A$5:$A$155,$A128,'供应商月度明细'!$D$5:$D$155,$E128,'供应商月度明细'!$E$5:$E$155,"2026-04")/SUMIFS('供应商月度明细'!$J$5:$J$155,'供应商月度明细'!$A$5:$A$155,$A128,'供应商月度明细'!$D$5:$D$155,$E128,'供应商月度明细'!$E$5:$E$155,"2026-04"))</f>
        <v>0.5333333333333333</v>
      </c>
      <c r="G128" s="35" t="n">
        <f>IF(SUMIFS('供应商月度明细'!$J$5:$J$155,'供应商月度明细'!$A$5:$A$155,$A128,'供应商月度明细'!$D$5:$D$155,$E128,'供应商月度明细'!$E$5:$E$155,"2026-05")=0,"",SUMIFS('供应商月度明细'!$K$5:$K$155,'供应商月度明细'!$A$5:$A$155,$A128,'供应商月度明细'!$D$5:$D$155,$E128,'供应商月度明细'!$E$5:$E$155,"2026-05")/SUMIFS('供应商月度明细'!$J$5:$J$155,'供应商月度明细'!$A$5:$A$155,$A128,'供应商月度明细'!$D$5:$D$155,$E128,'供应商月度明细'!$E$5:$E$155,"2026-05"))</f>
        <v>0.22580645161290322</v>
      </c>
      <c r="H128" s="35" t="n">
        <f>IF(SUMIFS('供应商月度明细'!$J$5:$J$155,'供应商月度明细'!$A$5:$A$155,$A128,'供应商月度明细'!$D$5:$D$155,$E128,'供应商月度明细'!$E$5:$E$155,"2026-06")=0,"",SUMIFS('供应商月度明细'!$K$5:$K$155,'供应商月度明细'!$A$5:$A$155,$A128,'供应商月度明细'!$D$5:$D$155,$E128,'供应商月度明细'!$E$5:$E$155,"2026-06")/SUMIFS('供应商月度明细'!$J$5:$J$155,'供应商月度明细'!$A$5:$A$155,$A128,'供应商月度明细'!$D$5:$D$155,$E128,'供应商月度明细'!$E$5:$E$155,"2026-06"))</f>
        <v>0.575</v>
      </c>
      <c r="I128" s="35" t="n">
        <f>IF(COUNT(F128:H128)=0,"",AVERAGE(F128:H128))</f>
        <v>0.4447132616487455</v>
      </c>
      <c r="J128" s="35" t="n">
        <f>IF(K128=0,"",L128/K128)</f>
        <v>0.48412698412698413</v>
      </c>
      <c r="K128" s="36" t="n">
        <f>SUMIFS('供应商月度明细'!$J$5:$J$155,'供应商月度明细'!$A$5:$A$155,$A128,'供应商月度明细'!$D$5:$D$155,$E128)</f>
        <v>126</v>
      </c>
      <c r="L128" s="36" t="n">
        <f>SUMIFS('供应商月度明细'!$K$5:$K$155,'供应商月度明细'!$A$5:$A$155,$A128,'供应商月度明细'!$D$5:$D$155,$E128)</f>
        <v>61</v>
      </c>
      <c r="M128" s="36" t="n">
        <f>SUMIFS('供应商月度明细'!$M$5:$M$155,'供应商月度明细'!$A$5:$A$155,$A128,'供应商月度明细'!$D$5:$D$155,$E128)</f>
        <v>1</v>
      </c>
    </row>
    <row r="129">
      <c r="A129" s="34" t="str">
        <v>捷克区</v>
      </c>
      <c r="B129" s="34" t="str">
        <v>全区</v>
      </c>
      <c r="C129" s="34" t="str"/>
      <c r="D129" s="34" t="str">
        <v>区域汇总</v>
      </c>
      <c r="E129" s="34" t="str">
        <v>叉车司机</v>
      </c>
      <c r="F129" s="35" t="n">
        <f>IF(SUMIFS('供应商月度明细'!$J$5:$J$155,'供应商月度明细'!$A$5:$A$155,$A129,'供应商月度明细'!$D$5:$D$155,$E129,'供应商月度明细'!$E$5:$E$155,"2026-04")=0,"",SUMIFS('供应商月度明细'!$K$5:$K$155,'供应商月度明细'!$A$5:$A$155,$A129,'供应商月度明细'!$D$5:$D$155,$E129,'供应商月度明细'!$E$5:$E$155,"2026-04")/SUMIFS('供应商月度明细'!$J$5:$J$155,'供应商月度明细'!$A$5:$A$155,$A129,'供应商月度明细'!$D$5:$D$155,$E129,'供应商月度明细'!$E$5:$E$155,"2026-04"))</f>
        <v>0.4444444444444444</v>
      </c>
      <c r="G129" s="35" t="n">
        <f>IF(SUMIFS('供应商月度明细'!$J$5:$J$155,'供应商月度明细'!$A$5:$A$155,$A129,'供应商月度明细'!$D$5:$D$155,$E129,'供应商月度明细'!$E$5:$E$155,"2026-05")=0,"",SUMIFS('供应商月度明细'!$K$5:$K$155,'供应商月度明细'!$A$5:$A$155,$A129,'供应商月度明细'!$D$5:$D$155,$E129,'供应商月度明细'!$E$5:$E$155,"2026-05")/SUMIFS('供应商月度明细'!$J$5:$J$155,'供应商月度明细'!$A$5:$A$155,$A129,'供应商月度明细'!$D$5:$D$155,$E129,'供应商月度明细'!$E$5:$E$155,"2026-05"))</f>
        <v>0</v>
      </c>
      <c r="H129" s="35" t="n">
        <f>IF(SUMIFS('供应商月度明细'!$J$5:$J$155,'供应商月度明细'!$A$5:$A$155,$A129,'供应商月度明细'!$D$5:$D$155,$E129,'供应商月度明细'!$E$5:$E$155,"2026-06")=0,"",SUMIFS('供应商月度明细'!$K$5:$K$155,'供应商月度明细'!$A$5:$A$155,$A129,'供应商月度明细'!$D$5:$D$155,$E129,'供应商月度明细'!$E$5:$E$155,"2026-06")/SUMIFS('供应商月度明细'!$J$5:$J$155,'供应商月度明细'!$A$5:$A$155,$A129,'供应商月度明细'!$D$5:$D$155,$E129,'供应商月度明细'!$E$5:$E$155,"2026-06"))</f>
        <v>0.5930232558139535</v>
      </c>
      <c r="I129" s="35" t="n">
        <f>IF(COUNT(F129:H129)=0,"",AVERAGE(F129:H129))</f>
        <v>0.34582256675279927</v>
      </c>
      <c r="J129" s="35" t="n">
        <f>IF(K129=0,"",L129/K129)</f>
        <v>0.4632352941176471</v>
      </c>
      <c r="K129" s="36" t="n">
        <f>SUMIFS('供应商月度明细'!$J$5:$J$155,'供应商月度明细'!$A$5:$A$155,$A129,'供应商月度明细'!$D$5:$D$155,$E129)</f>
        <v>136</v>
      </c>
      <c r="L129" s="36" t="n">
        <f>SUMIFS('供应商月度明细'!$K$5:$K$155,'供应商月度明细'!$A$5:$A$155,$A129,'供应商月度明细'!$D$5:$D$155,$E129)</f>
        <v>63</v>
      </c>
      <c r="M129" s="36" t="n">
        <f>SUMIFS('供应商月度明细'!$M$5:$M$155,'供应商月度明细'!$A$5:$A$155,$A129,'供应商月度明细'!$D$5:$D$155,$E129)</f>
        <v>0</v>
      </c>
    </row>
    <row r="130">
      <c r="A130" s="34" t="str">
        <v>捷克区</v>
      </c>
      <c r="B130" s="34" t="str">
        <v>全区</v>
      </c>
      <c r="C130" s="34" t="str"/>
      <c r="D130" s="34" t="str">
        <v>区域汇总</v>
      </c>
      <c r="E130" s="34" t="str">
        <v>交运员 3.5T</v>
      </c>
      <c r="F130" s="35" t="str">
        <f>IF(SUMIFS('供应商月度明细'!$J$5:$J$155,'供应商月度明细'!$A$5:$A$155,$A130,'供应商月度明细'!$D$5:$D$155,$E130,'供应商月度明细'!$E$5:$E$155,"2026-04")=0,"",SUMIFS('供应商月度明细'!$K$5:$K$155,'供应商月度明细'!$A$5:$A$155,$A130,'供应商月度明细'!$D$5:$D$155,$E130,'供应商月度明细'!$E$5:$E$155,"2026-04")/SUMIFS('供应商月度明细'!$J$5:$J$155,'供应商月度明细'!$A$5:$A$155,$A130,'供应商月度明细'!$D$5:$D$155,$E130,'供应商月度明细'!$E$5:$E$155,"2026-04"))</f>
      </c>
      <c r="G130" s="35" t="str">
        <f>IF(SUMIFS('供应商月度明细'!$J$5:$J$155,'供应商月度明细'!$A$5:$A$155,$A130,'供应商月度明细'!$D$5:$D$155,$E130,'供应商月度明细'!$E$5:$E$155,"2026-05")=0,"",SUMIFS('供应商月度明细'!$K$5:$K$155,'供应商月度明细'!$A$5:$A$155,$A130,'供应商月度明细'!$D$5:$D$155,$E130,'供应商月度明细'!$E$5:$E$155,"2026-05")/SUMIFS('供应商月度明细'!$J$5:$J$155,'供应商月度明细'!$A$5:$A$155,$A130,'供应商月度明细'!$D$5:$D$155,$E130,'供应商月度明细'!$E$5:$E$155,"2026-05"))</f>
      </c>
      <c r="H130" s="35" t="n">
        <f>IF(SUMIFS('供应商月度明细'!$J$5:$J$155,'供应商月度明细'!$A$5:$A$155,$A130,'供应商月度明细'!$D$5:$D$155,$E130,'供应商月度明细'!$E$5:$E$155,"2026-06")=0,"",SUMIFS('供应商月度明细'!$K$5:$K$155,'供应商月度明细'!$A$5:$A$155,$A130,'供应商月度明细'!$D$5:$D$155,$E130,'供应商月度明细'!$E$5:$E$155,"2026-06")/SUMIFS('供应商月度明细'!$J$5:$J$155,'供应商月度明细'!$A$5:$A$155,$A130,'供应商月度明细'!$D$5:$D$155,$E130,'供应商月度明细'!$E$5:$E$155,"2026-06"))</f>
        <v>1</v>
      </c>
      <c r="I130" s="35" t="n">
        <f>IF(COUNT(F130:H130)=0,"",AVERAGE(F130:H130))</f>
        <v>1</v>
      </c>
      <c r="J130" s="35" t="n">
        <f>IF(K130=0,"",L130/K130)</f>
        <v>1</v>
      </c>
      <c r="K130" s="36" t="n">
        <f>SUMIFS('供应商月度明细'!$J$5:$J$155,'供应商月度明细'!$A$5:$A$155,$A130,'供应商月度明细'!$D$5:$D$155,$E130)</f>
        <v>5</v>
      </c>
      <c r="L130" s="36" t="n">
        <f>SUMIFS('供应商月度明细'!$K$5:$K$155,'供应商月度明细'!$A$5:$A$155,$A130,'供应商月度明细'!$D$5:$D$155,$E130)</f>
        <v>5</v>
      </c>
      <c r="M130" s="36" t="n">
        <f>SUMIFS('供应商月度明细'!$M$5:$M$155,'供应商月度明细'!$A$5:$A$155,$A130,'供应商月度明细'!$D$5:$D$155,$E130)</f>
        <v>0</v>
      </c>
    </row>
    <row r="131">
      <c r="A131" s="37" t="str">
        <v>捷克区</v>
      </c>
      <c r="B131" s="37" t="str">
        <v>全区</v>
      </c>
      <c r="C131" s="37" t="str"/>
      <c r="D131" s="37" t="str">
        <v>区域汇总</v>
      </c>
      <c r="E131" s="37" t="str">
        <v>全部工种</v>
      </c>
      <c r="F131" s="38" t="n">
        <f>IF(SUMIFS('供应商月度明细'!$J$5:$J$155,'供应商月度明细'!$A$5:$A$155,$A131,'供应商月度明细'!$E$5:$E$155,"2026-04")=0,"",SUMIFS('供应商月度明细'!$K$5:$K$155,'供应商月度明细'!$A$5:$A$155,$A131,'供应商月度明细'!$E$5:$E$155,"2026-04")/SUMIFS('供应商月度明细'!$J$5:$J$155,'供应商月度明细'!$A$5:$A$155,$A131,'供应商月度明细'!$E$5:$E$155,"2026-04"))</f>
        <v>0.47619047619047616</v>
      </c>
      <c r="G131" s="38" t="n">
        <f>IF(SUMIFS('供应商月度明细'!$J$5:$J$155,'供应商月度明细'!$A$5:$A$155,$A131,'供应商月度明细'!$E$5:$E$155,"2026-05")=0,"",SUMIFS('供应商月度明细'!$K$5:$K$155,'供应商月度明细'!$A$5:$A$155,$A131,'供应商月度明细'!$E$5:$E$155,"2026-05")/SUMIFS('供应商月度明细'!$J$5:$J$155,'供应商月度明细'!$A$5:$A$155,$A131,'供应商月度明细'!$E$5:$E$155,"2026-05"))</f>
        <v>0.12962962962962962</v>
      </c>
      <c r="H131" s="38" t="n">
        <f>IF(SUMIFS('供应商月度明细'!$J$5:$J$155,'供应商月度明细'!$A$5:$A$155,$A131,'供应商月度明细'!$E$5:$E$155,"2026-06")=0,"",SUMIFS('供应商月度明细'!$K$5:$K$155,'供应商月度明细'!$A$5:$A$155,$A131,'供应商月度明细'!$E$5:$E$155,"2026-06")/SUMIFS('供应商月度明细'!$J$5:$J$155,'供应商月度明细'!$A$5:$A$155,$A131,'供应商月度明细'!$E$5:$E$155,"2026-06"))</f>
        <v>0.5964912280701754</v>
      </c>
      <c r="I131" s="38" t="n">
        <f>IF(COUNT(F131:H131)=0,"",AVERAGE(F131:H131))</f>
        <v>0.4007704446300937</v>
      </c>
      <c r="J131" s="38" t="n">
        <f>IF(K131=0,"",L131/K131)</f>
        <v>0.48314606741573035</v>
      </c>
      <c r="K131" s="39" t="n">
        <f>SUMIFS('供应商月度明细'!$J$5:$J$155,'供应商月度明细'!$A$5:$A$155,$A131)</f>
        <v>267</v>
      </c>
      <c r="L131" s="39" t="n">
        <f>SUMIFS('供应商月度明细'!$K$5:$K$155,'供应商月度明细'!$A$5:$A$155,$A131)</f>
        <v>129</v>
      </c>
      <c r="M131" s="39" t="n">
        <f>SUMIFS('供应商月度明细'!$M$5:$M$155,'供应商月度明细'!$A$5:$A$155,$A131)</f>
        <v>1</v>
      </c>
    </row>
    <row r="132">
      <c r="A132" s="19" t="str">
        <v>西班牙区</v>
      </c>
      <c r="B132" s="19" t="str">
        <v>FLEXIPLAN ETT S.A.</v>
      </c>
      <c r="C132" s="19" t="str">
        <v>S000303</v>
      </c>
      <c r="D132" s="19" t="str">
        <v>工种明细</v>
      </c>
      <c r="E132" s="19" t="str">
        <v>操作员</v>
      </c>
      <c r="F132" s="27" t="str">
        <f>IF(SUMIFS('供应商月度明细'!$J$5:$J$155,'供应商月度明细'!$A$5:$A$155,$A132,'供应商月度明细'!$C$5:$C$155,$C132,'供应商月度明细'!$D$5:$D$155,$E132,'供应商月度明细'!$E$5:$E$155,"2026-04")=0,"",SUMIFS('供应商月度明细'!$K$5:$K$155,'供应商月度明细'!$A$5:$A$155,$A132,'供应商月度明细'!$C$5:$C$155,$C132,'供应商月度明细'!$D$5:$D$155,$E132,'供应商月度明细'!$E$5:$E$155,"2026-04")/SUMIFS('供应商月度明细'!$J$5:$J$155,'供应商月度明细'!$A$5:$A$155,$A132,'供应商月度明细'!$C$5:$C$155,$C132,'供应商月度明细'!$D$5:$D$155,$E132,'供应商月度明细'!$E$5:$E$155,"2026-04"))</f>
      </c>
      <c r="G132" s="27" t="n">
        <f>IF(SUMIFS('供应商月度明细'!$J$5:$J$155,'供应商月度明细'!$A$5:$A$155,$A132,'供应商月度明细'!$C$5:$C$155,$C132,'供应商月度明细'!$D$5:$D$155,$E132,'供应商月度明细'!$E$5:$E$155,"2026-05")=0,"",SUMIFS('供应商月度明细'!$K$5:$K$155,'供应商月度明细'!$A$5:$A$155,$A132,'供应商月度明细'!$C$5:$C$155,$C132,'供应商月度明细'!$D$5:$D$155,$E132,'供应商月度明细'!$E$5:$E$155,"2026-05")/SUMIFS('供应商月度明细'!$J$5:$J$155,'供应商月度明细'!$A$5:$A$155,$A132,'供应商月度明细'!$C$5:$C$155,$C132,'供应商月度明细'!$D$5:$D$155,$E132,'供应商月度明细'!$E$5:$E$155,"2026-05"))</f>
        <v>1</v>
      </c>
      <c r="H132" s="27" t="n">
        <f>IF(SUMIFS('供应商月度明细'!$J$5:$J$155,'供应商月度明细'!$A$5:$A$155,$A132,'供应商月度明细'!$C$5:$C$155,$C132,'供应商月度明细'!$D$5:$D$155,$E132,'供应商月度明细'!$E$5:$E$155,"2026-06")=0,"",SUMIFS('供应商月度明细'!$K$5:$K$155,'供应商月度明细'!$A$5:$A$155,$A132,'供应商月度明细'!$C$5:$C$155,$C132,'供应商月度明细'!$D$5:$D$155,$E132,'供应商月度明细'!$E$5:$E$155,"2026-06")/SUMIFS('供应商月度明细'!$J$5:$J$155,'供应商月度明细'!$A$5:$A$155,$A132,'供应商月度明细'!$C$5:$C$155,$C132,'供应商月度明细'!$D$5:$D$155,$E132,'供应商月度明细'!$E$5:$E$155,"2026-06"))</f>
        <v>1</v>
      </c>
      <c r="I132" s="27" t="n">
        <f>IF(COUNT(F132:H132)=0,"",AVERAGE(F132:H132))</f>
        <v>1</v>
      </c>
      <c r="J132" s="27" t="n">
        <f>IF(K132=0,"",L132/K132)</f>
        <v>1</v>
      </c>
      <c r="K132" s="23" t="n">
        <f>SUMIFS('供应商月度明细'!$J$5:$J$155,'供应商月度明细'!$A$5:$A$155,$A132,'供应商月度明细'!$C$5:$C$155,$C132,'供应商月度明细'!$D$5:$D$155,$E132)</f>
        <v>3</v>
      </c>
      <c r="L132" s="23" t="n">
        <f>SUMIFS('供应商月度明细'!$K$5:$K$155,'供应商月度明细'!$A$5:$A$155,$A132,'供应商月度明细'!$C$5:$C$155,$C132,'供应商月度明细'!$D$5:$D$155,$E132)</f>
        <v>3</v>
      </c>
      <c r="M132" s="23" t="n">
        <f>SUMIFS('供应商月度明细'!$M$5:$M$155,'供应商月度明细'!$A$5:$A$155,$A132,'供应商月度明细'!$C$5:$C$155,$C132,'供应商月度明细'!$D$5:$D$155,$E132)</f>
        <v>0</v>
      </c>
    </row>
    <row r="133">
      <c r="A133" s="19" t="str">
        <v>西班牙区</v>
      </c>
      <c r="B133" s="19" t="str">
        <v>FLEXIPLAN ETT S.A.</v>
      </c>
      <c r="C133" s="19" t="str">
        <v>S000303</v>
      </c>
      <c r="D133" s="19" t="str">
        <v>工种明细</v>
      </c>
      <c r="E133" s="19" t="str">
        <v>叉车司机</v>
      </c>
      <c r="F133" s="27" t="n">
        <f>IF(SUMIFS('供应商月度明细'!$J$5:$J$155,'供应商月度明细'!$A$5:$A$155,$A133,'供应商月度明细'!$C$5:$C$155,$C133,'供应商月度明细'!$D$5:$D$155,$E133,'供应商月度明细'!$E$5:$E$155,"2026-04")=0,"",SUMIFS('供应商月度明细'!$K$5:$K$155,'供应商月度明细'!$A$5:$A$155,$A133,'供应商月度明细'!$C$5:$C$155,$C133,'供应商月度明细'!$D$5:$D$155,$E133,'供应商月度明细'!$E$5:$E$155,"2026-04")/SUMIFS('供应商月度明细'!$J$5:$J$155,'供应商月度明细'!$A$5:$A$155,$A133,'供应商月度明细'!$C$5:$C$155,$C133,'供应商月度明细'!$D$5:$D$155,$E133,'供应商月度明细'!$E$5:$E$155,"2026-04"))</f>
        <v>1</v>
      </c>
      <c r="G133" s="27" t="n">
        <f>IF(SUMIFS('供应商月度明细'!$J$5:$J$155,'供应商月度明细'!$A$5:$A$155,$A133,'供应商月度明细'!$C$5:$C$155,$C133,'供应商月度明细'!$D$5:$D$155,$E133,'供应商月度明细'!$E$5:$E$155,"2026-05")=0,"",SUMIFS('供应商月度明细'!$K$5:$K$155,'供应商月度明细'!$A$5:$A$155,$A133,'供应商月度明细'!$C$5:$C$155,$C133,'供应商月度明细'!$D$5:$D$155,$E133,'供应商月度明细'!$E$5:$E$155,"2026-05")/SUMIFS('供应商月度明细'!$J$5:$J$155,'供应商月度明细'!$A$5:$A$155,$A133,'供应商月度明细'!$C$5:$C$155,$C133,'供应商月度明细'!$D$5:$D$155,$E133,'供应商月度明细'!$E$5:$E$155,"2026-05"))</f>
        <v>1</v>
      </c>
      <c r="H133" s="27" t="n">
        <f>IF(SUMIFS('供应商月度明细'!$J$5:$J$155,'供应商月度明细'!$A$5:$A$155,$A133,'供应商月度明细'!$C$5:$C$155,$C133,'供应商月度明细'!$D$5:$D$155,$E133,'供应商月度明细'!$E$5:$E$155,"2026-06")=0,"",SUMIFS('供应商月度明细'!$K$5:$K$155,'供应商月度明细'!$A$5:$A$155,$A133,'供应商月度明细'!$C$5:$C$155,$C133,'供应商月度明细'!$D$5:$D$155,$E133,'供应商月度明细'!$E$5:$E$155,"2026-06")/SUMIFS('供应商月度明细'!$J$5:$J$155,'供应商月度明细'!$A$5:$A$155,$A133,'供应商月度明细'!$C$5:$C$155,$C133,'供应商月度明细'!$D$5:$D$155,$E133,'供应商月度明细'!$E$5:$E$155,"2026-06"))</f>
        <v>1</v>
      </c>
      <c r="I133" s="27" t="n">
        <f>IF(COUNT(F133:H133)=0,"",AVERAGE(F133:H133))</f>
        <v>1</v>
      </c>
      <c r="J133" s="27" t="n">
        <f>IF(K133=0,"",L133/K133)</f>
        <v>1</v>
      </c>
      <c r="K133" s="23" t="n">
        <f>SUMIFS('供应商月度明细'!$J$5:$J$155,'供应商月度明细'!$A$5:$A$155,$A133,'供应商月度明细'!$C$5:$C$155,$C133,'供应商月度明细'!$D$5:$D$155,$E133)</f>
        <v>23</v>
      </c>
      <c r="L133" s="23" t="n">
        <f>SUMIFS('供应商月度明细'!$K$5:$K$155,'供应商月度明细'!$A$5:$A$155,$A133,'供应商月度明细'!$C$5:$C$155,$C133,'供应商月度明细'!$D$5:$D$155,$E133)</f>
        <v>23</v>
      </c>
      <c r="M133" s="23" t="n">
        <f>SUMIFS('供应商月度明细'!$M$5:$M$155,'供应商月度明细'!$A$5:$A$155,$A133,'供应商月度明细'!$C$5:$C$155,$C133,'供应商月度明细'!$D$5:$D$155,$E133)</f>
        <v>0</v>
      </c>
    </row>
    <row r="134">
      <c r="A134" s="19" t="str">
        <v>西班牙区</v>
      </c>
      <c r="B134" s="19" t="str">
        <v>FLEXIPLAN ETT S.A.</v>
      </c>
      <c r="C134" s="19" t="str">
        <v>S000303</v>
      </c>
      <c r="D134" s="19" t="str">
        <v>工种明细</v>
      </c>
      <c r="E134" s="19" t="str">
        <v>保洁员</v>
      </c>
      <c r="F134" s="27" t="str">
        <f>IF(SUMIFS('供应商月度明细'!$J$5:$J$155,'供应商月度明细'!$A$5:$A$155,$A134,'供应商月度明细'!$C$5:$C$155,$C134,'供应商月度明细'!$D$5:$D$155,$E134,'供应商月度明细'!$E$5:$E$155,"2026-04")=0,"",SUMIFS('供应商月度明细'!$K$5:$K$155,'供应商月度明细'!$A$5:$A$155,$A134,'供应商月度明细'!$C$5:$C$155,$C134,'供应商月度明细'!$D$5:$D$155,$E134,'供应商月度明细'!$E$5:$E$155,"2026-04")/SUMIFS('供应商月度明细'!$J$5:$J$155,'供应商月度明细'!$A$5:$A$155,$A134,'供应商月度明细'!$C$5:$C$155,$C134,'供应商月度明细'!$D$5:$D$155,$E134,'供应商月度明细'!$E$5:$E$155,"2026-04"))</f>
      </c>
      <c r="G134" s="27" t="str">
        <f>IF(SUMIFS('供应商月度明细'!$J$5:$J$155,'供应商月度明细'!$A$5:$A$155,$A134,'供应商月度明细'!$C$5:$C$155,$C134,'供应商月度明细'!$D$5:$D$155,$E134,'供应商月度明细'!$E$5:$E$155,"2026-05")=0,"",SUMIFS('供应商月度明细'!$K$5:$K$155,'供应商月度明细'!$A$5:$A$155,$A134,'供应商月度明细'!$C$5:$C$155,$C134,'供应商月度明细'!$D$5:$D$155,$E134,'供应商月度明细'!$E$5:$E$155,"2026-05")/SUMIFS('供应商月度明细'!$J$5:$J$155,'供应商月度明细'!$A$5:$A$155,$A134,'供应商月度明细'!$C$5:$C$155,$C134,'供应商月度明细'!$D$5:$D$155,$E134,'供应商月度明细'!$E$5:$E$155,"2026-05"))</f>
      </c>
      <c r="H134" s="27" t="n">
        <f>IF(SUMIFS('供应商月度明细'!$J$5:$J$155,'供应商月度明细'!$A$5:$A$155,$A134,'供应商月度明细'!$C$5:$C$155,$C134,'供应商月度明细'!$D$5:$D$155,$E134,'供应商月度明细'!$E$5:$E$155,"2026-06")=0,"",SUMIFS('供应商月度明细'!$K$5:$K$155,'供应商月度明细'!$A$5:$A$155,$A134,'供应商月度明细'!$C$5:$C$155,$C134,'供应商月度明细'!$D$5:$D$155,$E134,'供应商月度明细'!$E$5:$E$155,"2026-06")/SUMIFS('供应商月度明细'!$J$5:$J$155,'供应商月度明细'!$A$5:$A$155,$A134,'供应商月度明细'!$C$5:$C$155,$C134,'供应商月度明细'!$D$5:$D$155,$E134,'供应商月度明细'!$E$5:$E$155,"2026-06"))</f>
        <v>1</v>
      </c>
      <c r="I134" s="27" t="n">
        <f>IF(COUNT(F134:H134)=0,"",AVERAGE(F134:H134))</f>
        <v>1</v>
      </c>
      <c r="J134" s="27" t="n">
        <f>IF(K134=0,"",L134/K134)</f>
        <v>1</v>
      </c>
      <c r="K134" s="23" t="n">
        <f>SUMIFS('供应商月度明细'!$J$5:$J$155,'供应商月度明细'!$A$5:$A$155,$A134,'供应商月度明细'!$C$5:$C$155,$C134,'供应商月度明细'!$D$5:$D$155,$E134)</f>
        <v>1</v>
      </c>
      <c r="L134" s="23" t="n">
        <f>SUMIFS('供应商月度明细'!$K$5:$K$155,'供应商月度明细'!$A$5:$A$155,$A134,'供应商月度明细'!$C$5:$C$155,$C134,'供应商月度明细'!$D$5:$D$155,$E134)</f>
        <v>1</v>
      </c>
      <c r="M134" s="23" t="n">
        <f>SUMIFS('供应商月度明细'!$M$5:$M$155,'供应商月度明细'!$A$5:$A$155,$A134,'供应商月度明细'!$C$5:$C$155,$C134,'供应商月度明细'!$D$5:$D$155,$E134)</f>
        <v>0</v>
      </c>
    </row>
    <row r="135">
      <c r="A135" s="19" t="str">
        <v>西班牙区</v>
      </c>
      <c r="B135" s="19" t="str">
        <v>FLEXIPLAN ETT S.A.</v>
      </c>
      <c r="C135" s="19" t="str">
        <v>S000303</v>
      </c>
      <c r="D135" s="19" t="str">
        <v>工种明细</v>
      </c>
      <c r="E135" s="19" t="str">
        <v>交运员Class 1</v>
      </c>
      <c r="F135" s="27" t="str">
        <f>IF(SUMIFS('供应商月度明细'!$J$5:$J$155,'供应商月度明细'!$A$5:$A$155,$A135,'供应商月度明细'!$C$5:$C$155,$C135,'供应商月度明细'!$D$5:$D$155,$E135,'供应商月度明细'!$E$5:$E$155,"2026-04")=0,"",SUMIFS('供应商月度明细'!$K$5:$K$155,'供应商月度明细'!$A$5:$A$155,$A135,'供应商月度明细'!$C$5:$C$155,$C135,'供应商月度明细'!$D$5:$D$155,$E135,'供应商月度明细'!$E$5:$E$155,"2026-04")/SUMIFS('供应商月度明细'!$J$5:$J$155,'供应商月度明细'!$A$5:$A$155,$A135,'供应商月度明细'!$C$5:$C$155,$C135,'供应商月度明细'!$D$5:$D$155,$E135,'供应商月度明细'!$E$5:$E$155,"2026-04"))</f>
      </c>
      <c r="G135" s="27" t="str">
        <f>IF(SUMIFS('供应商月度明细'!$J$5:$J$155,'供应商月度明细'!$A$5:$A$155,$A135,'供应商月度明细'!$C$5:$C$155,$C135,'供应商月度明细'!$D$5:$D$155,$E135,'供应商月度明细'!$E$5:$E$155,"2026-05")=0,"",SUMIFS('供应商月度明细'!$K$5:$K$155,'供应商月度明细'!$A$5:$A$155,$A135,'供应商月度明细'!$C$5:$C$155,$C135,'供应商月度明细'!$D$5:$D$155,$E135,'供应商月度明细'!$E$5:$E$155,"2026-05")/SUMIFS('供应商月度明细'!$J$5:$J$155,'供应商月度明细'!$A$5:$A$155,$A135,'供应商月度明细'!$C$5:$C$155,$C135,'供应商月度明细'!$D$5:$D$155,$E135,'供应商月度明细'!$E$5:$E$155,"2026-05"))</f>
      </c>
      <c r="H135" s="27" t="n">
        <f>IF(SUMIFS('供应商月度明细'!$J$5:$J$155,'供应商月度明细'!$A$5:$A$155,$A135,'供应商月度明细'!$C$5:$C$155,$C135,'供应商月度明细'!$D$5:$D$155,$E135,'供应商月度明细'!$E$5:$E$155,"2026-06")=0,"",SUMIFS('供应商月度明细'!$K$5:$K$155,'供应商月度明细'!$A$5:$A$155,$A135,'供应商月度明细'!$C$5:$C$155,$C135,'供应商月度明细'!$D$5:$D$155,$E135,'供应商月度明细'!$E$5:$E$155,"2026-06")/SUMIFS('供应商月度明细'!$J$5:$J$155,'供应商月度明细'!$A$5:$A$155,$A135,'供应商月度明细'!$C$5:$C$155,$C135,'供应商月度明细'!$D$5:$D$155,$E135,'供应商月度明细'!$E$5:$E$155,"2026-06"))</f>
        <v>1</v>
      </c>
      <c r="I135" s="27" t="n">
        <f>IF(COUNT(F135:H135)=0,"",AVERAGE(F135:H135))</f>
        <v>1</v>
      </c>
      <c r="J135" s="27" t="n">
        <f>IF(K135=0,"",L135/K135)</f>
        <v>1</v>
      </c>
      <c r="K135" s="23" t="n">
        <f>SUMIFS('供应商月度明细'!$J$5:$J$155,'供应商月度明细'!$A$5:$A$155,$A135,'供应商月度明细'!$C$5:$C$155,$C135,'供应商月度明细'!$D$5:$D$155,$E135)</f>
        <v>1</v>
      </c>
      <c r="L135" s="23" t="n">
        <f>SUMIFS('供应商月度明细'!$K$5:$K$155,'供应商月度明细'!$A$5:$A$155,$A135,'供应商月度明细'!$C$5:$C$155,$C135,'供应商月度明细'!$D$5:$D$155,$E135)</f>
        <v>1</v>
      </c>
      <c r="M135" s="23" t="n">
        <f>SUMIFS('供应商月度明细'!$M$5:$M$155,'供应商月度明细'!$A$5:$A$155,$A135,'供应商月度明细'!$C$5:$C$155,$C135,'供应商月度明细'!$D$5:$D$155,$E135)</f>
        <v>0</v>
      </c>
    </row>
    <row r="136">
      <c r="A136" s="31" t="str">
        <v>西班牙区</v>
      </c>
      <c r="B136" s="31" t="str">
        <v>FLEXIPLAN ETT S.A.</v>
      </c>
      <c r="C136" s="31" t="str">
        <v>S000303</v>
      </c>
      <c r="D136" s="31" t="str">
        <v>供应商汇总</v>
      </c>
      <c r="E136" s="31" t="str">
        <v>全部工种</v>
      </c>
      <c r="F136" s="32" t="n">
        <f>IF(SUMIFS('供应商月度明细'!$J$5:$J$155,'供应商月度明细'!$A$5:$A$155,$A136,'供应商月度明细'!$C$5:$C$155,$C136,'供应商月度明细'!$E$5:$E$155,"2026-04")=0,"",SUMIFS('供应商月度明细'!$K$5:$K$155,'供应商月度明细'!$A$5:$A$155,$A136,'供应商月度明细'!$C$5:$C$155,$C136,'供应商月度明细'!$E$5:$E$155,"2026-04")/SUMIFS('供应商月度明细'!$J$5:$J$155,'供应商月度明细'!$A$5:$A$155,$A136,'供应商月度明细'!$C$5:$C$155,$C136,'供应商月度明细'!$E$5:$E$155,"2026-04"))</f>
        <v>1</v>
      </c>
      <c r="G136" s="32" t="n">
        <f>IF(SUMIFS('供应商月度明细'!$J$5:$J$155,'供应商月度明细'!$A$5:$A$155,$A136,'供应商月度明细'!$C$5:$C$155,$C136,'供应商月度明细'!$E$5:$E$155,"2026-05")=0,"",SUMIFS('供应商月度明细'!$K$5:$K$155,'供应商月度明细'!$A$5:$A$155,$A136,'供应商月度明细'!$C$5:$C$155,$C136,'供应商月度明细'!$E$5:$E$155,"2026-05")/SUMIFS('供应商月度明细'!$J$5:$J$155,'供应商月度明细'!$A$5:$A$155,$A136,'供应商月度明细'!$C$5:$C$155,$C136,'供应商月度明细'!$E$5:$E$155,"2026-05"))</f>
        <v>1</v>
      </c>
      <c r="H136" s="32" t="n">
        <f>IF(SUMIFS('供应商月度明细'!$J$5:$J$155,'供应商月度明细'!$A$5:$A$155,$A136,'供应商月度明细'!$C$5:$C$155,$C136,'供应商月度明细'!$E$5:$E$155,"2026-06")=0,"",SUMIFS('供应商月度明细'!$K$5:$K$155,'供应商月度明细'!$A$5:$A$155,$A136,'供应商月度明细'!$C$5:$C$155,$C136,'供应商月度明细'!$E$5:$E$155,"2026-06")/SUMIFS('供应商月度明细'!$J$5:$J$155,'供应商月度明细'!$A$5:$A$155,$A136,'供应商月度明细'!$C$5:$C$155,$C136,'供应商月度明细'!$E$5:$E$155,"2026-06"))</f>
        <v>1</v>
      </c>
      <c r="I136" s="32" t="n">
        <f>IF(COUNT(F136:H136)=0,"",AVERAGE(F136:H136))</f>
        <v>1</v>
      </c>
      <c r="J136" s="32" t="n">
        <f>IF(K136=0,"",L136/K136)</f>
        <v>1</v>
      </c>
      <c r="K136" s="33" t="n">
        <f>SUMIFS('供应商月度明细'!$J$5:$J$155,'供应商月度明细'!$A$5:$A$155,$A136,'供应商月度明细'!$C$5:$C$155,$C136)</f>
        <v>28</v>
      </c>
      <c r="L136" s="33" t="n">
        <f>SUMIFS('供应商月度明细'!$K$5:$K$155,'供应商月度明细'!$A$5:$A$155,$A136,'供应商月度明细'!$C$5:$C$155,$C136)</f>
        <v>28</v>
      </c>
      <c r="M136" s="33" t="n">
        <f>SUMIFS('供应商月度明细'!$M$5:$M$155,'供应商月度明细'!$A$5:$A$155,$A136,'供应商月度明细'!$C$5:$C$155,$C136)</f>
        <v>0</v>
      </c>
    </row>
    <row r="137">
      <c r="A137" s="34" t="str">
        <v>西班牙区</v>
      </c>
      <c r="B137" s="34" t="str">
        <v>全区</v>
      </c>
      <c r="C137" s="34" t="str"/>
      <c r="D137" s="34" t="str">
        <v>区域汇总</v>
      </c>
      <c r="E137" s="34" t="str">
        <v>操作员</v>
      </c>
      <c r="F137" s="35" t="str">
        <f>IF(SUMIFS('供应商月度明细'!$J$5:$J$155,'供应商月度明细'!$A$5:$A$155,$A137,'供应商月度明细'!$D$5:$D$155,$E137,'供应商月度明细'!$E$5:$E$155,"2026-04")=0,"",SUMIFS('供应商月度明细'!$K$5:$K$155,'供应商月度明细'!$A$5:$A$155,$A137,'供应商月度明细'!$D$5:$D$155,$E137,'供应商月度明细'!$E$5:$E$155,"2026-04")/SUMIFS('供应商月度明细'!$J$5:$J$155,'供应商月度明细'!$A$5:$A$155,$A137,'供应商月度明细'!$D$5:$D$155,$E137,'供应商月度明细'!$E$5:$E$155,"2026-04"))</f>
      </c>
      <c r="G137" s="35" t="n">
        <f>IF(SUMIFS('供应商月度明细'!$J$5:$J$155,'供应商月度明细'!$A$5:$A$155,$A137,'供应商月度明细'!$D$5:$D$155,$E137,'供应商月度明细'!$E$5:$E$155,"2026-05")=0,"",SUMIFS('供应商月度明细'!$K$5:$K$155,'供应商月度明细'!$A$5:$A$155,$A137,'供应商月度明细'!$D$5:$D$155,$E137,'供应商月度明细'!$E$5:$E$155,"2026-05")/SUMIFS('供应商月度明细'!$J$5:$J$155,'供应商月度明细'!$A$5:$A$155,$A137,'供应商月度明细'!$D$5:$D$155,$E137,'供应商月度明细'!$E$5:$E$155,"2026-05"))</f>
        <v>1</v>
      </c>
      <c r="H137" s="35" t="n">
        <f>IF(SUMIFS('供应商月度明细'!$J$5:$J$155,'供应商月度明细'!$A$5:$A$155,$A137,'供应商月度明细'!$D$5:$D$155,$E137,'供应商月度明细'!$E$5:$E$155,"2026-06")=0,"",SUMIFS('供应商月度明细'!$K$5:$K$155,'供应商月度明细'!$A$5:$A$155,$A137,'供应商月度明细'!$D$5:$D$155,$E137,'供应商月度明细'!$E$5:$E$155,"2026-06")/SUMIFS('供应商月度明细'!$J$5:$J$155,'供应商月度明细'!$A$5:$A$155,$A137,'供应商月度明细'!$D$5:$D$155,$E137,'供应商月度明细'!$E$5:$E$155,"2026-06"))</f>
        <v>1</v>
      </c>
      <c r="I137" s="35" t="n">
        <f>IF(COUNT(F137:H137)=0,"",AVERAGE(F137:H137))</f>
        <v>1</v>
      </c>
      <c r="J137" s="35" t="n">
        <f>IF(K137=0,"",L137/K137)</f>
        <v>1</v>
      </c>
      <c r="K137" s="36" t="n">
        <f>SUMIFS('供应商月度明细'!$J$5:$J$155,'供应商月度明细'!$A$5:$A$155,$A137,'供应商月度明细'!$D$5:$D$155,$E137)</f>
        <v>3</v>
      </c>
      <c r="L137" s="36" t="n">
        <f>SUMIFS('供应商月度明细'!$K$5:$K$155,'供应商月度明细'!$A$5:$A$155,$A137,'供应商月度明细'!$D$5:$D$155,$E137)</f>
        <v>3</v>
      </c>
      <c r="M137" s="36" t="n">
        <f>SUMIFS('供应商月度明细'!$M$5:$M$155,'供应商月度明细'!$A$5:$A$155,$A137,'供应商月度明细'!$D$5:$D$155,$E137)</f>
        <v>0</v>
      </c>
    </row>
    <row r="138">
      <c r="A138" s="34" t="str">
        <v>西班牙区</v>
      </c>
      <c r="B138" s="34" t="str">
        <v>全区</v>
      </c>
      <c r="C138" s="34" t="str"/>
      <c r="D138" s="34" t="str">
        <v>区域汇总</v>
      </c>
      <c r="E138" s="34" t="str">
        <v>叉车司机</v>
      </c>
      <c r="F138" s="35" t="n">
        <f>IF(SUMIFS('供应商月度明细'!$J$5:$J$155,'供应商月度明细'!$A$5:$A$155,$A138,'供应商月度明细'!$D$5:$D$155,$E138,'供应商月度明细'!$E$5:$E$155,"2026-04")=0,"",SUMIFS('供应商月度明细'!$K$5:$K$155,'供应商月度明细'!$A$5:$A$155,$A138,'供应商月度明细'!$D$5:$D$155,$E138,'供应商月度明细'!$E$5:$E$155,"2026-04")/SUMIFS('供应商月度明细'!$J$5:$J$155,'供应商月度明细'!$A$5:$A$155,$A138,'供应商月度明细'!$D$5:$D$155,$E138,'供应商月度明细'!$E$5:$E$155,"2026-04"))</f>
        <v>1</v>
      </c>
      <c r="G138" s="35" t="n">
        <f>IF(SUMIFS('供应商月度明细'!$J$5:$J$155,'供应商月度明细'!$A$5:$A$155,$A138,'供应商月度明细'!$D$5:$D$155,$E138,'供应商月度明细'!$E$5:$E$155,"2026-05")=0,"",SUMIFS('供应商月度明细'!$K$5:$K$155,'供应商月度明细'!$A$5:$A$155,$A138,'供应商月度明细'!$D$5:$D$155,$E138,'供应商月度明细'!$E$5:$E$155,"2026-05")/SUMIFS('供应商月度明细'!$J$5:$J$155,'供应商月度明细'!$A$5:$A$155,$A138,'供应商月度明细'!$D$5:$D$155,$E138,'供应商月度明细'!$E$5:$E$155,"2026-05"))</f>
        <v>1</v>
      </c>
      <c r="H138" s="35" t="n">
        <f>IF(SUMIFS('供应商月度明细'!$J$5:$J$155,'供应商月度明细'!$A$5:$A$155,$A138,'供应商月度明细'!$D$5:$D$155,$E138,'供应商月度明细'!$E$5:$E$155,"2026-06")=0,"",SUMIFS('供应商月度明细'!$K$5:$K$155,'供应商月度明细'!$A$5:$A$155,$A138,'供应商月度明细'!$D$5:$D$155,$E138,'供应商月度明细'!$E$5:$E$155,"2026-06")/SUMIFS('供应商月度明细'!$J$5:$J$155,'供应商月度明细'!$A$5:$A$155,$A138,'供应商月度明细'!$D$5:$D$155,$E138,'供应商月度明细'!$E$5:$E$155,"2026-06"))</f>
        <v>1</v>
      </c>
      <c r="I138" s="35" t="n">
        <f>IF(COUNT(F138:H138)=0,"",AVERAGE(F138:H138))</f>
        <v>1</v>
      </c>
      <c r="J138" s="35" t="n">
        <f>IF(K138=0,"",L138/K138)</f>
        <v>1</v>
      </c>
      <c r="K138" s="36" t="n">
        <f>SUMIFS('供应商月度明细'!$J$5:$J$155,'供应商月度明细'!$A$5:$A$155,$A138,'供应商月度明细'!$D$5:$D$155,$E138)</f>
        <v>23</v>
      </c>
      <c r="L138" s="36" t="n">
        <f>SUMIFS('供应商月度明细'!$K$5:$K$155,'供应商月度明细'!$A$5:$A$155,$A138,'供应商月度明细'!$D$5:$D$155,$E138)</f>
        <v>23</v>
      </c>
      <c r="M138" s="36" t="n">
        <f>SUMIFS('供应商月度明细'!$M$5:$M$155,'供应商月度明细'!$A$5:$A$155,$A138,'供应商月度明细'!$D$5:$D$155,$E138)</f>
        <v>0</v>
      </c>
    </row>
    <row r="139">
      <c r="A139" s="34" t="str">
        <v>西班牙区</v>
      </c>
      <c r="B139" s="34" t="str">
        <v>全区</v>
      </c>
      <c r="C139" s="34" t="str"/>
      <c r="D139" s="34" t="str">
        <v>区域汇总</v>
      </c>
      <c r="E139" s="34" t="str">
        <v>保洁员</v>
      </c>
      <c r="F139" s="35" t="str">
        <f>IF(SUMIFS('供应商月度明细'!$J$5:$J$155,'供应商月度明细'!$A$5:$A$155,$A139,'供应商月度明细'!$D$5:$D$155,$E139,'供应商月度明细'!$E$5:$E$155,"2026-04")=0,"",SUMIFS('供应商月度明细'!$K$5:$K$155,'供应商月度明细'!$A$5:$A$155,$A139,'供应商月度明细'!$D$5:$D$155,$E139,'供应商月度明细'!$E$5:$E$155,"2026-04")/SUMIFS('供应商月度明细'!$J$5:$J$155,'供应商月度明细'!$A$5:$A$155,$A139,'供应商月度明细'!$D$5:$D$155,$E139,'供应商月度明细'!$E$5:$E$155,"2026-04"))</f>
      </c>
      <c r="G139" s="35" t="str">
        <f>IF(SUMIFS('供应商月度明细'!$J$5:$J$155,'供应商月度明细'!$A$5:$A$155,$A139,'供应商月度明细'!$D$5:$D$155,$E139,'供应商月度明细'!$E$5:$E$155,"2026-05")=0,"",SUMIFS('供应商月度明细'!$K$5:$K$155,'供应商月度明细'!$A$5:$A$155,$A139,'供应商月度明细'!$D$5:$D$155,$E139,'供应商月度明细'!$E$5:$E$155,"2026-05")/SUMIFS('供应商月度明细'!$J$5:$J$155,'供应商月度明细'!$A$5:$A$155,$A139,'供应商月度明细'!$D$5:$D$155,$E139,'供应商月度明细'!$E$5:$E$155,"2026-05"))</f>
      </c>
      <c r="H139" s="35" t="n">
        <f>IF(SUMIFS('供应商月度明细'!$J$5:$J$155,'供应商月度明细'!$A$5:$A$155,$A139,'供应商月度明细'!$D$5:$D$155,$E139,'供应商月度明细'!$E$5:$E$155,"2026-06")=0,"",SUMIFS('供应商月度明细'!$K$5:$K$155,'供应商月度明细'!$A$5:$A$155,$A139,'供应商月度明细'!$D$5:$D$155,$E139,'供应商月度明细'!$E$5:$E$155,"2026-06")/SUMIFS('供应商月度明细'!$J$5:$J$155,'供应商月度明细'!$A$5:$A$155,$A139,'供应商月度明细'!$D$5:$D$155,$E139,'供应商月度明细'!$E$5:$E$155,"2026-06"))</f>
        <v>1</v>
      </c>
      <c r="I139" s="35" t="n">
        <f>IF(COUNT(F139:H139)=0,"",AVERAGE(F139:H139))</f>
        <v>1</v>
      </c>
      <c r="J139" s="35" t="n">
        <f>IF(K139=0,"",L139/K139)</f>
        <v>1</v>
      </c>
      <c r="K139" s="36" t="n">
        <f>SUMIFS('供应商月度明细'!$J$5:$J$155,'供应商月度明细'!$A$5:$A$155,$A139,'供应商月度明细'!$D$5:$D$155,$E139)</f>
        <v>1</v>
      </c>
      <c r="L139" s="36" t="n">
        <f>SUMIFS('供应商月度明细'!$K$5:$K$155,'供应商月度明细'!$A$5:$A$155,$A139,'供应商月度明细'!$D$5:$D$155,$E139)</f>
        <v>1</v>
      </c>
      <c r="M139" s="36" t="n">
        <f>SUMIFS('供应商月度明细'!$M$5:$M$155,'供应商月度明细'!$A$5:$A$155,$A139,'供应商月度明细'!$D$5:$D$155,$E139)</f>
        <v>0</v>
      </c>
    </row>
    <row r="140">
      <c r="A140" s="34" t="str">
        <v>西班牙区</v>
      </c>
      <c r="B140" s="34" t="str">
        <v>全区</v>
      </c>
      <c r="C140" s="34" t="str"/>
      <c r="D140" s="34" t="str">
        <v>区域汇总</v>
      </c>
      <c r="E140" s="34" t="str">
        <v>交运员Class 1</v>
      </c>
      <c r="F140" s="35" t="str">
        <f>IF(SUMIFS('供应商月度明细'!$J$5:$J$155,'供应商月度明细'!$A$5:$A$155,$A140,'供应商月度明细'!$D$5:$D$155,$E140,'供应商月度明细'!$E$5:$E$155,"2026-04")=0,"",SUMIFS('供应商月度明细'!$K$5:$K$155,'供应商月度明细'!$A$5:$A$155,$A140,'供应商月度明细'!$D$5:$D$155,$E140,'供应商月度明细'!$E$5:$E$155,"2026-04")/SUMIFS('供应商月度明细'!$J$5:$J$155,'供应商月度明细'!$A$5:$A$155,$A140,'供应商月度明细'!$D$5:$D$155,$E140,'供应商月度明细'!$E$5:$E$155,"2026-04"))</f>
      </c>
      <c r="G140" s="35" t="str">
        <f>IF(SUMIFS('供应商月度明细'!$J$5:$J$155,'供应商月度明细'!$A$5:$A$155,$A140,'供应商月度明细'!$D$5:$D$155,$E140,'供应商月度明细'!$E$5:$E$155,"2026-05")=0,"",SUMIFS('供应商月度明细'!$K$5:$K$155,'供应商月度明细'!$A$5:$A$155,$A140,'供应商月度明细'!$D$5:$D$155,$E140,'供应商月度明细'!$E$5:$E$155,"2026-05")/SUMIFS('供应商月度明细'!$J$5:$J$155,'供应商月度明细'!$A$5:$A$155,$A140,'供应商月度明细'!$D$5:$D$155,$E140,'供应商月度明细'!$E$5:$E$155,"2026-05"))</f>
      </c>
      <c r="H140" s="35" t="n">
        <f>IF(SUMIFS('供应商月度明细'!$J$5:$J$155,'供应商月度明细'!$A$5:$A$155,$A140,'供应商月度明细'!$D$5:$D$155,$E140,'供应商月度明细'!$E$5:$E$155,"2026-06")=0,"",SUMIFS('供应商月度明细'!$K$5:$K$155,'供应商月度明细'!$A$5:$A$155,$A140,'供应商月度明细'!$D$5:$D$155,$E140,'供应商月度明细'!$E$5:$E$155,"2026-06")/SUMIFS('供应商月度明细'!$J$5:$J$155,'供应商月度明细'!$A$5:$A$155,$A140,'供应商月度明细'!$D$5:$D$155,$E140,'供应商月度明细'!$E$5:$E$155,"2026-06"))</f>
        <v>1</v>
      </c>
      <c r="I140" s="35" t="n">
        <f>IF(COUNT(F140:H140)=0,"",AVERAGE(F140:H140))</f>
        <v>1</v>
      </c>
      <c r="J140" s="35" t="n">
        <f>IF(K140=0,"",L140/K140)</f>
        <v>1</v>
      </c>
      <c r="K140" s="36" t="n">
        <f>SUMIFS('供应商月度明细'!$J$5:$J$155,'供应商月度明细'!$A$5:$A$155,$A140,'供应商月度明细'!$D$5:$D$155,$E140)</f>
        <v>1</v>
      </c>
      <c r="L140" s="36" t="n">
        <f>SUMIFS('供应商月度明细'!$K$5:$K$155,'供应商月度明细'!$A$5:$A$155,$A140,'供应商月度明细'!$D$5:$D$155,$E140)</f>
        <v>1</v>
      </c>
      <c r="M140" s="36" t="n">
        <f>SUMIFS('供应商月度明细'!$M$5:$M$155,'供应商月度明细'!$A$5:$A$155,$A140,'供应商月度明细'!$D$5:$D$155,$E140)</f>
        <v>0</v>
      </c>
    </row>
    <row r="141">
      <c r="A141" s="37" t="str">
        <v>西班牙区</v>
      </c>
      <c r="B141" s="37" t="str">
        <v>全区</v>
      </c>
      <c r="C141" s="37" t="str"/>
      <c r="D141" s="37" t="str">
        <v>区域汇总</v>
      </c>
      <c r="E141" s="37" t="str">
        <v>全部工种</v>
      </c>
      <c r="F141" s="38" t="n">
        <f>IF(SUMIFS('供应商月度明细'!$J$5:$J$155,'供应商月度明细'!$A$5:$A$155,$A141,'供应商月度明细'!$E$5:$E$155,"2026-04")=0,"",SUMIFS('供应商月度明细'!$K$5:$K$155,'供应商月度明细'!$A$5:$A$155,$A141,'供应商月度明细'!$E$5:$E$155,"2026-04")/SUMIFS('供应商月度明细'!$J$5:$J$155,'供应商月度明细'!$A$5:$A$155,$A141,'供应商月度明细'!$E$5:$E$155,"2026-04"))</f>
        <v>1</v>
      </c>
      <c r="G141" s="38" t="n">
        <f>IF(SUMIFS('供应商月度明细'!$J$5:$J$155,'供应商月度明细'!$A$5:$A$155,$A141,'供应商月度明细'!$E$5:$E$155,"2026-05")=0,"",SUMIFS('供应商月度明细'!$K$5:$K$155,'供应商月度明细'!$A$5:$A$155,$A141,'供应商月度明细'!$E$5:$E$155,"2026-05")/SUMIFS('供应商月度明细'!$J$5:$J$155,'供应商月度明细'!$A$5:$A$155,$A141,'供应商月度明细'!$E$5:$E$155,"2026-05"))</f>
        <v>1</v>
      </c>
      <c r="H141" s="38" t="n">
        <f>IF(SUMIFS('供应商月度明细'!$J$5:$J$155,'供应商月度明细'!$A$5:$A$155,$A141,'供应商月度明细'!$E$5:$E$155,"2026-06")=0,"",SUMIFS('供应商月度明细'!$K$5:$K$155,'供应商月度明细'!$A$5:$A$155,$A141,'供应商月度明细'!$E$5:$E$155,"2026-06")/SUMIFS('供应商月度明细'!$J$5:$J$155,'供应商月度明细'!$A$5:$A$155,$A141,'供应商月度明细'!$E$5:$E$155,"2026-06"))</f>
        <v>1</v>
      </c>
      <c r="I141" s="38" t="n">
        <f>IF(COUNT(F141:H141)=0,"",AVERAGE(F141:H141))</f>
        <v>1</v>
      </c>
      <c r="J141" s="38" t="n">
        <f>IF(K141=0,"",L141/K141)</f>
        <v>1</v>
      </c>
      <c r="K141" s="39" t="n">
        <f>SUMIFS('供应商月度明细'!$J$5:$J$155,'供应商月度明细'!$A$5:$A$155,$A141)</f>
        <v>28</v>
      </c>
      <c r="L141" s="39" t="n">
        <f>SUMIFS('供应商月度明细'!$K$5:$K$155,'供应商月度明细'!$A$5:$A$155,$A141)</f>
        <v>28</v>
      </c>
      <c r="M141" s="39" t="n">
        <f>SUMIFS('供应商月度明细'!$M$5:$M$155,'供应商月度明细'!$A$5:$A$155,$A141)</f>
        <v>0</v>
      </c>
    </row>
    <row r="142">
      <c r="A142" s="19" t="str">
        <v>意大利区</v>
      </c>
      <c r="B142" s="19" t="str">
        <v>SYNERGIE</v>
      </c>
      <c r="C142" s="19" t="str">
        <v>S000337</v>
      </c>
      <c r="D142" s="19" t="str">
        <v>工种明细</v>
      </c>
      <c r="E142" s="19" t="str">
        <v>操作员</v>
      </c>
      <c r="F142" s="27" t="str">
        <f>IF(SUMIFS('供应商月度明细'!$J$5:$J$155,'供应商月度明细'!$A$5:$A$155,$A142,'供应商月度明细'!$C$5:$C$155,$C142,'供应商月度明细'!$D$5:$D$155,$E142,'供应商月度明细'!$E$5:$E$155,"2026-04")=0,"",SUMIFS('供应商月度明细'!$K$5:$K$155,'供应商月度明细'!$A$5:$A$155,$A142,'供应商月度明细'!$C$5:$C$155,$C142,'供应商月度明细'!$D$5:$D$155,$E142,'供应商月度明细'!$E$5:$E$155,"2026-04")/SUMIFS('供应商月度明细'!$J$5:$J$155,'供应商月度明细'!$A$5:$A$155,$A142,'供应商月度明细'!$C$5:$C$155,$C142,'供应商月度明细'!$D$5:$D$155,$E142,'供应商月度明细'!$E$5:$E$155,"2026-04"))</f>
      </c>
      <c r="G142" s="27" t="str">
        <f>IF(SUMIFS('供应商月度明细'!$J$5:$J$155,'供应商月度明细'!$A$5:$A$155,$A142,'供应商月度明细'!$C$5:$C$155,$C142,'供应商月度明细'!$D$5:$D$155,$E142,'供应商月度明细'!$E$5:$E$155,"2026-05")=0,"",SUMIFS('供应商月度明细'!$K$5:$K$155,'供应商月度明细'!$A$5:$A$155,$A142,'供应商月度明细'!$C$5:$C$155,$C142,'供应商月度明细'!$D$5:$D$155,$E142,'供应商月度明细'!$E$5:$E$155,"2026-05")/SUMIFS('供应商月度明细'!$J$5:$J$155,'供应商月度明细'!$A$5:$A$155,$A142,'供应商月度明细'!$C$5:$C$155,$C142,'供应商月度明细'!$D$5:$D$155,$E142,'供应商月度明细'!$E$5:$E$155,"2026-05"))</f>
      </c>
      <c r="H142" s="27" t="n">
        <f>IF(SUMIFS('供应商月度明细'!$J$5:$J$155,'供应商月度明细'!$A$5:$A$155,$A142,'供应商月度明细'!$C$5:$C$155,$C142,'供应商月度明细'!$D$5:$D$155,$E142,'供应商月度明细'!$E$5:$E$155,"2026-06")=0,"",SUMIFS('供应商月度明细'!$K$5:$K$155,'供应商月度明细'!$A$5:$A$155,$A142,'供应商月度明细'!$C$5:$C$155,$C142,'供应商月度明细'!$D$5:$D$155,$E142,'供应商月度明细'!$E$5:$E$155,"2026-06")/SUMIFS('供应商月度明细'!$J$5:$J$155,'供应商月度明细'!$A$5:$A$155,$A142,'供应商月度明细'!$C$5:$C$155,$C142,'供应商月度明细'!$D$5:$D$155,$E142,'供应商月度明细'!$E$5:$E$155,"2026-06"))</f>
        <v>1</v>
      </c>
      <c r="I142" s="27" t="n">
        <f>IF(COUNT(F142:H142)=0,"",AVERAGE(F142:H142))</f>
        <v>1</v>
      </c>
      <c r="J142" s="27" t="n">
        <f>IF(K142=0,"",L142/K142)</f>
        <v>1</v>
      </c>
      <c r="K142" s="23" t="n">
        <f>SUMIFS('供应商月度明细'!$J$5:$J$155,'供应商月度明细'!$A$5:$A$155,$A142,'供应商月度明细'!$C$5:$C$155,$C142,'供应商月度明细'!$D$5:$D$155,$E142)</f>
        <v>172</v>
      </c>
      <c r="L142" s="23" t="n">
        <f>SUMIFS('供应商月度明细'!$K$5:$K$155,'供应商月度明细'!$A$5:$A$155,$A142,'供应商月度明细'!$C$5:$C$155,$C142,'供应商月度明细'!$D$5:$D$155,$E142)</f>
        <v>172</v>
      </c>
      <c r="M142" s="23" t="n">
        <f>SUMIFS('供应商月度明细'!$M$5:$M$155,'供应商月度明细'!$A$5:$A$155,$A142,'供应商月度明细'!$C$5:$C$155,$C142,'供应商月度明细'!$D$5:$D$155,$E142)</f>
        <v>0</v>
      </c>
    </row>
    <row r="143">
      <c r="A143" s="31" t="str">
        <v>意大利区</v>
      </c>
      <c r="B143" s="31" t="str">
        <v>SYNERGIE</v>
      </c>
      <c r="C143" s="31" t="str">
        <v>S000337</v>
      </c>
      <c r="D143" s="31" t="str">
        <v>供应商汇总</v>
      </c>
      <c r="E143" s="31" t="str">
        <v>全部工种</v>
      </c>
      <c r="F143" s="32" t="str">
        <f>IF(SUMIFS('供应商月度明细'!$J$5:$J$155,'供应商月度明细'!$A$5:$A$155,$A143,'供应商月度明细'!$C$5:$C$155,$C143,'供应商月度明细'!$E$5:$E$155,"2026-04")=0,"",SUMIFS('供应商月度明细'!$K$5:$K$155,'供应商月度明细'!$A$5:$A$155,$A143,'供应商月度明细'!$C$5:$C$155,$C143,'供应商月度明细'!$E$5:$E$155,"2026-04")/SUMIFS('供应商月度明细'!$J$5:$J$155,'供应商月度明细'!$A$5:$A$155,$A143,'供应商月度明细'!$C$5:$C$155,$C143,'供应商月度明细'!$E$5:$E$155,"2026-04"))</f>
      </c>
      <c r="G143" s="32" t="str">
        <f>IF(SUMIFS('供应商月度明细'!$J$5:$J$155,'供应商月度明细'!$A$5:$A$155,$A143,'供应商月度明细'!$C$5:$C$155,$C143,'供应商月度明细'!$E$5:$E$155,"2026-05")=0,"",SUMIFS('供应商月度明细'!$K$5:$K$155,'供应商月度明细'!$A$5:$A$155,$A143,'供应商月度明细'!$C$5:$C$155,$C143,'供应商月度明细'!$E$5:$E$155,"2026-05")/SUMIFS('供应商月度明细'!$J$5:$J$155,'供应商月度明细'!$A$5:$A$155,$A143,'供应商月度明细'!$C$5:$C$155,$C143,'供应商月度明细'!$E$5:$E$155,"2026-05"))</f>
      </c>
      <c r="H143" s="32" t="n">
        <f>IF(SUMIFS('供应商月度明细'!$J$5:$J$155,'供应商月度明细'!$A$5:$A$155,$A143,'供应商月度明细'!$C$5:$C$155,$C143,'供应商月度明细'!$E$5:$E$155,"2026-06")=0,"",SUMIFS('供应商月度明细'!$K$5:$K$155,'供应商月度明细'!$A$5:$A$155,$A143,'供应商月度明细'!$C$5:$C$155,$C143,'供应商月度明细'!$E$5:$E$155,"2026-06")/SUMIFS('供应商月度明细'!$J$5:$J$155,'供应商月度明细'!$A$5:$A$155,$A143,'供应商月度明细'!$C$5:$C$155,$C143,'供应商月度明细'!$E$5:$E$155,"2026-06"))</f>
        <v>1</v>
      </c>
      <c r="I143" s="32" t="n">
        <f>IF(COUNT(F143:H143)=0,"",AVERAGE(F143:H143))</f>
        <v>1</v>
      </c>
      <c r="J143" s="32" t="n">
        <f>IF(K143=0,"",L143/K143)</f>
        <v>1</v>
      </c>
      <c r="K143" s="33" t="n">
        <f>SUMIFS('供应商月度明细'!$J$5:$J$155,'供应商月度明细'!$A$5:$A$155,$A143,'供应商月度明细'!$C$5:$C$155,$C143)</f>
        <v>172</v>
      </c>
      <c r="L143" s="33" t="n">
        <f>SUMIFS('供应商月度明细'!$K$5:$K$155,'供应商月度明细'!$A$5:$A$155,$A143,'供应商月度明细'!$C$5:$C$155,$C143)</f>
        <v>172</v>
      </c>
      <c r="M143" s="33" t="n">
        <f>SUMIFS('供应商月度明细'!$M$5:$M$155,'供应商月度明细'!$A$5:$A$155,$A143,'供应商月度明细'!$C$5:$C$155,$C143)</f>
        <v>0</v>
      </c>
    </row>
    <row r="144">
      <c r="A144" s="19" t="str">
        <v>意大利区</v>
      </c>
      <c r="B144" s="19" t="str">
        <v>ATTAL GROUP S.p.A.</v>
      </c>
      <c r="C144" s="19" t="str">
        <v>S000313</v>
      </c>
      <c r="D144" s="19" t="str">
        <v>工种明细</v>
      </c>
      <c r="E144" s="19" t="str">
        <v>操作员</v>
      </c>
      <c r="F144" s="27" t="str">
        <f>IF(SUMIFS('供应商月度明细'!$J$5:$J$155,'供应商月度明细'!$A$5:$A$155,$A144,'供应商月度明细'!$C$5:$C$155,$C144,'供应商月度明细'!$D$5:$D$155,$E144,'供应商月度明细'!$E$5:$E$155,"2026-04")=0,"",SUMIFS('供应商月度明细'!$K$5:$K$155,'供应商月度明细'!$A$5:$A$155,$A144,'供应商月度明细'!$C$5:$C$155,$C144,'供应商月度明细'!$D$5:$D$155,$E144,'供应商月度明细'!$E$5:$E$155,"2026-04")/SUMIFS('供应商月度明细'!$J$5:$J$155,'供应商月度明细'!$A$5:$A$155,$A144,'供应商月度明细'!$C$5:$C$155,$C144,'供应商月度明细'!$D$5:$D$155,$E144,'供应商月度明细'!$E$5:$E$155,"2026-04"))</f>
      </c>
      <c r="G144" s="27" t="n">
        <f>IF(SUMIFS('供应商月度明细'!$J$5:$J$155,'供应商月度明细'!$A$5:$A$155,$A144,'供应商月度明细'!$C$5:$C$155,$C144,'供应商月度明细'!$D$5:$D$155,$E144,'供应商月度明细'!$E$5:$E$155,"2026-05")=0,"",SUMIFS('供应商月度明细'!$K$5:$K$155,'供应商月度明细'!$A$5:$A$155,$A144,'供应商月度明细'!$C$5:$C$155,$C144,'供应商月度明细'!$D$5:$D$155,$E144,'供应商月度明细'!$E$5:$E$155,"2026-05")/SUMIFS('供应商月度明细'!$J$5:$J$155,'供应商月度明细'!$A$5:$A$155,$A144,'供应商月度明细'!$C$5:$C$155,$C144,'供应商月度明细'!$D$5:$D$155,$E144,'供应商月度明细'!$E$5:$E$155,"2026-05"))</f>
        <v>0</v>
      </c>
      <c r="H144" s="27" t="n">
        <f>IF(SUMIFS('供应商月度明细'!$J$5:$J$155,'供应商月度明细'!$A$5:$A$155,$A144,'供应商月度明细'!$C$5:$C$155,$C144,'供应商月度明细'!$D$5:$D$155,$E144,'供应商月度明细'!$E$5:$E$155,"2026-06")=0,"",SUMIFS('供应商月度明细'!$K$5:$K$155,'供应商月度明细'!$A$5:$A$155,$A144,'供应商月度明细'!$C$5:$C$155,$C144,'供应商月度明细'!$D$5:$D$155,$E144,'供应商月度明细'!$E$5:$E$155,"2026-06")/SUMIFS('供应商月度明细'!$J$5:$J$155,'供应商月度明细'!$A$5:$A$155,$A144,'供应商月度明细'!$C$5:$C$155,$C144,'供应商月度明细'!$D$5:$D$155,$E144,'供应商月度明细'!$E$5:$E$155,"2026-06"))</f>
        <v>0.7</v>
      </c>
      <c r="I144" s="27" t="n">
        <f>IF(COUNT(F144:H144)=0,"",AVERAGE(F144:H144))</f>
        <v>0.35</v>
      </c>
      <c r="J144" s="27" t="n">
        <f>IF(K144=0,"",L144/K144)</f>
        <v>0.625</v>
      </c>
      <c r="K144" s="23" t="n">
        <f>SUMIFS('供应商月度明细'!$J$5:$J$155,'供应商月度明细'!$A$5:$A$155,$A144,'供应商月度明细'!$C$5:$C$155,$C144,'供应商月度明细'!$D$5:$D$155,$E144)</f>
        <v>56</v>
      </c>
      <c r="L144" s="23" t="n">
        <f>SUMIFS('供应商月度明细'!$K$5:$K$155,'供应商月度明细'!$A$5:$A$155,$A144,'供应商月度明细'!$C$5:$C$155,$C144,'供应商月度明细'!$D$5:$D$155,$E144)</f>
        <v>35</v>
      </c>
      <c r="M144" s="23" t="n">
        <f>SUMIFS('供应商月度明细'!$M$5:$M$155,'供应商月度明细'!$A$5:$A$155,$A144,'供应商月度明细'!$C$5:$C$155,$C144,'供应商月度明细'!$D$5:$D$155,$E144)</f>
        <v>6</v>
      </c>
    </row>
    <row r="145">
      <c r="A145" s="31" t="str">
        <v>意大利区</v>
      </c>
      <c r="B145" s="31" t="str">
        <v>ATTAL GROUP S.p.A.</v>
      </c>
      <c r="C145" s="31" t="str">
        <v>S000313</v>
      </c>
      <c r="D145" s="31" t="str">
        <v>供应商汇总</v>
      </c>
      <c r="E145" s="31" t="str">
        <v>全部工种</v>
      </c>
      <c r="F145" s="32" t="str">
        <f>IF(SUMIFS('供应商月度明细'!$J$5:$J$155,'供应商月度明细'!$A$5:$A$155,$A145,'供应商月度明细'!$C$5:$C$155,$C145,'供应商月度明细'!$E$5:$E$155,"2026-04")=0,"",SUMIFS('供应商月度明细'!$K$5:$K$155,'供应商月度明细'!$A$5:$A$155,$A145,'供应商月度明细'!$C$5:$C$155,$C145,'供应商月度明细'!$E$5:$E$155,"2026-04")/SUMIFS('供应商月度明细'!$J$5:$J$155,'供应商月度明细'!$A$5:$A$155,$A145,'供应商月度明细'!$C$5:$C$155,$C145,'供应商月度明细'!$E$5:$E$155,"2026-04"))</f>
      </c>
      <c r="G145" s="32" t="n">
        <f>IF(SUMIFS('供应商月度明细'!$J$5:$J$155,'供应商月度明细'!$A$5:$A$155,$A145,'供应商月度明细'!$C$5:$C$155,$C145,'供应商月度明细'!$E$5:$E$155,"2026-05")=0,"",SUMIFS('供应商月度明细'!$K$5:$K$155,'供应商月度明细'!$A$5:$A$155,$A145,'供应商月度明细'!$C$5:$C$155,$C145,'供应商月度明细'!$E$5:$E$155,"2026-05")/SUMIFS('供应商月度明细'!$J$5:$J$155,'供应商月度明细'!$A$5:$A$155,$A145,'供应商月度明细'!$C$5:$C$155,$C145,'供应商月度明细'!$E$5:$E$155,"2026-05"))</f>
        <v>0</v>
      </c>
      <c r="H145" s="32" t="n">
        <f>IF(SUMIFS('供应商月度明细'!$J$5:$J$155,'供应商月度明细'!$A$5:$A$155,$A145,'供应商月度明细'!$C$5:$C$155,$C145,'供应商月度明细'!$E$5:$E$155,"2026-06")=0,"",SUMIFS('供应商月度明细'!$K$5:$K$155,'供应商月度明细'!$A$5:$A$155,$A145,'供应商月度明细'!$C$5:$C$155,$C145,'供应商月度明细'!$E$5:$E$155,"2026-06")/SUMIFS('供应商月度明细'!$J$5:$J$155,'供应商月度明细'!$A$5:$A$155,$A145,'供应商月度明细'!$C$5:$C$155,$C145,'供应商月度明细'!$E$5:$E$155,"2026-06"))</f>
        <v>0.7</v>
      </c>
      <c r="I145" s="32" t="n">
        <f>IF(COUNT(F145:H145)=0,"",AVERAGE(F145:H145))</f>
        <v>0.35</v>
      </c>
      <c r="J145" s="32" t="n">
        <f>IF(K145=0,"",L145/K145)</f>
        <v>0.625</v>
      </c>
      <c r="K145" s="33" t="n">
        <f>SUMIFS('供应商月度明细'!$J$5:$J$155,'供应商月度明细'!$A$5:$A$155,$A145,'供应商月度明细'!$C$5:$C$155,$C145)</f>
        <v>56</v>
      </c>
      <c r="L145" s="33" t="n">
        <f>SUMIFS('供应商月度明细'!$K$5:$K$155,'供应商月度明细'!$A$5:$A$155,$A145,'供应商月度明细'!$C$5:$C$155,$C145)</f>
        <v>35</v>
      </c>
      <c r="M145" s="33" t="n">
        <f>SUMIFS('供应商月度明细'!$M$5:$M$155,'供应商月度明细'!$A$5:$A$155,$A145,'供应商月度明细'!$C$5:$C$155,$C145)</f>
        <v>6</v>
      </c>
    </row>
    <row r="146">
      <c r="A146" s="34" t="str">
        <v>意大利区</v>
      </c>
      <c r="B146" s="34" t="str">
        <v>全区</v>
      </c>
      <c r="C146" s="34" t="str"/>
      <c r="D146" s="34" t="str">
        <v>区域汇总</v>
      </c>
      <c r="E146" s="34" t="str">
        <v>操作员</v>
      </c>
      <c r="F146" s="35" t="str">
        <f>IF(SUMIFS('供应商月度明细'!$J$5:$J$155,'供应商月度明细'!$A$5:$A$155,$A146,'供应商月度明细'!$D$5:$D$155,$E146,'供应商月度明细'!$E$5:$E$155,"2026-04")=0,"",SUMIFS('供应商月度明细'!$K$5:$K$155,'供应商月度明细'!$A$5:$A$155,$A146,'供应商月度明细'!$D$5:$D$155,$E146,'供应商月度明细'!$E$5:$E$155,"2026-04")/SUMIFS('供应商月度明细'!$J$5:$J$155,'供应商月度明细'!$A$5:$A$155,$A146,'供应商月度明细'!$D$5:$D$155,$E146,'供应商月度明细'!$E$5:$E$155,"2026-04"))</f>
      </c>
      <c r="G146" s="35" t="n">
        <f>IF(SUMIFS('供应商月度明细'!$J$5:$J$155,'供应商月度明细'!$A$5:$A$155,$A146,'供应商月度明细'!$D$5:$D$155,$E146,'供应商月度明细'!$E$5:$E$155,"2026-05")=0,"",SUMIFS('供应商月度明细'!$K$5:$K$155,'供应商月度明细'!$A$5:$A$155,$A146,'供应商月度明细'!$D$5:$D$155,$E146,'供应商月度明细'!$E$5:$E$155,"2026-05")/SUMIFS('供应商月度明细'!$J$5:$J$155,'供应商月度明细'!$A$5:$A$155,$A146,'供应商月度明细'!$D$5:$D$155,$E146,'供应商月度明细'!$E$5:$E$155,"2026-05"))</f>
        <v>0</v>
      </c>
      <c r="H146" s="35" t="n">
        <f>IF(SUMIFS('供应商月度明细'!$J$5:$J$155,'供应商月度明细'!$A$5:$A$155,$A146,'供应商月度明细'!$D$5:$D$155,$E146,'供应商月度明细'!$E$5:$E$155,"2026-06")=0,"",SUMIFS('供应商月度明细'!$K$5:$K$155,'供应商月度明细'!$A$5:$A$155,$A146,'供应商月度明细'!$D$5:$D$155,$E146,'供应商月度明细'!$E$5:$E$155,"2026-06")/SUMIFS('供应商月度明细'!$J$5:$J$155,'供应商月度明细'!$A$5:$A$155,$A146,'供应商月度明细'!$D$5:$D$155,$E146,'供应商月度明细'!$E$5:$E$155,"2026-06"))</f>
        <v>0.9324324324324325</v>
      </c>
      <c r="I146" s="35" t="n">
        <f>IF(COUNT(F146:H146)=0,"",AVERAGE(F146:H146))</f>
        <v>0.46621621621621623</v>
      </c>
      <c r="J146" s="35" t="n">
        <f>IF(K146=0,"",L146/K146)</f>
        <v>0.9078947368421053</v>
      </c>
      <c r="K146" s="36" t="n">
        <f>SUMIFS('供应商月度明细'!$J$5:$J$155,'供应商月度明细'!$A$5:$A$155,$A146,'供应商月度明细'!$D$5:$D$155,$E146)</f>
        <v>228</v>
      </c>
      <c r="L146" s="36" t="n">
        <f>SUMIFS('供应商月度明细'!$K$5:$K$155,'供应商月度明细'!$A$5:$A$155,$A146,'供应商月度明细'!$D$5:$D$155,$E146)</f>
        <v>207</v>
      </c>
      <c r="M146" s="36" t="n">
        <f>SUMIFS('供应商月度明细'!$M$5:$M$155,'供应商月度明细'!$A$5:$A$155,$A146,'供应商月度明细'!$D$5:$D$155,$E146)</f>
        <v>6</v>
      </c>
    </row>
    <row r="147">
      <c r="A147" s="37" t="str">
        <v>意大利区</v>
      </c>
      <c r="B147" s="37" t="str">
        <v>全区</v>
      </c>
      <c r="C147" s="37" t="str"/>
      <c r="D147" s="37" t="str">
        <v>区域汇总</v>
      </c>
      <c r="E147" s="37" t="str">
        <v>全部工种</v>
      </c>
      <c r="F147" s="38" t="str">
        <f>IF(SUMIFS('供应商月度明细'!$J$5:$J$155,'供应商月度明细'!$A$5:$A$155,$A147,'供应商月度明细'!$E$5:$E$155,"2026-04")=0,"",SUMIFS('供应商月度明细'!$K$5:$K$155,'供应商月度明细'!$A$5:$A$155,$A147,'供应商月度明细'!$E$5:$E$155,"2026-04")/SUMIFS('供应商月度明细'!$J$5:$J$155,'供应商月度明细'!$A$5:$A$155,$A147,'供应商月度明细'!$E$5:$E$155,"2026-04"))</f>
      </c>
      <c r="G147" s="38" t="n">
        <f>IF(SUMIFS('供应商月度明细'!$J$5:$J$155,'供应商月度明细'!$A$5:$A$155,$A147,'供应商月度明细'!$E$5:$E$155,"2026-05")=0,"",SUMIFS('供应商月度明细'!$K$5:$K$155,'供应商月度明细'!$A$5:$A$155,$A147,'供应商月度明细'!$E$5:$E$155,"2026-05")/SUMIFS('供应商月度明细'!$J$5:$J$155,'供应商月度明细'!$A$5:$A$155,$A147,'供应商月度明细'!$E$5:$E$155,"2026-05"))</f>
        <v>0</v>
      </c>
      <c r="H147" s="38" t="n">
        <f>IF(SUMIFS('供应商月度明细'!$J$5:$J$155,'供应商月度明细'!$A$5:$A$155,$A147,'供应商月度明细'!$E$5:$E$155,"2026-06")=0,"",SUMIFS('供应商月度明细'!$K$5:$K$155,'供应商月度明细'!$A$5:$A$155,$A147,'供应商月度明细'!$E$5:$E$155,"2026-06")/SUMIFS('供应商月度明细'!$J$5:$J$155,'供应商月度明细'!$A$5:$A$155,$A147,'供应商月度明细'!$E$5:$E$155,"2026-06"))</f>
        <v>0.9324324324324325</v>
      </c>
      <c r="I147" s="38" t="n">
        <f>IF(COUNT(F147:H147)=0,"",AVERAGE(F147:H147))</f>
        <v>0.46621621621621623</v>
      </c>
      <c r="J147" s="38" t="n">
        <f>IF(K147=0,"",L147/K147)</f>
        <v>0.9078947368421053</v>
      </c>
      <c r="K147" s="39" t="n">
        <f>SUMIFS('供应商月度明细'!$J$5:$J$155,'供应商月度明细'!$A$5:$A$155,$A147)</f>
        <v>228</v>
      </c>
      <c r="L147" s="39" t="n">
        <f>SUMIFS('供应商月度明细'!$K$5:$K$155,'供应商月度明细'!$A$5:$A$155,$A147)</f>
        <v>207</v>
      </c>
      <c r="M147" s="39" t="n">
        <f>SUMIFS('供应商月度明细'!$M$5:$M$155,'供应商月度明细'!$A$5:$A$155,$A147)</f>
        <v>6</v>
      </c>
    </row>
    <row r="148">
      <c r="A148" s="40" t="str">
        <v>欧洲总计</v>
      </c>
      <c r="B148" s="40" t="str">
        <v>全欧</v>
      </c>
      <c r="C148" s="40" t="str"/>
      <c r="D148" s="40" t="str">
        <v>欧洲汇总</v>
      </c>
      <c r="E148" s="40" t="str">
        <v>操作员</v>
      </c>
      <c r="F148" s="41" t="n">
        <f>IF(SUMIFS('供应商月度明细'!$J$5:$J$155,'供应商月度明细'!$D$5:$D$155,$E148,'供应商月度明细'!$E$5:$E$155,"2026-04")=0,"",SUMIFS('供应商月度明细'!$K$5:$K$155,'供应商月度明细'!$D$5:$D$155,$E148,'供应商月度明细'!$E$5:$E$155,"2026-04")/SUMIFS('供应商月度明细'!$J$5:$J$155,'供应商月度明细'!$D$5:$D$155,$E148,'供应商月度明细'!$E$5:$E$155,"2026-04"))</f>
        <v>0.917459812831004</v>
      </c>
      <c r="G148" s="41" t="n">
        <f>IF(SUMIFS('供应商月度明细'!$J$5:$J$155,'供应商月度明细'!$D$5:$D$155,$E148,'供应商月度明细'!$E$5:$E$155,"2026-05")=0,"",SUMIFS('供应商月度明细'!$K$5:$K$155,'供应商月度明细'!$D$5:$D$155,$E148,'供应商月度明细'!$E$5:$E$155,"2026-05")/SUMIFS('供应商月度明细'!$J$5:$J$155,'供应商月度明细'!$D$5:$D$155,$E148,'供应商月度明细'!$E$5:$E$155,"2026-05"))</f>
        <v>0.7832104940241637</v>
      </c>
      <c r="H148" s="41" t="n">
        <f>IF(SUMIFS('供应商月度明细'!$J$5:$J$155,'供应商月度明细'!$D$5:$D$155,$E148,'供应商月度明细'!$E$5:$E$155,"2026-06")=0,"",SUMIFS('供应商月度明细'!$K$5:$K$155,'供应商月度明细'!$D$5:$D$155,$E148,'供应商月度明细'!$E$5:$E$155,"2026-06")/SUMIFS('供应商月度明细'!$J$5:$J$155,'供应商月度明细'!$D$5:$D$155,$E148,'供应商月度明细'!$E$5:$E$155,"2026-06"))</f>
        <v>0.7634150722817404</v>
      </c>
      <c r="I148" s="41" t="n">
        <f>IF(COUNT(F148:H148)=0,"",AVERAGE(F148:H148))</f>
        <v>0.821361793045636</v>
      </c>
      <c r="J148" s="41" t="n">
        <f>IF(K148=0,"",L148/K148)</f>
        <v>0.8021127124162338</v>
      </c>
      <c r="K148" s="42" t="n">
        <f>SUMIFS('供应商月度明细'!$J$5:$J$155,'供应商月度明细'!$D$5:$D$155,$E148)</f>
        <v>5195.999999999999</v>
      </c>
      <c r="L148" s="42" t="n">
        <f>SUMIFS('供应商月度明细'!$K$5:$K$155,'供应商月度明细'!$D$5:$D$155,$E148)</f>
        <v>4167.77765371475</v>
      </c>
      <c r="M148" s="42" t="n">
        <f>SUMIFS('供应商月度明细'!$M$5:$M$155,'供应商月度明细'!$D$5:$D$155,$E148)</f>
        <v>749.9999999999999</v>
      </c>
    </row>
    <row r="149">
      <c r="A149" s="40" t="str">
        <v>欧洲总计</v>
      </c>
      <c r="B149" s="40" t="str">
        <v>全欧</v>
      </c>
      <c r="C149" s="40" t="str"/>
      <c r="D149" s="40" t="str">
        <v>欧洲汇总</v>
      </c>
      <c r="E149" s="40" t="str">
        <v>叉车司机</v>
      </c>
      <c r="F149" s="41" t="n">
        <f>IF(SUMIFS('供应商月度明细'!$J$5:$J$155,'供应商月度明细'!$D$5:$D$155,$E149,'供应商月度明细'!$E$5:$E$155,"2026-04")=0,"",SUMIFS('供应商月度明细'!$K$5:$K$155,'供应商月度明细'!$D$5:$D$155,$E149,'供应商月度明细'!$E$5:$E$155,"2026-04")/SUMIFS('供应商月度明细'!$J$5:$J$155,'供应商月度明细'!$D$5:$D$155,$E149,'供应商月度明细'!$E$5:$E$155,"2026-04"))</f>
        <v>0.53125</v>
      </c>
      <c r="G149" s="41" t="n">
        <f>IF(SUMIFS('供应商月度明细'!$J$5:$J$155,'供应商月度明细'!$D$5:$D$155,$E149,'供应商月度明细'!$E$5:$E$155,"2026-05")=0,"",SUMIFS('供应商月度明细'!$K$5:$K$155,'供应商月度明细'!$D$5:$D$155,$E149,'供应商月度明细'!$E$5:$E$155,"2026-05")/SUMIFS('供应商月度明细'!$J$5:$J$155,'供应商月度明细'!$D$5:$D$155,$E149,'供应商月度明细'!$E$5:$E$155,"2026-05"))</f>
        <v>0.39473684210526316</v>
      </c>
      <c r="H149" s="41" t="n">
        <f>IF(SUMIFS('供应商月度明细'!$J$5:$J$155,'供应商月度明细'!$D$5:$D$155,$E149,'供应商月度明细'!$E$5:$E$155,"2026-06")=0,"",SUMIFS('供应商月度明细'!$K$5:$K$155,'供应商月度明细'!$D$5:$D$155,$E149,'供应商月度明细'!$E$5:$E$155,"2026-06")/SUMIFS('供应商月度明细'!$J$5:$J$155,'供应商月度明细'!$D$5:$D$155,$E149,'供应商月度明细'!$E$5:$E$155,"2026-06"))</f>
        <v>0.594059405940594</v>
      </c>
      <c r="I149" s="41" t="n">
        <f>IF(COUNT(F149:H149)=0,"",AVERAGE(F149:H149))</f>
        <v>0.5066820826819524</v>
      </c>
      <c r="J149" s="41" t="n">
        <f>IF(K149=0,"",L149/K149)</f>
        <v>0.5380116959064327</v>
      </c>
      <c r="K149" s="42" t="n">
        <f>SUMIFS('供应商月度明细'!$J$5:$J$155,'供应商月度明细'!$D$5:$D$155,$E149)</f>
        <v>171</v>
      </c>
      <c r="L149" s="42" t="n">
        <f>SUMIFS('供应商月度明细'!$K$5:$K$155,'供应商月度明细'!$D$5:$D$155,$E149)</f>
        <v>92</v>
      </c>
      <c r="M149" s="42" t="n">
        <f>SUMIFS('供应商月度明细'!$M$5:$M$155,'供应商月度明细'!$D$5:$D$155,$E149)</f>
        <v>0</v>
      </c>
    </row>
    <row r="150">
      <c r="A150" s="40" t="str">
        <v>欧洲总计</v>
      </c>
      <c r="B150" s="40" t="str">
        <v>全欧</v>
      </c>
      <c r="C150" s="40" t="str"/>
      <c r="D150" s="40" t="str">
        <v>欧洲汇总</v>
      </c>
      <c r="E150" s="40" t="str">
        <v>售后处理员</v>
      </c>
      <c r="F150" s="41" t="n">
        <f>IF(SUMIFS('供应商月度明细'!$J$5:$J$155,'供应商月度明细'!$D$5:$D$155,$E150,'供应商月度明细'!$E$5:$E$155,"2026-04")=0,"",SUMIFS('供应商月度明细'!$K$5:$K$155,'供应商月度明细'!$D$5:$D$155,$E150,'供应商月度明细'!$E$5:$E$155,"2026-04")/SUMIFS('供应商月度明细'!$J$5:$J$155,'供应商月度明细'!$D$5:$D$155,$E150,'供应商月度明细'!$E$5:$E$155,"2026-04"))</f>
        <v>0.3333333333333333</v>
      </c>
      <c r="G150" s="41" t="n">
        <f>IF(SUMIFS('供应商月度明细'!$J$5:$J$155,'供应商月度明细'!$D$5:$D$155,$E150,'供应商月度明细'!$E$5:$E$155,"2026-05")=0,"",SUMIFS('供应商月度明细'!$K$5:$K$155,'供应商月度明细'!$D$5:$D$155,$E150,'供应商月度明细'!$E$5:$E$155,"2026-05")/SUMIFS('供应商月度明细'!$J$5:$J$155,'供应商月度明细'!$D$5:$D$155,$E150,'供应商月度明细'!$E$5:$E$155,"2026-05"))</f>
        <v>0.5555555555555556</v>
      </c>
      <c r="H150" s="41" t="n">
        <f>IF(SUMIFS('供应商月度明细'!$J$5:$J$155,'供应商月度明细'!$D$5:$D$155,$E150,'供应商月度明细'!$E$5:$E$155,"2026-06")=0,"",SUMIFS('供应商月度明细'!$K$5:$K$155,'供应商月度明细'!$D$5:$D$155,$E150,'供应商月度明细'!$E$5:$E$155,"2026-06")/SUMIFS('供应商月度明细'!$J$5:$J$155,'供应商月度明细'!$D$5:$D$155,$E150,'供应商月度明细'!$E$5:$E$155,"2026-06"))</f>
        <v>0.6666666666666666</v>
      </c>
      <c r="I150" s="41" t="n">
        <f>IF(COUNT(F150:H150)=0,"",AVERAGE(F150:H150))</f>
        <v>0.5185185185185185</v>
      </c>
      <c r="J150" s="41" t="n">
        <f>IF(K150=0,"",L150/K150)</f>
        <v>0.5185185185185185</v>
      </c>
      <c r="K150" s="42" t="n">
        <f>SUMIFS('供应商月度明细'!$J$5:$J$155,'供应商月度明细'!$D$5:$D$155,$E150)</f>
        <v>27</v>
      </c>
      <c r="L150" s="42" t="n">
        <f>SUMIFS('供应商月度明细'!$K$5:$K$155,'供应商月度明细'!$D$5:$D$155,$E150)</f>
        <v>14</v>
      </c>
      <c r="M150" s="42" t="n">
        <f>SUMIFS('供应商月度明细'!$M$5:$M$155,'供应商月度明细'!$D$5:$D$155,$E150)</f>
        <v>6</v>
      </c>
    </row>
    <row r="151">
      <c r="A151" s="40" t="str">
        <v>欧洲总计</v>
      </c>
      <c r="B151" s="40" t="str">
        <v>全欧</v>
      </c>
      <c r="C151" s="40" t="str"/>
      <c r="D151" s="40" t="str">
        <v>欧洲汇总</v>
      </c>
      <c r="E151" s="40" t="str">
        <v>保洁员</v>
      </c>
      <c r="F151" s="41" t="n">
        <f>IF(SUMIFS('供应商月度明细'!$J$5:$J$155,'供应商月度明细'!$D$5:$D$155,$E151,'供应商月度明细'!$E$5:$E$155,"2026-04")=0,"",SUMIFS('供应商月度明细'!$K$5:$K$155,'供应商月度明细'!$D$5:$D$155,$E151,'供应商月度明细'!$E$5:$E$155,"2026-04")/SUMIFS('供应商月度明细'!$J$5:$J$155,'供应商月度明细'!$D$5:$D$155,$E151,'供应商月度明细'!$E$5:$E$155,"2026-04"))</f>
        <v>0.6666666666666666</v>
      </c>
      <c r="G151" s="41" t="n">
        <f>IF(SUMIFS('供应商月度明细'!$J$5:$J$155,'供应商月度明细'!$D$5:$D$155,$E151,'供应商月度明细'!$E$5:$E$155,"2026-05")=0,"",SUMIFS('供应商月度明细'!$K$5:$K$155,'供应商月度明细'!$D$5:$D$155,$E151,'供应商月度明细'!$E$5:$E$155,"2026-05")/SUMIFS('供应商月度明细'!$J$5:$J$155,'供应商月度明细'!$D$5:$D$155,$E151,'供应商月度明细'!$E$5:$E$155,"2026-05"))</f>
        <v>1</v>
      </c>
      <c r="H151" s="41" t="n">
        <f>IF(SUMIFS('供应商月度明细'!$J$5:$J$155,'供应商月度明细'!$D$5:$D$155,$E151,'供应商月度明细'!$E$5:$E$155,"2026-06")=0,"",SUMIFS('供应商月度明细'!$K$5:$K$155,'供应商月度明细'!$D$5:$D$155,$E151,'供应商月度明细'!$E$5:$E$155,"2026-06")/SUMIFS('供应商月度明细'!$J$5:$J$155,'供应商月度明细'!$D$5:$D$155,$E151,'供应商月度明细'!$E$5:$E$155,"2026-06"))</f>
        <v>0.8</v>
      </c>
      <c r="I151" s="41" t="n">
        <f>IF(COUNT(F151:H151)=0,"",AVERAGE(F151:H151))</f>
        <v>0.8222222222222223</v>
      </c>
      <c r="J151" s="41" t="n">
        <f>IF(K151=0,"",L151/K151)</f>
        <v>0.8181818181818182</v>
      </c>
      <c r="K151" s="42" t="n">
        <f>SUMIFS('供应商月度明细'!$J$5:$J$155,'供应商月度明细'!$D$5:$D$155,$E151)</f>
        <v>11</v>
      </c>
      <c r="L151" s="42" t="n">
        <f>SUMIFS('供应商月度明细'!$K$5:$K$155,'供应商月度明细'!$D$5:$D$155,$E151)</f>
        <v>9</v>
      </c>
      <c r="M151" s="42" t="n">
        <f>SUMIFS('供应商月度明细'!$M$5:$M$155,'供应商月度明细'!$D$5:$D$155,$E151)</f>
        <v>1</v>
      </c>
    </row>
    <row r="152">
      <c r="A152" s="40" t="str">
        <v>欧洲总计</v>
      </c>
      <c r="B152" s="40" t="str">
        <v>全欧</v>
      </c>
      <c r="C152" s="40" t="str"/>
      <c r="D152" s="40" t="str">
        <v>欧洲汇总</v>
      </c>
      <c r="E152" s="40" t="str">
        <v>交运员 3.5T</v>
      </c>
      <c r="F152" s="41" t="str">
        <f>IF(SUMIFS('供应商月度明细'!$J$5:$J$155,'供应商月度明细'!$D$5:$D$155,$E152,'供应商月度明细'!$E$5:$E$155,"2026-04")=0,"",SUMIFS('供应商月度明细'!$K$5:$K$155,'供应商月度明细'!$D$5:$D$155,$E152,'供应商月度明细'!$E$5:$E$155,"2026-04")/SUMIFS('供应商月度明细'!$J$5:$J$155,'供应商月度明细'!$D$5:$D$155,$E152,'供应商月度明细'!$E$5:$E$155,"2026-04"))</f>
      </c>
      <c r="G152" s="41" t="n">
        <f>IF(SUMIFS('供应商月度明细'!$J$5:$J$155,'供应商月度明细'!$D$5:$D$155,$E152,'供应商月度明细'!$E$5:$E$155,"2026-05")=0,"",SUMIFS('供应商月度明细'!$K$5:$K$155,'供应商月度明细'!$D$5:$D$155,$E152,'供应商月度明细'!$E$5:$E$155,"2026-05")/SUMIFS('供应商月度明细'!$J$5:$J$155,'供应商月度明细'!$D$5:$D$155,$E152,'供应商月度明细'!$E$5:$E$155,"2026-05"))</f>
        <v>1</v>
      </c>
      <c r="H152" s="41" t="n">
        <f>IF(SUMIFS('供应商月度明细'!$J$5:$J$155,'供应商月度明细'!$D$5:$D$155,$E152,'供应商月度明细'!$E$5:$E$155,"2026-06")=0,"",SUMIFS('供应商月度明细'!$K$5:$K$155,'供应商月度明细'!$D$5:$D$155,$E152,'供应商月度明细'!$E$5:$E$155,"2026-06")/SUMIFS('供应商月度明细'!$J$5:$J$155,'供应商月度明细'!$D$5:$D$155,$E152,'供应商月度明细'!$E$5:$E$155,"2026-06"))</f>
        <v>1</v>
      </c>
      <c r="I152" s="41" t="n">
        <f>IF(COUNT(F152:H152)=0,"",AVERAGE(F152:H152))</f>
        <v>1</v>
      </c>
      <c r="J152" s="41" t="n">
        <f>IF(K152=0,"",L152/K152)</f>
        <v>1</v>
      </c>
      <c r="K152" s="42" t="n">
        <f>SUMIFS('供应商月度明细'!$J$5:$J$155,'供应商月度明细'!$D$5:$D$155,$E152)</f>
        <v>9</v>
      </c>
      <c r="L152" s="42" t="n">
        <f>SUMIFS('供应商月度明细'!$K$5:$K$155,'供应商月度明细'!$D$5:$D$155,$E152)</f>
        <v>9</v>
      </c>
      <c r="M152" s="42" t="n">
        <f>SUMIFS('供应商月度明细'!$M$5:$M$155,'供应商月度明细'!$D$5:$D$155,$E152)</f>
        <v>0</v>
      </c>
    </row>
    <row r="153">
      <c r="A153" s="40" t="str">
        <v>欧洲总计</v>
      </c>
      <c r="B153" s="40" t="str">
        <v>全欧</v>
      </c>
      <c r="C153" s="40" t="str"/>
      <c r="D153" s="40" t="str">
        <v>欧洲汇总</v>
      </c>
      <c r="E153" s="40" t="str">
        <v>保安</v>
      </c>
      <c r="F153" s="41" t="n">
        <f>IF(SUMIFS('供应商月度明细'!$J$5:$J$155,'供应商月度明细'!$D$5:$D$155,$E153,'供应商月度明细'!$E$5:$E$155,"2026-04")=0,"",SUMIFS('供应商月度明细'!$K$5:$K$155,'供应商月度明细'!$D$5:$D$155,$E153,'供应商月度明细'!$E$5:$E$155,"2026-04")/SUMIFS('供应商月度明细'!$J$5:$J$155,'供应商月度明细'!$D$5:$D$155,$E153,'供应商月度明细'!$E$5:$E$155,"2026-04"))</f>
        <v>0.8333333333333334</v>
      </c>
      <c r="G153" s="41" t="n">
        <f>IF(SUMIFS('供应商月度明细'!$J$5:$J$155,'供应商月度明细'!$D$5:$D$155,$E153,'供应商月度明细'!$E$5:$E$155,"2026-05")=0,"",SUMIFS('供应商月度明细'!$K$5:$K$155,'供应商月度明细'!$D$5:$D$155,$E153,'供应商月度明细'!$E$5:$E$155,"2026-05")/SUMIFS('供应商月度明细'!$J$5:$J$155,'供应商月度明细'!$D$5:$D$155,$E153,'供应商月度明细'!$E$5:$E$155,"2026-05"))</f>
        <v>1</v>
      </c>
      <c r="H153" s="41" t="str">
        <f>IF(SUMIFS('供应商月度明细'!$J$5:$J$155,'供应商月度明细'!$D$5:$D$155,$E153,'供应商月度明细'!$E$5:$E$155,"2026-06")=0,"",SUMIFS('供应商月度明细'!$K$5:$K$155,'供应商月度明细'!$D$5:$D$155,$E153,'供应商月度明细'!$E$5:$E$155,"2026-06")/SUMIFS('供应商月度明细'!$J$5:$J$155,'供应商月度明细'!$D$5:$D$155,$E153,'供应商月度明细'!$E$5:$E$155,"2026-06"))</f>
      </c>
      <c r="I153" s="41" t="n">
        <f>IF(COUNT(F153:H153)=0,"",AVERAGE(F153:H153))</f>
        <v>0.9166666666666667</v>
      </c>
      <c r="J153" s="41" t="n">
        <f>IF(K153=0,"",L153/K153)</f>
        <v>0.9166666666666666</v>
      </c>
      <c r="K153" s="42" t="n">
        <f>SUMIFS('供应商月度明细'!$J$5:$J$155,'供应商月度明细'!$D$5:$D$155,$E153)</f>
        <v>6</v>
      </c>
      <c r="L153" s="42" t="n">
        <f>SUMIFS('供应商月度明细'!$K$5:$K$155,'供应商月度明细'!$D$5:$D$155,$E153)</f>
        <v>5.5</v>
      </c>
      <c r="M153" s="42" t="n">
        <f>SUMIFS('供应商月度明细'!$M$5:$M$155,'供应商月度明细'!$D$5:$D$155,$E153)</f>
        <v>1</v>
      </c>
    </row>
    <row r="154">
      <c r="A154" s="40" t="str">
        <v>欧洲总计</v>
      </c>
      <c r="B154" s="40" t="str">
        <v>全欧</v>
      </c>
      <c r="C154" s="40" t="str"/>
      <c r="D154" s="40" t="str">
        <v>欧洲汇总</v>
      </c>
      <c r="E154" s="40" t="str">
        <v>交运员Class 1</v>
      </c>
      <c r="F154" s="41" t="str">
        <f>IF(SUMIFS('供应商月度明细'!$J$5:$J$155,'供应商月度明细'!$D$5:$D$155,$E154,'供应商月度明细'!$E$5:$E$155,"2026-04")=0,"",SUMIFS('供应商月度明细'!$K$5:$K$155,'供应商月度明细'!$D$5:$D$155,$E154,'供应商月度明细'!$E$5:$E$155,"2026-04")/SUMIFS('供应商月度明细'!$J$5:$J$155,'供应商月度明细'!$D$5:$D$155,$E154,'供应商月度明细'!$E$5:$E$155,"2026-04"))</f>
      </c>
      <c r="G154" s="41" t="str">
        <f>IF(SUMIFS('供应商月度明细'!$J$5:$J$155,'供应商月度明细'!$D$5:$D$155,$E154,'供应商月度明细'!$E$5:$E$155,"2026-05")=0,"",SUMIFS('供应商月度明细'!$K$5:$K$155,'供应商月度明细'!$D$5:$D$155,$E154,'供应商月度明细'!$E$5:$E$155,"2026-05")/SUMIFS('供应商月度明细'!$J$5:$J$155,'供应商月度明细'!$D$5:$D$155,$E154,'供应商月度明细'!$E$5:$E$155,"2026-05"))</f>
      </c>
      <c r="H154" s="41" t="n">
        <f>IF(SUMIFS('供应商月度明细'!$J$5:$J$155,'供应商月度明细'!$D$5:$D$155,$E154,'供应商月度明细'!$E$5:$E$155,"2026-06")=0,"",SUMIFS('供应商月度明细'!$K$5:$K$155,'供应商月度明细'!$D$5:$D$155,$E154,'供应商月度明细'!$E$5:$E$155,"2026-06")/SUMIFS('供应商月度明细'!$J$5:$J$155,'供应商月度明细'!$D$5:$D$155,$E154,'供应商月度明细'!$E$5:$E$155,"2026-06"))</f>
        <v>1</v>
      </c>
      <c r="I154" s="41" t="n">
        <f>IF(COUNT(F154:H154)=0,"",AVERAGE(F154:H154))</f>
        <v>1</v>
      </c>
      <c r="J154" s="41" t="n">
        <f>IF(K154=0,"",L154/K154)</f>
        <v>1</v>
      </c>
      <c r="K154" s="42" t="n">
        <f>SUMIFS('供应商月度明细'!$J$5:$J$155,'供应商月度明细'!$D$5:$D$155,$E154)</f>
        <v>1</v>
      </c>
      <c r="L154" s="42" t="n">
        <f>SUMIFS('供应商月度明细'!$K$5:$K$155,'供应商月度明细'!$D$5:$D$155,$E154)</f>
        <v>1</v>
      </c>
      <c r="M154" s="42" t="n">
        <f>SUMIFS('供应商月度明细'!$M$5:$M$155,'供应商月度明细'!$D$5:$D$155,$E154)</f>
        <v>0</v>
      </c>
    </row>
    <row r="155">
      <c r="A155" s="43" t="str">
        <v>欧洲总计</v>
      </c>
      <c r="B155" s="43" t="str">
        <v>全欧</v>
      </c>
      <c r="C155" s="43" t="str"/>
      <c r="D155" s="43" t="str">
        <v>欧洲汇总</v>
      </c>
      <c r="E155" s="43" t="str">
        <v>全部工种</v>
      </c>
      <c r="F155" s="44" t="n">
        <f>IF(SUMIFS('供应商月度明细'!$J$5:$J$155,'供应商月度明细'!$E$5:$E$155,"2026-04")=0,"",SUMIFS('供应商月度明细'!$K$5:$K$155,'供应商月度明细'!$E$5:$E$155,"2026-04")/SUMIFS('供应商月度明细'!$J$5:$J$155,'供应商月度明细'!$E$5:$E$155,"2026-04"))</f>
        <v>0.9026240768903143</v>
      </c>
      <c r="G155" s="44" t="n">
        <f>IF(SUMIFS('供应商月度明细'!$J$5:$J$155,'供应商月度明细'!$E$5:$E$155,"2026-05")=0,"",SUMIFS('供应商月度明细'!$K$5:$K$155,'供应商月度明细'!$E$5:$E$155,"2026-05")/SUMIFS('供应商月度明细'!$J$5:$J$155,'供应商月度明细'!$E$5:$E$155,"2026-05"))</f>
        <v>0.7734946077578104</v>
      </c>
      <c r="H155" s="44" t="n">
        <f>IF(SUMIFS('供应商月度明细'!$J$5:$J$155,'供应商月度明细'!$E$5:$E$155,"2026-06")=0,"",SUMIFS('供应商月度明细'!$K$5:$K$155,'供应商月度明细'!$E$5:$E$155,"2026-06")/SUMIFS('供应商月度明细'!$J$5:$J$155,'供应商月度明细'!$E$5:$E$155,"2026-06"))</f>
        <v>0.7572604607024729</v>
      </c>
      <c r="I155" s="44" t="n">
        <f>IF(COUNT(F155:H155)=0,"",AVERAGE(F155:H155))</f>
        <v>0.8111263817835326</v>
      </c>
      <c r="J155" s="44" t="n">
        <f>IF(K155=0,"",L155/K155)</f>
        <v>0.7928938671305574</v>
      </c>
      <c r="K155" s="45" t="n">
        <f>SUM('供应商月度明细'!$J$5:$J$155)</f>
        <v>5420.999999999999</v>
      </c>
      <c r="L155" s="45" t="n">
        <f>SUM('供应商月度明细'!$K$5:$K$155)</f>
        <v>4298.277653714751</v>
      </c>
      <c r="M155" s="45" t="n">
        <f>SUM('供应商月度明细'!$M$5:$M$155)</f>
        <v>757.9999999999999</v>
      </c>
    </row>
  </sheetData>
  <mergeCells>
    <mergeCell ref="A1:M1"/>
    <mergeCell ref="A2:M2"/>
  </mergeCells>
  <conditionalFormatting sqref="F5:J155">
    <cfRule type="expression" dxfId="13" priority="1">
      <formula>AND(F5&lt;&gt;"",F5&lt;0.7)</formula>
    </cfRule>
    <cfRule type="expression" dxfId="14" priority="2">
      <formula>AND(F5&lt;&gt;"",F5&gt;=0.7,F5&lt;0.85)</formula>
    </cfRule>
    <cfRule type="expression" dxfId="15" priority="3">
      <formula>AND(F5&lt;&gt;"",F5&gt;=0.85)</formula>
    </cfRule>
  </conditionalFormatting>
  <pageMargins left="0.7" right="0.7" top="0.75" bottom="0.75" header="0.3" footer="0.3"/>
  <tableParts count="1">
    <tablePart xmlns:r="http://schemas.openxmlformats.org/officeDocument/2006/relationships" r:id="R109a2451dcdc4425"/>
  </tableParts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38" hidden="0" customWidth="1"/>
    <col min="3" max="3" width="14" hidden="0" customWidth="1"/>
    <col min="4" max="4" width="15" hidden="0" customWidth="1"/>
    <col min="5" max="5" width="10" hidden="0" customWidth="1"/>
    <col min="6" max="6" width="11" hidden="0" customWidth="1"/>
    <col min="7" max="7" width="11" hidden="0" customWidth="1"/>
    <col min="8" max="8" width="13" hidden="0" customWidth="1"/>
    <col min="9" max="9" width="12" hidden="0" customWidth="1"/>
    <col min="10" max="10" width="12" hidden="0" customWidth="1"/>
    <col min="11" max="11" width="14" hidden="0" customWidth="1"/>
    <col min="12" max="12" width="12" hidden="0" customWidth="1"/>
    <col min="13" max="13" width="14" hidden="0" customWidth="1"/>
    <col min="14" max="14" width="12" hidden="0" customWidth="1"/>
    <col min="15" max="15" width="12" hidden="0" customWidth="1"/>
  </cols>
  <sheetData>
    <row r="1" ht="34" customHeight="1">
      <c r="A1" s="4" t="str">
        <v>供应商×工种×月份：两套履约指标计算明细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38" customHeight="1">
      <c r="A2" s="8" t="str">
        <v>原始接单兑现率为主指标；超发校正履约率为对照。分母为0时显示空白，不参与三个月平均；有发单但未兑现显示0%。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ht="32" customHeight="1">
      <c r="A4" s="14" t="str">
        <v>区域</v>
      </c>
      <c r="B4" s="14" t="str">
        <v>供应商名称</v>
      </c>
      <c r="C4" s="14" t="str">
        <v>供应商ID</v>
      </c>
      <c r="D4" s="14" t="str">
        <v>工种</v>
      </c>
      <c r="E4" s="14" t="str">
        <v>月份</v>
      </c>
      <c r="F4" s="14" t="str">
        <v>实际发单</v>
      </c>
      <c r="G4" s="14" t="str">
        <v>实际派遣</v>
      </c>
      <c r="H4" s="14" t="str">
        <v>原始有效兑现</v>
      </c>
      <c r="I4" s="14" t="str">
        <v>原始兑现率</v>
      </c>
      <c r="J4" s="14" t="str">
        <v>合理责任</v>
      </c>
      <c r="K4" s="14" t="str">
        <v>校正有效兑现</v>
      </c>
      <c r="L4" s="14" t="str">
        <v>超发校正率</v>
      </c>
      <c r="M4" s="14" t="str">
        <v>释放超发责任</v>
      </c>
      <c r="N4" s="14" t="str">
        <v>校正率变化</v>
      </c>
      <c r="O4" s="14" t="str">
        <v>派遣超订单</v>
      </c>
    </row>
    <row r="5">
      <c r="A5" s="18" t="str">
        <v>德国区</v>
      </c>
      <c r="B5" s="18" t="str">
        <v>HP Personalmanagement</v>
      </c>
      <c r="C5" s="18" t="str">
        <v>S000020</v>
      </c>
      <c r="D5" s="18" t="str">
        <v>操作员</v>
      </c>
      <c r="E5" s="18" t="str">
        <v>2026-04</v>
      </c>
      <c r="F5" s="22" t="n">
        <f>SUMIFS('供应商责任底表'!$O$5:$O$1541,'供应商责任底表'!$A$5:$A$1541,$A5,'供应商责任底表'!$H$5:$H$1541,$C5,'供应商责任底表'!$F$5:$F$1541,$D5,'供应商责任底表'!$E$5:$E$1541,$E5)</f>
        <v>3</v>
      </c>
      <c r="G5" s="22" t="n">
        <f>SUMIFS('供应商责任底表'!$P$5:$P$1541,'供应商责任底表'!$A$5:$A$1541,$A5,'供应商责任底表'!$H$5:$H$1541,$C5,'供应商责任底表'!$F$5:$F$1541,$D5,'供应商责任底表'!$E$5:$E$1541,$E5)</f>
        <v>0</v>
      </c>
      <c r="H5" s="22" t="n">
        <f>SUMIFS('供应商责任底表'!$Q$5:$Q$1541,'供应商责任底表'!$A$5:$A$1541,$A5,'供应商责任底表'!$H$5:$H$1541,$C5,'供应商责任底表'!$F$5:$F$1541,$D5,'供应商责任底表'!$E$5:$E$1541,$E5)</f>
        <v>0</v>
      </c>
      <c r="I5" s="26" t="n">
        <f>IF(F5=0,"",H5/F5)</f>
        <v>0</v>
      </c>
      <c r="J5" s="22" t="n">
        <f>SUMIFS('供应商责任底表'!$S$5:$S$1541,'供应商责任底表'!$A$5:$A$1541,$A5,'供应商责任底表'!$H$5:$H$1541,$C5,'供应商责任底表'!$F$5:$F$1541,$D5,'供应商责任底表'!$E$5:$E$1541,$E5)</f>
        <v>2.857142857142857</v>
      </c>
      <c r="K5" s="22" t="n">
        <f>SUMIFS('供应商责任底表'!$T$5:$T$1541,'供应商责任底表'!$A$5:$A$1541,$A5,'供应商责任底表'!$H$5:$H$1541,$C5,'供应商责任底表'!$F$5:$F$1541,$D5,'供应商责任底表'!$E$5:$E$1541,$E5)</f>
        <v>0</v>
      </c>
      <c r="L5" s="26" t="n">
        <f>IF(J5=0,"",K5/J5)</f>
        <v>0</v>
      </c>
      <c r="M5" s="22" t="n">
        <f>SUMIFS('供应商责任底表'!$U$5:$U$1541,'供应商责任底表'!$A$5:$A$1541,$A5,'供应商责任底表'!$H$5:$H$1541,$C5,'供应商责任底表'!$F$5:$F$1541,$D5,'供应商责任底表'!$E$5:$E$1541,$E5)</f>
        <v>0.1428571428571429</v>
      </c>
      <c r="N5" s="26" t="n">
        <f>IF(OR(F5=0,J5=0),"",L5-I5)</f>
        <v>0</v>
      </c>
      <c r="O5" s="22" t="n">
        <f>SUMIFS('供应商责任底表'!$V$5:$V$1541,'供应商责任底表'!$A$5:$A$1541,$A5,'供应商责任底表'!$H$5:$H$1541,$C5,'供应商责任底表'!$F$5:$F$1541,$D5,'供应商责任底表'!$E$5:$E$1541,$E5)</f>
        <v>0</v>
      </c>
    </row>
    <row r="6">
      <c r="A6" s="19" t="str">
        <v>德国区</v>
      </c>
      <c r="B6" s="19" t="str">
        <v>HP Personalmanagement</v>
      </c>
      <c r="C6" s="19" t="str">
        <v>S000020</v>
      </c>
      <c r="D6" s="19" t="str">
        <v>操作员</v>
      </c>
      <c r="E6" s="19" t="str">
        <v>2026-05</v>
      </c>
      <c r="F6" s="23" t="n">
        <f>SUMIFS('供应商责任底表'!$O$5:$O$1541,'供应商责任底表'!$A$5:$A$1541,$A6,'供应商责任底表'!$H$5:$H$1541,$C6,'供应商责任底表'!$F$5:$F$1541,$D6,'供应商责任底表'!$E$5:$E$1541,$E6)</f>
        <v>4</v>
      </c>
      <c r="G6" s="23" t="n">
        <f>SUMIFS('供应商责任底表'!$P$5:$P$1541,'供应商责任底表'!$A$5:$A$1541,$A6,'供应商责任底表'!$H$5:$H$1541,$C6,'供应商责任底表'!$F$5:$F$1541,$D6,'供应商责任底表'!$E$5:$E$1541,$E6)</f>
        <v>4</v>
      </c>
      <c r="H6" s="23" t="n">
        <f>SUMIFS('供应商责任底表'!$Q$5:$Q$1541,'供应商责任底表'!$A$5:$A$1541,$A6,'供应商责任底表'!$H$5:$H$1541,$C6,'供应商责任底表'!$F$5:$F$1541,$D6,'供应商责任底表'!$E$5:$E$1541,$E6)</f>
        <v>4</v>
      </c>
      <c r="I6" s="27" t="n">
        <f>IF(F6=0,"",H6/F6)</f>
        <v>1</v>
      </c>
      <c r="J6" s="23" t="n">
        <f>SUMIFS('供应商责任底表'!$S$5:$S$1541,'供应商责任底表'!$A$5:$A$1541,$A6,'供应商责任底表'!$H$5:$H$1541,$C6,'供应商责任底表'!$F$5:$F$1541,$D6,'供应商责任底表'!$E$5:$E$1541,$E6)</f>
        <v>2.8</v>
      </c>
      <c r="K6" s="23" t="n">
        <f>SUMIFS('供应商责任底表'!$T$5:$T$1541,'供应商责任底表'!$A$5:$A$1541,$A6,'供应商责任底表'!$H$5:$H$1541,$C6,'供应商责任底表'!$F$5:$F$1541,$D6,'供应商责任底表'!$E$5:$E$1541,$E6)</f>
        <v>2.8</v>
      </c>
      <c r="L6" s="27" t="n">
        <f>IF(J6=0,"",K6/J6)</f>
        <v>1</v>
      </c>
      <c r="M6" s="23" t="n">
        <f>SUMIFS('供应商责任底表'!$U$5:$U$1541,'供应商责任底表'!$A$5:$A$1541,$A6,'供应商责任底表'!$H$5:$H$1541,$C6,'供应商责任底表'!$F$5:$F$1541,$D6,'供应商责任底表'!$E$5:$E$1541,$E6)</f>
        <v>1.2</v>
      </c>
      <c r="N6" s="27" t="n">
        <f>IF(OR(F6=0,J6=0),"",L6-I6)</f>
        <v>0</v>
      </c>
      <c r="O6" s="23" t="n">
        <f>SUMIFS('供应商责任底表'!$V$5:$V$1541,'供应商责任底表'!$A$5:$A$1541,$A6,'供应商责任底表'!$H$5:$H$1541,$C6,'供应商责任底表'!$F$5:$F$1541,$D6,'供应商责任底表'!$E$5:$E$1541,$E6)</f>
        <v>0</v>
      </c>
    </row>
    <row r="7">
      <c r="A7" s="19" t="str">
        <v>德国区</v>
      </c>
      <c r="B7" s="19" t="str">
        <v>HP Personalmanagement</v>
      </c>
      <c r="C7" s="19" t="str">
        <v>S000020</v>
      </c>
      <c r="D7" s="19" t="str">
        <v>操作员</v>
      </c>
      <c r="E7" s="19" t="str">
        <v>2026-06</v>
      </c>
      <c r="F7" s="23" t="n">
        <f>SUMIFS('供应商责任底表'!$O$5:$O$1541,'供应商责任底表'!$A$5:$A$1541,$A7,'供应商责任底表'!$H$5:$H$1541,$C7,'供应商责任底表'!$F$5:$F$1541,$D7,'供应商责任底表'!$E$5:$E$1541,$E7)</f>
        <v>20</v>
      </c>
      <c r="G7" s="23" t="n">
        <f>SUMIFS('供应商责任底表'!$P$5:$P$1541,'供应商责任底表'!$A$5:$A$1541,$A7,'供应商责任底表'!$H$5:$H$1541,$C7,'供应商责任底表'!$F$5:$F$1541,$D7,'供应商责任底表'!$E$5:$E$1541,$E7)</f>
        <v>12</v>
      </c>
      <c r="H7" s="23" t="n">
        <f>SUMIFS('供应商责任底表'!$Q$5:$Q$1541,'供应商责任底表'!$A$5:$A$1541,$A7,'供应商责任底表'!$H$5:$H$1541,$C7,'供应商责任底表'!$F$5:$F$1541,$D7,'供应商责任底表'!$E$5:$E$1541,$E7)</f>
        <v>12</v>
      </c>
      <c r="I7" s="27" t="n">
        <f>IF(F7=0,"",H7/F7)</f>
        <v>0.6</v>
      </c>
      <c r="J7" s="23" t="n">
        <f>SUMIFS('供应商责任底表'!$S$5:$S$1541,'供应商责任底表'!$A$5:$A$1541,$A7,'供应商责任底表'!$H$5:$H$1541,$C7,'供应商责任底表'!$F$5:$F$1541,$D7,'供应商责任底表'!$E$5:$E$1541,$E7)</f>
        <v>16.766666666666666</v>
      </c>
      <c r="K7" s="23" t="n">
        <f>SUMIFS('供应商责任底表'!$T$5:$T$1541,'供应商责任底表'!$A$5:$A$1541,$A7,'供应商责任底表'!$H$5:$H$1541,$C7,'供应商责任底表'!$F$5:$F$1541,$D7,'供应商责任底表'!$E$5:$E$1541,$E7)</f>
        <v>10.833333333333334</v>
      </c>
      <c r="L7" s="27" t="n">
        <f>IF(J7=0,"",K7/J7)</f>
        <v>0.6461232604373758</v>
      </c>
      <c r="M7" s="23" t="n">
        <f>SUMIFS('供应商责任底表'!$U$5:$U$1541,'供应商责任底表'!$A$5:$A$1541,$A7,'供应商责任底表'!$H$5:$H$1541,$C7,'供应商责任底表'!$F$5:$F$1541,$D7,'供应商责任底表'!$E$5:$E$1541,$E7)</f>
        <v>3.2333333333333334</v>
      </c>
      <c r="N7" s="27" t="n">
        <f>IF(OR(F7=0,J7=0),"",L7-I7)</f>
        <v>0.0461232604373758</v>
      </c>
      <c r="O7" s="23" t="n">
        <f>SUMIFS('供应商责任底表'!$V$5:$V$1541,'供应商责任底表'!$A$5:$A$1541,$A7,'供应商责任底表'!$H$5:$H$1541,$C7,'供应商责任底表'!$F$5:$F$1541,$D7,'供应商责任底表'!$E$5:$E$1541,$E7)</f>
        <v>0</v>
      </c>
    </row>
    <row r="8">
      <c r="A8" s="19" t="str">
        <v>德国区</v>
      </c>
      <c r="B8" s="19" t="str">
        <v>Topjob Zeitarbeit GmbH</v>
      </c>
      <c r="C8" s="19" t="str">
        <v>S000086</v>
      </c>
      <c r="D8" s="19" t="str">
        <v>保洁员</v>
      </c>
      <c r="E8" s="19" t="str">
        <v>2026-05</v>
      </c>
      <c r="F8" s="23" t="n">
        <f>SUMIFS('供应商责任底表'!$O$5:$O$1541,'供应商责任底表'!$A$5:$A$1541,$A8,'供应商责任底表'!$H$5:$H$1541,$C8,'供应商责任底表'!$F$5:$F$1541,$D8,'供应商责任底表'!$E$5:$E$1541,$E8)</f>
        <v>1</v>
      </c>
      <c r="G8" s="23" t="n">
        <f>SUMIFS('供应商责任底表'!$P$5:$P$1541,'供应商责任底表'!$A$5:$A$1541,$A8,'供应商责任底表'!$H$5:$H$1541,$C8,'供应商责任底表'!$F$5:$F$1541,$D8,'供应商责任底表'!$E$5:$E$1541,$E8)</f>
        <v>1</v>
      </c>
      <c r="H8" s="23" t="n">
        <f>SUMIFS('供应商责任底表'!$Q$5:$Q$1541,'供应商责任底表'!$A$5:$A$1541,$A8,'供应商责任底表'!$H$5:$H$1541,$C8,'供应商责任底表'!$F$5:$F$1541,$D8,'供应商责任底表'!$E$5:$E$1541,$E8)</f>
        <v>1</v>
      </c>
      <c r="I8" s="27" t="n">
        <f>IF(F8=0,"",H8/F8)</f>
        <v>1</v>
      </c>
      <c r="J8" s="23" t="n">
        <f>SUMIFS('供应商责任底表'!$S$5:$S$1541,'供应商责任底表'!$A$5:$A$1541,$A8,'供应商责任底表'!$H$5:$H$1541,$C8,'供应商责任底表'!$F$5:$F$1541,$D8,'供应商责任底表'!$E$5:$E$1541,$E8)</f>
        <v>1</v>
      </c>
      <c r="K8" s="23" t="n">
        <f>SUMIFS('供应商责任底表'!$T$5:$T$1541,'供应商责任底表'!$A$5:$A$1541,$A8,'供应商责任底表'!$H$5:$H$1541,$C8,'供应商责任底表'!$F$5:$F$1541,$D8,'供应商责任底表'!$E$5:$E$1541,$E8)</f>
        <v>1</v>
      </c>
      <c r="L8" s="27" t="n">
        <f>IF(J8=0,"",K8/J8)</f>
        <v>1</v>
      </c>
      <c r="M8" s="23" t="n">
        <f>SUMIFS('供应商责任底表'!$U$5:$U$1541,'供应商责任底表'!$A$5:$A$1541,$A8,'供应商责任底表'!$H$5:$H$1541,$C8,'供应商责任底表'!$F$5:$F$1541,$D8,'供应商责任底表'!$E$5:$E$1541,$E8)</f>
        <v>0</v>
      </c>
      <c r="N8" s="27" t="n">
        <f>IF(OR(F8=0,J8=0),"",L8-I8)</f>
        <v>0</v>
      </c>
      <c r="O8" s="23" t="n">
        <f>SUMIFS('供应商责任底表'!$V$5:$V$1541,'供应商责任底表'!$A$5:$A$1541,$A8,'供应商责任底表'!$H$5:$H$1541,$C8,'供应商责任底表'!$F$5:$F$1541,$D8,'供应商责任底表'!$E$5:$E$1541,$E8)</f>
        <v>0</v>
      </c>
    </row>
    <row r="9">
      <c r="A9" s="19" t="str">
        <v>德国区</v>
      </c>
      <c r="B9" s="19" t="str">
        <v>Topjob Zeitarbeit GmbH</v>
      </c>
      <c r="C9" s="19" t="str">
        <v>S000086</v>
      </c>
      <c r="D9" s="19" t="str">
        <v>操作员</v>
      </c>
      <c r="E9" s="19" t="str">
        <v>2026-04</v>
      </c>
      <c r="F9" s="23" t="n">
        <f>SUMIFS('供应商责任底表'!$O$5:$O$1541,'供应商责任底表'!$A$5:$A$1541,$A9,'供应商责任底表'!$H$5:$H$1541,$C9,'供应商责任底表'!$F$5:$F$1541,$D9,'供应商责任底表'!$E$5:$E$1541,$E9)</f>
        <v>18</v>
      </c>
      <c r="G9" s="23" t="n">
        <f>SUMIFS('供应商责任底表'!$P$5:$P$1541,'供应商责任底表'!$A$5:$A$1541,$A9,'供应商责任底表'!$H$5:$H$1541,$C9,'供应商责任底表'!$F$5:$F$1541,$D9,'供应商责任底表'!$E$5:$E$1541,$E9)</f>
        <v>9</v>
      </c>
      <c r="H9" s="23" t="n">
        <f>SUMIFS('供应商责任底表'!$Q$5:$Q$1541,'供应商责任底表'!$A$5:$A$1541,$A9,'供应商责任底表'!$H$5:$H$1541,$C9,'供应商责任底表'!$F$5:$F$1541,$D9,'供应商责任底表'!$E$5:$E$1541,$E9)</f>
        <v>9</v>
      </c>
      <c r="I9" s="27" t="n">
        <f>IF(F9=0,"",H9/F9)</f>
        <v>0.5</v>
      </c>
      <c r="J9" s="23" t="n">
        <f>SUMIFS('供应商责任底表'!$S$5:$S$1541,'供应商责任底表'!$A$5:$A$1541,$A9,'供应商责任底表'!$H$5:$H$1541,$C9,'供应商责任底表'!$F$5:$F$1541,$D9,'供应商责任底表'!$E$5:$E$1541,$E9)</f>
        <v>8</v>
      </c>
      <c r="K9" s="23" t="n">
        <f>SUMIFS('供应商责任底表'!$T$5:$T$1541,'供应商责任底表'!$A$5:$A$1541,$A9,'供应商责任底表'!$H$5:$H$1541,$C9,'供应商责任底表'!$F$5:$F$1541,$D9,'供应商责任底表'!$E$5:$E$1541,$E9)</f>
        <v>5</v>
      </c>
      <c r="L9" s="27" t="n">
        <f>IF(J9=0,"",K9/J9)</f>
        <v>0.625</v>
      </c>
      <c r="M9" s="23" t="n">
        <f>SUMIFS('供应商责任底表'!$U$5:$U$1541,'供应商责任底表'!$A$5:$A$1541,$A9,'供应商责任底表'!$H$5:$H$1541,$C9,'供应商责任底表'!$F$5:$F$1541,$D9,'供应商责任底表'!$E$5:$E$1541,$E9)</f>
        <v>10</v>
      </c>
      <c r="N9" s="27" t="n">
        <f>IF(OR(F9=0,J9=0),"",L9-I9)</f>
        <v>0.125</v>
      </c>
      <c r="O9" s="23" t="n">
        <f>SUMIFS('供应商责任底表'!$V$5:$V$1541,'供应商责任底表'!$A$5:$A$1541,$A9,'供应商责任底表'!$H$5:$H$1541,$C9,'供应商责任底表'!$F$5:$F$1541,$D9,'供应商责任底表'!$E$5:$E$1541,$E9)</f>
        <v>0</v>
      </c>
    </row>
    <row r="10">
      <c r="A10" s="19" t="str">
        <v>德国区</v>
      </c>
      <c r="B10" s="19" t="str">
        <v>Topjob Zeitarbeit GmbH</v>
      </c>
      <c r="C10" s="19" t="str">
        <v>S000086</v>
      </c>
      <c r="D10" s="19" t="str">
        <v>操作员</v>
      </c>
      <c r="E10" s="19" t="str">
        <v>2026-05</v>
      </c>
      <c r="F10" s="23" t="n">
        <f>SUMIFS('供应商责任底表'!$O$5:$O$1541,'供应商责任底表'!$A$5:$A$1541,$A10,'供应商责任底表'!$H$5:$H$1541,$C10,'供应商责任底表'!$F$5:$F$1541,$D10,'供应商责任底表'!$E$5:$E$1541,$E10)</f>
        <v>5</v>
      </c>
      <c r="G10" s="23" t="n">
        <f>SUMIFS('供应商责任底表'!$P$5:$P$1541,'供应商责任底表'!$A$5:$A$1541,$A10,'供应商责任底表'!$H$5:$H$1541,$C10,'供应商责任底表'!$F$5:$F$1541,$D10,'供应商责任底表'!$E$5:$E$1541,$E10)</f>
        <v>5</v>
      </c>
      <c r="H10" s="23" t="n">
        <f>SUMIFS('供应商责任底表'!$Q$5:$Q$1541,'供应商责任底表'!$A$5:$A$1541,$A10,'供应商责任底表'!$H$5:$H$1541,$C10,'供应商责任底表'!$F$5:$F$1541,$D10,'供应商责任底表'!$E$5:$E$1541,$E10)</f>
        <v>5</v>
      </c>
      <c r="I10" s="27" t="n">
        <f>IF(F10=0,"",H10/F10)</f>
        <v>1</v>
      </c>
      <c r="J10" s="23" t="n">
        <f>SUMIFS('供应商责任底表'!$S$5:$S$1541,'供应商责任底表'!$A$5:$A$1541,$A10,'供应商责任底表'!$H$5:$H$1541,$C10,'供应商责任底表'!$F$5:$F$1541,$D10,'供应商责任底表'!$E$5:$E$1541,$E10)</f>
        <v>3.5</v>
      </c>
      <c r="K10" s="23" t="n">
        <f>SUMIFS('供应商责任底表'!$T$5:$T$1541,'供应商责任底表'!$A$5:$A$1541,$A10,'供应商责任底表'!$H$5:$H$1541,$C10,'供应商责任底表'!$F$5:$F$1541,$D10,'供应商责任底表'!$E$5:$E$1541,$E10)</f>
        <v>3.5</v>
      </c>
      <c r="L10" s="27" t="n">
        <f>IF(J10=0,"",K10/J10)</f>
        <v>1</v>
      </c>
      <c r="M10" s="23" t="n">
        <f>SUMIFS('供应商责任底表'!$U$5:$U$1541,'供应商责任底表'!$A$5:$A$1541,$A10,'供应商责任底表'!$H$5:$H$1541,$C10,'供应商责任底表'!$F$5:$F$1541,$D10,'供应商责任底表'!$E$5:$E$1541,$E10)</f>
        <v>1.5</v>
      </c>
      <c r="N10" s="27" t="n">
        <f>IF(OR(F10=0,J10=0),"",L10-I10)</f>
        <v>0</v>
      </c>
      <c r="O10" s="23" t="n">
        <f>SUMIFS('供应商责任底表'!$V$5:$V$1541,'供应商责任底表'!$A$5:$A$1541,$A10,'供应商责任底表'!$H$5:$H$1541,$C10,'供应商责任底表'!$F$5:$F$1541,$D10,'供应商责任底表'!$E$5:$E$1541,$E10)</f>
        <v>0</v>
      </c>
    </row>
    <row r="11">
      <c r="A11" s="19" t="str">
        <v>德国区</v>
      </c>
      <c r="B11" s="19" t="str">
        <v>Topjob Zeitarbeit GmbH</v>
      </c>
      <c r="C11" s="19" t="str">
        <v>S000086</v>
      </c>
      <c r="D11" s="19" t="str">
        <v>操作员</v>
      </c>
      <c r="E11" s="19" t="str">
        <v>2026-06</v>
      </c>
      <c r="F11" s="23" t="n">
        <f>SUMIFS('供应商责任底表'!$O$5:$O$1541,'供应商责任底表'!$A$5:$A$1541,$A11,'供应商责任底表'!$H$5:$H$1541,$C11,'供应商责任底表'!$F$5:$F$1541,$D11,'供应商责任底表'!$E$5:$E$1541,$E11)</f>
        <v>43</v>
      </c>
      <c r="G11" s="23" t="n">
        <f>SUMIFS('供应商责任底表'!$P$5:$P$1541,'供应商责任底表'!$A$5:$A$1541,$A11,'供应商责任底表'!$H$5:$H$1541,$C11,'供应商责任底表'!$F$5:$F$1541,$D11,'供应商责任底表'!$E$5:$E$1541,$E11)</f>
        <v>42</v>
      </c>
      <c r="H11" s="23" t="n">
        <f>SUMIFS('供应商责任底表'!$Q$5:$Q$1541,'供应商责任底表'!$A$5:$A$1541,$A11,'供应商责任底表'!$H$5:$H$1541,$C11,'供应商责任底表'!$F$5:$F$1541,$D11,'供应商责任底表'!$E$5:$E$1541,$E11)</f>
        <v>42</v>
      </c>
      <c r="I11" s="27" t="n">
        <f>IF(F11=0,"",H11/F11)</f>
        <v>0.9767441860465116</v>
      </c>
      <c r="J11" s="23" t="n">
        <f>SUMIFS('供应商责任底表'!$S$5:$S$1541,'供应商责任底表'!$A$5:$A$1541,$A11,'供应商责任底表'!$H$5:$H$1541,$C11,'供应商责任底表'!$F$5:$F$1541,$D11,'供应商责任底表'!$E$5:$E$1541,$E11)</f>
        <v>35.666666666666664</v>
      </c>
      <c r="K11" s="23" t="n">
        <f>SUMIFS('供应商责任底表'!$T$5:$T$1541,'供应商责任底表'!$A$5:$A$1541,$A11,'供应商责任底表'!$H$5:$H$1541,$C11,'供应商责任底表'!$F$5:$F$1541,$D11,'供应商责任底表'!$E$5:$E$1541,$E11)</f>
        <v>34.666666666666664</v>
      </c>
      <c r="L11" s="27" t="n">
        <f>IF(J11=0,"",K11/J11)</f>
        <v>0.9719626168224299</v>
      </c>
      <c r="M11" s="23" t="n">
        <f>SUMIFS('供应商责任底表'!$U$5:$U$1541,'供应商责任底表'!$A$5:$A$1541,$A11,'供应商责任底表'!$H$5:$H$1541,$C11,'供应商责任底表'!$F$5:$F$1541,$D11,'供应商责任底表'!$E$5:$E$1541,$E11)</f>
        <v>7.333333333333334</v>
      </c>
      <c r="N11" s="27" t="n">
        <f>IF(OR(F11=0,J11=0),"",L11-I11)</f>
        <v>-0.004781569224081683</v>
      </c>
      <c r="O11" s="23" t="n">
        <f>SUMIFS('供应商责任底表'!$V$5:$V$1541,'供应商责任底表'!$A$5:$A$1541,$A11,'供应商责任底表'!$H$5:$H$1541,$C11,'供应商责任底表'!$F$5:$F$1541,$D11,'供应商责任底表'!$E$5:$E$1541,$E11)</f>
        <v>0</v>
      </c>
    </row>
    <row r="12">
      <c r="A12" s="19" t="str">
        <v>德国区</v>
      </c>
      <c r="B12" s="19" t="str">
        <v>Koetter Personal Service SE Co. KG</v>
      </c>
      <c r="C12" s="19" t="str">
        <v>S000110</v>
      </c>
      <c r="D12" s="19" t="str">
        <v>保洁员</v>
      </c>
      <c r="E12" s="19" t="str">
        <v>2026-06</v>
      </c>
      <c r="F12" s="23" t="n">
        <f>SUMIFS('供应商责任底表'!$O$5:$O$1541,'供应商责任底表'!$A$5:$A$1541,$A12,'供应商责任底表'!$H$5:$H$1541,$C12,'供应商责任底表'!$F$5:$F$1541,$D12,'供应商责任底表'!$E$5:$E$1541,$E12)</f>
        <v>2</v>
      </c>
      <c r="G12" s="23" t="n">
        <f>SUMIFS('供应商责任底表'!$P$5:$P$1541,'供应商责任底表'!$A$5:$A$1541,$A12,'供应商责任底表'!$H$5:$H$1541,$C12,'供应商责任底表'!$F$5:$F$1541,$D12,'供应商责任底表'!$E$5:$E$1541,$E12)</f>
        <v>2</v>
      </c>
      <c r="H12" s="23" t="n">
        <f>SUMIFS('供应商责任底表'!$Q$5:$Q$1541,'供应商责任底表'!$A$5:$A$1541,$A12,'供应商责任底表'!$H$5:$H$1541,$C12,'供应商责任底表'!$F$5:$F$1541,$D12,'供应商责任底表'!$E$5:$E$1541,$E12)</f>
        <v>2</v>
      </c>
      <c r="I12" s="27" t="n">
        <f>IF(F12=0,"",H12/F12)</f>
        <v>1</v>
      </c>
      <c r="J12" s="23" t="n">
        <f>SUMIFS('供应商责任底表'!$S$5:$S$1541,'供应商责任底表'!$A$5:$A$1541,$A12,'供应商责任底表'!$H$5:$H$1541,$C12,'供应商责任底表'!$F$5:$F$1541,$D12,'供应商责任底表'!$E$5:$E$1541,$E12)</f>
        <v>1</v>
      </c>
      <c r="K12" s="23" t="n">
        <f>SUMIFS('供应商责任底表'!$T$5:$T$1541,'供应商责任底表'!$A$5:$A$1541,$A12,'供应商责任底表'!$H$5:$H$1541,$C12,'供应商责任底表'!$F$5:$F$1541,$D12,'供应商责任底表'!$E$5:$E$1541,$E12)</f>
        <v>1</v>
      </c>
      <c r="L12" s="27" t="n">
        <f>IF(J12=0,"",K12/J12)</f>
        <v>1</v>
      </c>
      <c r="M12" s="23" t="n">
        <f>SUMIFS('供应商责任底表'!$U$5:$U$1541,'供应商责任底表'!$A$5:$A$1541,$A12,'供应商责任底表'!$H$5:$H$1541,$C12,'供应商责任底表'!$F$5:$F$1541,$D12,'供应商责任底表'!$E$5:$E$1541,$E12)</f>
        <v>1</v>
      </c>
      <c r="N12" s="27" t="n">
        <f>IF(OR(F12=0,J12=0),"",L12-I12)</f>
        <v>0</v>
      </c>
      <c r="O12" s="23" t="n">
        <f>SUMIFS('供应商责任底表'!$V$5:$V$1541,'供应商责任底表'!$A$5:$A$1541,$A12,'供应商责任底表'!$H$5:$H$1541,$C12,'供应商责任底表'!$F$5:$F$1541,$D12,'供应商责任底表'!$E$5:$E$1541,$E12)</f>
        <v>0</v>
      </c>
    </row>
    <row r="13">
      <c r="A13" s="19" t="str">
        <v>德国区</v>
      </c>
      <c r="B13" s="19" t="str">
        <v>Koetter Personal Service SE Co. KG</v>
      </c>
      <c r="C13" s="19" t="str">
        <v>S000110</v>
      </c>
      <c r="D13" s="19" t="str">
        <v>操作员</v>
      </c>
      <c r="E13" s="19" t="str">
        <v>2026-05</v>
      </c>
      <c r="F13" s="23" t="n">
        <f>SUMIFS('供应商责任底表'!$O$5:$O$1541,'供应商责任底表'!$A$5:$A$1541,$A13,'供应商责任底表'!$H$5:$H$1541,$C13,'供应商责任底表'!$F$5:$F$1541,$D13,'供应商责任底表'!$E$5:$E$1541,$E13)</f>
        <v>19</v>
      </c>
      <c r="G13" s="23" t="n">
        <f>SUMIFS('供应商责任底表'!$P$5:$P$1541,'供应商责任底表'!$A$5:$A$1541,$A13,'供应商责任底表'!$H$5:$H$1541,$C13,'供应商责任底表'!$F$5:$F$1541,$D13,'供应商责任底表'!$E$5:$E$1541,$E13)</f>
        <v>19</v>
      </c>
      <c r="H13" s="23" t="n">
        <f>SUMIFS('供应商责任底表'!$Q$5:$Q$1541,'供应商责任底表'!$A$5:$A$1541,$A13,'供应商责任底表'!$H$5:$H$1541,$C13,'供应商责任底表'!$F$5:$F$1541,$D13,'供应商责任底表'!$E$5:$E$1541,$E13)</f>
        <v>19</v>
      </c>
      <c r="I13" s="27" t="n">
        <f>IF(F13=0,"",H13/F13)</f>
        <v>1</v>
      </c>
      <c r="J13" s="23" t="n">
        <f>SUMIFS('供应商责任底表'!$S$5:$S$1541,'供应商责任底表'!$A$5:$A$1541,$A13,'供应商责任底表'!$H$5:$H$1541,$C13,'供应商责任底表'!$F$5:$F$1541,$D13,'供应商责任底表'!$E$5:$E$1541,$E13)</f>
        <v>13.125</v>
      </c>
      <c r="K13" s="23" t="n">
        <f>SUMIFS('供应商责任底表'!$T$5:$T$1541,'供应商责任底表'!$A$5:$A$1541,$A13,'供应商责任底表'!$H$5:$H$1541,$C13,'供应商责任底表'!$F$5:$F$1541,$D13,'供应商责任底表'!$E$5:$E$1541,$E13)</f>
        <v>13.125</v>
      </c>
      <c r="L13" s="27" t="n">
        <f>IF(J13=0,"",K13/J13)</f>
        <v>1</v>
      </c>
      <c r="M13" s="23" t="n">
        <f>SUMIFS('供应商责任底表'!$U$5:$U$1541,'供应商责任底表'!$A$5:$A$1541,$A13,'供应商责任底表'!$H$5:$H$1541,$C13,'供应商责任底表'!$F$5:$F$1541,$D13,'供应商责任底表'!$E$5:$E$1541,$E13)</f>
        <v>5.875</v>
      </c>
      <c r="N13" s="27" t="n">
        <f>IF(OR(F13=0,J13=0),"",L13-I13)</f>
        <v>0</v>
      </c>
      <c r="O13" s="23" t="n">
        <f>SUMIFS('供应商责任底表'!$V$5:$V$1541,'供应商责任底表'!$A$5:$A$1541,$A13,'供应商责任底表'!$H$5:$H$1541,$C13,'供应商责任底表'!$F$5:$F$1541,$D13,'供应商责任底表'!$E$5:$E$1541,$E13)</f>
        <v>0</v>
      </c>
    </row>
    <row r="14">
      <c r="A14" s="19" t="str">
        <v>德国区</v>
      </c>
      <c r="B14" s="19" t="str">
        <v>Koetter Personal Service SE Co. KG</v>
      </c>
      <c r="C14" s="19" t="str">
        <v>S000110</v>
      </c>
      <c r="D14" s="19" t="str">
        <v>操作员</v>
      </c>
      <c r="E14" s="19" t="str">
        <v>2026-06</v>
      </c>
      <c r="F14" s="23" t="n">
        <f>SUMIFS('供应商责任底表'!$O$5:$O$1541,'供应商责任底表'!$A$5:$A$1541,$A14,'供应商责任底表'!$H$5:$H$1541,$C14,'供应商责任底表'!$F$5:$F$1541,$D14,'供应商责任底表'!$E$5:$E$1541,$E14)</f>
        <v>80</v>
      </c>
      <c r="G14" s="23" t="n">
        <f>SUMIFS('供应商责任底表'!$P$5:$P$1541,'供应商责任底表'!$A$5:$A$1541,$A14,'供应商责任底表'!$H$5:$H$1541,$C14,'供应商责任底表'!$F$5:$F$1541,$D14,'供应商责任底表'!$E$5:$E$1541,$E14)</f>
        <v>79</v>
      </c>
      <c r="H14" s="23" t="n">
        <f>SUMIFS('供应商责任底表'!$Q$5:$Q$1541,'供应商责任底表'!$A$5:$A$1541,$A14,'供应商责任底表'!$H$5:$H$1541,$C14,'供应商责任底表'!$F$5:$F$1541,$D14,'供应商责任底表'!$E$5:$E$1541,$E14)</f>
        <v>79</v>
      </c>
      <c r="I14" s="27" t="n">
        <f>IF(F14=0,"",H14/F14)</f>
        <v>0.9875</v>
      </c>
      <c r="J14" s="23" t="n">
        <f>SUMIFS('供应商责任底表'!$S$5:$S$1541,'供应商责任底表'!$A$5:$A$1541,$A14,'供应商责任底表'!$H$5:$H$1541,$C14,'供应商责任底表'!$F$5:$F$1541,$D14,'供应商责任底表'!$E$5:$E$1541,$E14)</f>
        <v>64.16666666666666</v>
      </c>
      <c r="K14" s="23" t="n">
        <f>SUMIFS('供应商责任底表'!$T$5:$T$1541,'供应商责任底表'!$A$5:$A$1541,$A14,'供应商责任底表'!$H$5:$H$1541,$C14,'供应商责任底表'!$F$5:$F$1541,$D14,'供应商责任底表'!$E$5:$E$1541,$E14)</f>
        <v>64.16666666666666</v>
      </c>
      <c r="L14" s="27" t="n">
        <f>IF(J14=0,"",K14/J14)</f>
        <v>1</v>
      </c>
      <c r="M14" s="23" t="n">
        <f>SUMIFS('供应商责任底表'!$U$5:$U$1541,'供应商责任底表'!$A$5:$A$1541,$A14,'供应商责任底表'!$H$5:$H$1541,$C14,'供应商责任底表'!$F$5:$F$1541,$D14,'供应商责任底表'!$E$5:$E$1541,$E14)</f>
        <v>15.833333333333334</v>
      </c>
      <c r="N14" s="27" t="n">
        <f>IF(OR(F14=0,J14=0),"",L14-I14)</f>
        <v>0.012499999999999956</v>
      </c>
      <c r="O14" s="23" t="n">
        <f>SUMIFS('供应商责任底表'!$V$5:$V$1541,'供应商责任底表'!$A$5:$A$1541,$A14,'供应商责任底表'!$H$5:$H$1541,$C14,'供应商责任底表'!$F$5:$F$1541,$D14,'供应商责任底表'!$E$5:$E$1541,$E14)</f>
        <v>0</v>
      </c>
    </row>
    <row r="15">
      <c r="A15" s="19" t="str">
        <v>德国区</v>
      </c>
      <c r="B15" s="19" t="str">
        <v>TimePartner Personalmanagement GmbH</v>
      </c>
      <c r="C15" s="19" t="str">
        <v>S000191</v>
      </c>
      <c r="D15" s="19" t="str">
        <v>操作员</v>
      </c>
      <c r="E15" s="19" t="str">
        <v>2026-05</v>
      </c>
      <c r="F15" s="23" t="n">
        <f>SUMIFS('供应商责任底表'!$O$5:$O$1541,'供应商责任底表'!$A$5:$A$1541,$A15,'供应商责任底表'!$H$5:$H$1541,$C15,'供应商责任底表'!$F$5:$F$1541,$D15,'供应商责任底表'!$E$5:$E$1541,$E15)</f>
        <v>20</v>
      </c>
      <c r="G15" s="23" t="n">
        <f>SUMIFS('供应商责任底表'!$P$5:$P$1541,'供应商责任底表'!$A$5:$A$1541,$A15,'供应商责任底表'!$H$5:$H$1541,$C15,'供应商责任底表'!$F$5:$F$1541,$D15,'供应商责任底表'!$E$5:$E$1541,$E15)</f>
        <v>13</v>
      </c>
      <c r="H15" s="23" t="n">
        <f>SUMIFS('供应商责任底表'!$Q$5:$Q$1541,'供应商责任底表'!$A$5:$A$1541,$A15,'供应商责任底表'!$H$5:$H$1541,$C15,'供应商责任底表'!$F$5:$F$1541,$D15,'供应商责任底表'!$E$5:$E$1541,$E15)</f>
        <v>13</v>
      </c>
      <c r="I15" s="27" t="n">
        <f>IF(F15=0,"",H15/F15)</f>
        <v>0.65</v>
      </c>
      <c r="J15" s="23" t="n">
        <f>SUMIFS('供应商责任底表'!$S$5:$S$1541,'供应商责任底表'!$A$5:$A$1541,$A15,'供应商责任底表'!$H$5:$H$1541,$C15,'供应商责任底表'!$F$5:$F$1541,$D15,'供应商责任底表'!$E$5:$E$1541,$E15)</f>
        <v>10.333333333333332</v>
      </c>
      <c r="K15" s="23" t="n">
        <f>SUMIFS('供应商责任底表'!$T$5:$T$1541,'供应商责任底表'!$A$5:$A$1541,$A15,'供应商责任底表'!$H$5:$H$1541,$C15,'供应商责任底表'!$F$5:$F$1541,$D15,'供应商责任底表'!$E$5:$E$1541,$E15)</f>
        <v>9</v>
      </c>
      <c r="L15" s="27" t="n">
        <f>IF(J15=0,"",K15/J15)</f>
        <v>0.870967741935484</v>
      </c>
      <c r="M15" s="23" t="n">
        <f>SUMIFS('供应商责任底表'!$U$5:$U$1541,'供应商责任底表'!$A$5:$A$1541,$A15,'供应商责任底表'!$H$5:$H$1541,$C15,'供应商责任底表'!$F$5:$F$1541,$D15,'供应商责任底表'!$E$5:$E$1541,$E15)</f>
        <v>9.666666666666668</v>
      </c>
      <c r="N15" s="27" t="n">
        <f>IF(OR(F15=0,J15=0),"",L15-I15)</f>
        <v>0.22096774193548396</v>
      </c>
      <c r="O15" s="23" t="n">
        <f>SUMIFS('供应商责任底表'!$V$5:$V$1541,'供应商责任底表'!$A$5:$A$1541,$A15,'供应商责任底表'!$H$5:$H$1541,$C15,'供应商责任底表'!$F$5:$F$1541,$D15,'供应商责任底表'!$E$5:$E$1541,$E15)</f>
        <v>0</v>
      </c>
    </row>
    <row r="16">
      <c r="A16" s="19" t="str">
        <v>德国区</v>
      </c>
      <c r="B16" s="19" t="str">
        <v>TimePartner Personalmanagement GmbH</v>
      </c>
      <c r="C16" s="19" t="str">
        <v>S000191</v>
      </c>
      <c r="D16" s="19" t="str">
        <v>操作员</v>
      </c>
      <c r="E16" s="19" t="str">
        <v>2026-06</v>
      </c>
      <c r="F16" s="23" t="n">
        <f>SUMIFS('供应商责任底表'!$O$5:$O$1541,'供应商责任底表'!$A$5:$A$1541,$A16,'供应商责任底表'!$H$5:$H$1541,$C16,'供应商责任底表'!$F$5:$F$1541,$D16,'供应商责任底表'!$E$5:$E$1541,$E16)</f>
        <v>111</v>
      </c>
      <c r="G16" s="23" t="n">
        <f>SUMIFS('供应商责任底表'!$P$5:$P$1541,'供应商责任底表'!$A$5:$A$1541,$A16,'供应商责任底表'!$H$5:$H$1541,$C16,'供应商责任底表'!$F$5:$F$1541,$D16,'供应商责任底表'!$E$5:$E$1541,$E16)</f>
        <v>95</v>
      </c>
      <c r="H16" s="23" t="n">
        <f>SUMIFS('供应商责任底表'!$Q$5:$Q$1541,'供应商责任底表'!$A$5:$A$1541,$A16,'供应商责任底表'!$H$5:$H$1541,$C16,'供应商责任底表'!$F$5:$F$1541,$D16,'供应商责任底表'!$E$5:$E$1541,$E16)</f>
        <v>95</v>
      </c>
      <c r="I16" s="27" t="n">
        <f>IF(F16=0,"",H16/F16)</f>
        <v>0.8558558558558559</v>
      </c>
      <c r="J16" s="23" t="n">
        <f>SUMIFS('供应商责任底表'!$S$5:$S$1541,'供应商责任底表'!$A$5:$A$1541,$A16,'供应商责任底表'!$H$5:$H$1541,$C16,'供应商责任底表'!$F$5:$F$1541,$D16,'供应商责任底表'!$E$5:$E$1541,$E16)</f>
        <v>85.65151515151514</v>
      </c>
      <c r="K16" s="23" t="n">
        <f>SUMIFS('供应商责任底表'!$T$5:$T$1541,'供应商责任底表'!$A$5:$A$1541,$A16,'供应商责任底表'!$H$5:$H$1541,$C16,'供应商责任底表'!$F$5:$F$1541,$D16,'供应商责任底表'!$E$5:$E$1541,$E16)</f>
        <v>71.15151515151514</v>
      </c>
      <c r="L16" s="27" t="n">
        <f>IF(J16=0,"",K16/J16)</f>
        <v>0.8307093578630815</v>
      </c>
      <c r="M16" s="23" t="n">
        <f>SUMIFS('供应商责任底表'!$U$5:$U$1541,'供应商责任底表'!$A$5:$A$1541,$A16,'供应商责任底表'!$H$5:$H$1541,$C16,'供应商责任底表'!$F$5:$F$1541,$D16,'供应商责任底表'!$E$5:$E$1541,$E16)</f>
        <v>25.34848484848485</v>
      </c>
      <c r="N16" s="27" t="n">
        <f>IF(OR(F16=0,J16=0),"",L16-I16)</f>
        <v>-0.025146497992774353</v>
      </c>
      <c r="O16" s="23" t="n">
        <f>SUMIFS('供应商责任底表'!$V$5:$V$1541,'供应商责任底表'!$A$5:$A$1541,$A16,'供应商责任底表'!$H$5:$H$1541,$C16,'供应商责任底表'!$F$5:$F$1541,$D16,'供应商责任底表'!$E$5:$E$1541,$E16)</f>
        <v>0</v>
      </c>
    </row>
    <row r="17">
      <c r="A17" s="19" t="str">
        <v>德国区</v>
      </c>
      <c r="B17" s="19" t="str">
        <v>ProQuality GmbH</v>
      </c>
      <c r="C17" s="19" t="str">
        <v>S000261</v>
      </c>
      <c r="D17" s="19" t="str">
        <v>操作员</v>
      </c>
      <c r="E17" s="19" t="str">
        <v>2026-04</v>
      </c>
      <c r="F17" s="23" t="n">
        <f>SUMIFS('供应商责任底表'!$O$5:$O$1541,'供应商责任底表'!$A$5:$A$1541,$A17,'供应商责任底表'!$H$5:$H$1541,$C17,'供应商责任底表'!$F$5:$F$1541,$D17,'供应商责任底表'!$E$5:$E$1541,$E17)</f>
        <v>4</v>
      </c>
      <c r="G17" s="23" t="n">
        <f>SUMIFS('供应商责任底表'!$P$5:$P$1541,'供应商责任底表'!$A$5:$A$1541,$A17,'供应商责任底表'!$H$5:$H$1541,$C17,'供应商责任底表'!$F$5:$F$1541,$D17,'供应商责任底表'!$E$5:$E$1541,$E17)</f>
        <v>3</v>
      </c>
      <c r="H17" s="23" t="n">
        <f>SUMIFS('供应商责任底表'!$Q$5:$Q$1541,'供应商责任底表'!$A$5:$A$1541,$A17,'供应商责任底表'!$H$5:$H$1541,$C17,'供应商责任底表'!$F$5:$F$1541,$D17,'供应商责任底表'!$E$5:$E$1541,$E17)</f>
        <v>3</v>
      </c>
      <c r="I17" s="27" t="n">
        <f>IF(F17=0,"",H17/F17)</f>
        <v>0.75</v>
      </c>
      <c r="J17" s="23" t="n">
        <f>SUMIFS('供应商责任底表'!$S$5:$S$1541,'供应商责任底表'!$A$5:$A$1541,$A17,'供应商责任底表'!$H$5:$H$1541,$C17,'供应商责任底表'!$F$5:$F$1541,$D17,'供应商责任底表'!$E$5:$E$1541,$E17)</f>
        <v>4</v>
      </c>
      <c r="K17" s="23" t="n">
        <f>SUMIFS('供应商责任底表'!$T$5:$T$1541,'供应商责任底表'!$A$5:$A$1541,$A17,'供应商责任底表'!$H$5:$H$1541,$C17,'供应商责任底表'!$F$5:$F$1541,$D17,'供应商责任底表'!$E$5:$E$1541,$E17)</f>
        <v>3</v>
      </c>
      <c r="L17" s="27" t="n">
        <f>IF(J17=0,"",K17/J17)</f>
        <v>0.75</v>
      </c>
      <c r="M17" s="23" t="n">
        <f>SUMIFS('供应商责任底表'!$U$5:$U$1541,'供应商责任底表'!$A$5:$A$1541,$A17,'供应商责任底表'!$H$5:$H$1541,$C17,'供应商责任底表'!$F$5:$F$1541,$D17,'供应商责任底表'!$E$5:$E$1541,$E17)</f>
        <v>0</v>
      </c>
      <c r="N17" s="27" t="n">
        <f>IF(OR(F17=0,J17=0),"",L17-I17)</f>
        <v>0</v>
      </c>
      <c r="O17" s="23" t="n">
        <f>SUMIFS('供应商责任底表'!$V$5:$V$1541,'供应商责任底表'!$A$5:$A$1541,$A17,'供应商责任底表'!$H$5:$H$1541,$C17,'供应商责任底表'!$F$5:$F$1541,$D17,'供应商责任底表'!$E$5:$E$1541,$E17)</f>
        <v>0</v>
      </c>
    </row>
    <row r="18">
      <c r="A18" s="19" t="str">
        <v>德国区</v>
      </c>
      <c r="B18" s="19" t="str">
        <v>ProQuality GmbH</v>
      </c>
      <c r="C18" s="19" t="str">
        <v>S000261</v>
      </c>
      <c r="D18" s="19" t="str">
        <v>操作员</v>
      </c>
      <c r="E18" s="19" t="str">
        <v>2026-05</v>
      </c>
      <c r="F18" s="23" t="n">
        <f>SUMIFS('供应商责任底表'!$O$5:$O$1541,'供应商责任底表'!$A$5:$A$1541,$A18,'供应商责任底表'!$H$5:$H$1541,$C18,'供应商责任底表'!$F$5:$F$1541,$D18,'供应商责任底表'!$E$5:$E$1541,$E18)</f>
        <v>15</v>
      </c>
      <c r="G18" s="23" t="n">
        <f>SUMIFS('供应商责任底表'!$P$5:$P$1541,'供应商责任底表'!$A$5:$A$1541,$A18,'供应商责任底表'!$H$5:$H$1541,$C18,'供应商责任底表'!$F$5:$F$1541,$D18,'供应商责任底表'!$E$5:$E$1541,$E18)</f>
        <v>13</v>
      </c>
      <c r="H18" s="23" t="n">
        <f>SUMIFS('供应商责任底表'!$Q$5:$Q$1541,'供应商责任底表'!$A$5:$A$1541,$A18,'供应商责任底表'!$H$5:$H$1541,$C18,'供应商责任底表'!$F$5:$F$1541,$D18,'供应商责任底表'!$E$5:$E$1541,$E18)</f>
        <v>13</v>
      </c>
      <c r="I18" s="27" t="n">
        <f>IF(F18=0,"",H18/F18)</f>
        <v>0.8666666666666667</v>
      </c>
      <c r="J18" s="23" t="n">
        <f>SUMIFS('供应商责任底表'!$S$5:$S$1541,'供应商责任底表'!$A$5:$A$1541,$A18,'供应商责任底表'!$H$5:$H$1541,$C18,'供应商责任底表'!$F$5:$F$1541,$D18,'供应商责任底表'!$E$5:$E$1541,$E18)</f>
        <v>9.923076923076923</v>
      </c>
      <c r="K18" s="23" t="n">
        <f>SUMIFS('供应商责任底表'!$T$5:$T$1541,'供应商责任底表'!$A$5:$A$1541,$A18,'供应商责任底表'!$H$5:$H$1541,$C18,'供应商责任底表'!$F$5:$F$1541,$D18,'供应商责任底表'!$E$5:$E$1541,$E18)</f>
        <v>7.923076923076923</v>
      </c>
      <c r="L18" s="27" t="n">
        <f>IF(J18=0,"",K18/J18)</f>
        <v>0.7984496124031008</v>
      </c>
      <c r="M18" s="23" t="n">
        <f>SUMIFS('供应商责任底表'!$U$5:$U$1541,'供应商责任底表'!$A$5:$A$1541,$A18,'供应商责任底表'!$H$5:$H$1541,$C18,'供应商责任底表'!$F$5:$F$1541,$D18,'供应商责任底表'!$E$5:$E$1541,$E18)</f>
        <v>5.076923076923077</v>
      </c>
      <c r="N18" s="27" t="n">
        <f>IF(OR(F18=0,J18=0),"",L18-I18)</f>
        <v>-0.06821705426356595</v>
      </c>
      <c r="O18" s="23" t="n">
        <f>SUMIFS('供应商责任底表'!$V$5:$V$1541,'供应商责任底表'!$A$5:$A$1541,$A18,'供应商责任底表'!$H$5:$H$1541,$C18,'供应商责任底表'!$F$5:$F$1541,$D18,'供应商责任底表'!$E$5:$E$1541,$E18)</f>
        <v>0</v>
      </c>
    </row>
    <row r="19">
      <c r="A19" s="19" t="str">
        <v>德国区</v>
      </c>
      <c r="B19" s="19" t="str">
        <v>ProQuality GmbH</v>
      </c>
      <c r="C19" s="19" t="str">
        <v>S000261</v>
      </c>
      <c r="D19" s="19" t="str">
        <v>操作员</v>
      </c>
      <c r="E19" s="19" t="str">
        <v>2026-06</v>
      </c>
      <c r="F19" s="23" t="n">
        <f>SUMIFS('供应商责任底表'!$O$5:$O$1541,'供应商责任底表'!$A$5:$A$1541,$A19,'供应商责任底表'!$H$5:$H$1541,$C19,'供应商责任底表'!$F$5:$F$1541,$D19,'供应商责任底表'!$E$5:$E$1541,$E19)</f>
        <v>53</v>
      </c>
      <c r="G19" s="23" t="n">
        <f>SUMIFS('供应商责任底表'!$P$5:$P$1541,'供应商责任底表'!$A$5:$A$1541,$A19,'供应商责任底表'!$H$5:$H$1541,$C19,'供应商责任底表'!$F$5:$F$1541,$D19,'供应商责任底表'!$E$5:$E$1541,$E19)</f>
        <v>52</v>
      </c>
      <c r="H19" s="23" t="n">
        <f>SUMIFS('供应商责任底表'!$Q$5:$Q$1541,'供应商责任底表'!$A$5:$A$1541,$A19,'供应商责任底表'!$H$5:$H$1541,$C19,'供应商责任底表'!$F$5:$F$1541,$D19,'供应商责任底表'!$E$5:$E$1541,$E19)</f>
        <v>52</v>
      </c>
      <c r="I19" s="27" t="n">
        <f>IF(F19=0,"",H19/F19)</f>
        <v>0.9811320754716981</v>
      </c>
      <c r="J19" s="23" t="n">
        <f>SUMIFS('供应商责任底表'!$S$5:$S$1541,'供应商责任底表'!$A$5:$A$1541,$A19,'供应商责任底表'!$H$5:$H$1541,$C19,'供应商责任底表'!$F$5:$F$1541,$D19,'供应商责任底表'!$E$5:$E$1541,$E19)</f>
        <v>46.83333333333333</v>
      </c>
      <c r="K19" s="23" t="n">
        <f>SUMIFS('供应商责任底表'!$T$5:$T$1541,'供应商责任底表'!$A$5:$A$1541,$A19,'供应商责任底表'!$H$5:$H$1541,$C19,'供应商责任底表'!$F$5:$F$1541,$D19,'供应商责任底表'!$E$5:$E$1541,$E19)</f>
        <v>46.33333333333333</v>
      </c>
      <c r="L19" s="27" t="n">
        <f>IF(J19=0,"",K19/J19)</f>
        <v>0.9893238434163701</v>
      </c>
      <c r="M19" s="23" t="n">
        <f>SUMIFS('供应商责任底表'!$U$5:$U$1541,'供应商责任底表'!$A$5:$A$1541,$A19,'供应商责任底表'!$H$5:$H$1541,$C19,'供应商责任底表'!$F$5:$F$1541,$D19,'供应商责任底表'!$E$5:$E$1541,$E19)</f>
        <v>6.166666666666667</v>
      </c>
      <c r="N19" s="27" t="n">
        <f>IF(OR(F19=0,J19=0),"",L19-I19)</f>
        <v>0.008191767944672024</v>
      </c>
      <c r="O19" s="23" t="n">
        <f>SUMIFS('供应商责任底表'!$V$5:$V$1541,'供应商责任底表'!$A$5:$A$1541,$A19,'供应商责任底表'!$H$5:$H$1541,$C19,'供应商责任底表'!$F$5:$F$1541,$D19,'供应商责任底表'!$E$5:$E$1541,$E19)</f>
        <v>0</v>
      </c>
    </row>
    <row r="20">
      <c r="A20" s="19" t="str">
        <v>德国区</v>
      </c>
      <c r="B20" s="19" t="str">
        <v>Go4PrimeJobs GmbH</v>
      </c>
      <c r="C20" s="19" t="str">
        <v>S000276</v>
      </c>
      <c r="D20" s="19" t="str">
        <v>保洁员</v>
      </c>
      <c r="E20" s="19" t="str">
        <v>2026-05</v>
      </c>
      <c r="F20" s="23" t="n">
        <f>SUMIFS('供应商责任底表'!$O$5:$O$1541,'供应商责任底表'!$A$5:$A$1541,$A20,'供应商责任底表'!$H$5:$H$1541,$C20,'供应商责任底表'!$F$5:$F$1541,$D20,'供应商责任底表'!$E$5:$E$1541,$E20)</f>
        <v>2</v>
      </c>
      <c r="G20" s="23" t="n">
        <f>SUMIFS('供应商责任底表'!$P$5:$P$1541,'供应商责任底表'!$A$5:$A$1541,$A20,'供应商责任底表'!$H$5:$H$1541,$C20,'供应商责任底表'!$F$5:$F$1541,$D20,'供应商责任底表'!$E$5:$E$1541,$E20)</f>
        <v>2</v>
      </c>
      <c r="H20" s="23" t="n">
        <f>SUMIFS('供应商责任底表'!$Q$5:$Q$1541,'供应商责任底表'!$A$5:$A$1541,$A20,'供应商责任底表'!$H$5:$H$1541,$C20,'供应商责任底表'!$F$5:$F$1541,$D20,'供应商责任底表'!$E$5:$E$1541,$E20)</f>
        <v>2</v>
      </c>
      <c r="I20" s="27" t="n">
        <f>IF(F20=0,"",H20/F20)</f>
        <v>1</v>
      </c>
      <c r="J20" s="23" t="n">
        <f>SUMIFS('供应商责任底表'!$S$5:$S$1541,'供应商责任底表'!$A$5:$A$1541,$A20,'供应商责任底表'!$H$5:$H$1541,$C20,'供应商责任底表'!$F$5:$F$1541,$D20,'供应商责任底表'!$E$5:$E$1541,$E20)</f>
        <v>2</v>
      </c>
      <c r="K20" s="23" t="n">
        <f>SUMIFS('供应商责任底表'!$T$5:$T$1541,'供应商责任底表'!$A$5:$A$1541,$A20,'供应商责任底表'!$H$5:$H$1541,$C20,'供应商责任底表'!$F$5:$F$1541,$D20,'供应商责任底表'!$E$5:$E$1541,$E20)</f>
        <v>2</v>
      </c>
      <c r="L20" s="27" t="n">
        <f>IF(J20=0,"",K20/J20)</f>
        <v>1</v>
      </c>
      <c r="M20" s="23" t="n">
        <f>SUMIFS('供应商责任底表'!$U$5:$U$1541,'供应商责任底表'!$A$5:$A$1541,$A20,'供应商责任底表'!$H$5:$H$1541,$C20,'供应商责任底表'!$F$5:$F$1541,$D20,'供应商责任底表'!$E$5:$E$1541,$E20)</f>
        <v>0</v>
      </c>
      <c r="N20" s="27" t="n">
        <f>IF(OR(F20=0,J20=0),"",L20-I20)</f>
        <v>0</v>
      </c>
      <c r="O20" s="23" t="n">
        <f>SUMIFS('供应商责任底表'!$V$5:$V$1541,'供应商责任底表'!$A$5:$A$1541,$A20,'供应商责任底表'!$H$5:$H$1541,$C20,'供应商责任底表'!$F$5:$F$1541,$D20,'供应商责任底表'!$E$5:$E$1541,$E20)</f>
        <v>0</v>
      </c>
    </row>
    <row r="21">
      <c r="A21" s="19" t="str">
        <v>德国区</v>
      </c>
      <c r="B21" s="19" t="str">
        <v>Go4PrimeJobs GmbH</v>
      </c>
      <c r="C21" s="19" t="str">
        <v>S000276</v>
      </c>
      <c r="D21" s="19" t="str">
        <v>操作员</v>
      </c>
      <c r="E21" s="19" t="str">
        <v>2026-04</v>
      </c>
      <c r="F21" s="23" t="n">
        <f>SUMIFS('供应商责任底表'!$O$5:$O$1541,'供应商责任底表'!$A$5:$A$1541,$A21,'供应商责任底表'!$H$5:$H$1541,$C21,'供应商责任底表'!$F$5:$F$1541,$D21,'供应商责任底表'!$E$5:$E$1541,$E21)</f>
        <v>12</v>
      </c>
      <c r="G21" s="23" t="n">
        <f>SUMIFS('供应商责任底表'!$P$5:$P$1541,'供应商责任底表'!$A$5:$A$1541,$A21,'供应商责任底表'!$H$5:$H$1541,$C21,'供应商责任底表'!$F$5:$F$1541,$D21,'供应商责任底表'!$E$5:$E$1541,$E21)</f>
        <v>5</v>
      </c>
      <c r="H21" s="23" t="n">
        <f>SUMIFS('供应商责任底表'!$Q$5:$Q$1541,'供应商责任底表'!$A$5:$A$1541,$A21,'供应商责任底表'!$H$5:$H$1541,$C21,'供应商责任底表'!$F$5:$F$1541,$D21,'供应商责任底表'!$E$5:$E$1541,$E21)</f>
        <v>5</v>
      </c>
      <c r="I21" s="27" t="n">
        <f>IF(F21=0,"",H21/F21)</f>
        <v>0.4166666666666667</v>
      </c>
      <c r="J21" s="23" t="n">
        <f>SUMIFS('供应商责任底表'!$S$5:$S$1541,'供应商责任底表'!$A$5:$A$1541,$A21,'供应商责任底表'!$H$5:$H$1541,$C21,'供应商责任底表'!$F$5:$F$1541,$D21,'供应商责任底表'!$E$5:$E$1541,$E21)</f>
        <v>9.571428571428571</v>
      </c>
      <c r="K21" s="23" t="n">
        <f>SUMIFS('供应商责任底表'!$T$5:$T$1541,'供应商责任底表'!$A$5:$A$1541,$A21,'供应商责任底表'!$H$5:$H$1541,$C21,'供应商责任底表'!$F$5:$F$1541,$D21,'供应商责任底表'!$E$5:$E$1541,$E21)</f>
        <v>5</v>
      </c>
      <c r="L21" s="27" t="n">
        <f>IF(J21=0,"",K21/J21)</f>
        <v>0.5223880597014926</v>
      </c>
      <c r="M21" s="23" t="n">
        <f>SUMIFS('供应商责任底表'!$U$5:$U$1541,'供应商责任底表'!$A$5:$A$1541,$A21,'供应商责任底表'!$H$5:$H$1541,$C21,'供应商责任底表'!$F$5:$F$1541,$D21,'供应商责任底表'!$E$5:$E$1541,$E21)</f>
        <v>2.428571428571429</v>
      </c>
      <c r="N21" s="27" t="n">
        <f>IF(OR(F21=0,J21=0),"",L21-I21)</f>
        <v>0.10572139303482592</v>
      </c>
      <c r="O21" s="23" t="n">
        <f>SUMIFS('供应商责任底表'!$V$5:$V$1541,'供应商责任底表'!$A$5:$A$1541,$A21,'供应商责任底表'!$H$5:$H$1541,$C21,'供应商责任底表'!$F$5:$F$1541,$D21,'供应商责任底表'!$E$5:$E$1541,$E21)</f>
        <v>0</v>
      </c>
    </row>
    <row r="22">
      <c r="A22" s="19" t="str">
        <v>德国区</v>
      </c>
      <c r="B22" s="19" t="str">
        <v>Go4PrimeJobs GmbH</v>
      </c>
      <c r="C22" s="19" t="str">
        <v>S000276</v>
      </c>
      <c r="D22" s="19" t="str">
        <v>操作员</v>
      </c>
      <c r="E22" s="19" t="str">
        <v>2026-05</v>
      </c>
      <c r="F22" s="23" t="n">
        <f>SUMIFS('供应商责任底表'!$O$5:$O$1541,'供应商责任底表'!$A$5:$A$1541,$A22,'供应商责任底表'!$H$5:$H$1541,$C22,'供应商责任底表'!$F$5:$F$1541,$D22,'供应商责任底表'!$E$5:$E$1541,$E22)</f>
        <v>31</v>
      </c>
      <c r="G22" s="23" t="n">
        <f>SUMIFS('供应商责任底表'!$P$5:$P$1541,'供应商责任底表'!$A$5:$A$1541,$A22,'供应商责任底表'!$H$5:$H$1541,$C22,'供应商责任底表'!$F$5:$F$1541,$D22,'供应商责任底表'!$E$5:$E$1541,$E22)</f>
        <v>16</v>
      </c>
      <c r="H22" s="23" t="n">
        <f>SUMIFS('供应商责任底表'!$Q$5:$Q$1541,'供应商责任底表'!$A$5:$A$1541,$A22,'供应商责任底表'!$H$5:$H$1541,$C22,'供应商责任底表'!$F$5:$F$1541,$D22,'供应商责任底表'!$E$5:$E$1541,$E22)</f>
        <v>16</v>
      </c>
      <c r="I22" s="27" t="n">
        <f>IF(F22=0,"",H22/F22)</f>
        <v>0.5161290322580645</v>
      </c>
      <c r="J22" s="23" t="n">
        <f>SUMIFS('供应商责任底表'!$S$5:$S$1541,'供应商责任底表'!$A$5:$A$1541,$A22,'供应商责任底表'!$H$5:$H$1541,$C22,'供应商责任底表'!$F$5:$F$1541,$D22,'供应商责任底表'!$E$5:$E$1541,$E22)</f>
        <v>24.25</v>
      </c>
      <c r="K22" s="23" t="n">
        <f>SUMIFS('供应商责任底表'!$T$5:$T$1541,'供应商责任底表'!$A$5:$A$1541,$A22,'供应商责任底表'!$H$5:$H$1541,$C22,'供应商责任底表'!$F$5:$F$1541,$D22,'供应商责任底表'!$E$5:$E$1541,$E22)</f>
        <v>14.5</v>
      </c>
      <c r="L22" s="27" t="n">
        <f>IF(J22=0,"",K22/J22)</f>
        <v>0.5979381443298969</v>
      </c>
      <c r="M22" s="23" t="n">
        <f>SUMIFS('供应商责任底表'!$U$5:$U$1541,'供应商责任底表'!$A$5:$A$1541,$A22,'供应商责任底表'!$H$5:$H$1541,$C22,'供应商责任底表'!$F$5:$F$1541,$D22,'供应商责任底表'!$E$5:$E$1541,$E22)</f>
        <v>6.75</v>
      </c>
      <c r="N22" s="27" t="n">
        <f>IF(OR(F22=0,J22=0),"",L22-I22)</f>
        <v>0.08180911207183239</v>
      </c>
      <c r="O22" s="23" t="n">
        <f>SUMIFS('供应商责任底表'!$V$5:$V$1541,'供应商责任底表'!$A$5:$A$1541,$A22,'供应商责任底表'!$H$5:$H$1541,$C22,'供应商责任底表'!$F$5:$F$1541,$D22,'供应商责任底表'!$E$5:$E$1541,$E22)</f>
        <v>0</v>
      </c>
    </row>
    <row r="23">
      <c r="A23" s="19" t="str">
        <v>德国区</v>
      </c>
      <c r="B23" s="19" t="str">
        <v>Go4PrimeJobs GmbH</v>
      </c>
      <c r="C23" s="19" t="str">
        <v>S000276</v>
      </c>
      <c r="D23" s="19" t="str">
        <v>操作员</v>
      </c>
      <c r="E23" s="19" t="str">
        <v>2026-06</v>
      </c>
      <c r="F23" s="23" t="n">
        <f>SUMIFS('供应商责任底表'!$O$5:$O$1541,'供应商责任底表'!$A$5:$A$1541,$A23,'供应商责任底表'!$H$5:$H$1541,$C23,'供应商责任底表'!$F$5:$F$1541,$D23,'供应商责任底表'!$E$5:$E$1541,$E23)</f>
        <v>74</v>
      </c>
      <c r="G23" s="23" t="n">
        <f>SUMIFS('供应商责任底表'!$P$5:$P$1541,'供应商责任底表'!$A$5:$A$1541,$A23,'供应商责任底表'!$H$5:$H$1541,$C23,'供应商责任底表'!$F$5:$F$1541,$D23,'供应商责任底表'!$E$5:$E$1541,$E23)</f>
        <v>49</v>
      </c>
      <c r="H23" s="23" t="n">
        <f>SUMIFS('供应商责任底表'!$Q$5:$Q$1541,'供应商责任底表'!$A$5:$A$1541,$A23,'供应商责任底表'!$H$5:$H$1541,$C23,'供应商责任底表'!$F$5:$F$1541,$D23,'供应商责任底表'!$E$5:$E$1541,$E23)</f>
        <v>49</v>
      </c>
      <c r="I23" s="27" t="n">
        <f>IF(F23=0,"",H23/F23)</f>
        <v>0.6621621621621622</v>
      </c>
      <c r="J23" s="23" t="n">
        <f>SUMIFS('供应商责任底表'!$S$5:$S$1541,'供应商责任底表'!$A$5:$A$1541,$A23,'供应商责任底表'!$H$5:$H$1541,$C23,'供应商责任底表'!$F$5:$F$1541,$D23,'供应商责任底表'!$E$5:$E$1541,$E23)</f>
        <v>63.92857142857142</v>
      </c>
      <c r="K23" s="23" t="n">
        <f>SUMIFS('供应商责任底表'!$T$5:$T$1541,'供应商责任底表'!$A$5:$A$1541,$A23,'供应商责任底表'!$H$5:$H$1541,$C23,'供应商责任底表'!$F$5:$F$1541,$D23,'供应商责任底表'!$E$5:$E$1541,$E23)</f>
        <v>42.666666666666664</v>
      </c>
      <c r="L23" s="27" t="n">
        <f>IF(J23=0,"",K23/J23)</f>
        <v>0.6674115456238361</v>
      </c>
      <c r="M23" s="23" t="n">
        <f>SUMIFS('供应商责任底表'!$U$5:$U$1541,'供应商责任底表'!$A$5:$A$1541,$A23,'供应商责任底表'!$H$5:$H$1541,$C23,'供应商责任底表'!$F$5:$F$1541,$D23,'供应商责任底表'!$E$5:$E$1541,$E23)</f>
        <v>10.071428571428571</v>
      </c>
      <c r="N23" s="27" t="n">
        <f>IF(OR(F23=0,J23=0),"",L23-I23)</f>
        <v>0.005249383461673918</v>
      </c>
      <c r="O23" s="23" t="n">
        <f>SUMIFS('供应商责任底表'!$V$5:$V$1541,'供应商责任底表'!$A$5:$A$1541,$A23,'供应商责任底表'!$H$5:$H$1541,$C23,'供应商责任底表'!$F$5:$F$1541,$D23,'供应商责任底表'!$E$5:$E$1541,$E23)</f>
        <v>0</v>
      </c>
    </row>
    <row r="24">
      <c r="A24" s="19" t="str">
        <v>德国区</v>
      </c>
      <c r="B24" s="19" t="str">
        <v>Armz GmbH</v>
      </c>
      <c r="C24" s="19" t="str">
        <v>S000279</v>
      </c>
      <c r="D24" s="19" t="str">
        <v>保洁员</v>
      </c>
      <c r="E24" s="19" t="str">
        <v>2026-06</v>
      </c>
      <c r="F24" s="23" t="n">
        <f>SUMIFS('供应商责任底表'!$O$5:$O$1541,'供应商责任底表'!$A$5:$A$1541,$A24,'供应商责任底表'!$H$5:$H$1541,$C24,'供应商责任底表'!$F$5:$F$1541,$D24,'供应商责任底表'!$E$5:$E$1541,$E24)</f>
        <v>2</v>
      </c>
      <c r="G24" s="23" t="n">
        <f>SUMIFS('供应商责任底表'!$P$5:$P$1541,'供应商责任底表'!$A$5:$A$1541,$A24,'供应商责任底表'!$H$5:$H$1541,$C24,'供应商责任底表'!$F$5:$F$1541,$D24,'供应商责任底表'!$E$5:$E$1541,$E24)</f>
        <v>2</v>
      </c>
      <c r="H24" s="23" t="n">
        <f>SUMIFS('供应商责任底表'!$Q$5:$Q$1541,'供应商责任底表'!$A$5:$A$1541,$A24,'供应商责任底表'!$H$5:$H$1541,$C24,'供应商责任底表'!$F$5:$F$1541,$D24,'供应商责任底表'!$E$5:$E$1541,$E24)</f>
        <v>2</v>
      </c>
      <c r="I24" s="27" t="n">
        <f>IF(F24=0,"",H24/F24)</f>
        <v>1</v>
      </c>
      <c r="J24" s="23" t="n">
        <f>SUMIFS('供应商责任底表'!$S$5:$S$1541,'供应商责任底表'!$A$5:$A$1541,$A24,'供应商责任底表'!$H$5:$H$1541,$C24,'供应商责任底表'!$F$5:$F$1541,$D24,'供应商责任底表'!$E$5:$E$1541,$E24)</f>
        <v>2</v>
      </c>
      <c r="K24" s="23" t="n">
        <f>SUMIFS('供应商责任底表'!$T$5:$T$1541,'供应商责任底表'!$A$5:$A$1541,$A24,'供应商责任底表'!$H$5:$H$1541,$C24,'供应商责任底表'!$F$5:$F$1541,$D24,'供应商责任底表'!$E$5:$E$1541,$E24)</f>
        <v>2</v>
      </c>
      <c r="L24" s="27" t="n">
        <f>IF(J24=0,"",K24/J24)</f>
        <v>1</v>
      </c>
      <c r="M24" s="23" t="n">
        <f>SUMIFS('供应商责任底表'!$U$5:$U$1541,'供应商责任底表'!$A$5:$A$1541,$A24,'供应商责任底表'!$H$5:$H$1541,$C24,'供应商责任底表'!$F$5:$F$1541,$D24,'供应商责任底表'!$E$5:$E$1541,$E24)</f>
        <v>0</v>
      </c>
      <c r="N24" s="27" t="n">
        <f>IF(OR(F24=0,J24=0),"",L24-I24)</f>
        <v>0</v>
      </c>
      <c r="O24" s="23" t="n">
        <f>SUMIFS('供应商责任底表'!$V$5:$V$1541,'供应商责任底表'!$A$5:$A$1541,$A24,'供应商责任底表'!$H$5:$H$1541,$C24,'供应商责任底表'!$F$5:$F$1541,$D24,'供应商责任底表'!$E$5:$E$1541,$E24)</f>
        <v>0</v>
      </c>
    </row>
    <row r="25">
      <c r="A25" s="19" t="str">
        <v>德国区</v>
      </c>
      <c r="B25" s="19" t="str">
        <v>Armz GmbH</v>
      </c>
      <c r="C25" s="19" t="str">
        <v>S000279</v>
      </c>
      <c r="D25" s="19" t="str">
        <v>售后处理员</v>
      </c>
      <c r="E25" s="19" t="str">
        <v>2026-05</v>
      </c>
      <c r="F25" s="23" t="n">
        <f>SUMIFS('供应商责任底表'!$O$5:$O$1541,'供应商责任底表'!$A$5:$A$1541,$A25,'供应商责任底表'!$H$5:$H$1541,$C25,'供应商责任底表'!$F$5:$F$1541,$D25,'供应商责任底表'!$E$5:$E$1541,$E25)</f>
        <v>6</v>
      </c>
      <c r="G25" s="23" t="n">
        <f>SUMIFS('供应商责任底表'!$P$5:$P$1541,'供应商责任底表'!$A$5:$A$1541,$A25,'供应商责任底表'!$H$5:$H$1541,$C25,'供应商责任底表'!$F$5:$F$1541,$D25,'供应商责任底表'!$E$5:$E$1541,$E25)</f>
        <v>3</v>
      </c>
      <c r="H25" s="23" t="n">
        <f>SUMIFS('供应商责任底表'!$Q$5:$Q$1541,'供应商责任底表'!$A$5:$A$1541,$A25,'供应商责任底表'!$H$5:$H$1541,$C25,'供应商责任底表'!$F$5:$F$1541,$D25,'供应商责任底表'!$E$5:$E$1541,$E25)</f>
        <v>3</v>
      </c>
      <c r="I25" s="27" t="n">
        <f>IF(F25=0,"",H25/F25)</f>
        <v>0.5</v>
      </c>
      <c r="J25" s="23" t="n">
        <f>SUMIFS('供应商责任底表'!$S$5:$S$1541,'供应商责任底表'!$A$5:$A$1541,$A25,'供应商责任底表'!$H$5:$H$1541,$C25,'供应商责任底表'!$F$5:$F$1541,$D25,'供应商责任底表'!$E$5:$E$1541,$E25)</f>
        <v>6</v>
      </c>
      <c r="K25" s="23" t="n">
        <f>SUMIFS('供应商责任底表'!$T$5:$T$1541,'供应商责任底表'!$A$5:$A$1541,$A25,'供应商责任底表'!$H$5:$H$1541,$C25,'供应商责任底表'!$F$5:$F$1541,$D25,'供应商责任底表'!$E$5:$E$1541,$E25)</f>
        <v>3</v>
      </c>
      <c r="L25" s="27" t="n">
        <f>IF(J25=0,"",K25/J25)</f>
        <v>0.5</v>
      </c>
      <c r="M25" s="23" t="n">
        <f>SUMIFS('供应商责任底表'!$U$5:$U$1541,'供应商责任底表'!$A$5:$A$1541,$A25,'供应商责任底表'!$H$5:$H$1541,$C25,'供应商责任底表'!$F$5:$F$1541,$D25,'供应商责任底表'!$E$5:$E$1541,$E25)</f>
        <v>0</v>
      </c>
      <c r="N25" s="27" t="n">
        <f>IF(OR(F25=0,J25=0),"",L25-I25)</f>
        <v>0</v>
      </c>
      <c r="O25" s="23" t="n">
        <f>SUMIFS('供应商责任底表'!$V$5:$V$1541,'供应商责任底表'!$A$5:$A$1541,$A25,'供应商责任底表'!$H$5:$H$1541,$C25,'供应商责任底表'!$F$5:$F$1541,$D25,'供应商责任底表'!$E$5:$E$1541,$E25)</f>
        <v>0</v>
      </c>
    </row>
    <row r="26">
      <c r="A26" s="19" t="str">
        <v>德国区</v>
      </c>
      <c r="B26" s="19" t="str">
        <v>Armz GmbH</v>
      </c>
      <c r="C26" s="19" t="str">
        <v>S000279</v>
      </c>
      <c r="D26" s="19" t="str">
        <v>售后处理员</v>
      </c>
      <c r="E26" s="19" t="str">
        <v>2026-06</v>
      </c>
      <c r="F26" s="23" t="n">
        <f>SUMIFS('供应商责任底表'!$O$5:$O$1541,'供应商责任底表'!$A$5:$A$1541,$A26,'供应商责任底表'!$H$5:$H$1541,$C26,'供应商责任底表'!$F$5:$F$1541,$D26,'供应商责任底表'!$E$5:$E$1541,$E26)</f>
        <v>3</v>
      </c>
      <c r="G26" s="23" t="n">
        <f>SUMIFS('供应商责任底表'!$P$5:$P$1541,'供应商责任底表'!$A$5:$A$1541,$A26,'供应商责任底表'!$H$5:$H$1541,$C26,'供应商责任底表'!$F$5:$F$1541,$D26,'供应商责任底表'!$E$5:$E$1541,$E26)</f>
        <v>2</v>
      </c>
      <c r="H26" s="23" t="n">
        <f>SUMIFS('供应商责任底表'!$Q$5:$Q$1541,'供应商责任底表'!$A$5:$A$1541,$A26,'供应商责任底表'!$H$5:$H$1541,$C26,'供应商责任底表'!$F$5:$F$1541,$D26,'供应商责任底表'!$E$5:$E$1541,$E26)</f>
        <v>2</v>
      </c>
      <c r="I26" s="27" t="n">
        <f>IF(F26=0,"",H26/F26)</f>
        <v>0.6666666666666666</v>
      </c>
      <c r="J26" s="23" t="n">
        <f>SUMIFS('供应商责任底表'!$S$5:$S$1541,'供应商责任底表'!$A$5:$A$1541,$A26,'供应商责任底表'!$H$5:$H$1541,$C26,'供应商责任底表'!$F$5:$F$1541,$D26,'供应商责任底表'!$E$5:$E$1541,$E26)</f>
        <v>3</v>
      </c>
      <c r="K26" s="23" t="n">
        <f>SUMIFS('供应商责任底表'!$T$5:$T$1541,'供应商责任底表'!$A$5:$A$1541,$A26,'供应商责任底表'!$H$5:$H$1541,$C26,'供应商责任底表'!$F$5:$F$1541,$D26,'供应商责任底表'!$E$5:$E$1541,$E26)</f>
        <v>2</v>
      </c>
      <c r="L26" s="27" t="n">
        <f>IF(J26=0,"",K26/J26)</f>
        <v>0.6666666666666666</v>
      </c>
      <c r="M26" s="23" t="n">
        <f>SUMIFS('供应商责任底表'!$U$5:$U$1541,'供应商责任底表'!$A$5:$A$1541,$A26,'供应商责任底表'!$H$5:$H$1541,$C26,'供应商责任底表'!$F$5:$F$1541,$D26,'供应商责任底表'!$E$5:$E$1541,$E26)</f>
        <v>0</v>
      </c>
      <c r="N26" s="27" t="n">
        <f>IF(OR(F26=0,J26=0),"",L26-I26)</f>
        <v>0</v>
      </c>
      <c r="O26" s="23" t="n">
        <f>SUMIFS('供应商责任底表'!$V$5:$V$1541,'供应商责任底表'!$A$5:$A$1541,$A26,'供应商责任底表'!$H$5:$H$1541,$C26,'供应商责任底表'!$F$5:$F$1541,$D26,'供应商责任底表'!$E$5:$E$1541,$E26)</f>
        <v>0</v>
      </c>
    </row>
    <row r="27">
      <c r="A27" s="19" t="str">
        <v>德国区</v>
      </c>
      <c r="B27" s="19" t="str">
        <v>Armz GmbH</v>
      </c>
      <c r="C27" s="19" t="str">
        <v>S000279</v>
      </c>
      <c r="D27" s="19" t="str">
        <v>操作员</v>
      </c>
      <c r="E27" s="19" t="str">
        <v>2026-04</v>
      </c>
      <c r="F27" s="23" t="n">
        <f>SUMIFS('供应商责任底表'!$O$5:$O$1541,'供应商责任底表'!$A$5:$A$1541,$A27,'供应商责任底表'!$H$5:$H$1541,$C27,'供应商责任底表'!$F$5:$F$1541,$D27,'供应商责任底表'!$E$5:$E$1541,$E27)</f>
        <v>44</v>
      </c>
      <c r="G27" s="23" t="n">
        <f>SUMIFS('供应商责任底表'!$P$5:$P$1541,'供应商责任底表'!$A$5:$A$1541,$A27,'供应商责任底表'!$H$5:$H$1541,$C27,'供应商责任底表'!$F$5:$F$1541,$D27,'供应商责任底表'!$E$5:$E$1541,$E27)</f>
        <v>35</v>
      </c>
      <c r="H27" s="23" t="n">
        <f>SUMIFS('供应商责任底表'!$Q$5:$Q$1541,'供应商责任底表'!$A$5:$A$1541,$A27,'供应商责任底表'!$H$5:$H$1541,$C27,'供应商责任底表'!$F$5:$F$1541,$D27,'供应商责任底表'!$E$5:$E$1541,$E27)</f>
        <v>35</v>
      </c>
      <c r="I27" s="27" t="n">
        <f>IF(F27=0,"",H27/F27)</f>
        <v>0.7954545454545454</v>
      </c>
      <c r="J27" s="23" t="n">
        <f>SUMIFS('供应商责任底表'!$S$5:$S$1541,'供应商责任底表'!$A$5:$A$1541,$A27,'供应商责任底表'!$H$5:$H$1541,$C27,'供应商责任底表'!$F$5:$F$1541,$D27,'供应商责任底表'!$E$5:$E$1541,$E27)</f>
        <v>34.14285714285714</v>
      </c>
      <c r="K27" s="23" t="n">
        <f>SUMIFS('供应商责任底表'!$T$5:$T$1541,'供应商责任底表'!$A$5:$A$1541,$A27,'供应商责任底表'!$H$5:$H$1541,$C27,'供应商责任底表'!$F$5:$F$1541,$D27,'供应商责任底表'!$E$5:$E$1541,$E27)</f>
        <v>32.14285714285714</v>
      </c>
      <c r="L27" s="27" t="n">
        <f>IF(J27=0,"",K27/J27)</f>
        <v>0.9414225941422594</v>
      </c>
      <c r="M27" s="23" t="n">
        <f>SUMIFS('供应商责任底表'!$U$5:$U$1541,'供应商责任底表'!$A$5:$A$1541,$A27,'供应商责任底表'!$H$5:$H$1541,$C27,'供应商责任底表'!$F$5:$F$1541,$D27,'供应商责任底表'!$E$5:$E$1541,$E27)</f>
        <v>9.857142857142858</v>
      </c>
      <c r="N27" s="27" t="n">
        <f>IF(OR(F27=0,J27=0),"",L27-I27)</f>
        <v>0.14596804868771396</v>
      </c>
      <c r="O27" s="23" t="n">
        <f>SUMIFS('供应商责任底表'!$V$5:$V$1541,'供应商责任底表'!$A$5:$A$1541,$A27,'供应商责任底表'!$H$5:$H$1541,$C27,'供应商责任底表'!$F$5:$F$1541,$D27,'供应商责任底表'!$E$5:$E$1541,$E27)</f>
        <v>0</v>
      </c>
    </row>
    <row r="28">
      <c r="A28" s="19" t="str">
        <v>德国区</v>
      </c>
      <c r="B28" s="19" t="str">
        <v>Armz GmbH</v>
      </c>
      <c r="C28" s="19" t="str">
        <v>S000279</v>
      </c>
      <c r="D28" s="19" t="str">
        <v>操作员</v>
      </c>
      <c r="E28" s="19" t="str">
        <v>2026-05</v>
      </c>
      <c r="F28" s="23" t="n">
        <f>SUMIFS('供应商责任底表'!$O$5:$O$1541,'供应商责任底表'!$A$5:$A$1541,$A28,'供应商责任底表'!$H$5:$H$1541,$C28,'供应商责任底表'!$F$5:$F$1541,$D28,'供应商责任底表'!$E$5:$E$1541,$E28)</f>
        <v>95</v>
      </c>
      <c r="G28" s="23" t="n">
        <f>SUMIFS('供应商责任底表'!$P$5:$P$1541,'供应商责任底表'!$A$5:$A$1541,$A28,'供应商责任底表'!$H$5:$H$1541,$C28,'供应商责任底表'!$F$5:$F$1541,$D28,'供应商责任底表'!$E$5:$E$1541,$E28)</f>
        <v>86</v>
      </c>
      <c r="H28" s="23" t="n">
        <f>SUMIFS('供应商责任底表'!$Q$5:$Q$1541,'供应商责任底表'!$A$5:$A$1541,$A28,'供应商责任底表'!$H$5:$H$1541,$C28,'供应商责任底表'!$F$5:$F$1541,$D28,'供应商责任底表'!$E$5:$E$1541,$E28)</f>
        <v>86</v>
      </c>
      <c r="I28" s="27" t="n">
        <f>IF(F28=0,"",H28/F28)</f>
        <v>0.9052631578947369</v>
      </c>
      <c r="J28" s="23" t="n">
        <f>SUMIFS('供应商责任底表'!$S$5:$S$1541,'供应商责任底表'!$A$5:$A$1541,$A28,'供应商责任底表'!$H$5:$H$1541,$C28,'供应商责任底表'!$F$5:$F$1541,$D28,'供应商责任底表'!$E$5:$E$1541,$E28)</f>
        <v>84.95833333333334</v>
      </c>
      <c r="K28" s="23" t="n">
        <f>SUMIFS('供应商责任底表'!$T$5:$T$1541,'供应商责任底表'!$A$5:$A$1541,$A28,'供应商责任底表'!$H$5:$H$1541,$C28,'供应商责任底表'!$F$5:$F$1541,$D28,'供应商责任底表'!$E$5:$E$1541,$E28)</f>
        <v>77.625</v>
      </c>
      <c r="L28" s="27" t="n">
        <f>IF(J28=0,"",K28/J28)</f>
        <v>0.9136831780284452</v>
      </c>
      <c r="M28" s="23" t="n">
        <f>SUMIFS('供应商责任底表'!$U$5:$U$1541,'供应商责任底表'!$A$5:$A$1541,$A28,'供应商责任底表'!$H$5:$H$1541,$C28,'供应商责任底表'!$F$5:$F$1541,$D28,'供应商责任底表'!$E$5:$E$1541,$E28)</f>
        <v>10.041666666666668</v>
      </c>
      <c r="N28" s="27" t="n">
        <f>IF(OR(F28=0,J28=0),"",L28-I28)</f>
        <v>0.00842002013370835</v>
      </c>
      <c r="O28" s="23" t="n">
        <f>SUMIFS('供应商责任底表'!$V$5:$V$1541,'供应商责任底表'!$A$5:$A$1541,$A28,'供应商责任底表'!$H$5:$H$1541,$C28,'供应商责任底表'!$F$5:$F$1541,$D28,'供应商责任底表'!$E$5:$E$1541,$E28)</f>
        <v>0</v>
      </c>
    </row>
    <row r="29">
      <c r="A29" s="19" t="str">
        <v>德国区</v>
      </c>
      <c r="B29" s="19" t="str">
        <v>Armz GmbH</v>
      </c>
      <c r="C29" s="19" t="str">
        <v>S000279</v>
      </c>
      <c r="D29" s="19" t="str">
        <v>操作员</v>
      </c>
      <c r="E29" s="19" t="str">
        <v>2026-06</v>
      </c>
      <c r="F29" s="23" t="n">
        <f>SUMIFS('供应商责任底表'!$O$5:$O$1541,'供应商责任底表'!$A$5:$A$1541,$A29,'供应商责任底表'!$H$5:$H$1541,$C29,'供应商责任底表'!$F$5:$F$1541,$D29,'供应商责任底表'!$E$5:$E$1541,$E29)</f>
        <v>176</v>
      </c>
      <c r="G29" s="23" t="n">
        <f>SUMIFS('供应商责任底表'!$P$5:$P$1541,'供应商责任底表'!$A$5:$A$1541,$A29,'供应商责任底表'!$H$5:$H$1541,$C29,'供应商责任底表'!$F$5:$F$1541,$D29,'供应商责任底表'!$E$5:$E$1541,$E29)</f>
        <v>129</v>
      </c>
      <c r="H29" s="23" t="n">
        <f>SUMIFS('供应商责任底表'!$Q$5:$Q$1541,'供应商责任底表'!$A$5:$A$1541,$A29,'供应商责任底表'!$H$5:$H$1541,$C29,'供应商责任底表'!$F$5:$F$1541,$D29,'供应商责任底表'!$E$5:$E$1541,$E29)</f>
        <v>129</v>
      </c>
      <c r="I29" s="27" t="n">
        <f>IF(F29=0,"",H29/F29)</f>
        <v>0.7329545454545454</v>
      </c>
      <c r="J29" s="23" t="n">
        <f>SUMIFS('供应商责任底表'!$S$5:$S$1541,'供应商责任底表'!$A$5:$A$1541,$A29,'供应商责任底表'!$H$5:$H$1541,$C29,'供应商责任底表'!$F$5:$F$1541,$D29,'供应商责任底表'!$E$5:$E$1541,$E29)</f>
        <v>138.97070707070708</v>
      </c>
      <c r="K29" s="23" t="n">
        <f>SUMIFS('供应商责任底表'!$T$5:$T$1541,'供应商责任底表'!$A$5:$A$1541,$A29,'供应商责任底表'!$H$5:$H$1541,$C29,'供应商责任底表'!$F$5:$F$1541,$D29,'供应商责任底表'!$E$5:$E$1541,$E29)</f>
        <v>101.23333333333333</v>
      </c>
      <c r="L29" s="27" t="n">
        <f>IF(J29=0,"",K29/J29)</f>
        <v>0.7284508762111047</v>
      </c>
      <c r="M29" s="23" t="n">
        <f>SUMIFS('供应商责任底表'!$U$5:$U$1541,'供应商责任底表'!$A$5:$A$1541,$A29,'供应商责任底表'!$H$5:$H$1541,$C29,'供应商责任底表'!$F$5:$F$1541,$D29,'供应商责任底表'!$E$5:$E$1541,$E29)</f>
        <v>37.02929292929293</v>
      </c>
      <c r="N29" s="27" t="n">
        <f>IF(OR(F29=0,J29=0),"",L29-I29)</f>
        <v>-0.0045036692434407</v>
      </c>
      <c r="O29" s="23" t="n">
        <f>SUMIFS('供应商责任底表'!$V$5:$V$1541,'供应商责任底表'!$A$5:$A$1541,$A29,'供应商责任底表'!$H$5:$H$1541,$C29,'供应商责任底表'!$F$5:$F$1541,$D29,'供应商责任底表'!$E$5:$E$1541,$E29)</f>
        <v>0</v>
      </c>
    </row>
    <row r="30">
      <c r="A30" s="19" t="str">
        <v>德国区</v>
      </c>
      <c r="B30" s="19" t="str">
        <v>LeXpersonal GmbH</v>
      </c>
      <c r="C30" s="19" t="str">
        <v>S000300</v>
      </c>
      <c r="D30" s="19" t="str">
        <v>售后处理员</v>
      </c>
      <c r="E30" s="19" t="str">
        <v>2026-05</v>
      </c>
      <c r="F30" s="23" t="n">
        <f>SUMIFS('供应商责任底表'!$O$5:$O$1541,'供应商责任底表'!$A$5:$A$1541,$A30,'供应商责任底表'!$H$5:$H$1541,$C30,'供应商责任底表'!$F$5:$F$1541,$D30,'供应商责任底表'!$E$5:$E$1541,$E30)</f>
        <v>4</v>
      </c>
      <c r="G30" s="23" t="n">
        <f>SUMIFS('供应商责任底表'!$P$5:$P$1541,'供应商责任底表'!$A$5:$A$1541,$A30,'供应商责任底表'!$H$5:$H$1541,$C30,'供应商责任底表'!$F$5:$F$1541,$D30,'供应商责任底表'!$E$5:$E$1541,$E30)</f>
        <v>0</v>
      </c>
      <c r="H30" s="23" t="n">
        <f>SUMIFS('供应商责任底表'!$Q$5:$Q$1541,'供应商责任底表'!$A$5:$A$1541,$A30,'供应商责任底表'!$H$5:$H$1541,$C30,'供应商责任底表'!$F$5:$F$1541,$D30,'供应商责任底表'!$E$5:$E$1541,$E30)</f>
        <v>0</v>
      </c>
      <c r="I30" s="27" t="n">
        <f>IF(F30=0,"",H30/F30)</f>
        <v>0</v>
      </c>
      <c r="J30" s="23" t="n">
        <f>SUMIFS('供应商责任底表'!$S$5:$S$1541,'供应商责任底表'!$A$5:$A$1541,$A30,'供应商责任底表'!$H$5:$H$1541,$C30,'供应商责任底表'!$F$5:$F$1541,$D30,'供应商责任底表'!$E$5:$E$1541,$E30)</f>
        <v>3</v>
      </c>
      <c r="K30" s="23" t="n">
        <f>SUMIFS('供应商责任底表'!$T$5:$T$1541,'供应商责任底表'!$A$5:$A$1541,$A30,'供应商责任底表'!$H$5:$H$1541,$C30,'供应商责任底表'!$F$5:$F$1541,$D30,'供应商责任底表'!$E$5:$E$1541,$E30)</f>
        <v>0</v>
      </c>
      <c r="L30" s="27" t="n">
        <f>IF(J30=0,"",K30/J30)</f>
        <v>0</v>
      </c>
      <c r="M30" s="23" t="n">
        <f>SUMIFS('供应商责任底表'!$U$5:$U$1541,'供应商责任底表'!$A$5:$A$1541,$A30,'供应商责任底表'!$H$5:$H$1541,$C30,'供应商责任底表'!$F$5:$F$1541,$D30,'供应商责任底表'!$E$5:$E$1541,$E30)</f>
        <v>1</v>
      </c>
      <c r="N30" s="27" t="n">
        <f>IF(OR(F30=0,J30=0),"",L30-I30)</f>
        <v>0</v>
      </c>
      <c r="O30" s="23" t="n">
        <f>SUMIFS('供应商责任底表'!$V$5:$V$1541,'供应商责任底表'!$A$5:$A$1541,$A30,'供应商责任底表'!$H$5:$H$1541,$C30,'供应商责任底表'!$F$5:$F$1541,$D30,'供应商责任底表'!$E$5:$E$1541,$E30)</f>
        <v>0</v>
      </c>
    </row>
    <row r="31">
      <c r="A31" s="19" t="str">
        <v>德国区</v>
      </c>
      <c r="B31" s="19" t="str">
        <v>LeXpersonal GmbH</v>
      </c>
      <c r="C31" s="19" t="str">
        <v>S000300</v>
      </c>
      <c r="D31" s="19" t="str">
        <v>操作员</v>
      </c>
      <c r="E31" s="19" t="str">
        <v>2026-05</v>
      </c>
      <c r="F31" s="23" t="n">
        <f>SUMIFS('供应商责任底表'!$O$5:$O$1541,'供应商责任底表'!$A$5:$A$1541,$A31,'供应商责任底表'!$H$5:$H$1541,$C31,'供应商责任底表'!$F$5:$F$1541,$D31,'供应商责任底表'!$E$5:$E$1541,$E31)</f>
        <v>32</v>
      </c>
      <c r="G31" s="23" t="n">
        <f>SUMIFS('供应商责任底表'!$P$5:$P$1541,'供应商责任底表'!$A$5:$A$1541,$A31,'供应商责任底表'!$H$5:$H$1541,$C31,'供应商责任底表'!$F$5:$F$1541,$D31,'供应商责任底表'!$E$5:$E$1541,$E31)</f>
        <v>31</v>
      </c>
      <c r="H31" s="23" t="n">
        <f>SUMIFS('供应商责任底表'!$Q$5:$Q$1541,'供应商责任底表'!$A$5:$A$1541,$A31,'供应商责任底表'!$H$5:$H$1541,$C31,'供应商责任底表'!$F$5:$F$1541,$D31,'供应商责任底表'!$E$5:$E$1541,$E31)</f>
        <v>31</v>
      </c>
      <c r="I31" s="27" t="n">
        <f>IF(F31=0,"",H31/F31)</f>
        <v>0.96875</v>
      </c>
      <c r="J31" s="23" t="n">
        <f>SUMIFS('供应商责任底表'!$S$5:$S$1541,'供应商责任底表'!$A$5:$A$1541,$A31,'供应商责任底表'!$H$5:$H$1541,$C31,'供应商责任底表'!$F$5:$F$1541,$D31,'供应商责任底表'!$E$5:$E$1541,$E31)</f>
        <v>28</v>
      </c>
      <c r="K31" s="23" t="n">
        <f>SUMIFS('供应商责任底表'!$T$5:$T$1541,'供应商责任底表'!$A$5:$A$1541,$A31,'供应商责任底表'!$H$5:$H$1541,$C31,'供应商责任底表'!$F$5:$F$1541,$D31,'供应商责任底表'!$E$5:$E$1541,$E31)</f>
        <v>28</v>
      </c>
      <c r="L31" s="27" t="n">
        <f>IF(J31=0,"",K31/J31)</f>
        <v>1</v>
      </c>
      <c r="M31" s="23" t="n">
        <f>SUMIFS('供应商责任底表'!$U$5:$U$1541,'供应商责任底表'!$A$5:$A$1541,$A31,'供应商责任底表'!$H$5:$H$1541,$C31,'供应商责任底表'!$F$5:$F$1541,$D31,'供应商责任底表'!$E$5:$E$1541,$E31)</f>
        <v>4</v>
      </c>
      <c r="N31" s="27" t="n">
        <f>IF(OR(F31=0,J31=0),"",L31-I31)</f>
        <v>0.03125</v>
      </c>
      <c r="O31" s="23" t="n">
        <f>SUMIFS('供应商责任底表'!$V$5:$V$1541,'供应商责任底表'!$A$5:$A$1541,$A31,'供应商责任底表'!$H$5:$H$1541,$C31,'供应商责任底表'!$F$5:$F$1541,$D31,'供应商责任底表'!$E$5:$E$1541,$E31)</f>
        <v>0</v>
      </c>
    </row>
    <row r="32">
      <c r="A32" s="19" t="str">
        <v>德国区</v>
      </c>
      <c r="B32" s="19" t="str">
        <v>LeXpersonal GmbH</v>
      </c>
      <c r="C32" s="19" t="str">
        <v>S000300</v>
      </c>
      <c r="D32" s="19" t="str">
        <v>操作员</v>
      </c>
      <c r="E32" s="19" t="str">
        <v>2026-06</v>
      </c>
      <c r="F32" s="23" t="n">
        <f>SUMIFS('供应商责任底表'!$O$5:$O$1541,'供应商责任底表'!$A$5:$A$1541,$A32,'供应商责任底表'!$H$5:$H$1541,$C32,'供应商责任底表'!$F$5:$F$1541,$D32,'供应商责任底表'!$E$5:$E$1541,$E32)</f>
        <v>10</v>
      </c>
      <c r="G32" s="23" t="n">
        <f>SUMIFS('供应商责任底表'!$P$5:$P$1541,'供应商责任底表'!$A$5:$A$1541,$A32,'供应商责任底表'!$H$5:$H$1541,$C32,'供应商责任底表'!$F$5:$F$1541,$D32,'供应商责任底表'!$E$5:$E$1541,$E32)</f>
        <v>10</v>
      </c>
      <c r="H32" s="23" t="n">
        <f>SUMIFS('供应商责任底表'!$Q$5:$Q$1541,'供应商责任底表'!$A$5:$A$1541,$A32,'供应商责任底表'!$H$5:$H$1541,$C32,'供应商责任底表'!$F$5:$F$1541,$D32,'供应商责任底表'!$E$5:$E$1541,$E32)</f>
        <v>10</v>
      </c>
      <c r="I32" s="27" t="n">
        <f>IF(F32=0,"",H32/F32)</f>
        <v>1</v>
      </c>
      <c r="J32" s="23" t="n">
        <f>SUMIFS('供应商责任底表'!$S$5:$S$1541,'供应商责任底表'!$A$5:$A$1541,$A32,'供应商责任底表'!$H$5:$H$1541,$C32,'供应商责任底表'!$F$5:$F$1541,$D32,'供应商责任底表'!$E$5:$E$1541,$E32)</f>
        <v>7</v>
      </c>
      <c r="K32" s="23" t="n">
        <f>SUMIFS('供应商责任底表'!$T$5:$T$1541,'供应商责任底表'!$A$5:$A$1541,$A32,'供应商责任底表'!$H$5:$H$1541,$C32,'供应商责任底表'!$F$5:$F$1541,$D32,'供应商责任底表'!$E$5:$E$1541,$E32)</f>
        <v>7</v>
      </c>
      <c r="L32" s="27" t="n">
        <f>IF(J32=0,"",K32/J32)</f>
        <v>1</v>
      </c>
      <c r="M32" s="23" t="n">
        <f>SUMIFS('供应商责任底表'!$U$5:$U$1541,'供应商责任底表'!$A$5:$A$1541,$A32,'供应商责任底表'!$H$5:$H$1541,$C32,'供应商责任底表'!$F$5:$F$1541,$D32,'供应商责任底表'!$E$5:$E$1541,$E32)</f>
        <v>3</v>
      </c>
      <c r="N32" s="27" t="n">
        <f>IF(OR(F32=0,J32=0),"",L32-I32)</f>
        <v>0</v>
      </c>
      <c r="O32" s="23" t="n">
        <f>SUMIFS('供应商责任底表'!$V$5:$V$1541,'供应商责任底表'!$A$5:$A$1541,$A32,'供应商责任底表'!$H$5:$H$1541,$C32,'供应商责任底表'!$F$5:$F$1541,$D32,'供应商责任底表'!$E$5:$E$1541,$E32)</f>
        <v>0</v>
      </c>
    </row>
    <row r="33">
      <c r="A33" s="19" t="str">
        <v>德国区</v>
      </c>
      <c r="B33" s="19" t="str">
        <v>Nivux Estate e.Kfm</v>
      </c>
      <c r="C33" s="19" t="str">
        <v>S000316</v>
      </c>
      <c r="D33" s="19" t="str">
        <v>保洁员</v>
      </c>
      <c r="E33" s="19" t="str">
        <v>2026-06</v>
      </c>
      <c r="F33" s="23" t="n">
        <f>SUMIFS('供应商责任底表'!$O$5:$O$1541,'供应商责任底表'!$A$5:$A$1541,$A33,'供应商责任底表'!$H$5:$H$1541,$C33,'供应商责任底表'!$F$5:$F$1541,$D33,'供应商责任底表'!$E$5:$E$1541,$E33)</f>
        <v>1</v>
      </c>
      <c r="G33" s="23" t="n">
        <f>SUMIFS('供应商责任底表'!$P$5:$P$1541,'供应商责任底表'!$A$5:$A$1541,$A33,'供应商责任底表'!$H$5:$H$1541,$C33,'供应商责任底表'!$F$5:$F$1541,$D33,'供应商责任底表'!$E$5:$E$1541,$E33)</f>
        <v>0</v>
      </c>
      <c r="H33" s="23" t="n">
        <f>SUMIFS('供应商责任底表'!$Q$5:$Q$1541,'供应商责任底表'!$A$5:$A$1541,$A33,'供应商责任底表'!$H$5:$H$1541,$C33,'供应商责任底表'!$F$5:$F$1541,$D33,'供应商责任底表'!$E$5:$E$1541,$E33)</f>
        <v>0</v>
      </c>
      <c r="I33" s="27" t="n">
        <f>IF(F33=0,"",H33/F33)</f>
        <v>0</v>
      </c>
      <c r="J33" s="23" t="n">
        <f>SUMIFS('供应商责任底表'!$S$5:$S$1541,'供应商责任底表'!$A$5:$A$1541,$A33,'供应商责任底表'!$H$5:$H$1541,$C33,'供应商责任底表'!$F$5:$F$1541,$D33,'供应商责任底表'!$E$5:$E$1541,$E33)</f>
        <v>1</v>
      </c>
      <c r="K33" s="23" t="n">
        <f>SUMIFS('供应商责任底表'!$T$5:$T$1541,'供应商责任底表'!$A$5:$A$1541,$A33,'供应商责任底表'!$H$5:$H$1541,$C33,'供应商责任底表'!$F$5:$F$1541,$D33,'供应商责任底表'!$E$5:$E$1541,$E33)</f>
        <v>0</v>
      </c>
      <c r="L33" s="27" t="n">
        <f>IF(J33=0,"",K33/J33)</f>
        <v>0</v>
      </c>
      <c r="M33" s="23" t="n">
        <f>SUMIFS('供应商责任底表'!$U$5:$U$1541,'供应商责任底表'!$A$5:$A$1541,$A33,'供应商责任底表'!$H$5:$H$1541,$C33,'供应商责任底表'!$F$5:$F$1541,$D33,'供应商责任底表'!$E$5:$E$1541,$E33)</f>
        <v>0</v>
      </c>
      <c r="N33" s="27" t="n">
        <f>IF(OR(F33=0,J33=0),"",L33-I33)</f>
        <v>0</v>
      </c>
      <c r="O33" s="23" t="n">
        <f>SUMIFS('供应商责任底表'!$V$5:$V$1541,'供应商责任底表'!$A$5:$A$1541,$A33,'供应商责任底表'!$H$5:$H$1541,$C33,'供应商责任底表'!$F$5:$F$1541,$D33,'供应商责任底表'!$E$5:$E$1541,$E33)</f>
        <v>0</v>
      </c>
    </row>
    <row r="34">
      <c r="A34" s="19" t="str">
        <v>德国区</v>
      </c>
      <c r="B34" s="19" t="str">
        <v>Nivux Estate e.Kfm</v>
      </c>
      <c r="C34" s="19" t="str">
        <v>S000316</v>
      </c>
      <c r="D34" s="19" t="str">
        <v>售后处理员</v>
      </c>
      <c r="E34" s="19" t="str">
        <v>2026-04</v>
      </c>
      <c r="F34" s="23" t="n">
        <f>SUMIFS('供应商责任底表'!$O$5:$O$1541,'供应商责任底表'!$A$5:$A$1541,$A34,'供应商责任底表'!$H$5:$H$1541,$C34,'供应商责任底表'!$F$5:$F$1541,$D34,'供应商责任底表'!$E$5:$E$1541,$E34)</f>
        <v>5</v>
      </c>
      <c r="G34" s="23" t="n">
        <f>SUMIFS('供应商责任底表'!$P$5:$P$1541,'供应商责任底表'!$A$5:$A$1541,$A34,'供应商责任底表'!$H$5:$H$1541,$C34,'供应商责任底表'!$F$5:$F$1541,$D34,'供应商责任底表'!$E$5:$E$1541,$E34)</f>
        <v>2</v>
      </c>
      <c r="H34" s="23" t="n">
        <f>SUMIFS('供应商责任底表'!$Q$5:$Q$1541,'供应商责任底表'!$A$5:$A$1541,$A34,'供应商责任底表'!$H$5:$H$1541,$C34,'供应商责任底表'!$F$5:$F$1541,$D34,'供应商责任底表'!$E$5:$E$1541,$E34)</f>
        <v>2</v>
      </c>
      <c r="I34" s="27" t="n">
        <f>IF(F34=0,"",H34/F34)</f>
        <v>0.4</v>
      </c>
      <c r="J34" s="23" t="n">
        <f>SUMIFS('供应商责任底表'!$S$5:$S$1541,'供应商责任底表'!$A$5:$A$1541,$A34,'供应商责任底表'!$H$5:$H$1541,$C34,'供应商责任底表'!$F$5:$F$1541,$D34,'供应商责任底表'!$E$5:$E$1541,$E34)</f>
        <v>4</v>
      </c>
      <c r="K34" s="23" t="n">
        <f>SUMIFS('供应商责任底表'!$T$5:$T$1541,'供应商责任底表'!$A$5:$A$1541,$A34,'供应商责任底表'!$H$5:$H$1541,$C34,'供应商责任底表'!$F$5:$F$1541,$D34,'供应商责任底表'!$E$5:$E$1541,$E34)</f>
        <v>1</v>
      </c>
      <c r="L34" s="27" t="n">
        <f>IF(J34=0,"",K34/J34)</f>
        <v>0.25</v>
      </c>
      <c r="M34" s="23" t="n">
        <f>SUMIFS('供应商责任底表'!$U$5:$U$1541,'供应商责任底表'!$A$5:$A$1541,$A34,'供应商责任底表'!$H$5:$H$1541,$C34,'供应商责任底表'!$F$5:$F$1541,$D34,'供应商责任底表'!$E$5:$E$1541,$E34)</f>
        <v>1</v>
      </c>
      <c r="N34" s="27" t="n">
        <f>IF(OR(F34=0,J34=0),"",L34-I34)</f>
        <v>-0.15000000000000002</v>
      </c>
      <c r="O34" s="23" t="n">
        <f>SUMIFS('供应商责任底表'!$V$5:$V$1541,'供应商责任底表'!$A$5:$A$1541,$A34,'供应商责任底表'!$H$5:$H$1541,$C34,'供应商责任底表'!$F$5:$F$1541,$D34,'供应商责任底表'!$E$5:$E$1541,$E34)</f>
        <v>0</v>
      </c>
    </row>
    <row r="35">
      <c r="A35" s="19" t="str">
        <v>德国区</v>
      </c>
      <c r="B35" s="19" t="str">
        <v>Nivux Estate e.Kfm</v>
      </c>
      <c r="C35" s="19" t="str">
        <v>S000316</v>
      </c>
      <c r="D35" s="19" t="str">
        <v>售后处理员</v>
      </c>
      <c r="E35" s="19" t="str">
        <v>2026-05</v>
      </c>
      <c r="F35" s="23" t="n">
        <f>SUMIFS('供应商责任底表'!$O$5:$O$1541,'供应商责任底表'!$A$5:$A$1541,$A35,'供应商责任底表'!$H$5:$H$1541,$C35,'供应商责任底表'!$F$5:$F$1541,$D35,'供应商责任底表'!$E$5:$E$1541,$E35)</f>
        <v>8</v>
      </c>
      <c r="G35" s="23" t="n">
        <f>SUMIFS('供应商责任底表'!$P$5:$P$1541,'供应商责任底表'!$A$5:$A$1541,$A35,'供应商责任底表'!$H$5:$H$1541,$C35,'供应商责任底表'!$F$5:$F$1541,$D35,'供应商责任底表'!$E$5:$E$1541,$E35)</f>
        <v>5</v>
      </c>
      <c r="H35" s="23" t="n">
        <f>SUMIFS('供应商责任底表'!$Q$5:$Q$1541,'供应商责任底表'!$A$5:$A$1541,$A35,'供应商责任底表'!$H$5:$H$1541,$C35,'供应商责任底表'!$F$5:$F$1541,$D35,'供应商责任底表'!$E$5:$E$1541,$E35)</f>
        <v>5</v>
      </c>
      <c r="I35" s="27" t="n">
        <f>IF(F35=0,"",H35/F35)</f>
        <v>0.625</v>
      </c>
      <c r="J35" s="23" t="n">
        <f>SUMIFS('供应商责任底表'!$S$5:$S$1541,'供应商责任底表'!$A$5:$A$1541,$A35,'供应商责任底表'!$H$5:$H$1541,$C35,'供应商责任底表'!$F$5:$F$1541,$D35,'供应商责任底表'!$E$5:$E$1541,$E35)</f>
        <v>5</v>
      </c>
      <c r="K35" s="23" t="n">
        <f>SUMIFS('供应商责任底表'!$T$5:$T$1541,'供应商责任底表'!$A$5:$A$1541,$A35,'供应商责任底表'!$H$5:$H$1541,$C35,'供应商责任底表'!$F$5:$F$1541,$D35,'供应商责任底表'!$E$5:$E$1541,$E35)</f>
        <v>3</v>
      </c>
      <c r="L35" s="27" t="n">
        <f>IF(J35=0,"",K35/J35)</f>
        <v>0.6</v>
      </c>
      <c r="M35" s="23" t="n">
        <f>SUMIFS('供应商责任底表'!$U$5:$U$1541,'供应商责任底表'!$A$5:$A$1541,$A35,'供应商责任底表'!$H$5:$H$1541,$C35,'供应商责任底表'!$F$5:$F$1541,$D35,'供应商责任底表'!$E$5:$E$1541,$E35)</f>
        <v>3</v>
      </c>
      <c r="N35" s="27" t="n">
        <f>IF(OR(F35=0,J35=0),"",L35-I35)</f>
        <v>-0.025000000000000022</v>
      </c>
      <c r="O35" s="23" t="n">
        <f>SUMIFS('供应商责任底表'!$V$5:$V$1541,'供应商责任底表'!$A$5:$A$1541,$A35,'供应商责任底表'!$H$5:$H$1541,$C35,'供应商责任底表'!$F$5:$F$1541,$D35,'供应商责任底表'!$E$5:$E$1541,$E35)</f>
        <v>0</v>
      </c>
    </row>
    <row r="36">
      <c r="A36" s="19" t="str">
        <v>德国区</v>
      </c>
      <c r="B36" s="19" t="str">
        <v>Nivux Estate e.Kfm</v>
      </c>
      <c r="C36" s="19" t="str">
        <v>S000316</v>
      </c>
      <c r="D36" s="19" t="str">
        <v>操作员</v>
      </c>
      <c r="E36" s="19" t="str">
        <v>2026-04</v>
      </c>
      <c r="F36" s="23" t="n">
        <f>SUMIFS('供应商责任底表'!$O$5:$O$1541,'供应商责任底表'!$A$5:$A$1541,$A36,'供应商责任底表'!$H$5:$H$1541,$C36,'供应商责任底表'!$F$5:$F$1541,$D36,'供应商责任底表'!$E$5:$E$1541,$E36)</f>
        <v>37</v>
      </c>
      <c r="G36" s="23" t="n">
        <f>SUMIFS('供应商责任底表'!$P$5:$P$1541,'供应商责任底表'!$A$5:$A$1541,$A36,'供应商责任底表'!$H$5:$H$1541,$C36,'供应商责任底表'!$F$5:$F$1541,$D36,'供应商责任底表'!$E$5:$E$1541,$E36)</f>
        <v>36</v>
      </c>
      <c r="H36" s="23" t="n">
        <f>SUMIFS('供应商责任底表'!$Q$5:$Q$1541,'供应商责任底表'!$A$5:$A$1541,$A36,'供应商责任底表'!$H$5:$H$1541,$C36,'供应商责任底表'!$F$5:$F$1541,$D36,'供应商责任底表'!$E$5:$E$1541,$E36)</f>
        <v>36</v>
      </c>
      <c r="I36" s="27" t="n">
        <f>IF(F36=0,"",H36/F36)</f>
        <v>0.972972972972973</v>
      </c>
      <c r="J36" s="23" t="n">
        <f>SUMIFS('供应商责任底表'!$S$5:$S$1541,'供应商责任底表'!$A$5:$A$1541,$A36,'供应商责任底表'!$H$5:$H$1541,$C36,'供应商责任底表'!$F$5:$F$1541,$D36,'供应商责任底表'!$E$5:$E$1541,$E36)</f>
        <v>31.182539682539684</v>
      </c>
      <c r="K36" s="23" t="n">
        <f>SUMIFS('供应商责任底表'!$T$5:$T$1541,'供应商责任底表'!$A$5:$A$1541,$A36,'供应商责任底表'!$H$5:$H$1541,$C36,'供应商责任底表'!$F$5:$F$1541,$D36,'供应商责任底表'!$E$5:$E$1541,$E36)</f>
        <v>30.182539682539684</v>
      </c>
      <c r="L36" s="27" t="n">
        <f>IF(J36=0,"",K36/J36)</f>
        <v>0.9679307711885976</v>
      </c>
      <c r="M36" s="23" t="n">
        <f>SUMIFS('供应商责任底表'!$U$5:$U$1541,'供应商责任底表'!$A$5:$A$1541,$A36,'供应商责任底表'!$H$5:$H$1541,$C36,'供应商责任底表'!$F$5:$F$1541,$D36,'供应商责任底表'!$E$5:$E$1541,$E36)</f>
        <v>5.817460317460318</v>
      </c>
      <c r="N36" s="27" t="n">
        <f>IF(OR(F36=0,J36=0),"",L36-I36)</f>
        <v>-0.005042201784375422</v>
      </c>
      <c r="O36" s="23" t="n">
        <f>SUMIFS('供应商责任底表'!$V$5:$V$1541,'供应商责任底表'!$A$5:$A$1541,$A36,'供应商责任底表'!$H$5:$H$1541,$C36,'供应商责任底表'!$F$5:$F$1541,$D36,'供应商责任底表'!$E$5:$E$1541,$E36)</f>
        <v>0</v>
      </c>
    </row>
    <row r="37">
      <c r="A37" s="19" t="str">
        <v>德国区</v>
      </c>
      <c r="B37" s="19" t="str">
        <v>Nivux Estate e.Kfm</v>
      </c>
      <c r="C37" s="19" t="str">
        <v>S000316</v>
      </c>
      <c r="D37" s="19" t="str">
        <v>操作员</v>
      </c>
      <c r="E37" s="19" t="str">
        <v>2026-05</v>
      </c>
      <c r="F37" s="23" t="n">
        <f>SUMIFS('供应商责任底表'!$O$5:$O$1541,'供应商责任底表'!$A$5:$A$1541,$A37,'供应商责任底表'!$H$5:$H$1541,$C37,'供应商责任底表'!$F$5:$F$1541,$D37,'供应商责任底表'!$E$5:$E$1541,$E37)</f>
        <v>60</v>
      </c>
      <c r="G37" s="23" t="n">
        <f>SUMIFS('供应商责任底表'!$P$5:$P$1541,'供应商责任底表'!$A$5:$A$1541,$A37,'供应商责任底表'!$H$5:$H$1541,$C37,'供应商责任底表'!$F$5:$F$1541,$D37,'供应商责任底表'!$E$5:$E$1541,$E37)</f>
        <v>46</v>
      </c>
      <c r="H37" s="23" t="n">
        <f>SUMIFS('供应商责任底表'!$Q$5:$Q$1541,'供应商责任底表'!$A$5:$A$1541,$A37,'供应商责任底表'!$H$5:$H$1541,$C37,'供应商责任底表'!$F$5:$F$1541,$D37,'供应商责任底表'!$E$5:$E$1541,$E37)</f>
        <v>46</v>
      </c>
      <c r="I37" s="27" t="n">
        <f>IF(F37=0,"",H37/F37)</f>
        <v>0.7666666666666667</v>
      </c>
      <c r="J37" s="23" t="n">
        <f>SUMIFS('供应商责任底表'!$S$5:$S$1541,'供应商责任底表'!$A$5:$A$1541,$A37,'供应商责任底表'!$H$5:$H$1541,$C37,'供应商责任底表'!$F$5:$F$1541,$D37,'供应商责任底表'!$E$5:$E$1541,$E37)</f>
        <v>53.41025641025641</v>
      </c>
      <c r="K37" s="23" t="n">
        <f>SUMIFS('供应商责任底表'!$T$5:$T$1541,'供应商责任底表'!$A$5:$A$1541,$A37,'供应商责任底表'!$H$5:$H$1541,$C37,'供应商责任底表'!$F$5:$F$1541,$D37,'供应商责任底表'!$E$5:$E$1541,$E37)</f>
        <v>40.41025641025641</v>
      </c>
      <c r="L37" s="27" t="n">
        <f>IF(J37=0,"",K37/J37)</f>
        <v>0.756601056168987</v>
      </c>
      <c r="M37" s="23" t="n">
        <f>SUMIFS('供应商责任底表'!$U$5:$U$1541,'供应商责任底表'!$A$5:$A$1541,$A37,'供应商责任底表'!$H$5:$H$1541,$C37,'供应商责任底表'!$F$5:$F$1541,$D37,'供应商责任底表'!$E$5:$E$1541,$E37)</f>
        <v>6.58974358974359</v>
      </c>
      <c r="N37" s="27" t="n">
        <f>IF(OR(F37=0,J37=0),"",L37-I37)</f>
        <v>-0.010065610497679733</v>
      </c>
      <c r="O37" s="23" t="n">
        <f>SUMIFS('供应商责任底表'!$V$5:$V$1541,'供应商责任底表'!$A$5:$A$1541,$A37,'供应商责任底表'!$H$5:$H$1541,$C37,'供应商责任底表'!$F$5:$F$1541,$D37,'供应商责任底表'!$E$5:$E$1541,$E37)</f>
        <v>0</v>
      </c>
    </row>
    <row r="38">
      <c r="A38" s="19" t="str">
        <v>德国区</v>
      </c>
      <c r="B38" s="19" t="str">
        <v>Nivux Estate e.Kfm</v>
      </c>
      <c r="C38" s="19" t="str">
        <v>S000316</v>
      </c>
      <c r="D38" s="19" t="str">
        <v>操作员</v>
      </c>
      <c r="E38" s="19" t="str">
        <v>2026-06</v>
      </c>
      <c r="F38" s="23" t="n">
        <f>SUMIFS('供应商责任底表'!$O$5:$O$1541,'供应商责任底表'!$A$5:$A$1541,$A38,'供应商责任底表'!$H$5:$H$1541,$C38,'供应商责任底表'!$F$5:$F$1541,$D38,'供应商责任底表'!$E$5:$E$1541,$E38)</f>
        <v>118</v>
      </c>
      <c r="G38" s="23" t="n">
        <f>SUMIFS('供应商责任底表'!$P$5:$P$1541,'供应商责任底表'!$A$5:$A$1541,$A38,'供应商责任底表'!$H$5:$H$1541,$C38,'供应商责任底表'!$F$5:$F$1541,$D38,'供应商责任底表'!$E$5:$E$1541,$E38)</f>
        <v>114</v>
      </c>
      <c r="H38" s="23" t="n">
        <f>SUMIFS('供应商责任底表'!$Q$5:$Q$1541,'供应商责任底表'!$A$5:$A$1541,$A38,'供应商责任底表'!$H$5:$H$1541,$C38,'供应商责任底表'!$F$5:$F$1541,$D38,'供应商责任底表'!$E$5:$E$1541,$E38)</f>
        <v>114</v>
      </c>
      <c r="I38" s="27" t="n">
        <f>IF(F38=0,"",H38/F38)</f>
        <v>0.9661016949152542</v>
      </c>
      <c r="J38" s="23" t="n">
        <f>SUMIFS('供应商责任底表'!$S$5:$S$1541,'供应商责任底表'!$A$5:$A$1541,$A38,'供应商责任底表'!$H$5:$H$1541,$C38,'供应商责任底表'!$F$5:$F$1541,$D38,'供应商责任底表'!$E$5:$E$1541,$E38)</f>
        <v>102.30952380952381</v>
      </c>
      <c r="K38" s="23" t="n">
        <f>SUMIFS('供应商责任底表'!$T$5:$T$1541,'供应商责任底表'!$A$5:$A$1541,$A38,'供应商责任底表'!$H$5:$H$1541,$C38,'供应商责任底表'!$F$5:$F$1541,$D38,'供应商责任底表'!$E$5:$E$1541,$E38)</f>
        <v>99.30952380952381</v>
      </c>
      <c r="L38" s="27" t="n">
        <f>IF(J38=0,"",K38/J38)</f>
        <v>0.970677216662788</v>
      </c>
      <c r="M38" s="23" t="n">
        <f>SUMIFS('供应商责任底表'!$U$5:$U$1541,'供应商责任底表'!$A$5:$A$1541,$A38,'供应商责任底表'!$H$5:$H$1541,$C38,'供应商责任底表'!$F$5:$F$1541,$D38,'供应商责任底表'!$E$5:$E$1541,$E38)</f>
        <v>15.69047619047619</v>
      </c>
      <c r="N38" s="27" t="n">
        <f>IF(OR(F38=0,J38=0),"",L38-I38)</f>
        <v>0.004575521747533728</v>
      </c>
      <c r="O38" s="23" t="n">
        <f>SUMIFS('供应商责任底表'!$V$5:$V$1541,'供应商责任底表'!$A$5:$A$1541,$A38,'供应商责任底表'!$H$5:$H$1541,$C38,'供应商责任底表'!$F$5:$F$1541,$D38,'供应商责任底表'!$E$5:$E$1541,$E38)</f>
        <v>0</v>
      </c>
    </row>
    <row r="39">
      <c r="A39" s="19" t="str">
        <v>德国区</v>
      </c>
      <c r="B39" s="19" t="str">
        <v>Gohar GmbH</v>
      </c>
      <c r="C39" s="19" t="str">
        <v>S000327</v>
      </c>
      <c r="D39" s="19" t="str">
        <v>保洁员</v>
      </c>
      <c r="E39" s="19" t="str">
        <v>2026-04</v>
      </c>
      <c r="F39" s="23" t="n">
        <f>SUMIFS('供应商责任底表'!$O$5:$O$1541,'供应商责任底表'!$A$5:$A$1541,$A39,'供应商责任底表'!$H$5:$H$1541,$C39,'供应商责任底表'!$F$5:$F$1541,$D39,'供应商责任底表'!$E$5:$E$1541,$E39)</f>
        <v>1</v>
      </c>
      <c r="G39" s="23" t="n">
        <f>SUMIFS('供应商责任底表'!$P$5:$P$1541,'供应商责任底表'!$A$5:$A$1541,$A39,'供应商责任底表'!$H$5:$H$1541,$C39,'供应商责任底表'!$F$5:$F$1541,$D39,'供应商责任底表'!$E$5:$E$1541,$E39)</f>
        <v>1</v>
      </c>
      <c r="H39" s="23" t="n">
        <f>SUMIFS('供应商责任底表'!$Q$5:$Q$1541,'供应商责任底表'!$A$5:$A$1541,$A39,'供应商责任底表'!$H$5:$H$1541,$C39,'供应商责任底表'!$F$5:$F$1541,$D39,'供应商责任底表'!$E$5:$E$1541,$E39)</f>
        <v>1</v>
      </c>
      <c r="I39" s="27" t="n">
        <f>IF(F39=0,"",H39/F39)</f>
        <v>1</v>
      </c>
      <c r="J39" s="23" t="n">
        <f>SUMIFS('供应商责任底表'!$S$5:$S$1541,'供应商责任底表'!$A$5:$A$1541,$A39,'供应商责任底表'!$H$5:$H$1541,$C39,'供应商责任底表'!$F$5:$F$1541,$D39,'供应商责任底表'!$E$5:$E$1541,$E39)</f>
        <v>1</v>
      </c>
      <c r="K39" s="23" t="n">
        <f>SUMIFS('供应商责任底表'!$T$5:$T$1541,'供应商责任底表'!$A$5:$A$1541,$A39,'供应商责任底表'!$H$5:$H$1541,$C39,'供应商责任底表'!$F$5:$F$1541,$D39,'供应商责任底表'!$E$5:$E$1541,$E39)</f>
        <v>1</v>
      </c>
      <c r="L39" s="27" t="n">
        <f>IF(J39=0,"",K39/J39)</f>
        <v>1</v>
      </c>
      <c r="M39" s="23" t="n">
        <f>SUMIFS('供应商责任底表'!$U$5:$U$1541,'供应商责任底表'!$A$5:$A$1541,$A39,'供应商责任底表'!$H$5:$H$1541,$C39,'供应商责任底表'!$F$5:$F$1541,$D39,'供应商责任底表'!$E$5:$E$1541,$E39)</f>
        <v>0</v>
      </c>
      <c r="N39" s="27" t="n">
        <f>IF(OR(F39=0,J39=0),"",L39-I39)</f>
        <v>0</v>
      </c>
      <c r="O39" s="23" t="n">
        <f>SUMIFS('供应商责任底表'!$V$5:$V$1541,'供应商责任底表'!$A$5:$A$1541,$A39,'供应商责任底表'!$H$5:$H$1541,$C39,'供应商责任底表'!$F$5:$F$1541,$D39,'供应商责任底表'!$E$5:$E$1541,$E39)</f>
        <v>0</v>
      </c>
    </row>
    <row r="40">
      <c r="A40" s="19" t="str">
        <v>德国区</v>
      </c>
      <c r="B40" s="19" t="str">
        <v>Gohar GmbH</v>
      </c>
      <c r="C40" s="19" t="str">
        <v>S000327</v>
      </c>
      <c r="D40" s="19" t="str">
        <v>售后处理员</v>
      </c>
      <c r="E40" s="19" t="str">
        <v>2026-04</v>
      </c>
      <c r="F40" s="23" t="n">
        <f>SUMIFS('供应商责任底表'!$O$5:$O$1541,'供应商责任底表'!$A$5:$A$1541,$A40,'供应商责任底表'!$H$5:$H$1541,$C40,'供应商责任底表'!$F$5:$F$1541,$D40,'供应商责任底表'!$E$5:$E$1541,$E40)</f>
        <v>2</v>
      </c>
      <c r="G40" s="23" t="n">
        <f>SUMIFS('供应商责任底表'!$P$5:$P$1541,'供应商责任底表'!$A$5:$A$1541,$A40,'供应商责任底表'!$H$5:$H$1541,$C40,'供应商责任底表'!$F$5:$F$1541,$D40,'供应商责任底表'!$E$5:$E$1541,$E40)</f>
        <v>0</v>
      </c>
      <c r="H40" s="23" t="n">
        <f>SUMIFS('供应商责任底表'!$Q$5:$Q$1541,'供应商责任底表'!$A$5:$A$1541,$A40,'供应商责任底表'!$H$5:$H$1541,$C40,'供应商责任底表'!$F$5:$F$1541,$D40,'供应商责任底表'!$E$5:$E$1541,$E40)</f>
        <v>0</v>
      </c>
      <c r="I40" s="27" t="n">
        <f>IF(F40=0,"",H40/F40)</f>
        <v>0</v>
      </c>
      <c r="J40" s="23" t="n">
        <f>SUMIFS('供应商责任底表'!$S$5:$S$1541,'供应商责任底表'!$A$5:$A$1541,$A40,'供应商责任底表'!$H$5:$H$1541,$C40,'供应商责任底表'!$F$5:$F$1541,$D40,'供应商责任底表'!$E$5:$E$1541,$E40)</f>
        <v>1</v>
      </c>
      <c r="K40" s="23" t="n">
        <f>SUMIFS('供应商责任底表'!$T$5:$T$1541,'供应商责任底表'!$A$5:$A$1541,$A40,'供应商责任底表'!$H$5:$H$1541,$C40,'供应商责任底表'!$F$5:$F$1541,$D40,'供应商责任底表'!$E$5:$E$1541,$E40)</f>
        <v>0</v>
      </c>
      <c r="L40" s="27" t="n">
        <f>IF(J40=0,"",K40/J40)</f>
        <v>0</v>
      </c>
      <c r="M40" s="23" t="n">
        <f>SUMIFS('供应商责任底表'!$U$5:$U$1541,'供应商责任底表'!$A$5:$A$1541,$A40,'供应商责任底表'!$H$5:$H$1541,$C40,'供应商责任底表'!$F$5:$F$1541,$D40,'供应商责任底表'!$E$5:$E$1541,$E40)</f>
        <v>1</v>
      </c>
      <c r="N40" s="27" t="n">
        <f>IF(OR(F40=0,J40=0),"",L40-I40)</f>
        <v>0</v>
      </c>
      <c r="O40" s="23" t="n">
        <f>SUMIFS('供应商责任底表'!$V$5:$V$1541,'供应商责任底表'!$A$5:$A$1541,$A40,'供应商责任底表'!$H$5:$H$1541,$C40,'供应商责任底表'!$F$5:$F$1541,$D40,'供应商责任底表'!$E$5:$E$1541,$E40)</f>
        <v>0</v>
      </c>
    </row>
    <row r="41">
      <c r="A41" s="19" t="str">
        <v>德国区</v>
      </c>
      <c r="B41" s="19" t="str">
        <v>Gohar GmbH</v>
      </c>
      <c r="C41" s="19" t="str">
        <v>S000327</v>
      </c>
      <c r="D41" s="19" t="str">
        <v>售后处理员</v>
      </c>
      <c r="E41" s="19" t="str">
        <v>2026-05</v>
      </c>
      <c r="F41" s="23" t="n">
        <f>SUMIFS('供应商责任底表'!$O$5:$O$1541,'供应商责任底表'!$A$5:$A$1541,$A41,'供应商责任底表'!$H$5:$H$1541,$C41,'供应商责任底表'!$F$5:$F$1541,$D41,'供应商责任底表'!$E$5:$E$1541,$E41)</f>
        <v>2</v>
      </c>
      <c r="G41" s="23" t="n">
        <f>SUMIFS('供应商责任底表'!$P$5:$P$1541,'供应商责任底表'!$A$5:$A$1541,$A41,'供应商责任底表'!$H$5:$H$1541,$C41,'供应商责任底表'!$F$5:$F$1541,$D41,'供应商责任底表'!$E$5:$E$1541,$E41)</f>
        <v>2</v>
      </c>
      <c r="H41" s="23" t="n">
        <f>SUMIFS('供应商责任底表'!$Q$5:$Q$1541,'供应商责任底表'!$A$5:$A$1541,$A41,'供应商责任底表'!$H$5:$H$1541,$C41,'供应商责任底表'!$F$5:$F$1541,$D41,'供应商责任底表'!$E$5:$E$1541,$E41)</f>
        <v>2</v>
      </c>
      <c r="I41" s="27" t="n">
        <f>IF(F41=0,"",H41/F41)</f>
        <v>1</v>
      </c>
      <c r="J41" s="23" t="n">
        <f>SUMIFS('供应商责任底表'!$S$5:$S$1541,'供应商责任底表'!$A$5:$A$1541,$A41,'供应商责任底表'!$H$5:$H$1541,$C41,'供应商责任底表'!$F$5:$F$1541,$D41,'供应商责任底表'!$E$5:$E$1541,$E41)</f>
        <v>2</v>
      </c>
      <c r="K41" s="23" t="n">
        <f>SUMIFS('供应商责任底表'!$T$5:$T$1541,'供应商责任底表'!$A$5:$A$1541,$A41,'供应商责任底表'!$H$5:$H$1541,$C41,'供应商责任底表'!$F$5:$F$1541,$D41,'供应商责任底表'!$E$5:$E$1541,$E41)</f>
        <v>2</v>
      </c>
      <c r="L41" s="27" t="n">
        <f>IF(J41=0,"",K41/J41)</f>
        <v>1</v>
      </c>
      <c r="M41" s="23" t="n">
        <f>SUMIFS('供应商责任底表'!$U$5:$U$1541,'供应商责任底表'!$A$5:$A$1541,$A41,'供应商责任底表'!$H$5:$H$1541,$C41,'供应商责任底表'!$F$5:$F$1541,$D41,'供应商责任底表'!$E$5:$E$1541,$E41)</f>
        <v>0</v>
      </c>
      <c r="N41" s="27" t="n">
        <f>IF(OR(F41=0,J41=0),"",L41-I41)</f>
        <v>0</v>
      </c>
      <c r="O41" s="23" t="n">
        <f>SUMIFS('供应商责任底表'!$V$5:$V$1541,'供应商责任底表'!$A$5:$A$1541,$A41,'供应商责任底表'!$H$5:$H$1541,$C41,'供应商责任底表'!$F$5:$F$1541,$D41,'供应商责任底表'!$E$5:$E$1541,$E41)</f>
        <v>0</v>
      </c>
    </row>
    <row r="42">
      <c r="A42" s="19" t="str">
        <v>德国区</v>
      </c>
      <c r="B42" s="19" t="str">
        <v>Gohar GmbH</v>
      </c>
      <c r="C42" s="19" t="str">
        <v>S000327</v>
      </c>
      <c r="D42" s="19" t="str">
        <v>操作员</v>
      </c>
      <c r="E42" s="19" t="str">
        <v>2026-04</v>
      </c>
      <c r="F42" s="23" t="n">
        <f>SUMIFS('供应商责任底表'!$O$5:$O$1541,'供应商责任底表'!$A$5:$A$1541,$A42,'供应商责任底表'!$H$5:$H$1541,$C42,'供应商责任底表'!$F$5:$F$1541,$D42,'供应商责任底表'!$E$5:$E$1541,$E42)</f>
        <v>28</v>
      </c>
      <c r="G42" s="23" t="n">
        <f>SUMIFS('供应商责任底表'!$P$5:$P$1541,'供应商责任底表'!$A$5:$A$1541,$A42,'供应商责任底表'!$H$5:$H$1541,$C42,'供应商责任底表'!$F$5:$F$1541,$D42,'供应商责任底表'!$E$5:$E$1541,$E42)</f>
        <v>24</v>
      </c>
      <c r="H42" s="23" t="n">
        <f>SUMIFS('供应商责任底表'!$Q$5:$Q$1541,'供应商责任底表'!$A$5:$A$1541,$A42,'供应商责任底表'!$H$5:$H$1541,$C42,'供应商责任底表'!$F$5:$F$1541,$D42,'供应商责任底表'!$E$5:$E$1541,$E42)</f>
        <v>24</v>
      </c>
      <c r="I42" s="27" t="n">
        <f>IF(F42=0,"",H42/F42)</f>
        <v>0.8571428571428571</v>
      </c>
      <c r="J42" s="23" t="n">
        <f>SUMIFS('供应商责任底表'!$S$5:$S$1541,'供应商责任底表'!$A$5:$A$1541,$A42,'供应商责任底表'!$H$5:$H$1541,$C42,'供应商责任底表'!$F$5:$F$1541,$D42,'供应商责任底表'!$E$5:$E$1541,$E42)</f>
        <v>21.246031746031747</v>
      </c>
      <c r="K42" s="23" t="n">
        <f>SUMIFS('供应商责任底表'!$T$5:$T$1541,'供应商责任底表'!$A$5:$A$1541,$A42,'供应商责任底表'!$H$5:$H$1541,$C42,'供应商责任底表'!$F$5:$F$1541,$D42,'供应商责任底表'!$E$5:$E$1541,$E42)</f>
        <v>18.246031746031747</v>
      </c>
      <c r="L42" s="27" t="n">
        <f>IF(J42=0,"",K42/J42)</f>
        <v>0.8587971610011207</v>
      </c>
      <c r="M42" s="23" t="n">
        <f>SUMIFS('供应商责任底表'!$U$5:$U$1541,'供应商责任底表'!$A$5:$A$1541,$A42,'供应商责任底表'!$H$5:$H$1541,$C42,'供应商责任底表'!$F$5:$F$1541,$D42,'供应商责任底表'!$E$5:$E$1541,$E42)</f>
        <v>6.753968253968255</v>
      </c>
      <c r="N42" s="27" t="n">
        <f>IF(OR(F42=0,J42=0),"",L42-I42)</f>
        <v>0.001654303858263595</v>
      </c>
      <c r="O42" s="23" t="n">
        <f>SUMIFS('供应商责任底表'!$V$5:$V$1541,'供应商责任底表'!$A$5:$A$1541,$A42,'供应商责任底表'!$H$5:$H$1541,$C42,'供应商责任底表'!$F$5:$F$1541,$D42,'供应商责任底表'!$E$5:$E$1541,$E42)</f>
        <v>0</v>
      </c>
    </row>
    <row r="43">
      <c r="A43" s="19" t="str">
        <v>德国区</v>
      </c>
      <c r="B43" s="19" t="str">
        <v>Gohar GmbH</v>
      </c>
      <c r="C43" s="19" t="str">
        <v>S000327</v>
      </c>
      <c r="D43" s="19" t="str">
        <v>操作员</v>
      </c>
      <c r="E43" s="19" t="str">
        <v>2026-05</v>
      </c>
      <c r="F43" s="23" t="n">
        <f>SUMIFS('供应商责任底表'!$O$5:$O$1541,'供应商责任底表'!$A$5:$A$1541,$A43,'供应商责任底表'!$H$5:$H$1541,$C43,'供应商责任底表'!$F$5:$F$1541,$D43,'供应商责任底表'!$E$5:$E$1541,$E43)</f>
        <v>98</v>
      </c>
      <c r="G43" s="23" t="n">
        <f>SUMIFS('供应商责任底表'!$P$5:$P$1541,'供应商责任底表'!$A$5:$A$1541,$A43,'供应商责任底表'!$H$5:$H$1541,$C43,'供应商责任底表'!$F$5:$F$1541,$D43,'供应商责任底表'!$E$5:$E$1541,$E43)</f>
        <v>96</v>
      </c>
      <c r="H43" s="23" t="n">
        <f>SUMIFS('供应商责任底表'!$Q$5:$Q$1541,'供应商责任底表'!$A$5:$A$1541,$A43,'供应商责任底表'!$H$5:$H$1541,$C43,'供应商责任底表'!$F$5:$F$1541,$D43,'供应商责任底表'!$E$5:$E$1541,$E43)</f>
        <v>96</v>
      </c>
      <c r="I43" s="27" t="n">
        <f>IF(F43=0,"",H43/F43)</f>
        <v>0.9795918367346939</v>
      </c>
      <c r="J43" s="23" t="n">
        <f>SUMIFS('供应商责任底表'!$S$5:$S$1541,'供应商责任底表'!$A$5:$A$1541,$A43,'供应商责任底表'!$H$5:$H$1541,$C43,'供应商责任底表'!$F$5:$F$1541,$D43,'供应商责任底表'!$E$5:$E$1541,$E43)</f>
        <v>82.7</v>
      </c>
      <c r="K43" s="23" t="n">
        <f>SUMIFS('供应商责任底表'!$T$5:$T$1541,'供应商责任底表'!$A$5:$A$1541,$A43,'供应商责任底表'!$H$5:$H$1541,$C43,'供应商责任底表'!$F$5:$F$1541,$D43,'供应商责任底表'!$E$5:$E$1541,$E43)</f>
        <v>80.7</v>
      </c>
      <c r="L43" s="27" t="n">
        <f>IF(J43=0,"",K43/J43)</f>
        <v>0.9758162031438936</v>
      </c>
      <c r="M43" s="23" t="n">
        <f>SUMIFS('供应商责任底表'!$U$5:$U$1541,'供应商责任底表'!$A$5:$A$1541,$A43,'供应商责任底表'!$H$5:$H$1541,$C43,'供应商责任底表'!$F$5:$F$1541,$D43,'供应商责任底表'!$E$5:$E$1541,$E43)</f>
        <v>15.3</v>
      </c>
      <c r="N43" s="27" t="n">
        <f>IF(OR(F43=0,J43=0),"",L43-I43)</f>
        <v>-0.0037756335908002425</v>
      </c>
      <c r="O43" s="23" t="n">
        <f>SUMIFS('供应商责任底表'!$V$5:$V$1541,'供应商责任底表'!$A$5:$A$1541,$A43,'供应商责任底表'!$H$5:$H$1541,$C43,'供应商责任底表'!$F$5:$F$1541,$D43,'供应商责任底表'!$E$5:$E$1541,$E43)</f>
        <v>0</v>
      </c>
    </row>
    <row r="44">
      <c r="A44" s="19" t="str">
        <v>德国区</v>
      </c>
      <c r="B44" s="19" t="str">
        <v>Gohar GmbH</v>
      </c>
      <c r="C44" s="19" t="str">
        <v>S000327</v>
      </c>
      <c r="D44" s="19" t="str">
        <v>操作员</v>
      </c>
      <c r="E44" s="19" t="str">
        <v>2026-06</v>
      </c>
      <c r="F44" s="23" t="n">
        <f>SUMIFS('供应商责任底表'!$O$5:$O$1541,'供应商责任底表'!$A$5:$A$1541,$A44,'供应商责任底表'!$H$5:$H$1541,$C44,'供应商责任底表'!$F$5:$F$1541,$D44,'供应商责任底表'!$E$5:$E$1541,$E44)</f>
        <v>58</v>
      </c>
      <c r="G44" s="23" t="n">
        <f>SUMIFS('供应商责任底表'!$P$5:$P$1541,'供应商责任底表'!$A$5:$A$1541,$A44,'供应商责任底表'!$H$5:$H$1541,$C44,'供应商责任底表'!$F$5:$F$1541,$D44,'供应商责任底表'!$E$5:$E$1541,$E44)</f>
        <v>55</v>
      </c>
      <c r="H44" s="23" t="n">
        <f>SUMIFS('供应商责任底表'!$Q$5:$Q$1541,'供应商责任底表'!$A$5:$A$1541,$A44,'供应商责任底表'!$H$5:$H$1541,$C44,'供应商责任底表'!$F$5:$F$1541,$D44,'供应商责任底表'!$E$5:$E$1541,$E44)</f>
        <v>55</v>
      </c>
      <c r="I44" s="27" t="n">
        <f>IF(F44=0,"",H44/F44)</f>
        <v>0.9482758620689655</v>
      </c>
      <c r="J44" s="23" t="n">
        <f>SUMIFS('供应商责任底表'!$S$5:$S$1541,'供应商责任底表'!$A$5:$A$1541,$A44,'供应商责任底表'!$H$5:$H$1541,$C44,'供应商责任底表'!$F$5:$F$1541,$D44,'供应商责任底表'!$E$5:$E$1541,$E44)</f>
        <v>38.20634920634921</v>
      </c>
      <c r="K44" s="23" t="n">
        <f>SUMIFS('供应商责任底表'!$T$5:$T$1541,'供应商责任底表'!$A$5:$A$1541,$A44,'供应商责任底表'!$H$5:$H$1541,$C44,'供应商责任底表'!$F$5:$F$1541,$D44,'供应商责任底表'!$E$5:$E$1541,$E44)</f>
        <v>38.20634920634921</v>
      </c>
      <c r="L44" s="27" t="n">
        <f>IF(J44=0,"",K44/J44)</f>
        <v>1</v>
      </c>
      <c r="M44" s="23" t="n">
        <f>SUMIFS('供应商责任底表'!$U$5:$U$1541,'供应商责任底表'!$A$5:$A$1541,$A44,'供应商责任底表'!$H$5:$H$1541,$C44,'供应商责任底表'!$F$5:$F$1541,$D44,'供应商责任底表'!$E$5:$E$1541,$E44)</f>
        <v>19.793650793650794</v>
      </c>
      <c r="N44" s="27" t="n">
        <f>IF(OR(F44=0,J44=0),"",L44-I44)</f>
        <v>0.051724137931034475</v>
      </c>
      <c r="O44" s="23" t="n">
        <f>SUMIFS('供应商责任底表'!$V$5:$V$1541,'供应商责任底表'!$A$5:$A$1541,$A44,'供应商责任底表'!$H$5:$H$1541,$C44,'供应商责任底表'!$F$5:$F$1541,$D44,'供应商责任底表'!$E$5:$E$1541,$E44)</f>
        <v>0</v>
      </c>
    </row>
    <row r="45">
      <c r="A45" s="19" t="str">
        <v>德国区</v>
      </c>
      <c r="B45" s="19" t="str">
        <v>JS Logistik GmbH</v>
      </c>
      <c r="C45" s="19" t="str">
        <v>S000328</v>
      </c>
      <c r="D45" s="19" t="str">
        <v>操作员</v>
      </c>
      <c r="E45" s="19" t="str">
        <v>2026-05</v>
      </c>
      <c r="F45" s="23" t="n">
        <f>SUMIFS('供应商责任底表'!$O$5:$O$1541,'供应商责任底表'!$A$5:$A$1541,$A45,'供应商责任底表'!$H$5:$H$1541,$C45,'供应商责任底表'!$F$5:$F$1541,$D45,'供应商责任底表'!$E$5:$E$1541,$E45)</f>
        <v>2</v>
      </c>
      <c r="G45" s="23" t="n">
        <f>SUMIFS('供应商责任底表'!$P$5:$P$1541,'供应商责任底表'!$A$5:$A$1541,$A45,'供应商责任底表'!$H$5:$H$1541,$C45,'供应商责任底表'!$F$5:$F$1541,$D45,'供应商责任底表'!$E$5:$E$1541,$E45)</f>
        <v>2</v>
      </c>
      <c r="H45" s="23" t="n">
        <f>SUMIFS('供应商责任底表'!$Q$5:$Q$1541,'供应商责任底表'!$A$5:$A$1541,$A45,'供应商责任底表'!$H$5:$H$1541,$C45,'供应商责任底表'!$F$5:$F$1541,$D45,'供应商责任底表'!$E$5:$E$1541,$E45)</f>
        <v>2</v>
      </c>
      <c r="I45" s="27" t="n">
        <f>IF(F45=0,"",H45/F45)</f>
        <v>1</v>
      </c>
      <c r="J45" s="23" t="n">
        <f>SUMIFS('供应商责任底表'!$S$5:$S$1541,'供应商责任底表'!$A$5:$A$1541,$A45,'供应商责任底表'!$H$5:$H$1541,$C45,'供应商责任底表'!$F$5:$F$1541,$D45,'供应商责任底表'!$E$5:$E$1541,$E45)</f>
        <v>2</v>
      </c>
      <c r="K45" s="23" t="n">
        <f>SUMIFS('供应商责任底表'!$T$5:$T$1541,'供应商责任底表'!$A$5:$A$1541,$A45,'供应商责任底表'!$H$5:$H$1541,$C45,'供应商责任底表'!$F$5:$F$1541,$D45,'供应商责任底表'!$E$5:$E$1541,$E45)</f>
        <v>2</v>
      </c>
      <c r="L45" s="27" t="n">
        <f>IF(J45=0,"",K45/J45)</f>
        <v>1</v>
      </c>
      <c r="M45" s="23" t="n">
        <f>SUMIFS('供应商责任底表'!$U$5:$U$1541,'供应商责任底表'!$A$5:$A$1541,$A45,'供应商责任底表'!$H$5:$H$1541,$C45,'供应商责任底表'!$F$5:$F$1541,$D45,'供应商责任底表'!$E$5:$E$1541,$E45)</f>
        <v>0</v>
      </c>
      <c r="N45" s="27" t="n">
        <f>IF(OR(F45=0,J45=0),"",L45-I45)</f>
        <v>0</v>
      </c>
      <c r="O45" s="23" t="n">
        <f>SUMIFS('供应商责任底表'!$V$5:$V$1541,'供应商责任底表'!$A$5:$A$1541,$A45,'供应商责任底表'!$H$5:$H$1541,$C45,'供应商责任底表'!$F$5:$F$1541,$D45,'供应商责任底表'!$E$5:$E$1541,$E45)</f>
        <v>0</v>
      </c>
    </row>
    <row r="46">
      <c r="A46" s="19" t="str">
        <v>德国区</v>
      </c>
      <c r="B46" s="19" t="str">
        <v>JS Logistik GmbH</v>
      </c>
      <c r="C46" s="19" t="str">
        <v>S000328</v>
      </c>
      <c r="D46" s="19" t="str">
        <v>操作员</v>
      </c>
      <c r="E46" s="19" t="str">
        <v>2026-06</v>
      </c>
      <c r="F46" s="23" t="n">
        <f>SUMIFS('供应商责任底表'!$O$5:$O$1541,'供应商责任底表'!$A$5:$A$1541,$A46,'供应商责任底表'!$H$5:$H$1541,$C46,'供应商责任底表'!$F$5:$F$1541,$D46,'供应商责任底表'!$E$5:$E$1541,$E46)</f>
        <v>19</v>
      </c>
      <c r="G46" s="23" t="n">
        <f>SUMIFS('供应商责任底表'!$P$5:$P$1541,'供应商责任底表'!$A$5:$A$1541,$A46,'供应商责任底表'!$H$5:$H$1541,$C46,'供应商责任底表'!$F$5:$F$1541,$D46,'供应商责任底表'!$E$5:$E$1541,$E46)</f>
        <v>9</v>
      </c>
      <c r="H46" s="23" t="n">
        <f>SUMIFS('供应商责任底表'!$Q$5:$Q$1541,'供应商责任底表'!$A$5:$A$1541,$A46,'供应商责任底表'!$H$5:$H$1541,$C46,'供应商责任底表'!$F$5:$F$1541,$D46,'供应商责任底表'!$E$5:$E$1541,$E46)</f>
        <v>9</v>
      </c>
      <c r="I46" s="27" t="n">
        <f>IF(F46=0,"",H46/F46)</f>
        <v>0.47368421052631576</v>
      </c>
      <c r="J46" s="23" t="n">
        <f>SUMIFS('供应商责任底表'!$S$5:$S$1541,'供应商责任底表'!$A$5:$A$1541,$A46,'供应商责任底表'!$H$5:$H$1541,$C46,'供应商责任底表'!$F$5:$F$1541,$D46,'供应商责任底表'!$E$5:$E$1541,$E46)</f>
        <v>16.5</v>
      </c>
      <c r="K46" s="23" t="n">
        <f>SUMIFS('供应商责任底表'!$T$5:$T$1541,'供应商责任底表'!$A$5:$A$1541,$A46,'供应商责任底表'!$H$5:$H$1541,$C46,'供应商责任底表'!$F$5:$F$1541,$D46,'供应商责任底表'!$E$5:$E$1541,$E46)</f>
        <v>6.5</v>
      </c>
      <c r="L46" s="27" t="n">
        <f>IF(J46=0,"",K46/J46)</f>
        <v>0.3939393939393939</v>
      </c>
      <c r="M46" s="23" t="n">
        <f>SUMIFS('供应商责任底表'!$U$5:$U$1541,'供应商责任底表'!$A$5:$A$1541,$A46,'供应商责任底表'!$H$5:$H$1541,$C46,'供应商责任底表'!$F$5:$F$1541,$D46,'供应商责任底表'!$E$5:$E$1541,$E46)</f>
        <v>2.5</v>
      </c>
      <c r="N46" s="27" t="n">
        <f>IF(OR(F46=0,J46=0),"",L46-I46)</f>
        <v>-0.07974481658692184</v>
      </c>
      <c r="O46" s="23" t="n">
        <f>SUMIFS('供应商责任底表'!$V$5:$V$1541,'供应商责任底表'!$A$5:$A$1541,$A46,'供应商责任底表'!$H$5:$H$1541,$C46,'供应商责任底表'!$F$5:$F$1541,$D46,'供应商责任底表'!$E$5:$E$1541,$E46)</f>
        <v>0</v>
      </c>
    </row>
    <row r="47">
      <c r="A47" s="19" t="str">
        <v>意大利区</v>
      </c>
      <c r="B47" s="19" t="str">
        <v>ATTAL GROUP S.p.A.</v>
      </c>
      <c r="C47" s="19" t="str">
        <v>S000313</v>
      </c>
      <c r="D47" s="19" t="str">
        <v>操作员</v>
      </c>
      <c r="E47" s="19" t="str">
        <v>2026-05</v>
      </c>
      <c r="F47" s="23" t="n">
        <f>SUMIFS('供应商责任底表'!$O$5:$O$1541,'供应商责任底表'!$A$5:$A$1541,$A47,'供应商责任底表'!$H$5:$H$1541,$C47,'供应商责任底表'!$F$5:$F$1541,$D47,'供应商责任底表'!$E$5:$E$1541,$E47)</f>
        <v>6</v>
      </c>
      <c r="G47" s="23" t="n">
        <f>SUMIFS('供应商责任底表'!$P$5:$P$1541,'供应商责任底表'!$A$5:$A$1541,$A47,'供应商责任底表'!$H$5:$H$1541,$C47,'供应商责任底表'!$F$5:$F$1541,$D47,'供应商责任底表'!$E$5:$E$1541,$E47)</f>
        <v>0</v>
      </c>
      <c r="H47" s="23" t="n">
        <f>SUMIFS('供应商责任底表'!$Q$5:$Q$1541,'供应商责任底表'!$A$5:$A$1541,$A47,'供应商责任底表'!$H$5:$H$1541,$C47,'供应商责任底表'!$F$5:$F$1541,$D47,'供应商责任底表'!$E$5:$E$1541,$E47)</f>
        <v>0</v>
      </c>
      <c r="I47" s="27" t="n">
        <f>IF(F47=0,"",H47/F47)</f>
        <v>0</v>
      </c>
      <c r="J47" s="23" t="n">
        <f>SUMIFS('供应商责任底表'!$S$5:$S$1541,'供应商责任底表'!$A$5:$A$1541,$A47,'供应商责任底表'!$H$5:$H$1541,$C47,'供应商责任底表'!$F$5:$F$1541,$D47,'供应商责任底表'!$E$5:$E$1541,$E47)</f>
        <v>6</v>
      </c>
      <c r="K47" s="23" t="n">
        <f>SUMIFS('供应商责任底表'!$T$5:$T$1541,'供应商责任底表'!$A$5:$A$1541,$A47,'供应商责任底表'!$H$5:$H$1541,$C47,'供应商责任底表'!$F$5:$F$1541,$D47,'供应商责任底表'!$E$5:$E$1541,$E47)</f>
        <v>0</v>
      </c>
      <c r="L47" s="27" t="n">
        <f>IF(J47=0,"",K47/J47)</f>
        <v>0</v>
      </c>
      <c r="M47" s="23" t="n">
        <f>SUMIFS('供应商责任底表'!$U$5:$U$1541,'供应商责任底表'!$A$5:$A$1541,$A47,'供应商责任底表'!$H$5:$H$1541,$C47,'供应商责任底表'!$F$5:$F$1541,$D47,'供应商责任底表'!$E$5:$E$1541,$E47)</f>
        <v>0</v>
      </c>
      <c r="N47" s="27" t="n">
        <f>IF(OR(F47=0,J47=0),"",L47-I47)</f>
        <v>0</v>
      </c>
      <c r="O47" s="23" t="n">
        <f>SUMIFS('供应商责任底表'!$V$5:$V$1541,'供应商责任底表'!$A$5:$A$1541,$A47,'供应商责任底表'!$H$5:$H$1541,$C47,'供应商责任底表'!$F$5:$F$1541,$D47,'供应商责任底表'!$E$5:$E$1541,$E47)</f>
        <v>0</v>
      </c>
    </row>
    <row r="48">
      <c r="A48" s="19" t="str">
        <v>意大利区</v>
      </c>
      <c r="B48" s="19" t="str">
        <v>ATTAL GROUP S.p.A.</v>
      </c>
      <c r="C48" s="19" t="str">
        <v>S000313</v>
      </c>
      <c r="D48" s="19" t="str">
        <v>操作员</v>
      </c>
      <c r="E48" s="19" t="str">
        <v>2026-06</v>
      </c>
      <c r="F48" s="23" t="n">
        <f>SUMIFS('供应商责任底表'!$O$5:$O$1541,'供应商责任底表'!$A$5:$A$1541,$A48,'供应商责任底表'!$H$5:$H$1541,$C48,'供应商责任底表'!$F$5:$F$1541,$D48,'供应商责任底表'!$E$5:$E$1541,$E48)</f>
        <v>56</v>
      </c>
      <c r="G48" s="23" t="n">
        <f>SUMIFS('供应商责任底表'!$P$5:$P$1541,'供应商责任底表'!$A$5:$A$1541,$A48,'供应商责任底表'!$H$5:$H$1541,$C48,'供应商责任底表'!$F$5:$F$1541,$D48,'供应商责任底表'!$E$5:$E$1541,$E48)</f>
        <v>35</v>
      </c>
      <c r="H48" s="23" t="n">
        <f>SUMIFS('供应商责任底表'!$Q$5:$Q$1541,'供应商责任底表'!$A$5:$A$1541,$A48,'供应商责任底表'!$H$5:$H$1541,$C48,'供应商责任底表'!$F$5:$F$1541,$D48,'供应商责任底表'!$E$5:$E$1541,$E48)</f>
        <v>35</v>
      </c>
      <c r="I48" s="27" t="n">
        <f>IF(F48=0,"",H48/F48)</f>
        <v>0.625</v>
      </c>
      <c r="J48" s="23" t="n">
        <f>SUMIFS('供应商责任底表'!$S$5:$S$1541,'供应商责任底表'!$A$5:$A$1541,$A48,'供应商责任底表'!$H$5:$H$1541,$C48,'供应商责任底表'!$F$5:$F$1541,$D48,'供应商责任底表'!$E$5:$E$1541,$E48)</f>
        <v>50</v>
      </c>
      <c r="K48" s="23" t="n">
        <f>SUMIFS('供应商责任底表'!$T$5:$T$1541,'供应商责任底表'!$A$5:$A$1541,$A48,'供应商责任底表'!$H$5:$H$1541,$C48,'供应商责任底表'!$F$5:$F$1541,$D48,'供应商责任底表'!$E$5:$E$1541,$E48)</f>
        <v>35</v>
      </c>
      <c r="L48" s="27" t="n">
        <f>IF(J48=0,"",K48/J48)</f>
        <v>0.7</v>
      </c>
      <c r="M48" s="23" t="n">
        <f>SUMIFS('供应商责任底表'!$U$5:$U$1541,'供应商责任底表'!$A$5:$A$1541,$A48,'供应商责任底表'!$H$5:$H$1541,$C48,'供应商责任底表'!$F$5:$F$1541,$D48,'供应商责任底表'!$E$5:$E$1541,$E48)</f>
        <v>6</v>
      </c>
      <c r="N48" s="27" t="n">
        <f>IF(OR(F48=0,J48=0),"",L48-I48)</f>
        <v>0.07499999999999996</v>
      </c>
      <c r="O48" s="23" t="n">
        <f>SUMIFS('供应商责任底表'!$V$5:$V$1541,'供应商责任底表'!$A$5:$A$1541,$A48,'供应商责任底表'!$H$5:$H$1541,$C48,'供应商责任底表'!$F$5:$F$1541,$D48,'供应商责任底表'!$E$5:$E$1541,$E48)</f>
        <v>0</v>
      </c>
    </row>
    <row r="49">
      <c r="A49" s="19" t="str">
        <v>意大利区</v>
      </c>
      <c r="B49" s="19" t="str">
        <v>SYNERGIE</v>
      </c>
      <c r="C49" s="19" t="str">
        <v>S000337</v>
      </c>
      <c r="D49" s="19" t="str">
        <v>操作员</v>
      </c>
      <c r="E49" s="19" t="str">
        <v>2026-06</v>
      </c>
      <c r="F49" s="23" t="n">
        <f>SUMIFS('供应商责任底表'!$O$5:$O$1541,'供应商责任底表'!$A$5:$A$1541,$A49,'供应商责任底表'!$H$5:$H$1541,$C49,'供应商责任底表'!$F$5:$F$1541,$D49,'供应商责任底表'!$E$5:$E$1541,$E49)</f>
        <v>172</v>
      </c>
      <c r="G49" s="23" t="n">
        <f>SUMIFS('供应商责任底表'!$P$5:$P$1541,'供应商责任底表'!$A$5:$A$1541,$A49,'供应商责任底表'!$H$5:$H$1541,$C49,'供应商责任底表'!$F$5:$F$1541,$D49,'供应商责任底表'!$E$5:$E$1541,$E49)</f>
        <v>172</v>
      </c>
      <c r="H49" s="23" t="n">
        <f>SUMIFS('供应商责任底表'!$Q$5:$Q$1541,'供应商责任底表'!$A$5:$A$1541,$A49,'供应商责任底表'!$H$5:$H$1541,$C49,'供应商责任底表'!$F$5:$F$1541,$D49,'供应商责任底表'!$E$5:$E$1541,$E49)</f>
        <v>172</v>
      </c>
      <c r="I49" s="27" t="n">
        <f>IF(F49=0,"",H49/F49)</f>
        <v>1</v>
      </c>
      <c r="J49" s="23" t="n">
        <f>SUMIFS('供应商责任底表'!$S$5:$S$1541,'供应商责任底表'!$A$5:$A$1541,$A49,'供应商责任底表'!$H$5:$H$1541,$C49,'供应商责任底表'!$F$5:$F$1541,$D49,'供应商责任底表'!$E$5:$E$1541,$E49)</f>
        <v>172</v>
      </c>
      <c r="K49" s="23" t="n">
        <f>SUMIFS('供应商责任底表'!$T$5:$T$1541,'供应商责任底表'!$A$5:$A$1541,$A49,'供应商责任底表'!$H$5:$H$1541,$C49,'供应商责任底表'!$F$5:$F$1541,$D49,'供应商责任底表'!$E$5:$E$1541,$E49)</f>
        <v>172</v>
      </c>
      <c r="L49" s="27" t="n">
        <f>IF(J49=0,"",K49/J49)</f>
        <v>1</v>
      </c>
      <c r="M49" s="23" t="n">
        <f>SUMIFS('供应商责任底表'!$U$5:$U$1541,'供应商责任底表'!$A$5:$A$1541,$A49,'供应商责任底表'!$H$5:$H$1541,$C49,'供应商责任底表'!$F$5:$F$1541,$D49,'供应商责任底表'!$E$5:$E$1541,$E49)</f>
        <v>0</v>
      </c>
      <c r="N49" s="27" t="n">
        <f>IF(OR(F49=0,J49=0),"",L49-I49)</f>
        <v>0</v>
      </c>
      <c r="O49" s="23" t="n">
        <f>SUMIFS('供应商责任底表'!$V$5:$V$1541,'供应商责任底表'!$A$5:$A$1541,$A49,'供应商责任底表'!$H$5:$H$1541,$C49,'供应商责任底表'!$F$5:$F$1541,$D49,'供应商责任底表'!$E$5:$E$1541,$E49)</f>
        <v>0</v>
      </c>
    </row>
    <row r="50">
      <c r="A50" s="19" t="str">
        <v>捷克区</v>
      </c>
      <c r="B50" s="19" t="str">
        <v>PERSONALEK Plus s.r.o.</v>
      </c>
      <c r="C50" s="19" t="str">
        <v>S000098</v>
      </c>
      <c r="D50" s="19" t="str">
        <v>交运员 3.5T</v>
      </c>
      <c r="E50" s="19" t="str">
        <v>2026-06</v>
      </c>
      <c r="F50" s="23" t="n">
        <f>SUMIFS('供应商责任底表'!$O$5:$O$1541,'供应商责任底表'!$A$5:$A$1541,$A50,'供应商责任底表'!$H$5:$H$1541,$C50,'供应商责任底表'!$F$5:$F$1541,$D50,'供应商责任底表'!$E$5:$E$1541,$E50)</f>
        <v>5</v>
      </c>
      <c r="G50" s="23" t="n">
        <f>SUMIFS('供应商责任底表'!$P$5:$P$1541,'供应商责任底表'!$A$5:$A$1541,$A50,'供应商责任底表'!$H$5:$H$1541,$C50,'供应商责任底表'!$F$5:$F$1541,$D50,'供应商责任底表'!$E$5:$E$1541,$E50)</f>
        <v>5</v>
      </c>
      <c r="H50" s="23" t="n">
        <f>SUMIFS('供应商责任底表'!$Q$5:$Q$1541,'供应商责任底表'!$A$5:$A$1541,$A50,'供应商责任底表'!$H$5:$H$1541,$C50,'供应商责任底表'!$F$5:$F$1541,$D50,'供应商责任底表'!$E$5:$E$1541,$E50)</f>
        <v>5</v>
      </c>
      <c r="I50" s="27" t="n">
        <f>IF(F50=0,"",H50/F50)</f>
        <v>1</v>
      </c>
      <c r="J50" s="23" t="n">
        <f>SUMIFS('供应商责任底表'!$S$5:$S$1541,'供应商责任底表'!$A$5:$A$1541,$A50,'供应商责任底表'!$H$5:$H$1541,$C50,'供应商责任底表'!$F$5:$F$1541,$D50,'供应商责任底表'!$E$5:$E$1541,$E50)</f>
        <v>5</v>
      </c>
      <c r="K50" s="23" t="n">
        <f>SUMIFS('供应商责任底表'!$T$5:$T$1541,'供应商责任底表'!$A$5:$A$1541,$A50,'供应商责任底表'!$H$5:$H$1541,$C50,'供应商责任底表'!$F$5:$F$1541,$D50,'供应商责任底表'!$E$5:$E$1541,$E50)</f>
        <v>5</v>
      </c>
      <c r="L50" s="27" t="n">
        <f>IF(J50=0,"",K50/J50)</f>
        <v>1</v>
      </c>
      <c r="M50" s="23" t="n">
        <f>SUMIFS('供应商责任底表'!$U$5:$U$1541,'供应商责任底表'!$A$5:$A$1541,$A50,'供应商责任底表'!$H$5:$H$1541,$C50,'供应商责任底表'!$F$5:$F$1541,$D50,'供应商责任底表'!$E$5:$E$1541,$E50)</f>
        <v>0</v>
      </c>
      <c r="N50" s="27" t="n">
        <f>IF(OR(F50=0,J50=0),"",L50-I50)</f>
        <v>0</v>
      </c>
      <c r="O50" s="23" t="n">
        <f>SUMIFS('供应商责任底表'!$V$5:$V$1541,'供应商责任底表'!$A$5:$A$1541,$A50,'供应商责任底表'!$H$5:$H$1541,$C50,'供应商责任底表'!$F$5:$F$1541,$D50,'供应商责任底表'!$E$5:$E$1541,$E50)</f>
        <v>0</v>
      </c>
    </row>
    <row r="51">
      <c r="A51" s="19" t="str">
        <v>捷克区</v>
      </c>
      <c r="B51" s="19" t="str">
        <v>PERSONALEK Plus s.r.o.</v>
      </c>
      <c r="C51" s="19" t="str">
        <v>S000098</v>
      </c>
      <c r="D51" s="19" t="str">
        <v>叉车司机</v>
      </c>
      <c r="E51" s="19" t="str">
        <v>2026-04</v>
      </c>
      <c r="F51" s="23" t="n">
        <f>SUMIFS('供应商责任底表'!$O$5:$O$1541,'供应商责任底表'!$A$5:$A$1541,$A51,'供应商责任底表'!$H$5:$H$1541,$C51,'供应商责任底表'!$F$5:$F$1541,$D51,'供应商责任底表'!$E$5:$E$1541,$E51)</f>
        <v>1</v>
      </c>
      <c r="G51" s="23" t="n">
        <f>SUMIFS('供应商责任底表'!$P$5:$P$1541,'供应商责任底表'!$A$5:$A$1541,$A51,'供应商责任底表'!$H$5:$H$1541,$C51,'供应商责任底表'!$F$5:$F$1541,$D51,'供应商责任底表'!$E$5:$E$1541,$E51)</f>
        <v>1</v>
      </c>
      <c r="H51" s="23" t="n">
        <f>SUMIFS('供应商责任底表'!$Q$5:$Q$1541,'供应商责任底表'!$A$5:$A$1541,$A51,'供应商责任底表'!$H$5:$H$1541,$C51,'供应商责任底表'!$F$5:$F$1541,$D51,'供应商责任底表'!$E$5:$E$1541,$E51)</f>
        <v>1</v>
      </c>
      <c r="I51" s="27" t="n">
        <f>IF(F51=0,"",H51/F51)</f>
        <v>1</v>
      </c>
      <c r="J51" s="23" t="n">
        <f>SUMIFS('供应商责任底表'!$S$5:$S$1541,'供应商责任底表'!$A$5:$A$1541,$A51,'供应商责任底表'!$H$5:$H$1541,$C51,'供应商责任底表'!$F$5:$F$1541,$D51,'供应商责任底表'!$E$5:$E$1541,$E51)</f>
        <v>1</v>
      </c>
      <c r="K51" s="23" t="n">
        <f>SUMIFS('供应商责任底表'!$T$5:$T$1541,'供应商责任底表'!$A$5:$A$1541,$A51,'供应商责任底表'!$H$5:$H$1541,$C51,'供应商责任底表'!$F$5:$F$1541,$D51,'供应商责任底表'!$E$5:$E$1541,$E51)</f>
        <v>1</v>
      </c>
      <c r="L51" s="27" t="n">
        <f>IF(J51=0,"",K51/J51)</f>
        <v>1</v>
      </c>
      <c r="M51" s="23" t="n">
        <f>SUMIFS('供应商责任底表'!$U$5:$U$1541,'供应商责任底表'!$A$5:$A$1541,$A51,'供应商责任底表'!$H$5:$H$1541,$C51,'供应商责任底表'!$F$5:$F$1541,$D51,'供应商责任底表'!$E$5:$E$1541,$E51)</f>
        <v>0</v>
      </c>
      <c r="N51" s="27" t="n">
        <f>IF(OR(F51=0,J51=0),"",L51-I51)</f>
        <v>0</v>
      </c>
      <c r="O51" s="23" t="n">
        <f>SUMIFS('供应商责任底表'!$V$5:$V$1541,'供应商责任底表'!$A$5:$A$1541,$A51,'供应商责任底表'!$H$5:$H$1541,$C51,'供应商责任底表'!$F$5:$F$1541,$D51,'供应商责任底表'!$E$5:$E$1541,$E51)</f>
        <v>0</v>
      </c>
    </row>
    <row r="52">
      <c r="A52" s="19" t="str">
        <v>捷克区</v>
      </c>
      <c r="B52" s="19" t="str">
        <v>PERSONALEK Plus s.r.o.</v>
      </c>
      <c r="C52" s="19" t="str">
        <v>S000098</v>
      </c>
      <c r="D52" s="19" t="str">
        <v>叉车司机</v>
      </c>
      <c r="E52" s="19" t="str">
        <v>2026-06</v>
      </c>
      <c r="F52" s="23" t="n">
        <f>SUMIFS('供应商责任底表'!$O$5:$O$1541,'供应商责任底表'!$A$5:$A$1541,$A52,'供应商责任底表'!$H$5:$H$1541,$C52,'供应商责任底表'!$F$5:$F$1541,$D52,'供应商责任底表'!$E$5:$E$1541,$E52)</f>
        <v>15</v>
      </c>
      <c r="G52" s="23" t="n">
        <f>SUMIFS('供应商责任底表'!$P$5:$P$1541,'供应商责任底表'!$A$5:$A$1541,$A52,'供应商责任底表'!$H$5:$H$1541,$C52,'供应商责任底表'!$F$5:$F$1541,$D52,'供应商责任底表'!$E$5:$E$1541,$E52)</f>
        <v>9</v>
      </c>
      <c r="H52" s="23" t="n">
        <f>SUMIFS('供应商责任底表'!$Q$5:$Q$1541,'供应商责任底表'!$A$5:$A$1541,$A52,'供应商责任底表'!$H$5:$H$1541,$C52,'供应商责任底表'!$F$5:$F$1541,$D52,'供应商责任底表'!$E$5:$E$1541,$E52)</f>
        <v>9</v>
      </c>
      <c r="I52" s="27" t="n">
        <f>IF(F52=0,"",H52/F52)</f>
        <v>0.6</v>
      </c>
      <c r="J52" s="23" t="n">
        <f>SUMIFS('供应商责任底表'!$S$5:$S$1541,'供应商责任底表'!$A$5:$A$1541,$A52,'供应商责任底表'!$H$5:$H$1541,$C52,'供应商责任底表'!$F$5:$F$1541,$D52,'供应商责任底表'!$E$5:$E$1541,$E52)</f>
        <v>15</v>
      </c>
      <c r="K52" s="23" t="n">
        <f>SUMIFS('供应商责任底表'!$T$5:$T$1541,'供应商责任底表'!$A$5:$A$1541,$A52,'供应商责任底表'!$H$5:$H$1541,$C52,'供应商责任底表'!$F$5:$F$1541,$D52,'供应商责任底表'!$E$5:$E$1541,$E52)</f>
        <v>9</v>
      </c>
      <c r="L52" s="27" t="n">
        <f>IF(J52=0,"",K52/J52)</f>
        <v>0.6</v>
      </c>
      <c r="M52" s="23" t="n">
        <f>SUMIFS('供应商责任底表'!$U$5:$U$1541,'供应商责任底表'!$A$5:$A$1541,$A52,'供应商责任底表'!$H$5:$H$1541,$C52,'供应商责任底表'!$F$5:$F$1541,$D52,'供应商责任底表'!$E$5:$E$1541,$E52)</f>
        <v>0</v>
      </c>
      <c r="N52" s="27" t="n">
        <f>IF(OR(F52=0,J52=0),"",L52-I52)</f>
        <v>0</v>
      </c>
      <c r="O52" s="23" t="n">
        <f>SUMIFS('供应商责任底表'!$V$5:$V$1541,'供应商责任底表'!$A$5:$A$1541,$A52,'供应商责任底表'!$H$5:$H$1541,$C52,'供应商责任底表'!$F$5:$F$1541,$D52,'供应商责任底表'!$E$5:$E$1541,$E52)</f>
        <v>0</v>
      </c>
    </row>
    <row r="53">
      <c r="A53" s="19" t="str">
        <v>捷克区</v>
      </c>
      <c r="B53" s="19" t="str">
        <v>PERSONALEK Plus s.r.o.</v>
      </c>
      <c r="C53" s="19" t="str">
        <v>S000098</v>
      </c>
      <c r="D53" s="19" t="str">
        <v>操作员</v>
      </c>
      <c r="E53" s="19" t="str">
        <v>2026-04</v>
      </c>
      <c r="F53" s="23" t="n">
        <f>SUMIFS('供应商责任底表'!$O$5:$O$1541,'供应商责任底表'!$A$5:$A$1541,$A53,'供应商责任底表'!$H$5:$H$1541,$C53,'供应商责任底表'!$F$5:$F$1541,$D53,'供应商责任底表'!$E$5:$E$1541,$E53)</f>
        <v>1</v>
      </c>
      <c r="G53" s="23" t="n">
        <f>SUMIFS('供应商责任底表'!$P$5:$P$1541,'供应商责任底表'!$A$5:$A$1541,$A53,'供应商责任底表'!$H$5:$H$1541,$C53,'供应商责任底表'!$F$5:$F$1541,$D53,'供应商责任底表'!$E$5:$E$1541,$E53)</f>
        <v>1</v>
      </c>
      <c r="H53" s="23" t="n">
        <f>SUMIFS('供应商责任底表'!$Q$5:$Q$1541,'供应商责任底表'!$A$5:$A$1541,$A53,'供应商责任底表'!$H$5:$H$1541,$C53,'供应商责任底表'!$F$5:$F$1541,$D53,'供应商责任底表'!$E$5:$E$1541,$E53)</f>
        <v>1</v>
      </c>
      <c r="I53" s="27" t="n">
        <f>IF(F53=0,"",H53/F53)</f>
        <v>1</v>
      </c>
      <c r="J53" s="23" t="n">
        <f>SUMIFS('供应商责任底表'!$S$5:$S$1541,'供应商责任底表'!$A$5:$A$1541,$A53,'供应商责任底表'!$H$5:$H$1541,$C53,'供应商责任底表'!$F$5:$F$1541,$D53,'供应商责任底表'!$E$5:$E$1541,$E53)</f>
        <v>1</v>
      </c>
      <c r="K53" s="23" t="n">
        <f>SUMIFS('供应商责任底表'!$T$5:$T$1541,'供应商责任底表'!$A$5:$A$1541,$A53,'供应商责任底表'!$H$5:$H$1541,$C53,'供应商责任底表'!$F$5:$F$1541,$D53,'供应商责任底表'!$E$5:$E$1541,$E53)</f>
        <v>1</v>
      </c>
      <c r="L53" s="27" t="n">
        <f>IF(J53=0,"",K53/J53)</f>
        <v>1</v>
      </c>
      <c r="M53" s="23" t="n">
        <f>SUMIFS('供应商责任底表'!$U$5:$U$1541,'供应商责任底表'!$A$5:$A$1541,$A53,'供应商责任底表'!$H$5:$H$1541,$C53,'供应商责任底表'!$F$5:$F$1541,$D53,'供应商责任底表'!$E$5:$E$1541,$E53)</f>
        <v>0</v>
      </c>
      <c r="N53" s="27" t="n">
        <f>IF(OR(F53=0,J53=0),"",L53-I53)</f>
        <v>0</v>
      </c>
      <c r="O53" s="23" t="n">
        <f>SUMIFS('供应商责任底表'!$V$5:$V$1541,'供应商责任底表'!$A$5:$A$1541,$A53,'供应商责任底表'!$H$5:$H$1541,$C53,'供应商责任底表'!$F$5:$F$1541,$D53,'供应商责任底表'!$E$5:$E$1541,$E53)</f>
        <v>0</v>
      </c>
    </row>
    <row r="54">
      <c r="A54" s="19" t="str">
        <v>捷克区</v>
      </c>
      <c r="B54" s="19" t="str">
        <v>PERSONALEK Plus s.r.o.</v>
      </c>
      <c r="C54" s="19" t="str">
        <v>S000098</v>
      </c>
      <c r="D54" s="19" t="str">
        <v>操作员</v>
      </c>
      <c r="E54" s="19" t="str">
        <v>2026-05</v>
      </c>
      <c r="F54" s="23" t="n">
        <f>SUMIFS('供应商责任底表'!$O$5:$O$1541,'供应商责任底表'!$A$5:$A$1541,$A54,'供应商责任底表'!$H$5:$H$1541,$C54,'供应商责任底表'!$F$5:$F$1541,$D54,'供应商责任底表'!$E$5:$E$1541,$E54)</f>
        <v>4</v>
      </c>
      <c r="G54" s="23" t="n">
        <f>SUMIFS('供应商责任底表'!$P$5:$P$1541,'供应商责任底表'!$A$5:$A$1541,$A54,'供应商责任底表'!$H$5:$H$1541,$C54,'供应商责任底表'!$F$5:$F$1541,$D54,'供应商责任底表'!$E$5:$E$1541,$E54)</f>
        <v>0</v>
      </c>
      <c r="H54" s="23" t="n">
        <f>SUMIFS('供应商责任底表'!$Q$5:$Q$1541,'供应商责任底表'!$A$5:$A$1541,$A54,'供应商责任底表'!$H$5:$H$1541,$C54,'供应商责任底表'!$F$5:$F$1541,$D54,'供应商责任底表'!$E$5:$E$1541,$E54)</f>
        <v>0</v>
      </c>
      <c r="I54" s="27" t="n">
        <f>IF(F54=0,"",H54/F54)</f>
        <v>0</v>
      </c>
      <c r="J54" s="23" t="n">
        <f>SUMIFS('供应商责任底表'!$S$5:$S$1541,'供应商责任底表'!$A$5:$A$1541,$A54,'供应商责任底表'!$H$5:$H$1541,$C54,'供应商责任底表'!$F$5:$F$1541,$D54,'供应商责任底表'!$E$5:$E$1541,$E54)</f>
        <v>4</v>
      </c>
      <c r="K54" s="23" t="n">
        <f>SUMIFS('供应商责任底表'!$T$5:$T$1541,'供应商责任底表'!$A$5:$A$1541,$A54,'供应商责任底表'!$H$5:$H$1541,$C54,'供应商责任底表'!$F$5:$F$1541,$D54,'供应商责任底表'!$E$5:$E$1541,$E54)</f>
        <v>0</v>
      </c>
      <c r="L54" s="27" t="n">
        <f>IF(J54=0,"",K54/J54)</f>
        <v>0</v>
      </c>
      <c r="M54" s="23" t="n">
        <f>SUMIFS('供应商责任底表'!$U$5:$U$1541,'供应商责任底表'!$A$5:$A$1541,$A54,'供应商责任底表'!$H$5:$H$1541,$C54,'供应商责任底表'!$F$5:$F$1541,$D54,'供应商责任底表'!$E$5:$E$1541,$E54)</f>
        <v>0</v>
      </c>
      <c r="N54" s="27" t="n">
        <f>IF(OR(F54=0,J54=0),"",L54-I54)</f>
        <v>0</v>
      </c>
      <c r="O54" s="23" t="n">
        <f>SUMIFS('供应商责任底表'!$V$5:$V$1541,'供应商责任底表'!$A$5:$A$1541,$A54,'供应商责任底表'!$H$5:$H$1541,$C54,'供应商责任底表'!$F$5:$F$1541,$D54,'供应商责任底表'!$E$5:$E$1541,$E54)</f>
        <v>0</v>
      </c>
    </row>
    <row r="55">
      <c r="A55" s="19" t="str">
        <v>捷克区</v>
      </c>
      <c r="B55" s="19" t="str">
        <v>PERSONALEK Plus s.r.o.</v>
      </c>
      <c r="C55" s="19" t="str">
        <v>S000098</v>
      </c>
      <c r="D55" s="19" t="str">
        <v>操作员</v>
      </c>
      <c r="E55" s="19" t="str">
        <v>2026-06</v>
      </c>
      <c r="F55" s="23" t="n">
        <f>SUMIFS('供应商责任底表'!$O$5:$O$1541,'供应商责任底表'!$A$5:$A$1541,$A55,'供应商责任底表'!$H$5:$H$1541,$C55,'供应商责任底表'!$F$5:$F$1541,$D55,'供应商责任底表'!$E$5:$E$1541,$E55)</f>
        <v>10</v>
      </c>
      <c r="G55" s="23" t="n">
        <f>SUMIFS('供应商责任底表'!$P$5:$P$1541,'供应商责任底表'!$A$5:$A$1541,$A55,'供应商责任底表'!$H$5:$H$1541,$C55,'供应商责任底表'!$F$5:$F$1541,$D55,'供应商责任底表'!$E$5:$E$1541,$E55)</f>
        <v>5</v>
      </c>
      <c r="H55" s="23" t="n">
        <f>SUMIFS('供应商责任底表'!$Q$5:$Q$1541,'供应商责任底表'!$A$5:$A$1541,$A55,'供应商责任底表'!$H$5:$H$1541,$C55,'供应商责任底表'!$F$5:$F$1541,$D55,'供应商责任底表'!$E$5:$E$1541,$E55)</f>
        <v>5</v>
      </c>
      <c r="I55" s="27" t="n">
        <f>IF(F55=0,"",H55/F55)</f>
        <v>0.5</v>
      </c>
      <c r="J55" s="23" t="n">
        <f>SUMIFS('供应商责任底表'!$S$5:$S$1541,'供应商责任底表'!$A$5:$A$1541,$A55,'供应商责任底表'!$H$5:$H$1541,$C55,'供应商责任底表'!$F$5:$F$1541,$D55,'供应商责任底表'!$E$5:$E$1541,$E55)</f>
        <v>10</v>
      </c>
      <c r="K55" s="23" t="n">
        <f>SUMIFS('供应商责任底表'!$T$5:$T$1541,'供应商责任底表'!$A$5:$A$1541,$A55,'供应商责任底表'!$H$5:$H$1541,$C55,'供应商责任底表'!$F$5:$F$1541,$D55,'供应商责任底表'!$E$5:$E$1541,$E55)</f>
        <v>5</v>
      </c>
      <c r="L55" s="27" t="n">
        <f>IF(J55=0,"",K55/J55)</f>
        <v>0.5</v>
      </c>
      <c r="M55" s="23" t="n">
        <f>SUMIFS('供应商责任底表'!$U$5:$U$1541,'供应商责任底表'!$A$5:$A$1541,$A55,'供应商责任底表'!$H$5:$H$1541,$C55,'供应商责任底表'!$F$5:$F$1541,$D55,'供应商责任底表'!$E$5:$E$1541,$E55)</f>
        <v>0</v>
      </c>
      <c r="N55" s="27" t="n">
        <f>IF(OR(F55=0,J55=0),"",L55-I55)</f>
        <v>0</v>
      </c>
      <c r="O55" s="23" t="n">
        <f>SUMIFS('供应商责任底表'!$V$5:$V$1541,'供应商责任底表'!$A$5:$A$1541,$A55,'供应商责任底表'!$H$5:$H$1541,$C55,'供应商责任底表'!$F$5:$F$1541,$D55,'供应商责任底表'!$E$5:$E$1541,$E55)</f>
        <v>0</v>
      </c>
    </row>
    <row r="56">
      <c r="A56" s="19" t="str">
        <v>捷克区</v>
      </c>
      <c r="B56" s="19" t="str">
        <v>Armz HR</v>
      </c>
      <c r="C56" s="19" t="str">
        <v>S000175</v>
      </c>
      <c r="D56" s="19" t="str">
        <v>操作员</v>
      </c>
      <c r="E56" s="19" t="str">
        <v>2026-04</v>
      </c>
      <c r="F56" s="23" t="n">
        <f>SUMIFS('供应商责任底表'!$O$5:$O$1541,'供应商责任底表'!$A$5:$A$1541,$A56,'供应商责任底表'!$H$5:$H$1541,$C56,'供应商责任底表'!$F$5:$F$1541,$D56,'供应商责任底表'!$E$5:$E$1541,$E56)</f>
        <v>1</v>
      </c>
      <c r="G56" s="23" t="n">
        <f>SUMIFS('供应商责任底表'!$P$5:$P$1541,'供应商责任底表'!$A$5:$A$1541,$A56,'供应商责任底表'!$H$5:$H$1541,$C56,'供应商责任底表'!$F$5:$F$1541,$D56,'供应商责任底表'!$E$5:$E$1541,$E56)</f>
        <v>1</v>
      </c>
      <c r="H56" s="23" t="n">
        <f>SUMIFS('供应商责任底表'!$Q$5:$Q$1541,'供应商责任底表'!$A$5:$A$1541,$A56,'供应商责任底表'!$H$5:$H$1541,$C56,'供应商责任底表'!$F$5:$F$1541,$D56,'供应商责任底表'!$E$5:$E$1541,$E56)</f>
        <v>1</v>
      </c>
      <c r="I56" s="27" t="n">
        <f>IF(F56=0,"",H56/F56)</f>
        <v>1</v>
      </c>
      <c r="J56" s="23" t="n">
        <f>SUMIFS('供应商责任底表'!$S$5:$S$1541,'供应商责任底表'!$A$5:$A$1541,$A56,'供应商责任底表'!$H$5:$H$1541,$C56,'供应商责任底表'!$F$5:$F$1541,$D56,'供应商责任底表'!$E$5:$E$1541,$E56)</f>
        <v>1</v>
      </c>
      <c r="K56" s="23" t="n">
        <f>SUMIFS('供应商责任底表'!$T$5:$T$1541,'供应商责任底表'!$A$5:$A$1541,$A56,'供应商责任底表'!$H$5:$H$1541,$C56,'供应商责任底表'!$F$5:$F$1541,$D56,'供应商责任底表'!$E$5:$E$1541,$E56)</f>
        <v>1</v>
      </c>
      <c r="L56" s="27" t="n">
        <f>IF(J56=0,"",K56/J56)</f>
        <v>1</v>
      </c>
      <c r="M56" s="23" t="n">
        <f>SUMIFS('供应商责任底表'!$U$5:$U$1541,'供应商责任底表'!$A$5:$A$1541,$A56,'供应商责任底表'!$H$5:$H$1541,$C56,'供应商责任底表'!$F$5:$F$1541,$D56,'供应商责任底表'!$E$5:$E$1541,$E56)</f>
        <v>0</v>
      </c>
      <c r="N56" s="27" t="n">
        <f>IF(OR(F56=0,J56=0),"",L56-I56)</f>
        <v>0</v>
      </c>
      <c r="O56" s="23" t="n">
        <f>SUMIFS('供应商责任底表'!$V$5:$V$1541,'供应商责任底表'!$A$5:$A$1541,$A56,'供应商责任底表'!$H$5:$H$1541,$C56,'供应商责任底表'!$F$5:$F$1541,$D56,'供应商责任底表'!$E$5:$E$1541,$E56)</f>
        <v>0</v>
      </c>
    </row>
    <row r="57">
      <c r="A57" s="19" t="str">
        <v>捷克区</v>
      </c>
      <c r="B57" s="19" t="str">
        <v>Armz HR</v>
      </c>
      <c r="C57" s="19" t="str">
        <v>S000175</v>
      </c>
      <c r="D57" s="19" t="str">
        <v>操作员</v>
      </c>
      <c r="E57" s="19" t="str">
        <v>2026-05</v>
      </c>
      <c r="F57" s="23" t="n">
        <f>SUMIFS('供应商责任底表'!$O$5:$O$1541,'供应商责任底表'!$A$5:$A$1541,$A57,'供应商责任底表'!$H$5:$H$1541,$C57,'供应商责任底表'!$F$5:$F$1541,$D57,'供应商责任底表'!$E$5:$E$1541,$E57)</f>
        <v>8</v>
      </c>
      <c r="G57" s="23" t="n">
        <f>SUMIFS('供应商责任底表'!$P$5:$P$1541,'供应商责任底表'!$A$5:$A$1541,$A57,'供应商责任底表'!$H$5:$H$1541,$C57,'供应商责任底表'!$F$5:$F$1541,$D57,'供应商责任底表'!$E$5:$E$1541,$E57)</f>
        <v>0</v>
      </c>
      <c r="H57" s="23" t="n">
        <f>SUMIFS('供应商责任底表'!$Q$5:$Q$1541,'供应商责任底表'!$A$5:$A$1541,$A57,'供应商责任底表'!$H$5:$H$1541,$C57,'供应商责任底表'!$F$5:$F$1541,$D57,'供应商责任底表'!$E$5:$E$1541,$E57)</f>
        <v>0</v>
      </c>
      <c r="I57" s="27" t="n">
        <f>IF(F57=0,"",H57/F57)</f>
        <v>0</v>
      </c>
      <c r="J57" s="23" t="n">
        <f>SUMIFS('供应商责任底表'!$S$5:$S$1541,'供应商责任底表'!$A$5:$A$1541,$A57,'供应商责任底表'!$H$5:$H$1541,$C57,'供应商责任底表'!$F$5:$F$1541,$D57,'供应商责任底表'!$E$5:$E$1541,$E57)</f>
        <v>8</v>
      </c>
      <c r="K57" s="23" t="n">
        <f>SUMIFS('供应商责任底表'!$T$5:$T$1541,'供应商责任底表'!$A$5:$A$1541,$A57,'供应商责任底表'!$H$5:$H$1541,$C57,'供应商责任底表'!$F$5:$F$1541,$D57,'供应商责任底表'!$E$5:$E$1541,$E57)</f>
        <v>0</v>
      </c>
      <c r="L57" s="27" t="n">
        <f>IF(J57=0,"",K57/J57)</f>
        <v>0</v>
      </c>
      <c r="M57" s="23" t="n">
        <f>SUMIFS('供应商责任底表'!$U$5:$U$1541,'供应商责任底表'!$A$5:$A$1541,$A57,'供应商责任底表'!$H$5:$H$1541,$C57,'供应商责任底表'!$F$5:$F$1541,$D57,'供应商责任底表'!$E$5:$E$1541,$E57)</f>
        <v>0</v>
      </c>
      <c r="N57" s="27" t="n">
        <f>IF(OR(F57=0,J57=0),"",L57-I57)</f>
        <v>0</v>
      </c>
      <c r="O57" s="23" t="n">
        <f>SUMIFS('供应商责任底表'!$V$5:$V$1541,'供应商责任底表'!$A$5:$A$1541,$A57,'供应商责任底表'!$H$5:$H$1541,$C57,'供应商责任底表'!$F$5:$F$1541,$D57,'供应商责任底表'!$E$5:$E$1541,$E57)</f>
        <v>0</v>
      </c>
    </row>
    <row r="58">
      <c r="A58" s="19" t="str">
        <v>捷克区</v>
      </c>
      <c r="B58" s="19" t="str">
        <v>Armz HR</v>
      </c>
      <c r="C58" s="19" t="str">
        <v>S000175</v>
      </c>
      <c r="D58" s="19" t="str">
        <v>操作员</v>
      </c>
      <c r="E58" s="19" t="str">
        <v>2026-06</v>
      </c>
      <c r="F58" s="23" t="n">
        <f>SUMIFS('供应商责任底表'!$O$5:$O$1541,'供应商责任底表'!$A$5:$A$1541,$A58,'供应商责任底表'!$H$5:$H$1541,$C58,'供应商责任底表'!$F$5:$F$1541,$D58,'供应商责任底表'!$E$5:$E$1541,$E58)</f>
        <v>10</v>
      </c>
      <c r="G58" s="23" t="n">
        <f>SUMIFS('供应商责任底表'!$P$5:$P$1541,'供应商责任底表'!$A$5:$A$1541,$A58,'供应商责任底表'!$H$5:$H$1541,$C58,'供应商责任底表'!$F$5:$F$1541,$D58,'供应商责任底表'!$E$5:$E$1541,$E58)</f>
        <v>1</v>
      </c>
      <c r="H58" s="23" t="n">
        <f>SUMIFS('供应商责任底表'!$Q$5:$Q$1541,'供应商责任底表'!$A$5:$A$1541,$A58,'供应商责任底表'!$H$5:$H$1541,$C58,'供应商责任底表'!$F$5:$F$1541,$D58,'供应商责任底表'!$E$5:$E$1541,$E58)</f>
        <v>1</v>
      </c>
      <c r="I58" s="27" t="n">
        <f>IF(F58=0,"",H58/F58)</f>
        <v>0.1</v>
      </c>
      <c r="J58" s="23" t="n">
        <f>SUMIFS('供应商责任底表'!$S$5:$S$1541,'供应商责任底表'!$A$5:$A$1541,$A58,'供应商责任底表'!$H$5:$H$1541,$C58,'供应商责任底表'!$F$5:$F$1541,$D58,'供应商责任底表'!$E$5:$E$1541,$E58)</f>
        <v>10</v>
      </c>
      <c r="K58" s="23" t="n">
        <f>SUMIFS('供应商责任底表'!$T$5:$T$1541,'供应商责任底表'!$A$5:$A$1541,$A58,'供应商责任底表'!$H$5:$H$1541,$C58,'供应商责任底表'!$F$5:$F$1541,$D58,'供应商责任底表'!$E$5:$E$1541,$E58)</f>
        <v>1</v>
      </c>
      <c r="L58" s="27" t="n">
        <f>IF(J58=0,"",K58/J58)</f>
        <v>0.1</v>
      </c>
      <c r="M58" s="23" t="n">
        <f>SUMIFS('供应商责任底表'!$U$5:$U$1541,'供应商责任底表'!$A$5:$A$1541,$A58,'供应商责任底表'!$H$5:$H$1541,$C58,'供应商责任底表'!$F$5:$F$1541,$D58,'供应商责任底表'!$E$5:$E$1541,$E58)</f>
        <v>0</v>
      </c>
      <c r="N58" s="27" t="n">
        <f>IF(OR(F58=0,J58=0),"",L58-I58)</f>
        <v>0</v>
      </c>
      <c r="O58" s="23" t="n">
        <f>SUMIFS('供应商责任底表'!$V$5:$V$1541,'供应商责任底表'!$A$5:$A$1541,$A58,'供应商责任底表'!$H$5:$H$1541,$C58,'供应商责任底表'!$F$5:$F$1541,$D58,'供应商责任底表'!$E$5:$E$1541,$E58)</f>
        <v>0</v>
      </c>
    </row>
    <row r="59">
      <c r="A59" s="19" t="str">
        <v>捷克区</v>
      </c>
      <c r="B59" s="19" t="str">
        <v>FILKOPI Agency s.r.o.</v>
      </c>
      <c r="C59" s="19" t="str">
        <v>S000192</v>
      </c>
      <c r="D59" s="19" t="str">
        <v>叉车司机</v>
      </c>
      <c r="E59" s="19" t="str">
        <v>2026-06</v>
      </c>
      <c r="F59" s="23" t="n">
        <f>SUMIFS('供应商责任底表'!$O$5:$O$1541,'供应商责任底表'!$A$5:$A$1541,$A59,'供应商责任底表'!$H$5:$H$1541,$C59,'供应商责任底表'!$F$5:$F$1541,$D59,'供应商责任底表'!$E$5:$E$1541,$E59)</f>
        <v>11</v>
      </c>
      <c r="G59" s="23" t="n">
        <f>SUMIFS('供应商责任底表'!$P$5:$P$1541,'供应商责任底表'!$A$5:$A$1541,$A59,'供应商责任底表'!$H$5:$H$1541,$C59,'供应商责任底表'!$F$5:$F$1541,$D59,'供应商责任底表'!$E$5:$E$1541,$E59)</f>
        <v>8</v>
      </c>
      <c r="H59" s="23" t="n">
        <f>SUMIFS('供应商责任底表'!$Q$5:$Q$1541,'供应商责任底表'!$A$5:$A$1541,$A59,'供应商责任底表'!$H$5:$H$1541,$C59,'供应商责任底表'!$F$5:$F$1541,$D59,'供应商责任底表'!$E$5:$E$1541,$E59)</f>
        <v>8</v>
      </c>
      <c r="I59" s="27" t="n">
        <f>IF(F59=0,"",H59/F59)</f>
        <v>0.7272727272727273</v>
      </c>
      <c r="J59" s="23" t="n">
        <f>SUMIFS('供应商责任底表'!$S$5:$S$1541,'供应商责任底表'!$A$5:$A$1541,$A59,'供应商责任底表'!$H$5:$H$1541,$C59,'供应商责任底表'!$F$5:$F$1541,$D59,'供应商责任底表'!$E$5:$E$1541,$E59)</f>
        <v>11</v>
      </c>
      <c r="K59" s="23" t="n">
        <f>SUMIFS('供应商责任底表'!$T$5:$T$1541,'供应商责任底表'!$A$5:$A$1541,$A59,'供应商责任底表'!$H$5:$H$1541,$C59,'供应商责任底表'!$F$5:$F$1541,$D59,'供应商责任底表'!$E$5:$E$1541,$E59)</f>
        <v>8</v>
      </c>
      <c r="L59" s="27" t="n">
        <f>IF(J59=0,"",K59/J59)</f>
        <v>0.7272727272727273</v>
      </c>
      <c r="M59" s="23" t="n">
        <f>SUMIFS('供应商责任底表'!$U$5:$U$1541,'供应商责任底表'!$A$5:$A$1541,$A59,'供应商责任底表'!$H$5:$H$1541,$C59,'供应商责任底表'!$F$5:$F$1541,$D59,'供应商责任底表'!$E$5:$E$1541,$E59)</f>
        <v>0</v>
      </c>
      <c r="N59" s="27" t="n">
        <f>IF(OR(F59=0,J59=0),"",L59-I59)</f>
        <v>0</v>
      </c>
      <c r="O59" s="23" t="n">
        <f>SUMIFS('供应商责任底表'!$V$5:$V$1541,'供应商责任底表'!$A$5:$A$1541,$A59,'供应商责任底表'!$H$5:$H$1541,$C59,'供应商责任底表'!$F$5:$F$1541,$D59,'供应商责任底表'!$E$5:$E$1541,$E59)</f>
        <v>0</v>
      </c>
    </row>
    <row r="60">
      <c r="A60" s="19" t="str">
        <v>捷克区</v>
      </c>
      <c r="B60" s="19" t="str">
        <v>Wildenborch s.r.o.</v>
      </c>
      <c r="C60" s="19" t="str">
        <v>S000266</v>
      </c>
      <c r="D60" s="19" t="str">
        <v>叉车司机</v>
      </c>
      <c r="E60" s="19" t="str">
        <v>2026-04</v>
      </c>
      <c r="F60" s="23" t="n">
        <f>SUMIFS('供应商责任底表'!$O$5:$O$1541,'供应商责任底表'!$A$5:$A$1541,$A60,'供应商责任底表'!$H$5:$H$1541,$C60,'供应商责任底表'!$F$5:$F$1541,$D60,'供应商责任底表'!$E$5:$E$1541,$E60)</f>
        <v>16</v>
      </c>
      <c r="G60" s="23" t="n">
        <f>SUMIFS('供应商责任底表'!$P$5:$P$1541,'供应商责任底表'!$A$5:$A$1541,$A60,'供应商责任底表'!$H$5:$H$1541,$C60,'供应商责任底表'!$F$5:$F$1541,$D60,'供应商责任底表'!$E$5:$E$1541,$E60)</f>
        <v>10</v>
      </c>
      <c r="H60" s="23" t="n">
        <f>SUMIFS('供应商责任底表'!$Q$5:$Q$1541,'供应商责任底表'!$A$5:$A$1541,$A60,'供应商责任底表'!$H$5:$H$1541,$C60,'供应商责任底表'!$F$5:$F$1541,$D60,'供应商责任底表'!$E$5:$E$1541,$E60)</f>
        <v>10</v>
      </c>
      <c r="I60" s="27" t="n">
        <f>IF(F60=0,"",H60/F60)</f>
        <v>0.625</v>
      </c>
      <c r="J60" s="23" t="n">
        <f>SUMIFS('供应商责任底表'!$S$5:$S$1541,'供应商责任底表'!$A$5:$A$1541,$A60,'供应商责任底表'!$H$5:$H$1541,$C60,'供应商责任底表'!$F$5:$F$1541,$D60,'供应商责任底表'!$E$5:$E$1541,$E60)</f>
        <v>16</v>
      </c>
      <c r="K60" s="23" t="n">
        <f>SUMIFS('供应商责任底表'!$T$5:$T$1541,'供应商责任底表'!$A$5:$A$1541,$A60,'供应商责任底表'!$H$5:$H$1541,$C60,'供应商责任底表'!$F$5:$F$1541,$D60,'供应商责任底表'!$E$5:$E$1541,$E60)</f>
        <v>10</v>
      </c>
      <c r="L60" s="27" t="n">
        <f>IF(J60=0,"",K60/J60)</f>
        <v>0.625</v>
      </c>
      <c r="M60" s="23" t="n">
        <f>SUMIFS('供应商责任底表'!$U$5:$U$1541,'供应商责任底表'!$A$5:$A$1541,$A60,'供应商责任底表'!$H$5:$H$1541,$C60,'供应商责任底表'!$F$5:$F$1541,$D60,'供应商责任底表'!$E$5:$E$1541,$E60)</f>
        <v>0</v>
      </c>
      <c r="N60" s="27" t="n">
        <f>IF(OR(F60=0,J60=0),"",L60-I60)</f>
        <v>0</v>
      </c>
      <c r="O60" s="23" t="n">
        <f>SUMIFS('供应商责任底表'!$V$5:$V$1541,'供应商责任底表'!$A$5:$A$1541,$A60,'供应商责任底表'!$H$5:$H$1541,$C60,'供应商责任底表'!$F$5:$F$1541,$D60,'供应商责任底表'!$E$5:$E$1541,$E60)</f>
        <v>0</v>
      </c>
    </row>
    <row r="61">
      <c r="A61" s="19" t="str">
        <v>捷克区</v>
      </c>
      <c r="B61" s="19" t="str">
        <v>Wildenborch s.r.o.</v>
      </c>
      <c r="C61" s="19" t="str">
        <v>S000266</v>
      </c>
      <c r="D61" s="19" t="str">
        <v>操作员</v>
      </c>
      <c r="E61" s="19" t="str">
        <v>2026-04</v>
      </c>
      <c r="F61" s="23" t="n">
        <f>SUMIFS('供应商责任底表'!$O$5:$O$1541,'供应商责任底表'!$A$5:$A$1541,$A61,'供应商责任底表'!$H$5:$H$1541,$C61,'供应商责任底表'!$F$5:$F$1541,$D61,'供应商责任底表'!$E$5:$E$1541,$E61)</f>
        <v>5</v>
      </c>
      <c r="G61" s="23" t="n">
        <f>SUMIFS('供应商责任底表'!$P$5:$P$1541,'供应商责任底表'!$A$5:$A$1541,$A61,'供应商责任底表'!$H$5:$H$1541,$C61,'供应商责任底表'!$F$5:$F$1541,$D61,'供应商责任底表'!$E$5:$E$1541,$E61)</f>
        <v>5</v>
      </c>
      <c r="H61" s="23" t="n">
        <f>SUMIFS('供应商责任底表'!$Q$5:$Q$1541,'供应商责任底表'!$A$5:$A$1541,$A61,'供应商责任底表'!$H$5:$H$1541,$C61,'供应商责任底表'!$F$5:$F$1541,$D61,'供应商责任底表'!$E$5:$E$1541,$E61)</f>
        <v>5</v>
      </c>
      <c r="I61" s="27" t="n">
        <f>IF(F61=0,"",H61/F61)</f>
        <v>1</v>
      </c>
      <c r="J61" s="23" t="n">
        <f>SUMIFS('供应商责任底表'!$S$5:$S$1541,'供应商责任底表'!$A$5:$A$1541,$A61,'供应商责任底表'!$H$5:$H$1541,$C61,'供应商责任底表'!$F$5:$F$1541,$D61,'供应商责任底表'!$E$5:$E$1541,$E61)</f>
        <v>5</v>
      </c>
      <c r="K61" s="23" t="n">
        <f>SUMIFS('供应商责任底表'!$T$5:$T$1541,'供应商责任底表'!$A$5:$A$1541,$A61,'供应商责任底表'!$H$5:$H$1541,$C61,'供应商责任底表'!$F$5:$F$1541,$D61,'供应商责任底表'!$E$5:$E$1541,$E61)</f>
        <v>5</v>
      </c>
      <c r="L61" s="27" t="n">
        <f>IF(J61=0,"",K61/J61)</f>
        <v>1</v>
      </c>
      <c r="M61" s="23" t="n">
        <f>SUMIFS('供应商责任底表'!$U$5:$U$1541,'供应商责任底表'!$A$5:$A$1541,$A61,'供应商责任底表'!$H$5:$H$1541,$C61,'供应商责任底表'!$F$5:$F$1541,$D61,'供应商责任底表'!$E$5:$E$1541,$E61)</f>
        <v>0</v>
      </c>
      <c r="N61" s="27" t="n">
        <f>IF(OR(F61=0,J61=0),"",L61-I61)</f>
        <v>0</v>
      </c>
      <c r="O61" s="23" t="n">
        <f>SUMIFS('供应商责任底表'!$V$5:$V$1541,'供应商责任底表'!$A$5:$A$1541,$A61,'供应商责任底表'!$H$5:$H$1541,$C61,'供应商责任底表'!$F$5:$F$1541,$D61,'供应商责任底表'!$E$5:$E$1541,$E61)</f>
        <v>0</v>
      </c>
    </row>
    <row r="62">
      <c r="A62" s="19" t="str">
        <v>捷克区</v>
      </c>
      <c r="B62" s="19" t="str">
        <v>Wildenborch s.r.o.</v>
      </c>
      <c r="C62" s="19" t="str">
        <v>S000266</v>
      </c>
      <c r="D62" s="19" t="str">
        <v>操作员</v>
      </c>
      <c r="E62" s="19" t="str">
        <v>2026-05</v>
      </c>
      <c r="F62" s="23" t="n">
        <f>SUMIFS('供应商责任底表'!$O$5:$O$1541,'供应商责任底表'!$A$5:$A$1541,$A62,'供应商责任底表'!$H$5:$H$1541,$C62,'供应商责任底表'!$F$5:$F$1541,$D62,'供应商责任底表'!$E$5:$E$1541,$E62)</f>
        <v>1</v>
      </c>
      <c r="G62" s="23" t="n">
        <f>SUMIFS('供应商责任底表'!$P$5:$P$1541,'供应商责任底表'!$A$5:$A$1541,$A62,'供应商责任底表'!$H$5:$H$1541,$C62,'供应商责任底表'!$F$5:$F$1541,$D62,'供应商责任底表'!$E$5:$E$1541,$E62)</f>
        <v>1</v>
      </c>
      <c r="H62" s="23" t="n">
        <f>SUMIFS('供应商责任底表'!$Q$5:$Q$1541,'供应商责任底表'!$A$5:$A$1541,$A62,'供应商责任底表'!$H$5:$H$1541,$C62,'供应商责任底表'!$F$5:$F$1541,$D62,'供应商责任底表'!$E$5:$E$1541,$E62)</f>
        <v>1</v>
      </c>
      <c r="I62" s="27" t="n">
        <f>IF(F62=0,"",H62/F62)</f>
        <v>1</v>
      </c>
      <c r="J62" s="23" t="n">
        <f>SUMIFS('供应商责任底表'!$S$5:$S$1541,'供应商责任底表'!$A$5:$A$1541,$A62,'供应商责任底表'!$H$5:$H$1541,$C62,'供应商责任底表'!$F$5:$F$1541,$D62,'供应商责任底表'!$E$5:$E$1541,$E62)</f>
        <v>1</v>
      </c>
      <c r="K62" s="23" t="n">
        <f>SUMIFS('供应商责任底表'!$T$5:$T$1541,'供应商责任底表'!$A$5:$A$1541,$A62,'供应商责任底表'!$H$5:$H$1541,$C62,'供应商责任底表'!$F$5:$F$1541,$D62,'供应商责任底表'!$E$5:$E$1541,$E62)</f>
        <v>1</v>
      </c>
      <c r="L62" s="27" t="n">
        <f>IF(J62=0,"",K62/J62)</f>
        <v>1</v>
      </c>
      <c r="M62" s="23" t="n">
        <f>SUMIFS('供应商责任底表'!$U$5:$U$1541,'供应商责任底表'!$A$5:$A$1541,$A62,'供应商责任底表'!$H$5:$H$1541,$C62,'供应商责任底表'!$F$5:$F$1541,$D62,'供应商责任底表'!$E$5:$E$1541,$E62)</f>
        <v>0</v>
      </c>
      <c r="N62" s="27" t="n">
        <f>IF(OR(F62=0,J62=0),"",L62-I62)</f>
        <v>0</v>
      </c>
      <c r="O62" s="23" t="n">
        <f>SUMIFS('供应商责任底表'!$V$5:$V$1541,'供应商责任底表'!$A$5:$A$1541,$A62,'供应商责任底表'!$H$5:$H$1541,$C62,'供应商责任底表'!$F$5:$F$1541,$D62,'供应商责任底表'!$E$5:$E$1541,$E62)</f>
        <v>0</v>
      </c>
    </row>
    <row r="63">
      <c r="A63" s="19" t="str">
        <v>捷克区</v>
      </c>
      <c r="B63" s="19" t="str">
        <v>Wildenborch s.r.o.</v>
      </c>
      <c r="C63" s="19" t="str">
        <v>S000266</v>
      </c>
      <c r="D63" s="19" t="str">
        <v>操作员</v>
      </c>
      <c r="E63" s="19" t="str">
        <v>2026-06</v>
      </c>
      <c r="F63" s="23" t="n">
        <f>SUMIFS('供应商责任底表'!$O$5:$O$1541,'供应商责任底表'!$A$5:$A$1541,$A63,'供应商责任底表'!$H$5:$H$1541,$C63,'供应商责任底表'!$F$5:$F$1541,$D63,'供应商责任底表'!$E$5:$E$1541,$E63)</f>
        <v>1</v>
      </c>
      <c r="G63" s="23" t="n">
        <f>SUMIFS('供应商责任底表'!$P$5:$P$1541,'供应商责任底表'!$A$5:$A$1541,$A63,'供应商责任底表'!$H$5:$H$1541,$C63,'供应商责任底表'!$F$5:$F$1541,$D63,'供应商责任底表'!$E$5:$E$1541,$E63)</f>
        <v>1</v>
      </c>
      <c r="H63" s="23" t="n">
        <f>SUMIFS('供应商责任底表'!$Q$5:$Q$1541,'供应商责任底表'!$A$5:$A$1541,$A63,'供应商责任底表'!$H$5:$H$1541,$C63,'供应商责任底表'!$F$5:$F$1541,$D63,'供应商责任底表'!$E$5:$E$1541,$E63)</f>
        <v>1</v>
      </c>
      <c r="I63" s="27" t="n">
        <f>IF(F63=0,"",H63/F63)</f>
        <v>1</v>
      </c>
      <c r="J63" s="23" t="n">
        <f>SUMIFS('供应商责任底表'!$S$5:$S$1541,'供应商责任底表'!$A$5:$A$1541,$A63,'供应商责任底表'!$H$5:$H$1541,$C63,'供应商责任底表'!$F$5:$F$1541,$D63,'供应商责任底表'!$E$5:$E$1541,$E63)</f>
        <v>1</v>
      </c>
      <c r="K63" s="23" t="n">
        <f>SUMIFS('供应商责任底表'!$T$5:$T$1541,'供应商责任底表'!$A$5:$A$1541,$A63,'供应商责任底表'!$H$5:$H$1541,$C63,'供应商责任底表'!$F$5:$F$1541,$D63,'供应商责任底表'!$E$5:$E$1541,$E63)</f>
        <v>1</v>
      </c>
      <c r="L63" s="27" t="n">
        <f>IF(J63=0,"",K63/J63)</f>
        <v>1</v>
      </c>
      <c r="M63" s="23" t="n">
        <f>SUMIFS('供应商责任底表'!$U$5:$U$1541,'供应商责任底表'!$A$5:$A$1541,$A63,'供应商责任底表'!$H$5:$H$1541,$C63,'供应商责任底表'!$F$5:$F$1541,$D63,'供应商责任底表'!$E$5:$E$1541,$E63)</f>
        <v>0</v>
      </c>
      <c r="N63" s="27" t="n">
        <f>IF(OR(F63=0,J63=0),"",L63-I63)</f>
        <v>0</v>
      </c>
      <c r="O63" s="23" t="n">
        <f>SUMIFS('供应商责任底表'!$V$5:$V$1541,'供应商责任底表'!$A$5:$A$1541,$A63,'供应商责任底表'!$H$5:$H$1541,$C63,'供应商责任底表'!$F$5:$F$1541,$D63,'供应商责任底表'!$E$5:$E$1541,$E63)</f>
        <v>0</v>
      </c>
    </row>
    <row r="64">
      <c r="A64" s="19" t="str">
        <v>捷克区</v>
      </c>
      <c r="B64" s="19" t="str">
        <v>Easy Jobs s.r.o.</v>
      </c>
      <c r="C64" s="19" t="str">
        <v>S000310</v>
      </c>
      <c r="D64" s="19" t="str">
        <v>叉车司机</v>
      </c>
      <c r="E64" s="19" t="str">
        <v>2026-06</v>
      </c>
      <c r="F64" s="23" t="n">
        <f>SUMIFS('供应商责任底表'!$O$5:$O$1541,'供应商责任底表'!$A$5:$A$1541,$A64,'供应商责任底表'!$H$5:$H$1541,$C64,'供应商责任底表'!$F$5:$F$1541,$D64,'供应商责任底表'!$E$5:$E$1541,$E64)</f>
        <v>16</v>
      </c>
      <c r="G64" s="23" t="n">
        <f>SUMIFS('供应商责任底表'!$P$5:$P$1541,'供应商责任底表'!$A$5:$A$1541,$A64,'供应商责任底表'!$H$5:$H$1541,$C64,'供应商责任底表'!$F$5:$F$1541,$D64,'供应商责任底表'!$E$5:$E$1541,$E64)</f>
        <v>8</v>
      </c>
      <c r="H64" s="23" t="n">
        <f>SUMIFS('供应商责任底表'!$Q$5:$Q$1541,'供应商责任底表'!$A$5:$A$1541,$A64,'供应商责任底表'!$H$5:$H$1541,$C64,'供应商责任底表'!$F$5:$F$1541,$D64,'供应商责任底表'!$E$5:$E$1541,$E64)</f>
        <v>8</v>
      </c>
      <c r="I64" s="27" t="n">
        <f>IF(F64=0,"",H64/F64)</f>
        <v>0.5</v>
      </c>
      <c r="J64" s="23" t="n">
        <f>SUMIFS('供应商责任底表'!$S$5:$S$1541,'供应商责任底表'!$A$5:$A$1541,$A64,'供应商责任底表'!$H$5:$H$1541,$C64,'供应商责任底表'!$F$5:$F$1541,$D64,'供应商责任底表'!$E$5:$E$1541,$E64)</f>
        <v>16</v>
      </c>
      <c r="K64" s="23" t="n">
        <f>SUMIFS('供应商责任底表'!$T$5:$T$1541,'供应商责任底表'!$A$5:$A$1541,$A64,'供应商责任底表'!$H$5:$H$1541,$C64,'供应商责任底表'!$F$5:$F$1541,$D64,'供应商责任底表'!$E$5:$E$1541,$E64)</f>
        <v>8</v>
      </c>
      <c r="L64" s="27" t="n">
        <f>IF(J64=0,"",K64/J64)</f>
        <v>0.5</v>
      </c>
      <c r="M64" s="23" t="n">
        <f>SUMIFS('供应商责任底表'!$U$5:$U$1541,'供应商责任底表'!$A$5:$A$1541,$A64,'供应商责任底表'!$H$5:$H$1541,$C64,'供应商责任底表'!$F$5:$F$1541,$D64,'供应商责任底表'!$E$5:$E$1541,$E64)</f>
        <v>0</v>
      </c>
      <c r="N64" s="27" t="n">
        <f>IF(OR(F64=0,J64=0),"",L64-I64)</f>
        <v>0</v>
      </c>
      <c r="O64" s="23" t="n">
        <f>SUMIFS('供应商责任底表'!$V$5:$V$1541,'供应商责任底表'!$A$5:$A$1541,$A64,'供应商责任底表'!$H$5:$H$1541,$C64,'供应商责任底表'!$F$5:$F$1541,$D64,'供应商责任底表'!$E$5:$E$1541,$E64)</f>
        <v>0</v>
      </c>
    </row>
    <row r="65">
      <c r="A65" s="19" t="str">
        <v>捷克区</v>
      </c>
      <c r="B65" s="19" t="str">
        <v>Easy Jobs s.r.o.</v>
      </c>
      <c r="C65" s="19" t="str">
        <v>S000310</v>
      </c>
      <c r="D65" s="19" t="str">
        <v>操作员</v>
      </c>
      <c r="E65" s="19" t="str">
        <v>2026-05</v>
      </c>
      <c r="F65" s="23" t="n">
        <f>SUMIFS('供应商责任底表'!$O$5:$O$1541,'供应商责任底表'!$A$5:$A$1541,$A65,'供应商责任底表'!$H$5:$H$1541,$C65,'供应商责任底表'!$F$5:$F$1541,$D65,'供应商责任底表'!$E$5:$E$1541,$E65)</f>
        <v>6</v>
      </c>
      <c r="G65" s="23" t="n">
        <f>SUMIFS('供应商责任底表'!$P$5:$P$1541,'供应商责任底表'!$A$5:$A$1541,$A65,'供应商责任底表'!$H$5:$H$1541,$C65,'供应商责任底表'!$F$5:$F$1541,$D65,'供应商责任底表'!$E$5:$E$1541,$E65)</f>
        <v>6</v>
      </c>
      <c r="H65" s="23" t="n">
        <f>SUMIFS('供应商责任底表'!$Q$5:$Q$1541,'供应商责任底表'!$A$5:$A$1541,$A65,'供应商责任底表'!$H$5:$H$1541,$C65,'供应商责任底表'!$F$5:$F$1541,$D65,'供应商责任底表'!$E$5:$E$1541,$E65)</f>
        <v>6</v>
      </c>
      <c r="I65" s="27" t="n">
        <f>IF(F65=0,"",H65/F65)</f>
        <v>1</v>
      </c>
      <c r="J65" s="23" t="n">
        <f>SUMIFS('供应商责任底表'!$S$5:$S$1541,'供应商责任底表'!$A$5:$A$1541,$A65,'供应商责任底表'!$H$5:$H$1541,$C65,'供应商责任底表'!$F$5:$F$1541,$D65,'供应商责任底表'!$E$5:$E$1541,$E65)</f>
        <v>6</v>
      </c>
      <c r="K65" s="23" t="n">
        <f>SUMIFS('供应商责任底表'!$T$5:$T$1541,'供应商责任底表'!$A$5:$A$1541,$A65,'供应商责任底表'!$H$5:$H$1541,$C65,'供应商责任底表'!$F$5:$F$1541,$D65,'供应商责任底表'!$E$5:$E$1541,$E65)</f>
        <v>6</v>
      </c>
      <c r="L65" s="27" t="n">
        <f>IF(J65=0,"",K65/J65)</f>
        <v>1</v>
      </c>
      <c r="M65" s="23" t="n">
        <f>SUMIFS('供应商责任底表'!$U$5:$U$1541,'供应商责任底表'!$A$5:$A$1541,$A65,'供应商责任底表'!$H$5:$H$1541,$C65,'供应商责任底表'!$F$5:$F$1541,$D65,'供应商责任底表'!$E$5:$E$1541,$E65)</f>
        <v>0</v>
      </c>
      <c r="N65" s="27" t="n">
        <f>IF(OR(F65=0,J65=0),"",L65-I65)</f>
        <v>0</v>
      </c>
      <c r="O65" s="23" t="n">
        <f>SUMIFS('供应商责任底表'!$V$5:$V$1541,'供应商责任底表'!$A$5:$A$1541,$A65,'供应商责任底表'!$H$5:$H$1541,$C65,'供应商责任底表'!$F$5:$F$1541,$D65,'供应商责任底表'!$E$5:$E$1541,$E65)</f>
        <v>0</v>
      </c>
    </row>
    <row r="66">
      <c r="A66" s="19" t="str">
        <v>捷克区</v>
      </c>
      <c r="B66" s="19" t="str">
        <v>Easy Jobs s.r.o.</v>
      </c>
      <c r="C66" s="19" t="str">
        <v>S000310</v>
      </c>
      <c r="D66" s="19" t="str">
        <v>操作员</v>
      </c>
      <c r="E66" s="19" t="str">
        <v>2026-06</v>
      </c>
      <c r="F66" s="23" t="n">
        <f>SUMIFS('供应商责任底表'!$O$5:$O$1541,'供应商责任底表'!$A$5:$A$1541,$A66,'供应商责任底表'!$H$5:$H$1541,$C66,'供应商责任底表'!$F$5:$F$1541,$D66,'供应商责任底表'!$E$5:$E$1541,$E66)</f>
        <v>6</v>
      </c>
      <c r="G66" s="23" t="n">
        <f>SUMIFS('供应商责任底表'!$P$5:$P$1541,'供应商责任底表'!$A$5:$A$1541,$A66,'供应商责任底表'!$H$5:$H$1541,$C66,'供应商责任底表'!$F$5:$F$1541,$D66,'供应商责任底表'!$E$5:$E$1541,$E66)</f>
        <v>0</v>
      </c>
      <c r="H66" s="23" t="n">
        <f>SUMIFS('供应商责任底表'!$Q$5:$Q$1541,'供应商责任底表'!$A$5:$A$1541,$A66,'供应商责任底表'!$H$5:$H$1541,$C66,'供应商责任底表'!$F$5:$F$1541,$D66,'供应商责任底表'!$E$5:$E$1541,$E66)</f>
        <v>0</v>
      </c>
      <c r="I66" s="27" t="n">
        <f>IF(F66=0,"",H66/F66)</f>
        <v>0</v>
      </c>
      <c r="J66" s="23" t="n">
        <f>SUMIFS('供应商责任底表'!$S$5:$S$1541,'供应商责任底表'!$A$5:$A$1541,$A66,'供应商责任底表'!$H$5:$H$1541,$C66,'供应商责任底表'!$F$5:$F$1541,$D66,'供应商责任底表'!$E$5:$E$1541,$E66)</f>
        <v>6</v>
      </c>
      <c r="K66" s="23" t="n">
        <f>SUMIFS('供应商责任底表'!$T$5:$T$1541,'供应商责任底表'!$A$5:$A$1541,$A66,'供应商责任底表'!$H$5:$H$1541,$C66,'供应商责任底表'!$F$5:$F$1541,$D66,'供应商责任底表'!$E$5:$E$1541,$E66)</f>
        <v>0</v>
      </c>
      <c r="L66" s="27" t="n">
        <f>IF(J66=0,"",K66/J66)</f>
        <v>0</v>
      </c>
      <c r="M66" s="23" t="n">
        <f>SUMIFS('供应商责任底表'!$U$5:$U$1541,'供应商责任底表'!$A$5:$A$1541,$A66,'供应商责任底表'!$H$5:$H$1541,$C66,'供应商责任底表'!$F$5:$F$1541,$D66,'供应商责任底表'!$E$5:$E$1541,$E66)</f>
        <v>0</v>
      </c>
      <c r="N66" s="27" t="n">
        <f>IF(OR(F66=0,J66=0),"",L66-I66)</f>
        <v>0</v>
      </c>
      <c r="O66" s="23" t="n">
        <f>SUMIFS('供应商责任底表'!$V$5:$V$1541,'供应商责任底表'!$A$5:$A$1541,$A66,'供应商责任底表'!$H$5:$H$1541,$C66,'供应商责任底表'!$F$5:$F$1541,$D66,'供应商责任底表'!$E$5:$E$1541,$E66)</f>
        <v>0</v>
      </c>
    </row>
    <row r="67">
      <c r="A67" s="19" t="str">
        <v>捷克区</v>
      </c>
      <c r="B67" s="19" t="str">
        <v>Středoevropská pracovní agentura s.r.o.</v>
      </c>
      <c r="C67" s="19" t="str">
        <v>S000317</v>
      </c>
      <c r="D67" s="19" t="str">
        <v>叉车司机</v>
      </c>
      <c r="E67" s="19" t="str">
        <v>2026-04</v>
      </c>
      <c r="F67" s="23" t="n">
        <f>SUMIFS('供应商责任底表'!$O$5:$O$1541,'供应商责任底表'!$A$5:$A$1541,$A67,'供应商责任底表'!$H$5:$H$1541,$C67,'供应商责任底表'!$F$5:$F$1541,$D67,'供应商责任底表'!$E$5:$E$1541,$E67)</f>
        <v>10</v>
      </c>
      <c r="G67" s="23" t="n">
        <f>SUMIFS('供应商责任底表'!$P$5:$P$1541,'供应商责任底表'!$A$5:$A$1541,$A67,'供应商责任底表'!$H$5:$H$1541,$C67,'供应商责任底表'!$F$5:$F$1541,$D67,'供应商责任底表'!$E$5:$E$1541,$E67)</f>
        <v>1</v>
      </c>
      <c r="H67" s="23" t="n">
        <f>SUMIFS('供应商责任底表'!$Q$5:$Q$1541,'供应商责任底表'!$A$5:$A$1541,$A67,'供应商责任底表'!$H$5:$H$1541,$C67,'供应商责任底表'!$F$5:$F$1541,$D67,'供应商责任底表'!$E$5:$E$1541,$E67)</f>
        <v>1</v>
      </c>
      <c r="I67" s="27" t="n">
        <f>IF(F67=0,"",H67/F67)</f>
        <v>0.1</v>
      </c>
      <c r="J67" s="23" t="n">
        <f>SUMIFS('供应商责任底表'!$S$5:$S$1541,'供应商责任底表'!$A$5:$A$1541,$A67,'供应商责任底表'!$H$5:$H$1541,$C67,'供应商责任底表'!$F$5:$F$1541,$D67,'供应商责任底表'!$E$5:$E$1541,$E67)</f>
        <v>10</v>
      </c>
      <c r="K67" s="23" t="n">
        <f>SUMIFS('供应商责任底表'!$T$5:$T$1541,'供应商责任底表'!$A$5:$A$1541,$A67,'供应商责任底表'!$H$5:$H$1541,$C67,'供应商责任底表'!$F$5:$F$1541,$D67,'供应商责任底表'!$E$5:$E$1541,$E67)</f>
        <v>1</v>
      </c>
      <c r="L67" s="27" t="n">
        <f>IF(J67=0,"",K67/J67)</f>
        <v>0.1</v>
      </c>
      <c r="M67" s="23" t="n">
        <f>SUMIFS('供应商责任底表'!$U$5:$U$1541,'供应商责任底表'!$A$5:$A$1541,$A67,'供应商责任底表'!$H$5:$H$1541,$C67,'供应商责任底表'!$F$5:$F$1541,$D67,'供应商责任底表'!$E$5:$E$1541,$E67)</f>
        <v>0</v>
      </c>
      <c r="N67" s="27" t="n">
        <f>IF(OR(F67=0,J67=0),"",L67-I67)</f>
        <v>0</v>
      </c>
      <c r="O67" s="23" t="n">
        <f>SUMIFS('供应商责任底表'!$V$5:$V$1541,'供应商责任底表'!$A$5:$A$1541,$A67,'供应商责任底表'!$H$5:$H$1541,$C67,'供应商责任底表'!$F$5:$F$1541,$D67,'供应商责任底表'!$E$5:$E$1541,$E67)</f>
        <v>0</v>
      </c>
    </row>
    <row r="68">
      <c r="A68" s="19" t="str">
        <v>捷克区</v>
      </c>
      <c r="B68" s="19" t="str">
        <v>Středoevropská pracovní agentura s.r.o.</v>
      </c>
      <c r="C68" s="19" t="str">
        <v>S000317</v>
      </c>
      <c r="D68" s="19" t="str">
        <v>叉车司机</v>
      </c>
      <c r="E68" s="19" t="str">
        <v>2026-05</v>
      </c>
      <c r="F68" s="23" t="n">
        <f>SUMIFS('供应商责任底表'!$O$5:$O$1541,'供应商责任底表'!$A$5:$A$1541,$A68,'供应商责任底表'!$H$5:$H$1541,$C68,'供应商责任底表'!$F$5:$F$1541,$D68,'供应商责任底表'!$E$5:$E$1541,$E68)</f>
        <v>23</v>
      </c>
      <c r="G68" s="23" t="n">
        <f>SUMIFS('供应商责任底表'!$P$5:$P$1541,'供应商责任底表'!$A$5:$A$1541,$A68,'供应商责任底表'!$H$5:$H$1541,$C68,'供应商责任底表'!$F$5:$F$1541,$D68,'供应商责任底表'!$E$5:$E$1541,$E68)</f>
        <v>0</v>
      </c>
      <c r="H68" s="23" t="n">
        <f>SUMIFS('供应商责任底表'!$Q$5:$Q$1541,'供应商责任底表'!$A$5:$A$1541,$A68,'供应商责任底表'!$H$5:$H$1541,$C68,'供应商责任底表'!$F$5:$F$1541,$D68,'供应商责任底表'!$E$5:$E$1541,$E68)</f>
        <v>0</v>
      </c>
      <c r="I68" s="27" t="n">
        <f>IF(F68=0,"",H68/F68)</f>
        <v>0</v>
      </c>
      <c r="J68" s="23" t="n">
        <f>SUMIFS('供应商责任底表'!$S$5:$S$1541,'供应商责任底表'!$A$5:$A$1541,$A68,'供应商责任底表'!$H$5:$H$1541,$C68,'供应商责任底表'!$F$5:$F$1541,$D68,'供应商责任底表'!$E$5:$E$1541,$E68)</f>
        <v>23</v>
      </c>
      <c r="K68" s="23" t="n">
        <f>SUMIFS('供应商责任底表'!$T$5:$T$1541,'供应商责任底表'!$A$5:$A$1541,$A68,'供应商责任底表'!$H$5:$H$1541,$C68,'供应商责任底表'!$F$5:$F$1541,$D68,'供应商责任底表'!$E$5:$E$1541,$E68)</f>
        <v>0</v>
      </c>
      <c r="L68" s="27" t="n">
        <f>IF(J68=0,"",K68/J68)</f>
        <v>0</v>
      </c>
      <c r="M68" s="23" t="n">
        <f>SUMIFS('供应商责任底表'!$U$5:$U$1541,'供应商责任底表'!$A$5:$A$1541,$A68,'供应商责任底表'!$H$5:$H$1541,$C68,'供应商责任底表'!$F$5:$F$1541,$D68,'供应商责任底表'!$E$5:$E$1541,$E68)</f>
        <v>0</v>
      </c>
      <c r="N68" s="27" t="n">
        <f>IF(OR(F68=0,J68=0),"",L68-I68)</f>
        <v>0</v>
      </c>
      <c r="O68" s="23" t="n">
        <f>SUMIFS('供应商责任底表'!$V$5:$V$1541,'供应商责任底表'!$A$5:$A$1541,$A68,'供应商责任底表'!$H$5:$H$1541,$C68,'供应商责任底表'!$F$5:$F$1541,$D68,'供应商责任底表'!$E$5:$E$1541,$E68)</f>
        <v>0</v>
      </c>
    </row>
    <row r="69">
      <c r="A69" s="19" t="str">
        <v>捷克区</v>
      </c>
      <c r="B69" s="19" t="str">
        <v>Středoevropská pracovní agentura s.r.o.</v>
      </c>
      <c r="C69" s="19" t="str">
        <v>S000317</v>
      </c>
      <c r="D69" s="19" t="str">
        <v>叉车司机</v>
      </c>
      <c r="E69" s="19" t="str">
        <v>2026-06</v>
      </c>
      <c r="F69" s="23" t="n">
        <f>SUMIFS('供应商责任底表'!$O$5:$O$1541,'供应商责任底表'!$A$5:$A$1541,$A69,'供应商责任底表'!$H$5:$H$1541,$C69,'供应商责任底表'!$F$5:$F$1541,$D69,'供应商责任底表'!$E$5:$E$1541,$E69)</f>
        <v>25</v>
      </c>
      <c r="G69" s="23" t="n">
        <f>SUMIFS('供应商责任底表'!$P$5:$P$1541,'供应商责任底表'!$A$5:$A$1541,$A69,'供应商责任底表'!$H$5:$H$1541,$C69,'供应商责任底表'!$F$5:$F$1541,$D69,'供应商责任底表'!$E$5:$E$1541,$E69)</f>
        <v>8</v>
      </c>
      <c r="H69" s="23" t="n">
        <f>SUMIFS('供应商责任底表'!$Q$5:$Q$1541,'供应商责任底表'!$A$5:$A$1541,$A69,'供应商责任底表'!$H$5:$H$1541,$C69,'供应商责任底表'!$F$5:$F$1541,$D69,'供应商责任底表'!$E$5:$E$1541,$E69)</f>
        <v>8</v>
      </c>
      <c r="I69" s="27" t="n">
        <f>IF(F69=0,"",H69/F69)</f>
        <v>0.32</v>
      </c>
      <c r="J69" s="23" t="n">
        <f>SUMIFS('供应商责任底表'!$S$5:$S$1541,'供应商责任底表'!$A$5:$A$1541,$A69,'供应商责任底表'!$H$5:$H$1541,$C69,'供应商责任底表'!$F$5:$F$1541,$D69,'供应商责任底表'!$E$5:$E$1541,$E69)</f>
        <v>25</v>
      </c>
      <c r="K69" s="23" t="n">
        <f>SUMIFS('供应商责任底表'!$T$5:$T$1541,'供应商责任底表'!$A$5:$A$1541,$A69,'供应商责任底表'!$H$5:$H$1541,$C69,'供应商责任底表'!$F$5:$F$1541,$D69,'供应商责任底表'!$E$5:$E$1541,$E69)</f>
        <v>8</v>
      </c>
      <c r="L69" s="27" t="n">
        <f>IF(J69=0,"",K69/J69)</f>
        <v>0.32</v>
      </c>
      <c r="M69" s="23" t="n">
        <f>SUMIFS('供应商责任底表'!$U$5:$U$1541,'供应商责任底表'!$A$5:$A$1541,$A69,'供应商责任底表'!$H$5:$H$1541,$C69,'供应商责任底表'!$F$5:$F$1541,$D69,'供应商责任底表'!$E$5:$E$1541,$E69)</f>
        <v>0</v>
      </c>
      <c r="N69" s="27" t="n">
        <f>IF(OR(F69=0,J69=0),"",L69-I69)</f>
        <v>0</v>
      </c>
      <c r="O69" s="23" t="n">
        <f>SUMIFS('供应商责任底表'!$V$5:$V$1541,'供应商责任底表'!$A$5:$A$1541,$A69,'供应商责任底表'!$H$5:$H$1541,$C69,'供应商责任底表'!$F$5:$F$1541,$D69,'供应商责任底表'!$E$5:$E$1541,$E69)</f>
        <v>0</v>
      </c>
    </row>
    <row r="70">
      <c r="A70" s="19" t="str">
        <v>捷克区</v>
      </c>
      <c r="B70" s="19" t="str">
        <v>Středoevropská pracovní agentura s.r.o.</v>
      </c>
      <c r="C70" s="19" t="str">
        <v>S000317</v>
      </c>
      <c r="D70" s="19" t="str">
        <v>操作员</v>
      </c>
      <c r="E70" s="19" t="str">
        <v>2026-04</v>
      </c>
      <c r="F70" s="23" t="n">
        <f>SUMIFS('供应商责任底表'!$O$5:$O$1541,'供应商责任底表'!$A$5:$A$1541,$A70,'供应商责任底表'!$H$5:$H$1541,$C70,'供应商责任底表'!$F$5:$F$1541,$D70,'供应商责任底表'!$E$5:$E$1541,$E70)</f>
        <v>8</v>
      </c>
      <c r="G70" s="23" t="n">
        <f>SUMIFS('供应商责任底表'!$P$5:$P$1541,'供应商责任底表'!$A$5:$A$1541,$A70,'供应商责任底表'!$H$5:$H$1541,$C70,'供应商责任底表'!$F$5:$F$1541,$D70,'供应商责任底表'!$E$5:$E$1541,$E70)</f>
        <v>1</v>
      </c>
      <c r="H70" s="23" t="n">
        <f>SUMIFS('供应商责任底表'!$Q$5:$Q$1541,'供应商责任底表'!$A$5:$A$1541,$A70,'供应商责任底表'!$H$5:$H$1541,$C70,'供应商责任底表'!$F$5:$F$1541,$D70,'供应商责任底表'!$E$5:$E$1541,$E70)</f>
        <v>1</v>
      </c>
      <c r="I70" s="27" t="n">
        <f>IF(F70=0,"",H70/F70)</f>
        <v>0.125</v>
      </c>
      <c r="J70" s="23" t="n">
        <f>SUMIFS('供应商责任底表'!$S$5:$S$1541,'供应商责任底表'!$A$5:$A$1541,$A70,'供应商责任底表'!$H$5:$H$1541,$C70,'供应商责任底表'!$F$5:$F$1541,$D70,'供应商责任底表'!$E$5:$E$1541,$E70)</f>
        <v>8</v>
      </c>
      <c r="K70" s="23" t="n">
        <f>SUMIFS('供应商责任底表'!$T$5:$T$1541,'供应商责任底表'!$A$5:$A$1541,$A70,'供应商责任底表'!$H$5:$H$1541,$C70,'供应商责任底表'!$F$5:$F$1541,$D70,'供应商责任底表'!$E$5:$E$1541,$E70)</f>
        <v>1</v>
      </c>
      <c r="L70" s="27" t="n">
        <f>IF(J70=0,"",K70/J70)</f>
        <v>0.125</v>
      </c>
      <c r="M70" s="23" t="n">
        <f>SUMIFS('供应商责任底表'!$U$5:$U$1541,'供应商责任底表'!$A$5:$A$1541,$A70,'供应商责任底表'!$H$5:$H$1541,$C70,'供应商责任底表'!$F$5:$F$1541,$D70,'供应商责任底表'!$E$5:$E$1541,$E70)</f>
        <v>0</v>
      </c>
      <c r="N70" s="27" t="n">
        <f>IF(OR(F70=0,J70=0),"",L70-I70)</f>
        <v>0</v>
      </c>
      <c r="O70" s="23" t="n">
        <f>SUMIFS('供应商责任底表'!$V$5:$V$1541,'供应商责任底表'!$A$5:$A$1541,$A70,'供应商责任底表'!$H$5:$H$1541,$C70,'供应商责任底表'!$F$5:$F$1541,$D70,'供应商责任底表'!$E$5:$E$1541,$E70)</f>
        <v>0</v>
      </c>
    </row>
    <row r="71">
      <c r="A71" s="19" t="str">
        <v>捷克区</v>
      </c>
      <c r="B71" s="19" t="str">
        <v>Středoevropská pracovní agentura s.r.o.</v>
      </c>
      <c r="C71" s="19" t="str">
        <v>S000317</v>
      </c>
      <c r="D71" s="19" t="str">
        <v>操作员</v>
      </c>
      <c r="E71" s="19" t="str">
        <v>2026-05</v>
      </c>
      <c r="F71" s="23" t="n">
        <f>SUMIFS('供应商责任底表'!$O$5:$O$1541,'供应商责任底表'!$A$5:$A$1541,$A71,'供应商责任底表'!$H$5:$H$1541,$C71,'供应商责任底表'!$F$5:$F$1541,$D71,'供应商责任底表'!$E$5:$E$1541,$E71)</f>
        <v>13</v>
      </c>
      <c r="G71" s="23" t="n">
        <f>SUMIFS('供应商责任底表'!$P$5:$P$1541,'供应商责任底表'!$A$5:$A$1541,$A71,'供应商责任底表'!$H$5:$H$1541,$C71,'供应商责任底表'!$F$5:$F$1541,$D71,'供应商责任底表'!$E$5:$E$1541,$E71)</f>
        <v>0</v>
      </c>
      <c r="H71" s="23" t="n">
        <f>SUMIFS('供应商责任底表'!$Q$5:$Q$1541,'供应商责任底表'!$A$5:$A$1541,$A71,'供应商责任底表'!$H$5:$H$1541,$C71,'供应商责任底表'!$F$5:$F$1541,$D71,'供应商责任底表'!$E$5:$E$1541,$E71)</f>
        <v>0</v>
      </c>
      <c r="I71" s="27" t="n">
        <f>IF(F71=0,"",H71/F71)</f>
        <v>0</v>
      </c>
      <c r="J71" s="23" t="n">
        <f>SUMIFS('供应商责任底表'!$S$5:$S$1541,'供应商责任底表'!$A$5:$A$1541,$A71,'供应商责任底表'!$H$5:$H$1541,$C71,'供应商责任底表'!$F$5:$F$1541,$D71,'供应商责任底表'!$E$5:$E$1541,$E71)</f>
        <v>12</v>
      </c>
      <c r="K71" s="23" t="n">
        <f>SUMIFS('供应商责任底表'!$T$5:$T$1541,'供应商责任底表'!$A$5:$A$1541,$A71,'供应商责任底表'!$H$5:$H$1541,$C71,'供应商责任底表'!$F$5:$F$1541,$D71,'供应商责任底表'!$E$5:$E$1541,$E71)</f>
        <v>0</v>
      </c>
      <c r="L71" s="27" t="n">
        <f>IF(J71=0,"",K71/J71)</f>
        <v>0</v>
      </c>
      <c r="M71" s="23" t="n">
        <f>SUMIFS('供应商责任底表'!$U$5:$U$1541,'供应商责任底表'!$A$5:$A$1541,$A71,'供应商责任底表'!$H$5:$H$1541,$C71,'供应商责任底表'!$F$5:$F$1541,$D71,'供应商责任底表'!$E$5:$E$1541,$E71)</f>
        <v>1</v>
      </c>
      <c r="N71" s="27" t="n">
        <f>IF(OR(F71=0,J71=0),"",L71-I71)</f>
        <v>0</v>
      </c>
      <c r="O71" s="23" t="n">
        <f>SUMIFS('供应商责任底表'!$V$5:$V$1541,'供应商责任底表'!$A$5:$A$1541,$A71,'供应商责任底表'!$H$5:$H$1541,$C71,'供应商责任底表'!$F$5:$F$1541,$D71,'供应商责任底表'!$E$5:$E$1541,$E71)</f>
        <v>0</v>
      </c>
    </row>
    <row r="72">
      <c r="A72" s="19" t="str">
        <v>捷克区</v>
      </c>
      <c r="B72" s="19" t="str">
        <v>Středoevropská pracovní agentura s.r.o.</v>
      </c>
      <c r="C72" s="19" t="str">
        <v>S000317</v>
      </c>
      <c r="D72" s="19" t="str">
        <v>操作员</v>
      </c>
      <c r="E72" s="19" t="str">
        <v>2026-06</v>
      </c>
      <c r="F72" s="23" t="n">
        <f>SUMIFS('供应商责任底表'!$O$5:$O$1541,'供应商责任底表'!$A$5:$A$1541,$A72,'供应商责任底表'!$H$5:$H$1541,$C72,'供应商责任底表'!$F$5:$F$1541,$D72,'供应商责任底表'!$E$5:$E$1541,$E72)</f>
        <v>50</v>
      </c>
      <c r="G72" s="23" t="n">
        <f>SUMIFS('供应商责任底表'!$P$5:$P$1541,'供应商责任底表'!$A$5:$A$1541,$A72,'供应商责任底表'!$H$5:$H$1541,$C72,'供应商责任底表'!$F$5:$F$1541,$D72,'供应商责任底表'!$E$5:$E$1541,$E72)</f>
        <v>36</v>
      </c>
      <c r="H72" s="23" t="n">
        <f>SUMIFS('供应商责任底表'!$Q$5:$Q$1541,'供应商责任底表'!$A$5:$A$1541,$A72,'供应商责任底表'!$H$5:$H$1541,$C72,'供应商责任底表'!$F$5:$F$1541,$D72,'供应商责任底表'!$E$5:$E$1541,$E72)</f>
        <v>36</v>
      </c>
      <c r="I72" s="27" t="n">
        <f>IF(F72=0,"",H72/F72)</f>
        <v>0.72</v>
      </c>
      <c r="J72" s="23" t="n">
        <f>SUMIFS('供应商责任底表'!$S$5:$S$1541,'供应商责任底表'!$A$5:$A$1541,$A72,'供应商责任底表'!$H$5:$H$1541,$C72,'供应商责任底表'!$F$5:$F$1541,$D72,'供应商责任底表'!$E$5:$E$1541,$E72)</f>
        <v>50</v>
      </c>
      <c r="K72" s="23" t="n">
        <f>SUMIFS('供应商责任底表'!$T$5:$T$1541,'供应商责任底表'!$A$5:$A$1541,$A72,'供应商责任底表'!$H$5:$H$1541,$C72,'供应商责任底表'!$F$5:$F$1541,$D72,'供应商责任底表'!$E$5:$E$1541,$E72)</f>
        <v>36</v>
      </c>
      <c r="L72" s="27" t="n">
        <f>IF(J72=0,"",K72/J72)</f>
        <v>0.72</v>
      </c>
      <c r="M72" s="23" t="n">
        <f>SUMIFS('供应商责任底表'!$U$5:$U$1541,'供应商责任底表'!$A$5:$A$1541,$A72,'供应商责任底表'!$H$5:$H$1541,$C72,'供应商责任底表'!$F$5:$F$1541,$D72,'供应商责任底表'!$E$5:$E$1541,$E72)</f>
        <v>0</v>
      </c>
      <c r="N72" s="27" t="n">
        <f>IF(OR(F72=0,J72=0),"",L72-I72)</f>
        <v>0</v>
      </c>
      <c r="O72" s="23" t="n">
        <f>SUMIFS('供应商责任底表'!$V$5:$V$1541,'供应商责任底表'!$A$5:$A$1541,$A72,'供应商责任底表'!$H$5:$H$1541,$C72,'供应商责任底表'!$F$5:$F$1541,$D72,'供应商责任底表'!$E$5:$E$1541,$E72)</f>
        <v>0</v>
      </c>
    </row>
    <row r="73">
      <c r="A73" s="19" t="str">
        <v>捷克区</v>
      </c>
      <c r="B73" s="19" t="str">
        <v>Personal work agency s.r.o.</v>
      </c>
      <c r="C73" s="19" t="str">
        <v>S000341</v>
      </c>
      <c r="D73" s="19" t="str">
        <v>叉车司机</v>
      </c>
      <c r="E73" s="19" t="str">
        <v>2026-06</v>
      </c>
      <c r="F73" s="23" t="n">
        <f>SUMIFS('供应商责任底表'!$O$5:$O$1541,'供应商责任底表'!$A$5:$A$1541,$A73,'供应商责任底表'!$H$5:$H$1541,$C73,'供应商责任底表'!$F$5:$F$1541,$D73,'供应商责任底表'!$E$5:$E$1541,$E73)</f>
        <v>19</v>
      </c>
      <c r="G73" s="23" t="n">
        <f>SUMIFS('供应商责任底表'!$P$5:$P$1541,'供应商责任底表'!$A$5:$A$1541,$A73,'供应商责任底表'!$H$5:$H$1541,$C73,'供应商责任底表'!$F$5:$F$1541,$D73,'供应商责任底表'!$E$5:$E$1541,$E73)</f>
        <v>18</v>
      </c>
      <c r="H73" s="23" t="n">
        <f>SUMIFS('供应商责任底表'!$Q$5:$Q$1541,'供应商责任底表'!$A$5:$A$1541,$A73,'供应商责任底表'!$H$5:$H$1541,$C73,'供应商责任底表'!$F$5:$F$1541,$D73,'供应商责任底表'!$E$5:$E$1541,$E73)</f>
        <v>18</v>
      </c>
      <c r="I73" s="27" t="n">
        <f>IF(F73=0,"",H73/F73)</f>
        <v>0.9473684210526315</v>
      </c>
      <c r="J73" s="23" t="n">
        <f>SUMIFS('供应商责任底表'!$S$5:$S$1541,'供应商责任底表'!$A$5:$A$1541,$A73,'供应商责任底表'!$H$5:$H$1541,$C73,'供应商责任底表'!$F$5:$F$1541,$D73,'供应商责任底表'!$E$5:$E$1541,$E73)</f>
        <v>19</v>
      </c>
      <c r="K73" s="23" t="n">
        <f>SUMIFS('供应商责任底表'!$T$5:$T$1541,'供应商责任底表'!$A$5:$A$1541,$A73,'供应商责任底表'!$H$5:$H$1541,$C73,'供应商责任底表'!$F$5:$F$1541,$D73,'供应商责任底表'!$E$5:$E$1541,$E73)</f>
        <v>18</v>
      </c>
      <c r="L73" s="27" t="n">
        <f>IF(J73=0,"",K73/J73)</f>
        <v>0.9473684210526315</v>
      </c>
      <c r="M73" s="23" t="n">
        <f>SUMIFS('供应商责任底表'!$U$5:$U$1541,'供应商责任底表'!$A$5:$A$1541,$A73,'供应商责任底表'!$H$5:$H$1541,$C73,'供应商责任底表'!$F$5:$F$1541,$D73,'供应商责任底表'!$E$5:$E$1541,$E73)</f>
        <v>0</v>
      </c>
      <c r="N73" s="27" t="n">
        <f>IF(OR(F73=0,J73=0),"",L73-I73)</f>
        <v>0</v>
      </c>
      <c r="O73" s="23" t="n">
        <f>SUMIFS('供应商责任底表'!$V$5:$V$1541,'供应商责任底表'!$A$5:$A$1541,$A73,'供应商责任底表'!$H$5:$H$1541,$C73,'供应商责任底表'!$F$5:$F$1541,$D73,'供应商责任底表'!$E$5:$E$1541,$E73)</f>
        <v>0</v>
      </c>
    </row>
    <row r="74">
      <c r="A74" s="19" t="str">
        <v>捷克区</v>
      </c>
      <c r="B74" s="19" t="str">
        <v>Personal work agency s.r.o.</v>
      </c>
      <c r="C74" s="19" t="str">
        <v>S000341</v>
      </c>
      <c r="D74" s="19" t="str">
        <v>操作员</v>
      </c>
      <c r="E74" s="19" t="str">
        <v>2026-06</v>
      </c>
      <c r="F74" s="23" t="n">
        <f>SUMIFS('供应商责任底表'!$O$5:$O$1541,'供应商责任底表'!$A$5:$A$1541,$A74,'供应商责任底表'!$H$5:$H$1541,$C74,'供应商责任底表'!$F$5:$F$1541,$D74,'供应商责任底表'!$E$5:$E$1541,$E74)</f>
        <v>3</v>
      </c>
      <c r="G74" s="23" t="n">
        <f>SUMIFS('供应商责任底表'!$P$5:$P$1541,'供应商责任底表'!$A$5:$A$1541,$A74,'供应商责任底表'!$H$5:$H$1541,$C74,'供应商责任底表'!$F$5:$F$1541,$D74,'供应商责任底表'!$E$5:$E$1541,$E74)</f>
        <v>3</v>
      </c>
      <c r="H74" s="23" t="n">
        <f>SUMIFS('供应商责任底表'!$Q$5:$Q$1541,'供应商责任底表'!$A$5:$A$1541,$A74,'供应商责任底表'!$H$5:$H$1541,$C74,'供应商责任底表'!$F$5:$F$1541,$D74,'供应商责任底表'!$E$5:$E$1541,$E74)</f>
        <v>3</v>
      </c>
      <c r="I74" s="27" t="n">
        <f>IF(F74=0,"",H74/F74)</f>
        <v>1</v>
      </c>
      <c r="J74" s="23" t="n">
        <f>SUMIFS('供应商责任底表'!$S$5:$S$1541,'供应商责任底表'!$A$5:$A$1541,$A74,'供应商责任底表'!$H$5:$H$1541,$C74,'供应商责任底表'!$F$5:$F$1541,$D74,'供应商责任底表'!$E$5:$E$1541,$E74)</f>
        <v>3</v>
      </c>
      <c r="K74" s="23" t="n">
        <f>SUMIFS('供应商责任底表'!$T$5:$T$1541,'供应商责任底表'!$A$5:$A$1541,$A74,'供应商责任底表'!$H$5:$H$1541,$C74,'供应商责任底表'!$F$5:$F$1541,$D74,'供应商责任底表'!$E$5:$E$1541,$E74)</f>
        <v>3</v>
      </c>
      <c r="L74" s="27" t="n">
        <f>IF(J74=0,"",K74/J74)</f>
        <v>1</v>
      </c>
      <c r="M74" s="23" t="n">
        <f>SUMIFS('供应商责任底表'!$U$5:$U$1541,'供应商责任底表'!$A$5:$A$1541,$A74,'供应商责任底表'!$H$5:$H$1541,$C74,'供应商责任底表'!$F$5:$F$1541,$D74,'供应商责任底表'!$E$5:$E$1541,$E74)</f>
        <v>0</v>
      </c>
      <c r="N74" s="27" t="n">
        <f>IF(OR(F74=0,J74=0),"",L74-I74)</f>
        <v>0</v>
      </c>
      <c r="O74" s="23" t="n">
        <f>SUMIFS('供应商责任底表'!$V$5:$V$1541,'供应商责任底表'!$A$5:$A$1541,$A74,'供应商责任底表'!$H$5:$H$1541,$C74,'供应商责任底表'!$F$5:$F$1541,$D74,'供应商责任底表'!$E$5:$E$1541,$E74)</f>
        <v>0</v>
      </c>
    </row>
    <row r="75">
      <c r="A75" s="19" t="str">
        <v>波兰区</v>
      </c>
      <c r="B75" s="19" t="str">
        <v>Gi Group sp. z o.o.</v>
      </c>
      <c r="C75" s="19" t="str">
        <v>S000196</v>
      </c>
      <c r="D75" s="19" t="str">
        <v>操作员</v>
      </c>
      <c r="E75" s="19" t="str">
        <v>2026-04</v>
      </c>
      <c r="F75" s="23" t="n">
        <f>SUMIFS('供应商责任底表'!$O$5:$O$1541,'供应商责任底表'!$A$5:$A$1541,$A75,'供应商责任底表'!$H$5:$H$1541,$C75,'供应商责任底表'!$F$5:$F$1541,$D75,'供应商责任底表'!$E$5:$E$1541,$E75)</f>
        <v>18</v>
      </c>
      <c r="G75" s="23" t="n">
        <f>SUMIFS('供应商责任底表'!$P$5:$P$1541,'供应商责任底表'!$A$5:$A$1541,$A75,'供应商责任底表'!$H$5:$H$1541,$C75,'供应商责任底表'!$F$5:$F$1541,$D75,'供应商责任底表'!$E$5:$E$1541,$E75)</f>
        <v>18</v>
      </c>
      <c r="H75" s="23" t="n">
        <f>SUMIFS('供应商责任底表'!$Q$5:$Q$1541,'供应商责任底表'!$A$5:$A$1541,$A75,'供应商责任底表'!$H$5:$H$1541,$C75,'供应商责任底表'!$F$5:$F$1541,$D75,'供应商责任底表'!$E$5:$E$1541,$E75)</f>
        <v>18</v>
      </c>
      <c r="I75" s="27" t="n">
        <f>IF(F75=0,"",H75/F75)</f>
        <v>1</v>
      </c>
      <c r="J75" s="23" t="n">
        <f>SUMIFS('供应商责任底表'!$S$5:$S$1541,'供应商责任底表'!$A$5:$A$1541,$A75,'供应商责任底表'!$H$5:$H$1541,$C75,'供应商责任底表'!$F$5:$F$1541,$D75,'供应商责任底表'!$E$5:$E$1541,$E75)</f>
        <v>15</v>
      </c>
      <c r="K75" s="23" t="n">
        <f>SUMIFS('供应商责任底表'!$T$5:$T$1541,'供应商责任底表'!$A$5:$A$1541,$A75,'供应商责任底表'!$H$5:$H$1541,$C75,'供应商责任底表'!$F$5:$F$1541,$D75,'供应商责任底表'!$E$5:$E$1541,$E75)</f>
        <v>15</v>
      </c>
      <c r="L75" s="27" t="n">
        <f>IF(J75=0,"",K75/J75)</f>
        <v>1</v>
      </c>
      <c r="M75" s="23" t="n">
        <f>SUMIFS('供应商责任底表'!$U$5:$U$1541,'供应商责任底表'!$A$5:$A$1541,$A75,'供应商责任底表'!$H$5:$H$1541,$C75,'供应商责任底表'!$F$5:$F$1541,$D75,'供应商责任底表'!$E$5:$E$1541,$E75)</f>
        <v>3</v>
      </c>
      <c r="N75" s="27" t="n">
        <f>IF(OR(F75=0,J75=0),"",L75-I75)</f>
        <v>0</v>
      </c>
      <c r="O75" s="23" t="n">
        <f>SUMIFS('供应商责任底表'!$V$5:$V$1541,'供应商责任底表'!$A$5:$A$1541,$A75,'供应商责任底表'!$H$5:$H$1541,$C75,'供应商责任底表'!$F$5:$F$1541,$D75,'供应商责任底表'!$E$5:$E$1541,$E75)</f>
        <v>0</v>
      </c>
    </row>
    <row r="76">
      <c r="A76" s="19" t="str">
        <v>波兰区</v>
      </c>
      <c r="B76" s="19" t="str">
        <v>Gi Group sp. z o.o.</v>
      </c>
      <c r="C76" s="19" t="str">
        <v>S000196</v>
      </c>
      <c r="D76" s="19" t="str">
        <v>操作员</v>
      </c>
      <c r="E76" s="19" t="str">
        <v>2026-05</v>
      </c>
      <c r="F76" s="23" t="n">
        <f>SUMIFS('供应商责任底表'!$O$5:$O$1541,'供应商责任底表'!$A$5:$A$1541,$A76,'供应商责任底表'!$H$5:$H$1541,$C76,'供应商责任底表'!$F$5:$F$1541,$D76,'供应商责任底表'!$E$5:$E$1541,$E76)</f>
        <v>41</v>
      </c>
      <c r="G76" s="23" t="n">
        <f>SUMIFS('供应商责任底表'!$P$5:$P$1541,'供应商责任底表'!$A$5:$A$1541,$A76,'供应商责任底表'!$H$5:$H$1541,$C76,'供应商责任底表'!$F$5:$F$1541,$D76,'供应商责任底表'!$E$5:$E$1541,$E76)</f>
        <v>12</v>
      </c>
      <c r="H76" s="23" t="n">
        <f>SUMIFS('供应商责任底表'!$Q$5:$Q$1541,'供应商责任底表'!$A$5:$A$1541,$A76,'供应商责任底表'!$H$5:$H$1541,$C76,'供应商责任底表'!$F$5:$F$1541,$D76,'供应商责任底表'!$E$5:$E$1541,$E76)</f>
        <v>12</v>
      </c>
      <c r="I76" s="27" t="n">
        <f>IF(F76=0,"",H76/F76)</f>
        <v>0.2926829268292683</v>
      </c>
      <c r="J76" s="23" t="n">
        <f>SUMIFS('供应商责任底表'!$S$5:$S$1541,'供应商责任底表'!$A$5:$A$1541,$A76,'供应商责任底表'!$H$5:$H$1541,$C76,'供应商责任底表'!$F$5:$F$1541,$D76,'供应商责任底表'!$E$5:$E$1541,$E76)</f>
        <v>27.692059145896742</v>
      </c>
      <c r="K76" s="23" t="n">
        <f>SUMIFS('供应商责任底表'!$T$5:$T$1541,'供应商责任底表'!$A$5:$A$1541,$A76,'供应商责任底表'!$H$5:$H$1541,$C76,'供应商责任底表'!$F$5:$F$1541,$D76,'供应商责任底表'!$E$5:$E$1541,$E76)</f>
        <v>11</v>
      </c>
      <c r="L76" s="27" t="n">
        <f>IF(J76=0,"",K76/J76)</f>
        <v>0.39722578743769293</v>
      </c>
      <c r="M76" s="23" t="n">
        <f>SUMIFS('供应商责任底表'!$U$5:$U$1541,'供应商责任底表'!$A$5:$A$1541,$A76,'供应商责任底表'!$H$5:$H$1541,$C76,'供应商责任底表'!$F$5:$F$1541,$D76,'供应商责任底表'!$E$5:$E$1541,$E76)</f>
        <v>13.30794085410326</v>
      </c>
      <c r="N76" s="27" t="n">
        <f>IF(OR(F76=0,J76=0),"",L76-I76)</f>
        <v>0.10454286060842466</v>
      </c>
      <c r="O76" s="23" t="n">
        <f>SUMIFS('供应商责任底表'!$V$5:$V$1541,'供应商责任底表'!$A$5:$A$1541,$A76,'供应商责任底表'!$H$5:$H$1541,$C76,'供应商责任底表'!$F$5:$F$1541,$D76,'供应商责任底表'!$E$5:$E$1541,$E76)</f>
        <v>0</v>
      </c>
    </row>
    <row r="77">
      <c r="A77" s="19" t="str">
        <v>波兰区</v>
      </c>
      <c r="B77" s="19" t="str">
        <v>Gi Group sp. z o.o.</v>
      </c>
      <c r="C77" s="19" t="str">
        <v>S000196</v>
      </c>
      <c r="D77" s="19" t="str">
        <v>操作员</v>
      </c>
      <c r="E77" s="19" t="str">
        <v>2026-06</v>
      </c>
      <c r="F77" s="23" t="n">
        <f>SUMIFS('供应商责任底表'!$O$5:$O$1541,'供应商责任底表'!$A$5:$A$1541,$A77,'供应商责任底表'!$H$5:$H$1541,$C77,'供应商责任底表'!$F$5:$F$1541,$D77,'供应商责任底表'!$E$5:$E$1541,$E77)</f>
        <v>42</v>
      </c>
      <c r="G77" s="23" t="n">
        <f>SUMIFS('供应商责任底表'!$P$5:$P$1541,'供应商责任底表'!$A$5:$A$1541,$A77,'供应商责任底表'!$H$5:$H$1541,$C77,'供应商责任底表'!$F$5:$F$1541,$D77,'供应商责任底表'!$E$5:$E$1541,$E77)</f>
        <v>5</v>
      </c>
      <c r="H77" s="23" t="n">
        <f>SUMIFS('供应商责任底表'!$Q$5:$Q$1541,'供应商责任底表'!$A$5:$A$1541,$A77,'供应商责任底表'!$H$5:$H$1541,$C77,'供应商责任底表'!$F$5:$F$1541,$D77,'供应商责任底表'!$E$5:$E$1541,$E77)</f>
        <v>5</v>
      </c>
      <c r="I77" s="27" t="n">
        <f>IF(F77=0,"",H77/F77)</f>
        <v>0.11904761904761904</v>
      </c>
      <c r="J77" s="23" t="n">
        <f>SUMIFS('供应商责任底表'!$S$5:$S$1541,'供应商责任底表'!$A$5:$A$1541,$A77,'供应商责任底表'!$H$5:$H$1541,$C77,'供应商责任底表'!$F$5:$F$1541,$D77,'供应商责任底表'!$E$5:$E$1541,$E77)</f>
        <v>38.66666666666667</v>
      </c>
      <c r="K77" s="23" t="n">
        <f>SUMIFS('供应商责任底表'!$T$5:$T$1541,'供应商责任底表'!$A$5:$A$1541,$A77,'供应商责任底表'!$H$5:$H$1541,$C77,'供应商责任底表'!$F$5:$F$1541,$D77,'供应商责任底表'!$E$5:$E$1541,$E77)</f>
        <v>5</v>
      </c>
      <c r="L77" s="27" t="n">
        <f>IF(J77=0,"",K77/J77)</f>
        <v>0.1293103448275862</v>
      </c>
      <c r="M77" s="23" t="n">
        <f>SUMIFS('供应商责任底表'!$U$5:$U$1541,'供应商责任底表'!$A$5:$A$1541,$A77,'供应商责任底表'!$H$5:$H$1541,$C77,'供应商责任底表'!$F$5:$F$1541,$D77,'供应商责任底表'!$E$5:$E$1541,$E77)</f>
        <v>3.333333333333332</v>
      </c>
      <c r="N77" s="27" t="n">
        <f>IF(OR(F77=0,J77=0),"",L77-I77)</f>
        <v>0.010262725779967147</v>
      </c>
      <c r="O77" s="23" t="n">
        <f>SUMIFS('供应商责任底表'!$V$5:$V$1541,'供应商责任底表'!$A$5:$A$1541,$A77,'供应商责任底表'!$H$5:$H$1541,$C77,'供应商责任底表'!$F$5:$F$1541,$D77,'供应商责任底表'!$E$5:$E$1541,$E77)</f>
        <v>0</v>
      </c>
    </row>
    <row r="78">
      <c r="A78" s="19" t="str">
        <v>波兰区</v>
      </c>
      <c r="B78" s="19" t="str">
        <v>ATLAS WORK SPÓŁKA Z OGRANICZONĄ ODPOWIEDZIALNOŚCIĄ</v>
      </c>
      <c r="C78" s="19" t="str">
        <v>S000201</v>
      </c>
      <c r="D78" s="19" t="str">
        <v>操作员</v>
      </c>
      <c r="E78" s="19" t="str">
        <v>2026-04</v>
      </c>
      <c r="F78" s="23" t="n">
        <f>SUMIFS('供应商责任底表'!$O$5:$O$1541,'供应商责任底表'!$A$5:$A$1541,$A78,'供应商责任底表'!$H$5:$H$1541,$C78,'供应商责任底表'!$F$5:$F$1541,$D78,'供应商责任底表'!$E$5:$E$1541,$E78)</f>
        <v>49</v>
      </c>
      <c r="G78" s="23" t="n">
        <f>SUMIFS('供应商责任底表'!$P$5:$P$1541,'供应商责任底表'!$A$5:$A$1541,$A78,'供应商责任底表'!$H$5:$H$1541,$C78,'供应商责任底表'!$F$5:$F$1541,$D78,'供应商责任底表'!$E$5:$E$1541,$E78)</f>
        <v>45</v>
      </c>
      <c r="H78" s="23" t="n">
        <f>SUMIFS('供应商责任底表'!$Q$5:$Q$1541,'供应商责任底表'!$A$5:$A$1541,$A78,'供应商责任底表'!$H$5:$H$1541,$C78,'供应商责任底表'!$F$5:$F$1541,$D78,'供应商责任底表'!$E$5:$E$1541,$E78)</f>
        <v>45</v>
      </c>
      <c r="I78" s="27" t="n">
        <f>IF(F78=0,"",H78/F78)</f>
        <v>0.9183673469387755</v>
      </c>
      <c r="J78" s="23" t="n">
        <f>SUMIFS('供应商责任底表'!$S$5:$S$1541,'供应商责任底表'!$A$5:$A$1541,$A78,'供应商责任底表'!$H$5:$H$1541,$C78,'供应商责任底表'!$F$5:$F$1541,$D78,'供应商责任底表'!$E$5:$E$1541,$E78)</f>
        <v>37.014460511679644</v>
      </c>
      <c r="K78" s="23" t="n">
        <f>SUMIFS('供应商责任底表'!$T$5:$T$1541,'供应商责任底表'!$A$5:$A$1541,$A78,'供应商责任底表'!$H$5:$H$1541,$C78,'供应商责任底表'!$F$5:$F$1541,$D78,'供应商责任底表'!$E$5:$E$1541,$E78)</f>
        <v>35.724137931034484</v>
      </c>
      <c r="L78" s="27" t="n">
        <f>IF(J78=0,"",K78/J78)</f>
        <v>0.9651400408702969</v>
      </c>
      <c r="M78" s="23" t="n">
        <f>SUMIFS('供应商责任底表'!$U$5:$U$1541,'供应商责任底表'!$A$5:$A$1541,$A78,'供应商责任底表'!$H$5:$H$1541,$C78,'供应商责任底表'!$F$5:$F$1541,$D78,'供应商责任底表'!$E$5:$E$1541,$E78)</f>
        <v>11.985539488320356</v>
      </c>
      <c r="N78" s="27" t="n">
        <f>IF(OR(F78=0,J78=0),"",L78-I78)</f>
        <v>0.04677269393152139</v>
      </c>
      <c r="O78" s="23" t="n">
        <f>SUMIFS('供应商责任底表'!$V$5:$V$1541,'供应商责任底表'!$A$5:$A$1541,$A78,'供应商责任底表'!$H$5:$H$1541,$C78,'供应商责任底表'!$F$5:$F$1541,$D78,'供应商责任底表'!$E$5:$E$1541,$E78)</f>
        <v>0</v>
      </c>
    </row>
    <row r="79">
      <c r="A79" s="19" t="str">
        <v>波兰区</v>
      </c>
      <c r="B79" s="19" t="str">
        <v>ATLAS WORK SPÓŁKA Z OGRANICZONĄ ODPOWIEDZIALNOŚCIĄ</v>
      </c>
      <c r="C79" s="19" t="str">
        <v>S000201</v>
      </c>
      <c r="D79" s="19" t="str">
        <v>操作员</v>
      </c>
      <c r="E79" s="19" t="str">
        <v>2026-05</v>
      </c>
      <c r="F79" s="23" t="n">
        <f>SUMIFS('供应商责任底表'!$O$5:$O$1541,'供应商责任底表'!$A$5:$A$1541,$A79,'供应商责任底表'!$H$5:$H$1541,$C79,'供应商责任底表'!$F$5:$F$1541,$D79,'供应商责任底表'!$E$5:$E$1541,$E79)</f>
        <v>93</v>
      </c>
      <c r="G79" s="23" t="n">
        <f>SUMIFS('供应商责任底表'!$P$5:$P$1541,'供应商责任底表'!$A$5:$A$1541,$A79,'供应商责任底表'!$H$5:$H$1541,$C79,'供应商责任底表'!$F$5:$F$1541,$D79,'供应商责任底表'!$E$5:$E$1541,$E79)</f>
        <v>63</v>
      </c>
      <c r="H79" s="23" t="n">
        <f>SUMIFS('供应商责任底表'!$Q$5:$Q$1541,'供应商责任底表'!$A$5:$A$1541,$A79,'供应商责任底表'!$H$5:$H$1541,$C79,'供应商责任底表'!$F$5:$F$1541,$D79,'供应商责任底表'!$E$5:$E$1541,$E79)</f>
        <v>63</v>
      </c>
      <c r="I79" s="27" t="n">
        <f>IF(F79=0,"",H79/F79)</f>
        <v>0.6774193548387096</v>
      </c>
      <c r="J79" s="23" t="n">
        <f>SUMIFS('供应商责任底表'!$S$5:$S$1541,'供应商责任底表'!$A$5:$A$1541,$A79,'供应商责任底表'!$H$5:$H$1541,$C79,'供应商责任底表'!$F$5:$F$1541,$D79,'供应商责任底表'!$E$5:$E$1541,$E79)</f>
        <v>75.29735522171562</v>
      </c>
      <c r="K79" s="23" t="n">
        <f>SUMIFS('供应商责任底表'!$T$5:$T$1541,'供应商责任底表'!$A$5:$A$1541,$A79,'供应商责任底表'!$H$5:$H$1541,$C79,'供应商责任底表'!$F$5:$F$1541,$D79,'供应商责任底表'!$E$5:$E$1541,$E79)</f>
        <v>54.16117216117216</v>
      </c>
      <c r="L79" s="27" t="n">
        <f>IF(J79=0,"",K79/J79)</f>
        <v>0.719297138680273</v>
      </c>
      <c r="M79" s="23" t="n">
        <f>SUMIFS('供应商责任底表'!$U$5:$U$1541,'供应商责任底表'!$A$5:$A$1541,$A79,'供应商责任底表'!$H$5:$H$1541,$C79,'供应商责任底表'!$F$5:$F$1541,$D79,'供应商责任底表'!$E$5:$E$1541,$E79)</f>
        <v>17.70264477828438</v>
      </c>
      <c r="N79" s="27" t="n">
        <f>IF(OR(F79=0,J79=0),"",L79-I79)</f>
        <v>0.041877783841563376</v>
      </c>
      <c r="O79" s="23" t="n">
        <f>SUMIFS('供应商责任底表'!$V$5:$V$1541,'供应商责任底表'!$A$5:$A$1541,$A79,'供应商责任底表'!$H$5:$H$1541,$C79,'供应商责任底表'!$F$5:$F$1541,$D79,'供应商责任底表'!$E$5:$E$1541,$E79)</f>
        <v>0</v>
      </c>
    </row>
    <row r="80">
      <c r="A80" s="19" t="str">
        <v>波兰区</v>
      </c>
      <c r="B80" s="19" t="str">
        <v>ATLAS WORK SPÓŁKA Z OGRANICZONĄ ODPOWIEDZIALNOŚCIĄ</v>
      </c>
      <c r="C80" s="19" t="str">
        <v>S000201</v>
      </c>
      <c r="D80" s="19" t="str">
        <v>操作员</v>
      </c>
      <c r="E80" s="19" t="str">
        <v>2026-06</v>
      </c>
      <c r="F80" s="23" t="n">
        <f>SUMIFS('供应商责任底表'!$O$5:$O$1541,'供应商责任底表'!$A$5:$A$1541,$A80,'供应商责任底表'!$H$5:$H$1541,$C80,'供应商责任底表'!$F$5:$F$1541,$D80,'供应商责任底表'!$E$5:$E$1541,$E80)</f>
        <v>107</v>
      </c>
      <c r="G80" s="23" t="n">
        <f>SUMIFS('供应商责任底表'!$P$5:$P$1541,'供应商责任底表'!$A$5:$A$1541,$A80,'供应商责任底表'!$H$5:$H$1541,$C80,'供应商责任底表'!$F$5:$F$1541,$D80,'供应商责任底表'!$E$5:$E$1541,$E80)</f>
        <v>58</v>
      </c>
      <c r="H80" s="23" t="n">
        <f>SUMIFS('供应商责任底表'!$Q$5:$Q$1541,'供应商责任底表'!$A$5:$A$1541,$A80,'供应商责任底表'!$H$5:$H$1541,$C80,'供应商责任底表'!$F$5:$F$1541,$D80,'供应商责任底表'!$E$5:$E$1541,$E80)</f>
        <v>58</v>
      </c>
      <c r="I80" s="27" t="n">
        <f>IF(F80=0,"",H80/F80)</f>
        <v>0.5420560747663551</v>
      </c>
      <c r="J80" s="23" t="n">
        <f>SUMIFS('供应商责任底表'!$S$5:$S$1541,'供应商责任底表'!$A$5:$A$1541,$A80,'供应商责任底表'!$H$5:$H$1541,$C80,'供应商责任底表'!$F$5:$F$1541,$D80,'供应商责任底表'!$E$5:$E$1541,$E80)</f>
        <v>104.5</v>
      </c>
      <c r="K80" s="23" t="n">
        <f>SUMIFS('供应商责任底表'!$T$5:$T$1541,'供应商责任底表'!$A$5:$A$1541,$A80,'供应商责任底表'!$H$5:$H$1541,$C80,'供应商责任底表'!$F$5:$F$1541,$D80,'供应商责任底表'!$E$5:$E$1541,$E80)</f>
        <v>58</v>
      </c>
      <c r="L80" s="27" t="n">
        <f>IF(J80=0,"",K80/J80)</f>
        <v>0.5550239234449761</v>
      </c>
      <c r="M80" s="23" t="n">
        <f>SUMIFS('供应商责任底表'!$U$5:$U$1541,'供应商责任底表'!$A$5:$A$1541,$A80,'供应商责任底表'!$H$5:$H$1541,$C80,'供应商责任底表'!$F$5:$F$1541,$D80,'供应商责任底表'!$E$5:$E$1541,$E80)</f>
        <v>2.5</v>
      </c>
      <c r="N80" s="27" t="n">
        <f>IF(OR(F80=0,J80=0),"",L80-I80)</f>
        <v>0.012967848678620997</v>
      </c>
      <c r="O80" s="23" t="n">
        <f>SUMIFS('供应商责任底表'!$V$5:$V$1541,'供应商责任底表'!$A$5:$A$1541,$A80,'供应商责任底表'!$H$5:$H$1541,$C80,'供应商责任底表'!$F$5:$F$1541,$D80,'供应商责任底表'!$E$5:$E$1541,$E80)</f>
        <v>0</v>
      </c>
    </row>
    <row r="81">
      <c r="A81" s="19" t="str">
        <v>波兰区</v>
      </c>
      <c r="B81" s="19" t="str">
        <v>Zenith Zone Sp. z o.o.</v>
      </c>
      <c r="C81" s="19" t="str">
        <v>S000206</v>
      </c>
      <c r="D81" s="19" t="str">
        <v>操作员</v>
      </c>
      <c r="E81" s="19" t="str">
        <v>2026-04</v>
      </c>
      <c r="F81" s="23" t="n">
        <f>SUMIFS('供应商责任底表'!$O$5:$O$1541,'供应商责任底表'!$A$5:$A$1541,$A81,'供应商责任底表'!$H$5:$H$1541,$C81,'供应商责任底表'!$F$5:$F$1541,$D81,'供应商责任底表'!$E$5:$E$1541,$E81)</f>
        <v>25</v>
      </c>
      <c r="G81" s="23" t="n">
        <f>SUMIFS('供应商责任底表'!$P$5:$P$1541,'供应商责任底表'!$A$5:$A$1541,$A81,'供应商责任底表'!$H$5:$H$1541,$C81,'供应商责任底表'!$F$5:$F$1541,$D81,'供应商责任底表'!$E$5:$E$1541,$E81)</f>
        <v>16</v>
      </c>
      <c r="H81" s="23" t="n">
        <f>SUMIFS('供应商责任底表'!$Q$5:$Q$1541,'供应商责任底表'!$A$5:$A$1541,$A81,'供应商责任底表'!$H$5:$H$1541,$C81,'供应商责任底表'!$F$5:$F$1541,$D81,'供应商责任底表'!$E$5:$E$1541,$E81)</f>
        <v>16</v>
      </c>
      <c r="I81" s="27" t="n">
        <f>IF(F81=0,"",H81/F81)</f>
        <v>0.64</v>
      </c>
      <c r="J81" s="23" t="n">
        <f>SUMIFS('供应商责任底表'!$S$5:$S$1541,'供应商责任底表'!$A$5:$A$1541,$A81,'供应商责任底表'!$H$5:$H$1541,$C81,'供应商责任底表'!$F$5:$F$1541,$D81,'供应商责任底表'!$E$5:$E$1541,$E81)</f>
        <v>7.272727272727273</v>
      </c>
      <c r="K81" s="23" t="n">
        <f>SUMIFS('供应商责任底表'!$T$5:$T$1541,'供应商责任底表'!$A$5:$A$1541,$A81,'供应商责任底表'!$H$5:$H$1541,$C81,'供应商责任底表'!$F$5:$F$1541,$D81,'供应商责任底表'!$E$5:$E$1541,$E81)</f>
        <v>7</v>
      </c>
      <c r="L81" s="27" t="n">
        <f>IF(J81=0,"",K81/J81)</f>
        <v>0.9624999999999999</v>
      </c>
      <c r="M81" s="23" t="n">
        <f>SUMIFS('供应商责任底表'!$U$5:$U$1541,'供应商责任底表'!$A$5:$A$1541,$A81,'供应商责任底表'!$H$5:$H$1541,$C81,'供应商责任底表'!$F$5:$F$1541,$D81,'供应商责任底表'!$E$5:$E$1541,$E81)</f>
        <v>17.727272727272727</v>
      </c>
      <c r="N81" s="27" t="n">
        <f>IF(OR(F81=0,J81=0),"",L81-I81)</f>
        <v>0.3224999999999999</v>
      </c>
      <c r="O81" s="23" t="n">
        <f>SUMIFS('供应商责任底表'!$V$5:$V$1541,'供应商责任底表'!$A$5:$A$1541,$A81,'供应商责任底表'!$H$5:$H$1541,$C81,'供应商责任底表'!$F$5:$F$1541,$D81,'供应商责任底表'!$E$5:$E$1541,$E81)</f>
        <v>0</v>
      </c>
    </row>
    <row r="82">
      <c r="A82" s="19" t="str">
        <v>波兰区</v>
      </c>
      <c r="B82" s="19" t="str">
        <v>Zenith Zone Sp. z o.o.</v>
      </c>
      <c r="C82" s="19" t="str">
        <v>S000206</v>
      </c>
      <c r="D82" s="19" t="str">
        <v>操作员</v>
      </c>
      <c r="E82" s="19" t="str">
        <v>2026-05</v>
      </c>
      <c r="F82" s="23" t="n">
        <f>SUMIFS('供应商责任底表'!$O$5:$O$1541,'供应商责任底表'!$A$5:$A$1541,$A82,'供应商责任底表'!$H$5:$H$1541,$C82,'供应商责任底表'!$F$5:$F$1541,$D82,'供应商责任底表'!$E$5:$E$1541,$E82)</f>
        <v>68</v>
      </c>
      <c r="G82" s="23" t="n">
        <f>SUMIFS('供应商责任底表'!$P$5:$P$1541,'供应商责任底表'!$A$5:$A$1541,$A82,'供应商责任底表'!$H$5:$H$1541,$C82,'供应商责任底表'!$F$5:$F$1541,$D82,'供应商责任底表'!$E$5:$E$1541,$E82)</f>
        <v>27</v>
      </c>
      <c r="H82" s="23" t="n">
        <f>SUMIFS('供应商责任底表'!$Q$5:$Q$1541,'供应商责任底表'!$A$5:$A$1541,$A82,'供应商责任底表'!$H$5:$H$1541,$C82,'供应商责任底表'!$F$5:$F$1541,$D82,'供应商责任底表'!$E$5:$E$1541,$E82)</f>
        <v>27</v>
      </c>
      <c r="I82" s="27" t="n">
        <f>IF(F82=0,"",H82/F82)</f>
        <v>0.39705882352941174</v>
      </c>
      <c r="J82" s="23" t="n">
        <f>SUMIFS('供应商责任底表'!$S$5:$S$1541,'供应商责任底表'!$A$5:$A$1541,$A82,'供应商责任底表'!$H$5:$H$1541,$C82,'供应商责任底表'!$F$5:$F$1541,$D82,'供应商责任底表'!$E$5:$E$1541,$E82)</f>
        <v>40.42569786535304</v>
      </c>
      <c r="K82" s="23" t="n">
        <f>SUMIFS('供应商责任底表'!$T$5:$T$1541,'供应商责任底表'!$A$5:$A$1541,$A82,'供应商责任底表'!$H$5:$H$1541,$C82,'供应商责任底表'!$F$5:$F$1541,$D82,'供应商责任底表'!$E$5:$E$1541,$E82)</f>
        <v>26</v>
      </c>
      <c r="L82" s="27" t="n">
        <f>IF(J82=0,"",K82/J82)</f>
        <v>0.6431552545264376</v>
      </c>
      <c r="M82" s="23" t="n">
        <f>SUMIFS('供应商责任底表'!$U$5:$U$1541,'供应商责任底表'!$A$5:$A$1541,$A82,'供应商责任底表'!$H$5:$H$1541,$C82,'供应商责任底表'!$F$5:$F$1541,$D82,'供应商责任底表'!$E$5:$E$1541,$E82)</f>
        <v>27.57430213464696</v>
      </c>
      <c r="N82" s="27" t="n">
        <f>IF(OR(F82=0,J82=0),"",L82-I82)</f>
        <v>0.24609643099702588</v>
      </c>
      <c r="O82" s="23" t="n">
        <f>SUMIFS('供应商责任底表'!$V$5:$V$1541,'供应商责任底表'!$A$5:$A$1541,$A82,'供应商责任底表'!$H$5:$H$1541,$C82,'供应商责任底表'!$F$5:$F$1541,$D82,'供应商责任底表'!$E$5:$E$1541,$E82)</f>
        <v>0</v>
      </c>
    </row>
    <row r="83">
      <c r="A83" s="19" t="str">
        <v>波兰区</v>
      </c>
      <c r="B83" s="19" t="str">
        <v>Zenith Zone Sp. z o.o.</v>
      </c>
      <c r="C83" s="19" t="str">
        <v>S000206</v>
      </c>
      <c r="D83" s="19" t="str">
        <v>操作员</v>
      </c>
      <c r="E83" s="19" t="str">
        <v>2026-06</v>
      </c>
      <c r="F83" s="23" t="n">
        <f>SUMIFS('供应商责任底表'!$O$5:$O$1541,'供应商责任底表'!$A$5:$A$1541,$A83,'供应商责任底表'!$H$5:$H$1541,$C83,'供应商责任底表'!$F$5:$F$1541,$D83,'供应商责任底表'!$E$5:$E$1541,$E83)</f>
        <v>31</v>
      </c>
      <c r="G83" s="23" t="n">
        <f>SUMIFS('供应商责任底表'!$P$5:$P$1541,'供应商责任底表'!$A$5:$A$1541,$A83,'供应商责任底表'!$H$5:$H$1541,$C83,'供应商责任底表'!$F$5:$F$1541,$D83,'供应商责任底表'!$E$5:$E$1541,$E83)</f>
        <v>8</v>
      </c>
      <c r="H83" s="23" t="n">
        <f>SUMIFS('供应商责任底表'!$Q$5:$Q$1541,'供应商责任底表'!$A$5:$A$1541,$A83,'供应商责任底表'!$H$5:$H$1541,$C83,'供应商责任底表'!$F$5:$F$1541,$D83,'供应商责任底表'!$E$5:$E$1541,$E83)</f>
        <v>8</v>
      </c>
      <c r="I83" s="27" t="n">
        <f>IF(F83=0,"",H83/F83)</f>
        <v>0.25806451612903225</v>
      </c>
      <c r="J83" s="23" t="n">
        <f>SUMIFS('供应商责任底表'!$S$5:$S$1541,'供应商责任底表'!$A$5:$A$1541,$A83,'供应商责任底表'!$H$5:$H$1541,$C83,'供应商责任底表'!$F$5:$F$1541,$D83,'供应商责任底表'!$E$5:$E$1541,$E83)</f>
        <v>31</v>
      </c>
      <c r="K83" s="23" t="n">
        <f>SUMIFS('供应商责任底表'!$T$5:$T$1541,'供应商责任底表'!$A$5:$A$1541,$A83,'供应商责任底表'!$H$5:$H$1541,$C83,'供应商责任底表'!$F$5:$F$1541,$D83,'供应商责任底表'!$E$5:$E$1541,$E83)</f>
        <v>8</v>
      </c>
      <c r="L83" s="27" t="n">
        <f>IF(J83=0,"",K83/J83)</f>
        <v>0.25806451612903225</v>
      </c>
      <c r="M83" s="23" t="n">
        <f>SUMIFS('供应商责任底表'!$U$5:$U$1541,'供应商责任底表'!$A$5:$A$1541,$A83,'供应商责任底表'!$H$5:$H$1541,$C83,'供应商责任底表'!$F$5:$F$1541,$D83,'供应商责任底表'!$E$5:$E$1541,$E83)</f>
        <v>0</v>
      </c>
      <c r="N83" s="27" t="n">
        <f>IF(OR(F83=0,J83=0),"",L83-I83)</f>
        <v>0</v>
      </c>
      <c r="O83" s="23" t="n">
        <f>SUMIFS('供应商责任底表'!$V$5:$V$1541,'供应商责任底表'!$A$5:$A$1541,$A83,'供应商责任底表'!$H$5:$H$1541,$C83,'供应商责任底表'!$F$5:$F$1541,$D83,'供应商责任底表'!$E$5:$E$1541,$E83)</f>
        <v>0</v>
      </c>
    </row>
    <row r="84">
      <c r="A84" s="19" t="str">
        <v>波兰区</v>
      </c>
      <c r="B84" s="19" t="str">
        <v>Niden Service Sp. z o.o.</v>
      </c>
      <c r="C84" s="19" t="str">
        <v>S000207</v>
      </c>
      <c r="D84" s="19" t="str">
        <v>操作员</v>
      </c>
      <c r="E84" s="19" t="str">
        <v>2026-04</v>
      </c>
      <c r="F84" s="23" t="n">
        <f>SUMIFS('供应商责任底表'!$O$5:$O$1541,'供应商责任底表'!$A$5:$A$1541,$A84,'供应商责任底表'!$H$5:$H$1541,$C84,'供应商责任底表'!$F$5:$F$1541,$D84,'供应商责任底表'!$E$5:$E$1541,$E84)</f>
        <v>60</v>
      </c>
      <c r="G84" s="23" t="n">
        <f>SUMIFS('供应商责任底表'!$P$5:$P$1541,'供应商责任底表'!$A$5:$A$1541,$A84,'供应商责任底表'!$H$5:$H$1541,$C84,'供应商责任底表'!$F$5:$F$1541,$D84,'供应商责任底表'!$E$5:$E$1541,$E84)</f>
        <v>53</v>
      </c>
      <c r="H84" s="23" t="n">
        <f>SUMIFS('供应商责任底表'!$Q$5:$Q$1541,'供应商责任底表'!$A$5:$A$1541,$A84,'供应商责任底表'!$H$5:$H$1541,$C84,'供应商责任底表'!$F$5:$F$1541,$D84,'供应商责任底表'!$E$5:$E$1541,$E84)</f>
        <v>53</v>
      </c>
      <c r="I84" s="27" t="n">
        <f>IF(F84=0,"",H84/F84)</f>
        <v>0.8833333333333333</v>
      </c>
      <c r="J84" s="23" t="n">
        <f>SUMIFS('供应商责任底表'!$S$5:$S$1541,'供应商责任底表'!$A$5:$A$1541,$A84,'供应商责任底表'!$H$5:$H$1541,$C84,'供应商责任底表'!$F$5:$F$1541,$D84,'供应商责任底表'!$E$5:$E$1541,$E84)</f>
        <v>47.88351254480287</v>
      </c>
      <c r="K84" s="23" t="n">
        <f>SUMIFS('供应商责任底表'!$T$5:$T$1541,'供应商责任底表'!$A$5:$A$1541,$A84,'供应商责任底表'!$H$5:$H$1541,$C84,'供应商责任底表'!$F$5:$F$1541,$D84,'供应商责任底表'!$E$5:$E$1541,$E84)</f>
        <v>47.72222222222223</v>
      </c>
      <c r="L84" s="27" t="n">
        <f>IF(J84=0,"",K84/J84)</f>
        <v>0.9966316104644636</v>
      </c>
      <c r="M84" s="23" t="n">
        <f>SUMIFS('供应商责任底表'!$U$5:$U$1541,'供应商责任底表'!$A$5:$A$1541,$A84,'供应商责任底表'!$H$5:$H$1541,$C84,'供应商责任底表'!$F$5:$F$1541,$D84,'供应商责任底表'!$E$5:$E$1541,$E84)</f>
        <v>12.116487455197133</v>
      </c>
      <c r="N84" s="27" t="n">
        <f>IF(OR(F84=0,J84=0),"",L84-I84)</f>
        <v>0.11329827713113028</v>
      </c>
      <c r="O84" s="23" t="n">
        <f>SUMIFS('供应商责任底表'!$V$5:$V$1541,'供应商责任底表'!$A$5:$A$1541,$A84,'供应商责任底表'!$H$5:$H$1541,$C84,'供应商责任底表'!$F$5:$F$1541,$D84,'供应商责任底表'!$E$5:$E$1541,$E84)</f>
        <v>0</v>
      </c>
    </row>
    <row r="85">
      <c r="A85" s="19" t="str">
        <v>波兰区</v>
      </c>
      <c r="B85" s="19" t="str">
        <v>Niden Service Sp. z o.o.</v>
      </c>
      <c r="C85" s="19" t="str">
        <v>S000207</v>
      </c>
      <c r="D85" s="19" t="str">
        <v>操作员</v>
      </c>
      <c r="E85" s="19" t="str">
        <v>2026-05</v>
      </c>
      <c r="F85" s="23" t="n">
        <f>SUMIFS('供应商责任底表'!$O$5:$O$1541,'供应商责任底表'!$A$5:$A$1541,$A85,'供应商责任底表'!$H$5:$H$1541,$C85,'供应商责任底表'!$F$5:$F$1541,$D85,'供应商责任底表'!$E$5:$E$1541,$E85)</f>
        <v>59</v>
      </c>
      <c r="G85" s="23" t="n">
        <f>SUMIFS('供应商责任底表'!$P$5:$P$1541,'供应商责任底表'!$A$5:$A$1541,$A85,'供应商责任底表'!$H$5:$H$1541,$C85,'供应商责任底表'!$F$5:$F$1541,$D85,'供应商责任底表'!$E$5:$E$1541,$E85)</f>
        <v>15</v>
      </c>
      <c r="H85" s="23" t="n">
        <f>SUMIFS('供应商责任底表'!$Q$5:$Q$1541,'供应商责任底表'!$A$5:$A$1541,$A85,'供应商责任底表'!$H$5:$H$1541,$C85,'供应商责任底表'!$F$5:$F$1541,$D85,'供应商责任底表'!$E$5:$E$1541,$E85)</f>
        <v>15</v>
      </c>
      <c r="I85" s="27" t="n">
        <f>IF(F85=0,"",H85/F85)</f>
        <v>0.2542372881355932</v>
      </c>
      <c r="J85" s="23" t="n">
        <f>SUMIFS('供应商责任底表'!$S$5:$S$1541,'供应商责任底表'!$A$5:$A$1541,$A85,'供应商责任底表'!$H$5:$H$1541,$C85,'供应商责任底表'!$F$5:$F$1541,$D85,'供应商责任底表'!$E$5:$E$1541,$E85)</f>
        <v>44.63461538461539</v>
      </c>
      <c r="K85" s="23" t="n">
        <f>SUMIFS('供应商责任底表'!$T$5:$T$1541,'供应商责任底表'!$A$5:$A$1541,$A85,'供应商责任底表'!$H$5:$H$1541,$C85,'供应商责任底表'!$F$5:$F$1541,$D85,'供应商责任底表'!$E$5:$E$1541,$E85)</f>
        <v>15</v>
      </c>
      <c r="L85" s="27" t="n">
        <f>IF(J85=0,"",K85/J85)</f>
        <v>0.33606204222317965</v>
      </c>
      <c r="M85" s="23" t="n">
        <f>SUMIFS('供应商责任底表'!$U$5:$U$1541,'供应商责任底表'!$A$5:$A$1541,$A85,'供应商责任底表'!$H$5:$H$1541,$C85,'供应商责任底表'!$F$5:$F$1541,$D85,'供应商责任底表'!$E$5:$E$1541,$E85)</f>
        <v>14.365384615384613</v>
      </c>
      <c r="N85" s="27" t="n">
        <f>IF(OR(F85=0,J85=0),"",L85-I85)</f>
        <v>0.08182475408758644</v>
      </c>
      <c r="O85" s="23" t="n">
        <f>SUMIFS('供应商责任底表'!$V$5:$V$1541,'供应商责任底表'!$A$5:$A$1541,$A85,'供应商责任底表'!$H$5:$H$1541,$C85,'供应商责任底表'!$F$5:$F$1541,$D85,'供应商责任底表'!$E$5:$E$1541,$E85)</f>
        <v>0</v>
      </c>
    </row>
    <row r="86">
      <c r="A86" s="19" t="str">
        <v>波兰区</v>
      </c>
      <c r="B86" s="19" t="str">
        <v>Niden Service Sp. z o.o.</v>
      </c>
      <c r="C86" s="19" t="str">
        <v>S000207</v>
      </c>
      <c r="D86" s="19" t="str">
        <v>操作员</v>
      </c>
      <c r="E86" s="19" t="str">
        <v>2026-06</v>
      </c>
      <c r="F86" s="23" t="n">
        <f>SUMIFS('供应商责任底表'!$O$5:$O$1541,'供应商责任底表'!$A$5:$A$1541,$A86,'供应商责任底表'!$H$5:$H$1541,$C86,'供应商责任底表'!$F$5:$F$1541,$D86,'供应商责任底表'!$E$5:$E$1541,$E86)</f>
        <v>42</v>
      </c>
      <c r="G86" s="23" t="n">
        <f>SUMIFS('供应商责任底表'!$P$5:$P$1541,'供应商责任底表'!$A$5:$A$1541,$A86,'供应商责任底表'!$H$5:$H$1541,$C86,'供应商责任底表'!$F$5:$F$1541,$D86,'供应商责任底表'!$E$5:$E$1541,$E86)</f>
        <v>19</v>
      </c>
      <c r="H86" s="23" t="n">
        <f>SUMIFS('供应商责任底表'!$Q$5:$Q$1541,'供应商责任底表'!$A$5:$A$1541,$A86,'供应商责任底表'!$H$5:$H$1541,$C86,'供应商责任底表'!$F$5:$F$1541,$D86,'供应商责任底表'!$E$5:$E$1541,$E86)</f>
        <v>19</v>
      </c>
      <c r="I86" s="27" t="n">
        <f>IF(F86=0,"",H86/F86)</f>
        <v>0.4523809523809524</v>
      </c>
      <c r="J86" s="23" t="n">
        <f>SUMIFS('供应商责任底表'!$S$5:$S$1541,'供应商责任底表'!$A$5:$A$1541,$A86,'供应商责任底表'!$H$5:$H$1541,$C86,'供应商责任底表'!$F$5:$F$1541,$D86,'供应商责任底表'!$E$5:$E$1541,$E86)</f>
        <v>37.45454545454545</v>
      </c>
      <c r="K86" s="23" t="n">
        <f>SUMIFS('供应商责任底表'!$T$5:$T$1541,'供应商责任底表'!$A$5:$A$1541,$A86,'供应商责任底表'!$H$5:$H$1541,$C86,'供应商责任底表'!$F$5:$F$1541,$D86,'供应商责任底表'!$E$5:$E$1541,$E86)</f>
        <v>19</v>
      </c>
      <c r="L86" s="27" t="n">
        <f>IF(J86=0,"",K86/J86)</f>
        <v>0.5072815533980582</v>
      </c>
      <c r="M86" s="23" t="n">
        <f>SUMIFS('供应商责任底表'!$U$5:$U$1541,'供应商责任底表'!$A$5:$A$1541,$A86,'供应商责任底表'!$H$5:$H$1541,$C86,'供应商责任底表'!$F$5:$F$1541,$D86,'供应商责任底表'!$E$5:$E$1541,$E86)</f>
        <v>4.545454545454546</v>
      </c>
      <c r="N86" s="27" t="n">
        <f>IF(OR(F86=0,J86=0),"",L86-I86)</f>
        <v>0.054900601017105866</v>
      </c>
      <c r="O86" s="23" t="n">
        <f>SUMIFS('供应商责任底表'!$V$5:$V$1541,'供应商责任底表'!$A$5:$A$1541,$A86,'供应商责任底表'!$H$5:$H$1541,$C86,'供应商责任底表'!$F$5:$F$1541,$D86,'供应商责任底表'!$E$5:$E$1541,$E86)</f>
        <v>0</v>
      </c>
    </row>
    <row r="87">
      <c r="A87" s="19" t="str">
        <v>波兰区</v>
      </c>
      <c r="B87" s="19" t="str">
        <v>Dreman Sp. z o.o.</v>
      </c>
      <c r="C87" s="19" t="str">
        <v>S000212</v>
      </c>
      <c r="D87" s="19" t="str">
        <v>操作员</v>
      </c>
      <c r="E87" s="19" t="str">
        <v>2026-04</v>
      </c>
      <c r="F87" s="23" t="n">
        <f>SUMIFS('供应商责任底表'!$O$5:$O$1541,'供应商责任底表'!$A$5:$A$1541,$A87,'供应商责任底表'!$H$5:$H$1541,$C87,'供应商责任底表'!$F$5:$F$1541,$D87,'供应商责任底表'!$E$5:$E$1541,$E87)</f>
        <v>43</v>
      </c>
      <c r="G87" s="23" t="n">
        <f>SUMIFS('供应商责任底表'!$P$5:$P$1541,'供应商责任底表'!$A$5:$A$1541,$A87,'供应商责任底表'!$H$5:$H$1541,$C87,'供应商责任底表'!$F$5:$F$1541,$D87,'供应商责任底表'!$E$5:$E$1541,$E87)</f>
        <v>39</v>
      </c>
      <c r="H87" s="23" t="n">
        <f>SUMIFS('供应商责任底表'!$Q$5:$Q$1541,'供应商责任底表'!$A$5:$A$1541,$A87,'供应商责任底表'!$H$5:$H$1541,$C87,'供应商责任底表'!$F$5:$F$1541,$D87,'供应商责任底表'!$E$5:$E$1541,$E87)</f>
        <v>39</v>
      </c>
      <c r="I87" s="27" t="n">
        <f>IF(F87=0,"",H87/F87)</f>
        <v>0.9069767441860465</v>
      </c>
      <c r="J87" s="23" t="n">
        <f>SUMIFS('供应商责任底表'!$S$5:$S$1541,'供应商责任底表'!$A$5:$A$1541,$A87,'供应商责任底表'!$H$5:$H$1541,$C87,'供应商责任底表'!$F$5:$F$1541,$D87,'供应商责任底表'!$E$5:$E$1541,$E87)</f>
        <v>32.98174609965489</v>
      </c>
      <c r="K87" s="23" t="n">
        <f>SUMIFS('供应商责任底表'!$T$5:$T$1541,'供应商责任底表'!$A$5:$A$1541,$A87,'供应商责任底表'!$H$5:$H$1541,$C87,'供应商责任底表'!$F$5:$F$1541,$D87,'供应商责任底表'!$E$5:$E$1541,$E87)</f>
        <v>32.520207638116425</v>
      </c>
      <c r="L87" s="27" t="n">
        <f>IF(J87=0,"",K87/J87)</f>
        <v>0.9860062453896795</v>
      </c>
      <c r="M87" s="23" t="n">
        <f>SUMIFS('供应商责任底表'!$U$5:$U$1541,'供应商责任底表'!$A$5:$A$1541,$A87,'供应商责任底表'!$H$5:$H$1541,$C87,'供应商责任底表'!$F$5:$F$1541,$D87,'供应商责任底表'!$E$5:$E$1541,$E87)</f>
        <v>10.018253900345114</v>
      </c>
      <c r="N87" s="27" t="n">
        <f>IF(OR(F87=0,J87=0),"",L87-I87)</f>
        <v>0.07902950120363306</v>
      </c>
      <c r="O87" s="23" t="n">
        <f>SUMIFS('供应商责任底表'!$V$5:$V$1541,'供应商责任底表'!$A$5:$A$1541,$A87,'供应商责任底表'!$H$5:$H$1541,$C87,'供应商责任底表'!$F$5:$F$1541,$D87,'供应商责任底表'!$E$5:$E$1541,$E87)</f>
        <v>0</v>
      </c>
    </row>
    <row r="88">
      <c r="A88" s="19" t="str">
        <v>波兰区</v>
      </c>
      <c r="B88" s="19" t="str">
        <v>Dreman Sp. z o.o.</v>
      </c>
      <c r="C88" s="19" t="str">
        <v>S000212</v>
      </c>
      <c r="D88" s="19" t="str">
        <v>操作员</v>
      </c>
      <c r="E88" s="19" t="str">
        <v>2026-05</v>
      </c>
      <c r="F88" s="23" t="n">
        <f>SUMIFS('供应商责任底表'!$O$5:$O$1541,'供应商责任底表'!$A$5:$A$1541,$A88,'供应商责任底表'!$H$5:$H$1541,$C88,'供应商责任底表'!$F$5:$F$1541,$D88,'供应商责任底表'!$E$5:$E$1541,$E88)</f>
        <v>38</v>
      </c>
      <c r="G88" s="23" t="n">
        <f>SUMIFS('供应商责任底表'!$P$5:$P$1541,'供应商责任底表'!$A$5:$A$1541,$A88,'供应商责任底表'!$H$5:$H$1541,$C88,'供应商责任底表'!$F$5:$F$1541,$D88,'供应商责任底表'!$E$5:$E$1541,$E88)</f>
        <v>30</v>
      </c>
      <c r="H88" s="23" t="n">
        <f>SUMIFS('供应商责任底表'!$Q$5:$Q$1541,'供应商责任底表'!$A$5:$A$1541,$A88,'供应商责任底表'!$H$5:$H$1541,$C88,'供应商责任底表'!$F$5:$F$1541,$D88,'供应商责任底表'!$E$5:$E$1541,$E88)</f>
        <v>30</v>
      </c>
      <c r="I88" s="27" t="n">
        <f>IF(F88=0,"",H88/F88)</f>
        <v>0.7894736842105263</v>
      </c>
      <c r="J88" s="23" t="n">
        <f>SUMIFS('供应商责任底表'!$S$5:$S$1541,'供应商责任底表'!$A$5:$A$1541,$A88,'供应商责任底表'!$H$5:$H$1541,$C88,'供应商责任底表'!$F$5:$F$1541,$D88,'供应商责任底表'!$E$5:$E$1541,$E88)</f>
        <v>33.811768876285</v>
      </c>
      <c r="K88" s="23" t="n">
        <f>SUMIFS('供应商责任底表'!$T$5:$T$1541,'供应商责任底表'!$A$5:$A$1541,$A88,'供应商责任底表'!$H$5:$H$1541,$C88,'供应商责任底表'!$F$5:$F$1541,$D88,'供应商责任底表'!$E$5:$E$1541,$E88)</f>
        <v>27.747252747252748</v>
      </c>
      <c r="L88" s="27" t="n">
        <f>IF(J88=0,"",K88/J88)</f>
        <v>0.8206388979168197</v>
      </c>
      <c r="M88" s="23" t="n">
        <f>SUMIFS('供应商责任底表'!$U$5:$U$1541,'供应商责任底表'!$A$5:$A$1541,$A88,'供应商责任底表'!$H$5:$H$1541,$C88,'供应商责任底表'!$F$5:$F$1541,$D88,'供应商责任底表'!$E$5:$E$1541,$E88)</f>
        <v>4.188231123714995</v>
      </c>
      <c r="N88" s="27" t="n">
        <f>IF(OR(F88=0,J88=0),"",L88-I88)</f>
        <v>0.031165213706293327</v>
      </c>
      <c r="O88" s="23" t="n">
        <f>SUMIFS('供应商责任底表'!$V$5:$V$1541,'供应商责任底表'!$A$5:$A$1541,$A88,'供应商责任底表'!$H$5:$H$1541,$C88,'供应商责任底表'!$F$5:$F$1541,$D88,'供应商责任底表'!$E$5:$E$1541,$E88)</f>
        <v>0</v>
      </c>
    </row>
    <row r="89">
      <c r="A89" s="19" t="str">
        <v>波兰区</v>
      </c>
      <c r="B89" s="19" t="str">
        <v>Dreman Sp. z o.o.</v>
      </c>
      <c r="C89" s="19" t="str">
        <v>S000212</v>
      </c>
      <c r="D89" s="19" t="str">
        <v>操作员</v>
      </c>
      <c r="E89" s="19" t="str">
        <v>2026-06</v>
      </c>
      <c r="F89" s="23" t="n">
        <f>SUMIFS('供应商责任底表'!$O$5:$O$1541,'供应商责任底表'!$A$5:$A$1541,$A89,'供应商责任底表'!$H$5:$H$1541,$C89,'供应商责任底表'!$F$5:$F$1541,$D89,'供应商责任底表'!$E$5:$E$1541,$E89)</f>
        <v>44</v>
      </c>
      <c r="G89" s="23" t="n">
        <f>SUMIFS('供应商责任底表'!$P$5:$P$1541,'供应商责任底表'!$A$5:$A$1541,$A89,'供应商责任底表'!$H$5:$H$1541,$C89,'供应商责任底表'!$F$5:$F$1541,$D89,'供应商责任底表'!$E$5:$E$1541,$E89)</f>
        <v>16</v>
      </c>
      <c r="H89" s="23" t="n">
        <f>SUMIFS('供应商责任底表'!$Q$5:$Q$1541,'供应商责任底表'!$A$5:$A$1541,$A89,'供应商责任底表'!$H$5:$H$1541,$C89,'供应商责任底表'!$F$5:$F$1541,$D89,'供应商责任底表'!$E$5:$E$1541,$E89)</f>
        <v>16</v>
      </c>
      <c r="I89" s="27" t="n">
        <f>IF(F89=0,"",H89/F89)</f>
        <v>0.36363636363636365</v>
      </c>
      <c r="J89" s="23" t="n">
        <f>SUMIFS('供应商责任底表'!$S$5:$S$1541,'供应商责任底表'!$A$5:$A$1541,$A89,'供应商责任底表'!$H$5:$H$1541,$C89,'供应商责任底表'!$F$5:$F$1541,$D89,'供应商责任底表'!$E$5:$E$1541,$E89)</f>
        <v>35.85285053929122</v>
      </c>
      <c r="K89" s="23" t="n">
        <f>SUMIFS('供应商责任底表'!$T$5:$T$1541,'供应商责任底表'!$A$5:$A$1541,$A89,'供应商责任底表'!$H$5:$H$1541,$C89,'供应商责任底表'!$F$5:$F$1541,$D89,'供应商责任底表'!$E$5:$E$1541,$E89)</f>
        <v>16</v>
      </c>
      <c r="L89" s="27" t="n">
        <f>IF(J89=0,"",K89/J89)</f>
        <v>0.4462685605002471</v>
      </c>
      <c r="M89" s="23" t="n">
        <f>SUMIFS('供应商责任底表'!$U$5:$U$1541,'供应商责任底表'!$A$5:$A$1541,$A89,'供应商责任底表'!$H$5:$H$1541,$C89,'供应商责任底表'!$F$5:$F$1541,$D89,'供应商责任底表'!$E$5:$E$1541,$E89)</f>
        <v>8.147149460708782</v>
      </c>
      <c r="N89" s="27" t="n">
        <f>IF(OR(F89=0,J89=0),"",L89-I89)</f>
        <v>0.08263219686388346</v>
      </c>
      <c r="O89" s="23" t="n">
        <f>SUMIFS('供应商责任底表'!$V$5:$V$1541,'供应商责任底表'!$A$5:$A$1541,$A89,'供应商责任底表'!$H$5:$H$1541,$C89,'供应商责任底表'!$F$5:$F$1541,$D89,'供应商责任底表'!$E$5:$E$1541,$E89)</f>
        <v>0</v>
      </c>
    </row>
    <row r="90">
      <c r="A90" s="19" t="str">
        <v>波兰区</v>
      </c>
      <c r="B90" s="19" t="str">
        <v>Gremi 2024.07</v>
      </c>
      <c r="C90" s="19" t="str">
        <v>S000249</v>
      </c>
      <c r="D90" s="19" t="str">
        <v>操作员</v>
      </c>
      <c r="E90" s="19" t="str">
        <v>2026-04</v>
      </c>
      <c r="F90" s="23" t="n">
        <f>SUMIFS('供应商责任底表'!$O$5:$O$1541,'供应商责任底表'!$A$5:$A$1541,$A90,'供应商责任底表'!$H$5:$H$1541,$C90,'供应商责任底表'!$F$5:$F$1541,$D90,'供应商责任底表'!$E$5:$E$1541,$E90)</f>
        <v>26</v>
      </c>
      <c r="G90" s="23" t="n">
        <f>SUMIFS('供应商责任底表'!$P$5:$P$1541,'供应商责任底表'!$A$5:$A$1541,$A90,'供应商责任底表'!$H$5:$H$1541,$C90,'供应商责任底表'!$F$5:$F$1541,$D90,'供应商责任底表'!$E$5:$E$1541,$E90)</f>
        <v>24</v>
      </c>
      <c r="H90" s="23" t="n">
        <f>SUMIFS('供应商责任底表'!$Q$5:$Q$1541,'供应商责任底表'!$A$5:$A$1541,$A90,'供应商责任底表'!$H$5:$H$1541,$C90,'供应商责任底表'!$F$5:$F$1541,$D90,'供应商责任底表'!$E$5:$E$1541,$E90)</f>
        <v>24</v>
      </c>
      <c r="I90" s="27" t="n">
        <f>IF(F90=0,"",H90/F90)</f>
        <v>0.9230769230769231</v>
      </c>
      <c r="J90" s="23" t="n">
        <f>SUMIFS('供应商责任底表'!$S$5:$S$1541,'供应商责任底表'!$A$5:$A$1541,$A90,'供应商责任底表'!$H$5:$H$1541,$C90,'供应商责任底表'!$F$5:$F$1541,$D90,'供应商责任底表'!$E$5:$E$1541,$E90)</f>
        <v>23.435897435897438</v>
      </c>
      <c r="K90" s="23" t="n">
        <f>SUMIFS('供应商责任底表'!$T$5:$T$1541,'供应商责任底表'!$A$5:$A$1541,$A90,'供应商责任底表'!$H$5:$H$1541,$C90,'供应商责任底表'!$F$5:$F$1541,$D90,'供应商责任底表'!$E$5:$E$1541,$E90)</f>
        <v>23.435897435897438</v>
      </c>
      <c r="L90" s="27" t="n">
        <f>IF(J90=0,"",K90/J90)</f>
        <v>1</v>
      </c>
      <c r="M90" s="23" t="n">
        <f>SUMIFS('供应商责任底表'!$U$5:$U$1541,'供应商责任底表'!$A$5:$A$1541,$A90,'供应商责任底表'!$H$5:$H$1541,$C90,'供应商责任底表'!$F$5:$F$1541,$D90,'供应商责任底表'!$E$5:$E$1541,$E90)</f>
        <v>2.564102564102564</v>
      </c>
      <c r="N90" s="27" t="n">
        <f>IF(OR(F90=0,J90=0),"",L90-I90)</f>
        <v>0.07692307692307687</v>
      </c>
      <c r="O90" s="23" t="n">
        <f>SUMIFS('供应商责任底表'!$V$5:$V$1541,'供应商责任底表'!$A$5:$A$1541,$A90,'供应商责任底表'!$H$5:$H$1541,$C90,'供应商责任底表'!$F$5:$F$1541,$D90,'供应商责任底表'!$E$5:$E$1541,$E90)</f>
        <v>0</v>
      </c>
    </row>
    <row r="91">
      <c r="A91" s="19" t="str">
        <v>波兰区</v>
      </c>
      <c r="B91" s="19" t="str">
        <v>Gremi 2024.07</v>
      </c>
      <c r="C91" s="19" t="str">
        <v>S000249</v>
      </c>
      <c r="D91" s="19" t="str">
        <v>操作员</v>
      </c>
      <c r="E91" s="19" t="str">
        <v>2026-05</v>
      </c>
      <c r="F91" s="23" t="n">
        <f>SUMIFS('供应商责任底表'!$O$5:$O$1541,'供应商责任底表'!$A$5:$A$1541,$A91,'供应商责任底表'!$H$5:$H$1541,$C91,'供应商责任底表'!$F$5:$F$1541,$D91,'供应商责任底表'!$E$5:$E$1541,$E91)</f>
        <v>43</v>
      </c>
      <c r="G91" s="23" t="n">
        <f>SUMIFS('供应商责任底表'!$P$5:$P$1541,'供应商责任底表'!$A$5:$A$1541,$A91,'供应商责任底表'!$H$5:$H$1541,$C91,'供应商责任底表'!$F$5:$F$1541,$D91,'供应商责任底表'!$E$5:$E$1541,$E91)</f>
        <v>34</v>
      </c>
      <c r="H91" s="23" t="n">
        <f>SUMIFS('供应商责任底表'!$Q$5:$Q$1541,'供应商责任底表'!$A$5:$A$1541,$A91,'供应商责任底表'!$H$5:$H$1541,$C91,'供应商责任底表'!$F$5:$F$1541,$D91,'供应商责任底表'!$E$5:$E$1541,$E91)</f>
        <v>34</v>
      </c>
      <c r="I91" s="27" t="n">
        <f>IF(F91=0,"",H91/F91)</f>
        <v>0.7906976744186046</v>
      </c>
      <c r="J91" s="23" t="n">
        <f>SUMIFS('供应商责任底表'!$S$5:$S$1541,'供应商责任底表'!$A$5:$A$1541,$A91,'供应商责任底表'!$H$5:$H$1541,$C91,'供应商责任底表'!$F$5:$F$1541,$D91,'供应商责任底表'!$E$5:$E$1541,$E91)</f>
        <v>34.125457875457876</v>
      </c>
      <c r="K91" s="23" t="n">
        <f>SUMIFS('供应商责任底表'!$T$5:$T$1541,'供应商责任底表'!$A$5:$A$1541,$A91,'供应商责任底表'!$H$5:$H$1541,$C91,'供应商责任底表'!$F$5:$F$1541,$D91,'供应商责任底表'!$E$5:$E$1541,$E91)</f>
        <v>30.63095238095238</v>
      </c>
      <c r="L91" s="27" t="n">
        <f>IF(J91=0,"",K91/J91)</f>
        <v>0.8975982825707768</v>
      </c>
      <c r="M91" s="23" t="n">
        <f>SUMIFS('供应商责任底表'!$U$5:$U$1541,'供应商责任底表'!$A$5:$A$1541,$A91,'供应商责任底表'!$H$5:$H$1541,$C91,'供应商责任底表'!$F$5:$F$1541,$D91,'供应商责任底表'!$E$5:$E$1541,$E91)</f>
        <v>8.874542124542124</v>
      </c>
      <c r="N91" s="27" t="n">
        <f>IF(OR(F91=0,J91=0),"",L91-I91)</f>
        <v>0.10690060815217217</v>
      </c>
      <c r="O91" s="23" t="n">
        <f>SUMIFS('供应商责任底表'!$V$5:$V$1541,'供应商责任底表'!$A$5:$A$1541,$A91,'供应商责任底表'!$H$5:$H$1541,$C91,'供应商责任底表'!$F$5:$F$1541,$D91,'供应商责任底表'!$E$5:$E$1541,$E91)</f>
        <v>0</v>
      </c>
    </row>
    <row r="92">
      <c r="A92" s="19" t="str">
        <v>波兰区</v>
      </c>
      <c r="B92" s="19" t="str">
        <v>Gremi 2024.07</v>
      </c>
      <c r="C92" s="19" t="str">
        <v>S000249</v>
      </c>
      <c r="D92" s="19" t="str">
        <v>操作员</v>
      </c>
      <c r="E92" s="19" t="str">
        <v>2026-06</v>
      </c>
      <c r="F92" s="23" t="n">
        <f>SUMIFS('供应商责任底表'!$O$5:$O$1541,'供应商责任底表'!$A$5:$A$1541,$A92,'供应商责任底表'!$H$5:$H$1541,$C92,'供应商责任底表'!$F$5:$F$1541,$D92,'供应商责任底表'!$E$5:$E$1541,$E92)</f>
        <v>53</v>
      </c>
      <c r="G92" s="23" t="n">
        <f>SUMIFS('供应商责任底表'!$P$5:$P$1541,'供应商责任底表'!$A$5:$A$1541,$A92,'供应商责任底表'!$H$5:$H$1541,$C92,'供应商责任底表'!$F$5:$F$1541,$D92,'供应商责任底表'!$E$5:$E$1541,$E92)</f>
        <v>27</v>
      </c>
      <c r="H92" s="23" t="n">
        <f>SUMIFS('供应商责任底表'!$Q$5:$Q$1541,'供应商责任底表'!$A$5:$A$1541,$A92,'供应商责任底表'!$H$5:$H$1541,$C92,'供应商责任底表'!$F$5:$F$1541,$D92,'供应商责任底表'!$E$5:$E$1541,$E92)</f>
        <v>27</v>
      </c>
      <c r="I92" s="27" t="n">
        <f>IF(F92=0,"",H92/F92)</f>
        <v>0.5094339622641509</v>
      </c>
      <c r="J92" s="23" t="n">
        <f>SUMIFS('供应商责任底表'!$S$5:$S$1541,'供应商责任底表'!$A$5:$A$1541,$A92,'供应商责任底表'!$H$5:$H$1541,$C92,'供应商责任底表'!$F$5:$F$1541,$D92,'供应商责任底表'!$E$5:$E$1541,$E92)</f>
        <v>43.423343605547</v>
      </c>
      <c r="K92" s="23" t="n">
        <f>SUMIFS('供应商责任底表'!$T$5:$T$1541,'供应商责任底表'!$A$5:$A$1541,$A92,'供应商责任底表'!$H$5:$H$1541,$C92,'供应商责任底表'!$F$5:$F$1541,$D92,'供应商责任底表'!$E$5:$E$1541,$E92)</f>
        <v>20.491525423728813</v>
      </c>
      <c r="L92" s="27" t="n">
        <f>IF(J92=0,"",K92/J92)</f>
        <v>0.47190114169631053</v>
      </c>
      <c r="M92" s="23" t="n">
        <f>SUMIFS('供应商责任底表'!$U$5:$U$1541,'供应商责任底表'!$A$5:$A$1541,$A92,'供应商责任底表'!$H$5:$H$1541,$C92,'供应商责任底表'!$F$5:$F$1541,$D92,'供应商责任底表'!$E$5:$E$1541,$E92)</f>
        <v>9.576656394453005</v>
      </c>
      <c r="N92" s="27" t="n">
        <f>IF(OR(F92=0,J92=0),"",L92-I92)</f>
        <v>-0.03753282056784041</v>
      </c>
      <c r="O92" s="23" t="n">
        <f>SUMIFS('供应商责任底表'!$V$5:$V$1541,'供应商责任底表'!$A$5:$A$1541,$A92,'供应商责任底表'!$H$5:$H$1541,$C92,'供应商责任底表'!$F$5:$F$1541,$D92,'供应商责任底表'!$E$5:$E$1541,$E92)</f>
        <v>0</v>
      </c>
    </row>
    <row r="93">
      <c r="A93" s="19" t="str">
        <v>波兰区</v>
      </c>
      <c r="B93" s="19" t="str">
        <v>PROWORK APT Sp. z o.o.</v>
      </c>
      <c r="C93" s="19" t="str">
        <v>S000259</v>
      </c>
      <c r="D93" s="19" t="str">
        <v>操作员</v>
      </c>
      <c r="E93" s="19" t="str">
        <v>2026-04</v>
      </c>
      <c r="F93" s="23" t="n">
        <f>SUMIFS('供应商责任底表'!$O$5:$O$1541,'供应商责任底表'!$A$5:$A$1541,$A93,'供应商责任底表'!$H$5:$H$1541,$C93,'供应商责任底表'!$F$5:$F$1541,$D93,'供应商责任底表'!$E$5:$E$1541,$E93)</f>
        <v>12</v>
      </c>
      <c r="G93" s="23" t="n">
        <f>SUMIFS('供应商责任底表'!$P$5:$P$1541,'供应商责任底表'!$A$5:$A$1541,$A93,'供应商责任底表'!$H$5:$H$1541,$C93,'供应商责任底表'!$F$5:$F$1541,$D93,'供应商责任底表'!$E$5:$E$1541,$E93)</f>
        <v>7</v>
      </c>
      <c r="H93" s="23" t="n">
        <f>SUMIFS('供应商责任底表'!$Q$5:$Q$1541,'供应商责任底表'!$A$5:$A$1541,$A93,'供应商责任底表'!$H$5:$H$1541,$C93,'供应商责任底表'!$F$5:$F$1541,$D93,'供应商责任底表'!$E$5:$E$1541,$E93)</f>
        <v>7</v>
      </c>
      <c r="I93" s="27" t="n">
        <f>IF(F93=0,"",H93/F93)</f>
        <v>0.5833333333333334</v>
      </c>
      <c r="J93" s="23" t="n">
        <f>SUMIFS('供应商责任底表'!$S$5:$S$1541,'供应商责任底表'!$A$5:$A$1541,$A93,'供应商责任底表'!$H$5:$H$1541,$C93,'供应商责任底表'!$F$5:$F$1541,$D93,'供应商责任底表'!$E$5:$E$1541,$E93)</f>
        <v>10</v>
      </c>
      <c r="K93" s="23" t="n">
        <f>SUMIFS('供应商责任底表'!$T$5:$T$1541,'供应商责任底表'!$A$5:$A$1541,$A93,'供应商责任底表'!$H$5:$H$1541,$C93,'供应商责任底表'!$F$5:$F$1541,$D93,'供应商责任底表'!$E$5:$E$1541,$E93)</f>
        <v>5.833333333333334</v>
      </c>
      <c r="L93" s="27" t="n">
        <f>IF(J93=0,"",K93/J93)</f>
        <v>0.5833333333333334</v>
      </c>
      <c r="M93" s="23" t="n">
        <f>SUMIFS('供应商责任底表'!$U$5:$U$1541,'供应商责任底表'!$A$5:$A$1541,$A93,'供应商责任底表'!$H$5:$H$1541,$C93,'供应商责任底表'!$F$5:$F$1541,$D93,'供应商责任底表'!$E$5:$E$1541,$E93)</f>
        <v>1.9999999999999991</v>
      </c>
      <c r="N93" s="27" t="n">
        <f>IF(OR(F93=0,J93=0),"",L93-I93)</f>
        <v>0</v>
      </c>
      <c r="O93" s="23" t="n">
        <f>SUMIFS('供应商责任底表'!$V$5:$V$1541,'供应商责任底表'!$A$5:$A$1541,$A93,'供应商责任底表'!$H$5:$H$1541,$C93,'供应商责任底表'!$F$5:$F$1541,$D93,'供应商责任底表'!$E$5:$E$1541,$E93)</f>
        <v>0</v>
      </c>
    </row>
    <row r="94">
      <c r="A94" s="19" t="str">
        <v>波兰区</v>
      </c>
      <c r="B94" s="19" t="str">
        <v>PROWORK APT Sp. z o.o.</v>
      </c>
      <c r="C94" s="19" t="str">
        <v>S000259</v>
      </c>
      <c r="D94" s="19" t="str">
        <v>操作员</v>
      </c>
      <c r="E94" s="19" t="str">
        <v>2026-05</v>
      </c>
      <c r="F94" s="23" t="n">
        <f>SUMIFS('供应商责任底表'!$O$5:$O$1541,'供应商责任底表'!$A$5:$A$1541,$A94,'供应商责任底表'!$H$5:$H$1541,$C94,'供应商责任底表'!$F$5:$F$1541,$D94,'供应商责任底表'!$E$5:$E$1541,$E94)</f>
        <v>5</v>
      </c>
      <c r="G94" s="23" t="n">
        <f>SUMIFS('供应商责任底表'!$P$5:$P$1541,'供应商责任底表'!$A$5:$A$1541,$A94,'供应商责任底表'!$H$5:$H$1541,$C94,'供应商责任底表'!$F$5:$F$1541,$D94,'供应商责任底表'!$E$5:$E$1541,$E94)</f>
        <v>0</v>
      </c>
      <c r="H94" s="23" t="n">
        <f>SUMIFS('供应商责任底表'!$Q$5:$Q$1541,'供应商责任底表'!$A$5:$A$1541,$A94,'供应商责任底表'!$H$5:$H$1541,$C94,'供应商责任底表'!$F$5:$F$1541,$D94,'供应商责任底表'!$E$5:$E$1541,$E94)</f>
        <v>0</v>
      </c>
      <c r="I94" s="27" t="n">
        <f>IF(F94=0,"",H94/F94)</f>
        <v>0</v>
      </c>
      <c r="J94" s="23" t="n">
        <f>SUMIFS('供应商责任底表'!$S$5:$S$1541,'供应商责任底表'!$A$5:$A$1541,$A94,'供应商责任底表'!$H$5:$H$1541,$C94,'供应商责任底表'!$F$5:$F$1541,$D94,'供应商责任底表'!$E$5:$E$1541,$E94)</f>
        <v>3.333333333333333</v>
      </c>
      <c r="K94" s="23" t="n">
        <f>SUMIFS('供应商责任底表'!$T$5:$T$1541,'供应商责任底表'!$A$5:$A$1541,$A94,'供应商责任底表'!$H$5:$H$1541,$C94,'供应商责任底表'!$F$5:$F$1541,$D94,'供应商责任底表'!$E$5:$E$1541,$E94)</f>
        <v>0</v>
      </c>
      <c r="L94" s="27" t="n">
        <f>IF(J94=0,"",K94/J94)</f>
        <v>0</v>
      </c>
      <c r="M94" s="23" t="n">
        <f>SUMIFS('供应商责任底表'!$U$5:$U$1541,'供应商责任底表'!$A$5:$A$1541,$A94,'供应商责任底表'!$H$5:$H$1541,$C94,'供应商责任底表'!$F$5:$F$1541,$D94,'供应商责任底表'!$E$5:$E$1541,$E94)</f>
        <v>1.666666666666667</v>
      </c>
      <c r="N94" s="27" t="n">
        <f>IF(OR(F94=0,J94=0),"",L94-I94)</f>
        <v>0</v>
      </c>
      <c r="O94" s="23" t="n">
        <f>SUMIFS('供应商责任底表'!$V$5:$V$1541,'供应商责任底表'!$A$5:$A$1541,$A94,'供应商责任底表'!$H$5:$H$1541,$C94,'供应商责任底表'!$F$5:$F$1541,$D94,'供应商责任底表'!$E$5:$E$1541,$E94)</f>
        <v>0</v>
      </c>
    </row>
    <row r="95">
      <c r="A95" s="19" t="str">
        <v>波兰区</v>
      </c>
      <c r="B95" s="19" t="str">
        <v>VOKS Service</v>
      </c>
      <c r="C95" s="19" t="str">
        <v>S000278</v>
      </c>
      <c r="D95" s="19" t="str">
        <v>操作员</v>
      </c>
      <c r="E95" s="19" t="str">
        <v>2026-04</v>
      </c>
      <c r="F95" s="23" t="n">
        <f>SUMIFS('供应商责任底表'!$O$5:$O$1541,'供应商责任底表'!$A$5:$A$1541,$A95,'供应商责任底表'!$H$5:$H$1541,$C95,'供应商责任底表'!$F$5:$F$1541,$D95,'供应商责任底表'!$E$5:$E$1541,$E95)</f>
        <v>20</v>
      </c>
      <c r="G95" s="23" t="n">
        <f>SUMIFS('供应商责任底表'!$P$5:$P$1541,'供应商责任底表'!$A$5:$A$1541,$A95,'供应商责任底表'!$H$5:$H$1541,$C95,'供应商责任底表'!$F$5:$F$1541,$D95,'供应商责任底表'!$E$5:$E$1541,$E95)</f>
        <v>4</v>
      </c>
      <c r="H95" s="23" t="n">
        <f>SUMIFS('供应商责任底表'!$Q$5:$Q$1541,'供应商责任底表'!$A$5:$A$1541,$A95,'供应商责任底表'!$H$5:$H$1541,$C95,'供应商责任底表'!$F$5:$F$1541,$D95,'供应商责任底表'!$E$5:$E$1541,$E95)</f>
        <v>4</v>
      </c>
      <c r="I95" s="27" t="n">
        <f>IF(F95=0,"",H95/F95)</f>
        <v>0.2</v>
      </c>
      <c r="J95" s="23" t="n">
        <f>SUMIFS('供应商责任底表'!$S$5:$S$1541,'供应商责任底表'!$A$5:$A$1541,$A95,'供应商责任底表'!$H$5:$H$1541,$C95,'供应商责任底表'!$F$5:$F$1541,$D95,'供应商责任底表'!$E$5:$E$1541,$E95)</f>
        <v>10.90909090909091</v>
      </c>
      <c r="K95" s="23" t="n">
        <f>SUMIFS('供应商责任底表'!$T$5:$T$1541,'供应商责任底表'!$A$5:$A$1541,$A95,'供应商责任底表'!$H$5:$H$1541,$C95,'供应商责任底表'!$F$5:$F$1541,$D95,'供应商责任底表'!$E$5:$E$1541,$E95)</f>
        <v>0</v>
      </c>
      <c r="L95" s="27" t="n">
        <f>IF(J95=0,"",K95/J95)</f>
        <v>0</v>
      </c>
      <c r="M95" s="23" t="n">
        <f>SUMIFS('供应商责任底表'!$U$5:$U$1541,'供应商责任底表'!$A$5:$A$1541,$A95,'供应商责任底表'!$H$5:$H$1541,$C95,'供应商责任底表'!$F$5:$F$1541,$D95,'供应商责任底表'!$E$5:$E$1541,$E95)</f>
        <v>9.09090909090909</v>
      </c>
      <c r="N95" s="27" t="n">
        <f>IF(OR(F95=0,J95=0),"",L95-I95)</f>
        <v>-0.2</v>
      </c>
      <c r="O95" s="23" t="n">
        <f>SUMIFS('供应商责任底表'!$V$5:$V$1541,'供应商责任底表'!$A$5:$A$1541,$A95,'供应商责任底表'!$H$5:$H$1541,$C95,'供应商责任底表'!$F$5:$F$1541,$D95,'供应商责任底表'!$E$5:$E$1541,$E95)</f>
        <v>0</v>
      </c>
    </row>
    <row r="96">
      <c r="A96" s="19" t="str">
        <v>波兰区</v>
      </c>
      <c r="B96" s="19" t="str">
        <v>VOKS Service</v>
      </c>
      <c r="C96" s="19" t="str">
        <v>S000278</v>
      </c>
      <c r="D96" s="19" t="str">
        <v>操作员</v>
      </c>
      <c r="E96" s="19" t="str">
        <v>2026-05</v>
      </c>
      <c r="F96" s="23" t="n">
        <f>SUMIFS('供应商责任底表'!$O$5:$O$1541,'供应商责任底表'!$A$5:$A$1541,$A96,'供应商责任底表'!$H$5:$H$1541,$C96,'供应商责任底表'!$F$5:$F$1541,$D96,'供应商责任底表'!$E$5:$E$1541,$E96)</f>
        <v>10</v>
      </c>
      <c r="G96" s="23" t="n">
        <f>SUMIFS('供应商责任底表'!$P$5:$P$1541,'供应商责任底表'!$A$5:$A$1541,$A96,'供应商责任底表'!$H$5:$H$1541,$C96,'供应商责任底表'!$F$5:$F$1541,$D96,'供应商责任底表'!$E$5:$E$1541,$E96)</f>
        <v>0</v>
      </c>
      <c r="H96" s="23" t="n">
        <f>SUMIFS('供应商责任底表'!$Q$5:$Q$1541,'供应商责任底表'!$A$5:$A$1541,$A96,'供应商责任底表'!$H$5:$H$1541,$C96,'供应商责任底表'!$F$5:$F$1541,$D96,'供应商责任底表'!$E$5:$E$1541,$E96)</f>
        <v>0</v>
      </c>
      <c r="I96" s="27" t="n">
        <f>IF(F96=0,"",H96/F96)</f>
        <v>0</v>
      </c>
      <c r="J96" s="23" t="n">
        <f>SUMIFS('供应商责任底表'!$S$5:$S$1541,'供应商责任底表'!$A$5:$A$1541,$A96,'供应商责任底表'!$H$5:$H$1541,$C96,'供应商责任底表'!$F$5:$F$1541,$D96,'供应商责任底表'!$E$5:$E$1541,$E96)</f>
        <v>5.4945054945054945</v>
      </c>
      <c r="K96" s="23" t="n">
        <f>SUMIFS('供应商责任底表'!$T$5:$T$1541,'供应商责任底表'!$A$5:$A$1541,$A96,'供应商责任底表'!$H$5:$H$1541,$C96,'供应商责任底表'!$F$5:$F$1541,$D96,'供应商责任底表'!$E$5:$E$1541,$E96)</f>
        <v>0</v>
      </c>
      <c r="L96" s="27" t="n">
        <f>IF(J96=0,"",K96/J96)</f>
        <v>0</v>
      </c>
      <c r="M96" s="23" t="n">
        <f>SUMIFS('供应商责任底表'!$U$5:$U$1541,'供应商责任底表'!$A$5:$A$1541,$A96,'供应商责任底表'!$H$5:$H$1541,$C96,'供应商责任底表'!$F$5:$F$1541,$D96,'供应商责任底表'!$E$5:$E$1541,$E96)</f>
        <v>4.5054945054945055</v>
      </c>
      <c r="N96" s="27" t="n">
        <f>IF(OR(F96=0,J96=0),"",L96-I96)</f>
        <v>0</v>
      </c>
      <c r="O96" s="23" t="n">
        <f>SUMIFS('供应商责任底表'!$V$5:$V$1541,'供应商责任底表'!$A$5:$A$1541,$A96,'供应商责任底表'!$H$5:$H$1541,$C96,'供应商责任底表'!$F$5:$F$1541,$D96,'供应商责任底表'!$E$5:$E$1541,$E96)</f>
        <v>0</v>
      </c>
    </row>
    <row r="97">
      <c r="A97" s="19" t="str">
        <v>波兰区</v>
      </c>
      <c r="B97" s="19" t="str">
        <v>Work-up sp. z o.o. sp. k.</v>
      </c>
      <c r="C97" s="19" t="str">
        <v>S000286</v>
      </c>
      <c r="D97" s="19" t="str">
        <v>操作员</v>
      </c>
      <c r="E97" s="19" t="str">
        <v>2026-04</v>
      </c>
      <c r="F97" s="23" t="n">
        <f>SUMIFS('供应商责任底表'!$O$5:$O$1541,'供应商责任底表'!$A$5:$A$1541,$A97,'供应商责任底表'!$H$5:$H$1541,$C97,'供应商责任底表'!$F$5:$F$1541,$D97,'供应商责任底表'!$E$5:$E$1541,$E97)</f>
        <v>84</v>
      </c>
      <c r="G97" s="23" t="n">
        <f>SUMIFS('供应商责任底表'!$P$5:$P$1541,'供应商责任底表'!$A$5:$A$1541,$A97,'供应商责任底表'!$H$5:$H$1541,$C97,'供应商责任底表'!$F$5:$F$1541,$D97,'供应商责任底表'!$E$5:$E$1541,$E97)</f>
        <v>70</v>
      </c>
      <c r="H97" s="23" t="n">
        <f>SUMIFS('供应商责任底表'!$Q$5:$Q$1541,'供应商责任底表'!$A$5:$A$1541,$A97,'供应商责任底表'!$H$5:$H$1541,$C97,'供应商责任底表'!$F$5:$F$1541,$D97,'供应商责任底表'!$E$5:$E$1541,$E97)</f>
        <v>70</v>
      </c>
      <c r="I97" s="27" t="n">
        <f>IF(F97=0,"",H97/F97)</f>
        <v>0.8333333333333334</v>
      </c>
      <c r="J97" s="23" t="n">
        <f>SUMIFS('供应商责任底表'!$S$5:$S$1541,'供应商责任底表'!$A$5:$A$1541,$A97,'供应商责任底表'!$H$5:$H$1541,$C97,'供应商责任底表'!$F$5:$F$1541,$D97,'供应商责任底表'!$E$5:$E$1541,$E97)</f>
        <v>63.20801278810178</v>
      </c>
      <c r="K97" s="23" t="n">
        <f>SUMIFS('供应商责任底表'!$T$5:$T$1541,'供应商责任底表'!$A$5:$A$1541,$A97,'供应商责任底表'!$H$5:$H$1541,$C97,'供应商责任底表'!$F$5:$F$1541,$D97,'供应商责任底表'!$E$5:$E$1541,$E97)</f>
        <v>62.024475524475534</v>
      </c>
      <c r="L97" s="27" t="n">
        <f>IF(J97=0,"",K97/J97)</f>
        <v>0.9812755185391774</v>
      </c>
      <c r="M97" s="23" t="n">
        <f>SUMIFS('供应商责任底表'!$U$5:$U$1541,'供应商责任底表'!$A$5:$A$1541,$A97,'供应商责任底表'!$H$5:$H$1541,$C97,'供应商责任底表'!$F$5:$F$1541,$D97,'供应商责任底表'!$E$5:$E$1541,$E97)</f>
        <v>20.79198721189822</v>
      </c>
      <c r="N97" s="27" t="n">
        <f>IF(OR(F97=0,J97=0),"",L97-I97)</f>
        <v>0.147942185205844</v>
      </c>
      <c r="O97" s="23" t="n">
        <f>SUMIFS('供应商责任底表'!$V$5:$V$1541,'供应商责任底表'!$A$5:$A$1541,$A97,'供应商责任底表'!$H$5:$H$1541,$C97,'供应商责任底表'!$F$5:$F$1541,$D97,'供应商责任底表'!$E$5:$E$1541,$E97)</f>
        <v>0</v>
      </c>
    </row>
    <row r="98">
      <c r="A98" s="19" t="str">
        <v>波兰区</v>
      </c>
      <c r="B98" s="19" t="str">
        <v>Work-up sp. z o.o. sp. k.</v>
      </c>
      <c r="C98" s="19" t="str">
        <v>S000286</v>
      </c>
      <c r="D98" s="19" t="str">
        <v>操作员</v>
      </c>
      <c r="E98" s="19" t="str">
        <v>2026-05</v>
      </c>
      <c r="F98" s="23" t="n">
        <f>SUMIFS('供应商责任底表'!$O$5:$O$1541,'供应商责任底表'!$A$5:$A$1541,$A98,'供应商责任底表'!$H$5:$H$1541,$C98,'供应商责任底表'!$F$5:$F$1541,$D98,'供应商责任底表'!$E$5:$E$1541,$E98)</f>
        <v>95</v>
      </c>
      <c r="G98" s="23" t="n">
        <f>SUMIFS('供应商责任底表'!$P$5:$P$1541,'供应商责任底表'!$A$5:$A$1541,$A98,'供应商责任底表'!$H$5:$H$1541,$C98,'供应商责任底表'!$F$5:$F$1541,$D98,'供应商责任底表'!$E$5:$E$1541,$E98)</f>
        <v>65</v>
      </c>
      <c r="H98" s="23" t="n">
        <f>SUMIFS('供应商责任底表'!$Q$5:$Q$1541,'供应商责任底表'!$A$5:$A$1541,$A98,'供应商责任底表'!$H$5:$H$1541,$C98,'供应商责任底表'!$F$5:$F$1541,$D98,'供应商责任底表'!$E$5:$E$1541,$E98)</f>
        <v>65</v>
      </c>
      <c r="I98" s="27" t="n">
        <f>IF(F98=0,"",H98/F98)</f>
        <v>0.6842105263157895</v>
      </c>
      <c r="J98" s="23" t="n">
        <f>SUMIFS('供应商责任底表'!$S$5:$S$1541,'供应商责任底表'!$A$5:$A$1541,$A98,'供应商责任底表'!$H$5:$H$1541,$C98,'供应商责任底表'!$F$5:$F$1541,$D98,'供应商责任底表'!$E$5:$E$1541,$E98)</f>
        <v>76.09129293028069</v>
      </c>
      <c r="K98" s="23" t="n">
        <f>SUMIFS('供应商责任底表'!$T$5:$T$1541,'供应商责任底表'!$A$5:$A$1541,$A98,'供应商责任底表'!$H$5:$H$1541,$C98,'供应商责任底表'!$F$5:$F$1541,$D98,'供应商责任底表'!$E$5:$E$1541,$E98)</f>
        <v>62.204182913860336</v>
      </c>
      <c r="L98" s="27" t="n">
        <f>IF(J98=0,"",K98/J98)</f>
        <v>0.8174940984490231</v>
      </c>
      <c r="M98" s="23" t="n">
        <f>SUMIFS('供应商责任底表'!$U$5:$U$1541,'供应商责任底表'!$A$5:$A$1541,$A98,'供应商责任底表'!$H$5:$H$1541,$C98,'供应商责任底表'!$F$5:$F$1541,$D98,'供应商责任底表'!$E$5:$E$1541,$E98)</f>
        <v>18.908707069719306</v>
      </c>
      <c r="N98" s="27" t="n">
        <f>IF(OR(F98=0,J98=0),"",L98-I98)</f>
        <v>0.1332835721332336</v>
      </c>
      <c r="O98" s="23" t="n">
        <f>SUMIFS('供应商责任底表'!$V$5:$V$1541,'供应商责任底表'!$A$5:$A$1541,$A98,'供应商责任底表'!$H$5:$H$1541,$C98,'供应商责任底表'!$F$5:$F$1541,$D98,'供应商责任底表'!$E$5:$E$1541,$E98)</f>
        <v>0</v>
      </c>
    </row>
    <row r="99">
      <c r="A99" s="19" t="str">
        <v>波兰区</v>
      </c>
      <c r="B99" s="19" t="str">
        <v>Work-up sp. z o.o. sp. k.</v>
      </c>
      <c r="C99" s="19" t="str">
        <v>S000286</v>
      </c>
      <c r="D99" s="19" t="str">
        <v>操作员</v>
      </c>
      <c r="E99" s="19" t="str">
        <v>2026-06</v>
      </c>
      <c r="F99" s="23" t="n">
        <f>SUMIFS('供应商责任底表'!$O$5:$O$1541,'供应商责任底表'!$A$5:$A$1541,$A99,'供应商责任底表'!$H$5:$H$1541,$C99,'供应商责任底表'!$F$5:$F$1541,$D99,'供应商责任底表'!$E$5:$E$1541,$E99)</f>
        <v>135</v>
      </c>
      <c r="G99" s="23" t="n">
        <f>SUMIFS('供应商责任底表'!$P$5:$P$1541,'供应商责任底表'!$A$5:$A$1541,$A99,'供应商责任底表'!$H$5:$H$1541,$C99,'供应商责任底表'!$F$5:$F$1541,$D99,'供应商责任底表'!$E$5:$E$1541,$E99)</f>
        <v>66</v>
      </c>
      <c r="H99" s="23" t="n">
        <f>SUMIFS('供应商责任底表'!$Q$5:$Q$1541,'供应商责任底表'!$A$5:$A$1541,$A99,'供应商责任底表'!$H$5:$H$1541,$C99,'供应商责任底表'!$F$5:$F$1541,$D99,'供应商责任底表'!$E$5:$E$1541,$E99)</f>
        <v>66</v>
      </c>
      <c r="I99" s="27" t="n">
        <f>IF(F99=0,"",H99/F99)</f>
        <v>0.4888888888888889</v>
      </c>
      <c r="J99" s="23" t="n">
        <f>SUMIFS('供应商责任底表'!$S$5:$S$1541,'供应商责任底表'!$A$5:$A$1541,$A99,'供应商责任底表'!$H$5:$H$1541,$C99,'供应商责任底表'!$F$5:$F$1541,$D99,'供应商责任底表'!$E$5:$E$1541,$E99)</f>
        <v>113.60362095531588</v>
      </c>
      <c r="K99" s="23" t="n">
        <f>SUMIFS('供应商责任底表'!$T$5:$T$1541,'供应商责任底表'!$A$5:$A$1541,$A99,'供应商责任底表'!$H$5:$H$1541,$C99,'供应商责任底表'!$F$5:$F$1541,$D99,'供应商责任底表'!$E$5:$E$1541,$E99)</f>
        <v>66</v>
      </c>
      <c r="L99" s="27" t="n">
        <f>IF(J99=0,"",K99/J99)</f>
        <v>0.5809673973856874</v>
      </c>
      <c r="M99" s="23" t="n">
        <f>SUMIFS('供应商责任底表'!$U$5:$U$1541,'供应商责任底表'!$A$5:$A$1541,$A99,'供应商责任底表'!$H$5:$H$1541,$C99,'供应商责任底表'!$F$5:$F$1541,$D99,'供应商责任底表'!$E$5:$E$1541,$E99)</f>
        <v>21.39637904468413</v>
      </c>
      <c r="N99" s="27" t="n">
        <f>IF(OR(F99=0,J99=0),"",L99-I99)</f>
        <v>0.0920785084967985</v>
      </c>
      <c r="O99" s="23" t="n">
        <f>SUMIFS('供应商责任底表'!$V$5:$V$1541,'供应商责任底表'!$A$5:$A$1541,$A99,'供应商责任底表'!$H$5:$H$1541,$C99,'供应商责任底表'!$F$5:$F$1541,$D99,'供应商责任底表'!$E$5:$E$1541,$E99)</f>
        <v>0</v>
      </c>
    </row>
    <row r="100">
      <c r="A100" s="19" t="str">
        <v>波兰区</v>
      </c>
      <c r="B100" s="19" t="str">
        <v>DK Global</v>
      </c>
      <c r="C100" s="19" t="str">
        <v>S000287</v>
      </c>
      <c r="D100" s="19" t="str">
        <v>操作员</v>
      </c>
      <c r="E100" s="19" t="str">
        <v>2026-04</v>
      </c>
      <c r="F100" s="23" t="n">
        <f>SUMIFS('供应商责任底表'!$O$5:$O$1541,'供应商责任底表'!$A$5:$A$1541,$A100,'供应商责任底表'!$H$5:$H$1541,$C100,'供应商责任底表'!$F$5:$F$1541,$D100,'供应商责任底表'!$E$5:$E$1541,$E100)</f>
        <v>11</v>
      </c>
      <c r="G100" s="23" t="n">
        <f>SUMIFS('供应商责任底表'!$P$5:$P$1541,'供应商责任底表'!$A$5:$A$1541,$A100,'供应商责任底表'!$H$5:$H$1541,$C100,'供应商责任底表'!$F$5:$F$1541,$D100,'供应商责任底表'!$E$5:$E$1541,$E100)</f>
        <v>11</v>
      </c>
      <c r="H100" s="23" t="n">
        <f>SUMIFS('供应商责任底表'!$Q$5:$Q$1541,'供应商责任底表'!$A$5:$A$1541,$A100,'供应商责任底表'!$H$5:$H$1541,$C100,'供应商责任底表'!$F$5:$F$1541,$D100,'供应商责任底表'!$E$5:$E$1541,$E100)</f>
        <v>11</v>
      </c>
      <c r="I100" s="27" t="n">
        <f>IF(F100=0,"",H100/F100)</f>
        <v>1</v>
      </c>
      <c r="J100" s="23" t="n">
        <f>SUMIFS('供应商责任底表'!$S$5:$S$1541,'供应商责任底表'!$A$5:$A$1541,$A100,'供应商责任底表'!$H$5:$H$1541,$C100,'供应商责任底表'!$F$5:$F$1541,$D100,'供应商责任底表'!$E$5:$E$1541,$E100)</f>
        <v>0.8333333333333334</v>
      </c>
      <c r="K100" s="23" t="n">
        <f>SUMIFS('供应商责任底表'!$T$5:$T$1541,'供应商责任底表'!$A$5:$A$1541,$A100,'供应商责任底表'!$H$5:$H$1541,$C100,'供应商责任底表'!$F$5:$F$1541,$D100,'供应商责任底表'!$E$5:$E$1541,$E100)</f>
        <v>0.8333333333333334</v>
      </c>
      <c r="L100" s="27" t="n">
        <f>IF(J100=0,"",K100/J100)</f>
        <v>1</v>
      </c>
      <c r="M100" s="23" t="n">
        <f>SUMIFS('供应商责任底表'!$U$5:$U$1541,'供应商责任底表'!$A$5:$A$1541,$A100,'供应商责任底表'!$H$5:$H$1541,$C100,'供应商责任底表'!$F$5:$F$1541,$D100,'供应商责任底表'!$E$5:$E$1541,$E100)</f>
        <v>10.166666666666668</v>
      </c>
      <c r="N100" s="27" t="n">
        <f>IF(OR(F100=0,J100=0),"",L100-I100)</f>
        <v>0</v>
      </c>
      <c r="O100" s="23" t="n">
        <f>SUMIFS('供应商责任底表'!$V$5:$V$1541,'供应商责任底表'!$A$5:$A$1541,$A100,'供应商责任底表'!$H$5:$H$1541,$C100,'供应商责任底表'!$F$5:$F$1541,$D100,'供应商责任底表'!$E$5:$E$1541,$E100)</f>
        <v>0</v>
      </c>
    </row>
    <row r="101">
      <c r="A101" s="19" t="str">
        <v>波兰区</v>
      </c>
      <c r="B101" s="19" t="str">
        <v>DK Global</v>
      </c>
      <c r="C101" s="19" t="str">
        <v>S000287</v>
      </c>
      <c r="D101" s="19" t="str">
        <v>操作员</v>
      </c>
      <c r="E101" s="19" t="str">
        <v>2026-05</v>
      </c>
      <c r="F101" s="23" t="n">
        <f>SUMIFS('供应商责任底表'!$O$5:$O$1541,'供应商责任底表'!$A$5:$A$1541,$A101,'供应商责任底表'!$H$5:$H$1541,$C101,'供应商责任底表'!$F$5:$F$1541,$D101,'供应商责任底表'!$E$5:$E$1541,$E101)</f>
        <v>35</v>
      </c>
      <c r="G101" s="23" t="n">
        <f>SUMIFS('供应商责任底表'!$P$5:$P$1541,'供应商责任底表'!$A$5:$A$1541,$A101,'供应商责任底表'!$H$5:$H$1541,$C101,'供应商责任底表'!$F$5:$F$1541,$D101,'供应商责任底表'!$E$5:$E$1541,$E101)</f>
        <v>19</v>
      </c>
      <c r="H101" s="23" t="n">
        <f>SUMIFS('供应商责任底表'!$Q$5:$Q$1541,'供应商责任底表'!$A$5:$A$1541,$A101,'供应商责任底表'!$H$5:$H$1541,$C101,'供应商责任底表'!$F$5:$F$1541,$D101,'供应商责任底表'!$E$5:$E$1541,$E101)</f>
        <v>19</v>
      </c>
      <c r="I101" s="27" t="n">
        <f>IF(F101=0,"",H101/F101)</f>
        <v>0.5428571428571428</v>
      </c>
      <c r="J101" s="23" t="n">
        <f>SUMIFS('供应商责任底表'!$S$5:$S$1541,'供应商责任底表'!$A$5:$A$1541,$A101,'供应商责任底表'!$H$5:$H$1541,$C101,'供应商责任底表'!$F$5:$F$1541,$D101,'供应商责任底表'!$E$5:$E$1541,$E101)</f>
        <v>26.165445665445667</v>
      </c>
      <c r="K101" s="23" t="n">
        <f>SUMIFS('供应商责任底表'!$T$5:$T$1541,'供应商责任底表'!$A$5:$A$1541,$A101,'供应商责任底表'!$H$5:$H$1541,$C101,'供应商责任底表'!$F$5:$F$1541,$D101,'供应商责任底表'!$E$5:$E$1541,$E101)</f>
        <v>19</v>
      </c>
      <c r="L101" s="27" t="n">
        <f>IF(J101=0,"",K101/J101)</f>
        <v>0.7261485335635456</v>
      </c>
      <c r="M101" s="23" t="n">
        <f>SUMIFS('供应商责任底表'!$U$5:$U$1541,'供应商责任底表'!$A$5:$A$1541,$A101,'供应商责任底表'!$H$5:$H$1541,$C101,'供应商责任底表'!$F$5:$F$1541,$D101,'供应商责任底表'!$E$5:$E$1541,$E101)</f>
        <v>8.834554334554335</v>
      </c>
      <c r="N101" s="27" t="n">
        <f>IF(OR(F101=0,J101=0),"",L101-I101)</f>
        <v>0.18329139070640277</v>
      </c>
      <c r="O101" s="23" t="n">
        <f>SUMIFS('供应商责任底表'!$V$5:$V$1541,'供应商责任底表'!$A$5:$A$1541,$A101,'供应商责任底表'!$H$5:$H$1541,$C101,'供应商责任底表'!$F$5:$F$1541,$D101,'供应商责任底表'!$E$5:$E$1541,$E101)</f>
        <v>0</v>
      </c>
    </row>
    <row r="102">
      <c r="A102" s="19" t="str">
        <v>波兰区</v>
      </c>
      <c r="B102" s="19" t="str">
        <v>Global Solution</v>
      </c>
      <c r="C102" s="19" t="str">
        <v>S000288</v>
      </c>
      <c r="D102" s="19" t="str">
        <v>操作员</v>
      </c>
      <c r="E102" s="19" t="str">
        <v>2026-04</v>
      </c>
      <c r="F102" s="23" t="n">
        <f>SUMIFS('供应商责任底表'!$O$5:$O$1541,'供应商责任底表'!$A$5:$A$1541,$A102,'供应商责任底表'!$H$5:$H$1541,$C102,'供应商责任底表'!$F$5:$F$1541,$D102,'供应商责任底表'!$E$5:$E$1541,$E102)</f>
        <v>27</v>
      </c>
      <c r="G102" s="23" t="n">
        <f>SUMIFS('供应商责任底表'!$P$5:$P$1541,'供应商责任底表'!$A$5:$A$1541,$A102,'供应商责任底表'!$H$5:$H$1541,$C102,'供应商责任底表'!$F$5:$F$1541,$D102,'供应商责任底表'!$E$5:$E$1541,$E102)</f>
        <v>22</v>
      </c>
      <c r="H102" s="23" t="n">
        <f>SUMIFS('供应商责任底表'!$Q$5:$Q$1541,'供应商责任底表'!$A$5:$A$1541,$A102,'供应商责任底表'!$H$5:$H$1541,$C102,'供应商责任底表'!$F$5:$F$1541,$D102,'供应商责任底表'!$E$5:$E$1541,$E102)</f>
        <v>22</v>
      </c>
      <c r="I102" s="27" t="n">
        <f>IF(F102=0,"",H102/F102)</f>
        <v>0.8148148148148148</v>
      </c>
      <c r="J102" s="23" t="n">
        <f>SUMIFS('供应商责任底表'!$S$5:$S$1541,'供应商责任底表'!$A$5:$A$1541,$A102,'供应商责任底表'!$H$5:$H$1541,$C102,'供应商责任底表'!$F$5:$F$1541,$D102,'供应商责任底表'!$E$5:$E$1541,$E102)</f>
        <v>21.45639187574671</v>
      </c>
      <c r="K102" s="23" t="n">
        <f>SUMIFS('供应商责任底表'!$T$5:$T$1541,'供应商责任底表'!$A$5:$A$1541,$A102,'供应商责任底表'!$H$5:$H$1541,$C102,'供应商责任底表'!$F$5:$F$1541,$D102,'供应商责任底表'!$E$5:$E$1541,$E102)</f>
        <v>20.419354838709676</v>
      </c>
      <c r="L102" s="27" t="n">
        <f>IF(J102=0,"",K102/J102)</f>
        <v>0.9516676875104405</v>
      </c>
      <c r="M102" s="23" t="n">
        <f>SUMIFS('供应商责任底表'!$U$5:$U$1541,'供应商责任底表'!$A$5:$A$1541,$A102,'供应商责任底表'!$H$5:$H$1541,$C102,'供应商责任底表'!$F$5:$F$1541,$D102,'供应商责任底表'!$E$5:$E$1541,$E102)</f>
        <v>5.543608124253286</v>
      </c>
      <c r="N102" s="27" t="n">
        <f>IF(OR(F102=0,J102=0),"",L102-I102)</f>
        <v>0.13685287269562574</v>
      </c>
      <c r="O102" s="23" t="n">
        <f>SUMIFS('供应商责任底表'!$V$5:$V$1541,'供应商责任底表'!$A$5:$A$1541,$A102,'供应商责任底表'!$H$5:$H$1541,$C102,'供应商责任底表'!$F$5:$F$1541,$D102,'供应商责任底表'!$E$5:$E$1541,$E102)</f>
        <v>0</v>
      </c>
    </row>
    <row r="103">
      <c r="A103" s="19" t="str">
        <v>波兰区</v>
      </c>
      <c r="B103" s="19" t="str">
        <v>Global Solution</v>
      </c>
      <c r="C103" s="19" t="str">
        <v>S000288</v>
      </c>
      <c r="D103" s="19" t="str">
        <v>操作员</v>
      </c>
      <c r="E103" s="19" t="str">
        <v>2026-05</v>
      </c>
      <c r="F103" s="23" t="n">
        <f>SUMIFS('供应商责任底表'!$O$5:$O$1541,'供应商责任底表'!$A$5:$A$1541,$A103,'供应商责任底表'!$H$5:$H$1541,$C103,'供应商责任底表'!$F$5:$F$1541,$D103,'供应商责任底表'!$E$5:$E$1541,$E103)</f>
        <v>28</v>
      </c>
      <c r="G103" s="23" t="n">
        <f>SUMIFS('供应商责任底表'!$P$5:$P$1541,'供应商责任底表'!$A$5:$A$1541,$A103,'供应商责任底表'!$H$5:$H$1541,$C103,'供应商责任底表'!$F$5:$F$1541,$D103,'供应商责任底表'!$E$5:$E$1541,$E103)</f>
        <v>18</v>
      </c>
      <c r="H103" s="23" t="n">
        <f>SUMIFS('供应商责任底表'!$Q$5:$Q$1541,'供应商责任底表'!$A$5:$A$1541,$A103,'供应商责任底表'!$H$5:$H$1541,$C103,'供应商责任底表'!$F$5:$F$1541,$D103,'供应商责任底表'!$E$5:$E$1541,$E103)</f>
        <v>18</v>
      </c>
      <c r="I103" s="27" t="n">
        <f>IF(F103=0,"",H103/F103)</f>
        <v>0.6428571428571429</v>
      </c>
      <c r="J103" s="23" t="n">
        <f>SUMIFS('供应商责任底表'!$S$5:$S$1541,'供应商责任底表'!$A$5:$A$1541,$A103,'供应商责任底表'!$H$5:$H$1541,$C103,'供应商责任底表'!$F$5:$F$1541,$D103,'供应商责任底表'!$E$5:$E$1541,$E103)</f>
        <v>20.16117216117216</v>
      </c>
      <c r="K103" s="23" t="n">
        <f>SUMIFS('供应商责任底表'!$T$5:$T$1541,'供应商责任底表'!$A$5:$A$1541,$A103,'供应商责任底表'!$H$5:$H$1541,$C103,'供应商责任底表'!$F$5:$F$1541,$D103,'供应商责任底表'!$E$5:$E$1541,$E103)</f>
        <v>15.494505494505495</v>
      </c>
      <c r="L103" s="27" t="n">
        <f>IF(J103=0,"",K103/J103)</f>
        <v>0.768531976744186</v>
      </c>
      <c r="M103" s="23" t="n">
        <f>SUMIFS('供应商责任底表'!$U$5:$U$1541,'供应商责任底表'!$A$5:$A$1541,$A103,'供应商责任底表'!$H$5:$H$1541,$C103,'供应商责任底表'!$F$5:$F$1541,$D103,'供应商责任底表'!$E$5:$E$1541,$E103)</f>
        <v>7.838827838827839</v>
      </c>
      <c r="N103" s="27" t="n">
        <f>IF(OR(F103=0,J103=0),"",L103-I103)</f>
        <v>0.12567483388704315</v>
      </c>
      <c r="O103" s="23" t="n">
        <f>SUMIFS('供应商责任底表'!$V$5:$V$1541,'供应商责任底表'!$A$5:$A$1541,$A103,'供应商责任底表'!$H$5:$H$1541,$C103,'供应商责任底表'!$F$5:$F$1541,$D103,'供应商责任底表'!$E$5:$E$1541,$E103)</f>
        <v>0</v>
      </c>
    </row>
    <row r="104">
      <c r="A104" s="19" t="str">
        <v>波兰区</v>
      </c>
      <c r="B104" s="19" t="str">
        <v>Global Solution</v>
      </c>
      <c r="C104" s="19" t="str">
        <v>S000288</v>
      </c>
      <c r="D104" s="19" t="str">
        <v>操作员</v>
      </c>
      <c r="E104" s="19" t="str">
        <v>2026-06</v>
      </c>
      <c r="F104" s="23" t="n">
        <f>SUMIFS('供应商责任底表'!$O$5:$O$1541,'供应商责任底表'!$A$5:$A$1541,$A104,'供应商责任底表'!$H$5:$H$1541,$C104,'供应商责任底表'!$F$5:$F$1541,$D104,'供应商责任底表'!$E$5:$E$1541,$E104)</f>
        <v>43</v>
      </c>
      <c r="G104" s="23" t="n">
        <f>SUMIFS('供应商责任底表'!$P$5:$P$1541,'供应商责任底表'!$A$5:$A$1541,$A104,'供应商责任底表'!$H$5:$H$1541,$C104,'供应商责任底表'!$F$5:$F$1541,$D104,'供应商责任底表'!$E$5:$E$1541,$E104)</f>
        <v>6</v>
      </c>
      <c r="H104" s="23" t="n">
        <f>SUMIFS('供应商责任底表'!$Q$5:$Q$1541,'供应商责任底表'!$A$5:$A$1541,$A104,'供应商责任底表'!$H$5:$H$1541,$C104,'供应商责任底表'!$F$5:$F$1541,$D104,'供应商责任底表'!$E$5:$E$1541,$E104)</f>
        <v>6</v>
      </c>
      <c r="I104" s="27" t="n">
        <f>IF(F104=0,"",H104/F104)</f>
        <v>0.13953488372093023</v>
      </c>
      <c r="J104" s="23" t="n">
        <f>SUMIFS('供应商责任底表'!$S$5:$S$1541,'供应商责任底表'!$A$5:$A$1541,$A104,'供应商责任底表'!$H$5:$H$1541,$C104,'供应商责任底表'!$F$5:$F$1541,$D104,'供应商责任底表'!$E$5:$E$1541,$E104)</f>
        <v>34.23921417565485</v>
      </c>
      <c r="K104" s="23" t="n">
        <f>SUMIFS('供应商责任底表'!$T$5:$T$1541,'供应商责任底表'!$A$5:$A$1541,$A104,'供应商责任底表'!$H$5:$H$1541,$C104,'供应商责任底表'!$F$5:$F$1541,$D104,'供应商责任底表'!$E$5:$E$1541,$E104)</f>
        <v>6</v>
      </c>
      <c r="L104" s="27" t="n">
        <f>IF(J104=0,"",K104/J104)</f>
        <v>0.17523766664791585</v>
      </c>
      <c r="M104" s="23" t="n">
        <f>SUMIFS('供应商责任底表'!$U$5:$U$1541,'供应商责任底表'!$A$5:$A$1541,$A104,'供应商责任底表'!$H$5:$H$1541,$C104,'供应商责任底表'!$F$5:$F$1541,$D104,'供应商责任底表'!$E$5:$E$1541,$E104)</f>
        <v>8.760785824345147</v>
      </c>
      <c r="N104" s="27" t="n">
        <f>IF(OR(F104=0,J104=0),"",L104-I104)</f>
        <v>0.035702782926985616</v>
      </c>
      <c r="O104" s="23" t="n">
        <f>SUMIFS('供应商责任底表'!$V$5:$V$1541,'供应商责任底表'!$A$5:$A$1541,$A104,'供应商责任底表'!$H$5:$H$1541,$C104,'供应商责任底表'!$F$5:$F$1541,$D104,'供应商责任底表'!$E$5:$E$1541,$E104)</f>
        <v>0</v>
      </c>
    </row>
    <row r="105">
      <c r="A105" s="19" t="str">
        <v>波兰区</v>
      </c>
      <c r="B105" s="19" t="str">
        <v>Eurojob-West</v>
      </c>
      <c r="C105" s="19" t="str">
        <v>S000297</v>
      </c>
      <c r="D105" s="19" t="str">
        <v>操作员</v>
      </c>
      <c r="E105" s="19" t="str">
        <v>2026-05</v>
      </c>
      <c r="F105" s="23" t="n">
        <f>SUMIFS('供应商责任底表'!$O$5:$O$1541,'供应商责任底表'!$A$5:$A$1541,$A105,'供应商责任底表'!$H$5:$H$1541,$C105,'供应商责任底表'!$F$5:$F$1541,$D105,'供应商责任底表'!$E$5:$E$1541,$E105)</f>
        <v>4</v>
      </c>
      <c r="G105" s="23" t="n">
        <f>SUMIFS('供应商责任底表'!$P$5:$P$1541,'供应商责任底表'!$A$5:$A$1541,$A105,'供应商责任底表'!$H$5:$H$1541,$C105,'供应商责任底表'!$F$5:$F$1541,$D105,'供应商责任底表'!$E$5:$E$1541,$E105)</f>
        <v>4</v>
      </c>
      <c r="H105" s="23" t="n">
        <f>SUMIFS('供应商责任底表'!$Q$5:$Q$1541,'供应商责任底表'!$A$5:$A$1541,$A105,'供应商责任底表'!$H$5:$H$1541,$C105,'供应商责任底表'!$F$5:$F$1541,$D105,'供应商责任底表'!$E$5:$E$1541,$E105)</f>
        <v>4</v>
      </c>
      <c r="I105" s="27" t="n">
        <f>IF(F105=0,"",H105/F105)</f>
        <v>1</v>
      </c>
      <c r="J105" s="23" t="n">
        <f>SUMIFS('供应商责任底表'!$S$5:$S$1541,'供应商责任底表'!$A$5:$A$1541,$A105,'供应商责任底表'!$H$5:$H$1541,$C105,'供应商责任底表'!$F$5:$F$1541,$D105,'供应商责任底表'!$E$5:$E$1541,$E105)</f>
        <v>2.821123321123321</v>
      </c>
      <c r="K105" s="23" t="n">
        <f>SUMIFS('供应商责任底表'!$T$5:$T$1541,'供应商责任底表'!$A$5:$A$1541,$A105,'供应商责任底表'!$H$5:$H$1541,$C105,'供应商责任底表'!$F$5:$F$1541,$D105,'供应商责任底表'!$E$5:$E$1541,$E105)</f>
        <v>2.821123321123321</v>
      </c>
      <c r="L105" s="27" t="n">
        <f>IF(J105=0,"",K105/J105)</f>
        <v>1</v>
      </c>
      <c r="M105" s="23" t="n">
        <f>SUMIFS('供应商责任底表'!$U$5:$U$1541,'供应商责任底表'!$A$5:$A$1541,$A105,'供应商责任底表'!$H$5:$H$1541,$C105,'供应商责任底表'!$F$5:$F$1541,$D105,'供应商责任底表'!$E$5:$E$1541,$E105)</f>
        <v>1.178876678876679</v>
      </c>
      <c r="N105" s="27" t="n">
        <f>IF(OR(F105=0,J105=0),"",L105-I105)</f>
        <v>0</v>
      </c>
      <c r="O105" s="23" t="n">
        <f>SUMIFS('供应商责任底表'!$V$5:$V$1541,'供应商责任底表'!$A$5:$A$1541,$A105,'供应商责任底表'!$H$5:$H$1541,$C105,'供应商责任底表'!$F$5:$F$1541,$D105,'供应商责任底表'!$E$5:$E$1541,$E105)</f>
        <v>0</v>
      </c>
    </row>
    <row r="106">
      <c r="A106" s="19" t="str">
        <v>波兰区</v>
      </c>
      <c r="B106" s="19" t="str">
        <v>Eurojob-West</v>
      </c>
      <c r="C106" s="19" t="str">
        <v>S000297</v>
      </c>
      <c r="D106" s="19" t="str">
        <v>操作员</v>
      </c>
      <c r="E106" s="19" t="str">
        <v>2026-06</v>
      </c>
      <c r="F106" s="23" t="n">
        <f>SUMIFS('供应商责任底表'!$O$5:$O$1541,'供应商责任底表'!$A$5:$A$1541,$A106,'供应商责任底表'!$H$5:$H$1541,$C106,'供应商责任底表'!$F$5:$F$1541,$D106,'供应商责任底表'!$E$5:$E$1541,$E106)</f>
        <v>12</v>
      </c>
      <c r="G106" s="23" t="n">
        <f>SUMIFS('供应商责任底表'!$P$5:$P$1541,'供应商责任底表'!$A$5:$A$1541,$A106,'供应商责任底表'!$H$5:$H$1541,$C106,'供应商责任底表'!$F$5:$F$1541,$D106,'供应商责任底表'!$E$5:$E$1541,$E106)</f>
        <v>7</v>
      </c>
      <c r="H106" s="23" t="n">
        <f>SUMIFS('供应商责任底表'!$Q$5:$Q$1541,'供应商责任底表'!$A$5:$A$1541,$A106,'供应商责任底表'!$H$5:$H$1541,$C106,'供应商责任底表'!$F$5:$F$1541,$D106,'供应商责任底表'!$E$5:$E$1541,$E106)</f>
        <v>7</v>
      </c>
      <c r="I106" s="27" t="n">
        <f>IF(F106=0,"",H106/F106)</f>
        <v>0.5833333333333334</v>
      </c>
      <c r="J106" s="23" t="n">
        <f>SUMIFS('供应商责任底表'!$S$5:$S$1541,'供应商责任底表'!$A$5:$A$1541,$A106,'供应商责任底表'!$H$5:$H$1541,$C106,'供应商责任底表'!$F$5:$F$1541,$D106,'供应商责任底表'!$E$5:$E$1541,$E106)</f>
        <v>10.977272727272727</v>
      </c>
      <c r="K106" s="23" t="n">
        <f>SUMIFS('供应商责任底表'!$T$5:$T$1541,'供应商责任底表'!$A$5:$A$1541,$A106,'供应商责任底表'!$H$5:$H$1541,$C106,'供应商责任底表'!$F$5:$F$1541,$D106,'供应商责任底表'!$E$5:$E$1541,$E106)</f>
        <v>7</v>
      </c>
      <c r="L106" s="27" t="n">
        <f>IF(J106=0,"",K106/J106)</f>
        <v>0.6376811594202899</v>
      </c>
      <c r="M106" s="23" t="n">
        <f>SUMIFS('供应商责任底表'!$U$5:$U$1541,'供应商责任底表'!$A$5:$A$1541,$A106,'供应商责任底表'!$H$5:$H$1541,$C106,'供应商责任底表'!$F$5:$F$1541,$D106,'供应商责任底表'!$E$5:$E$1541,$E106)</f>
        <v>1.022727272727273</v>
      </c>
      <c r="N106" s="27" t="n">
        <f>IF(OR(F106=0,J106=0),"",L106-I106)</f>
        <v>0.05434782608695654</v>
      </c>
      <c r="O106" s="23" t="n">
        <f>SUMIFS('供应商责任底表'!$V$5:$V$1541,'供应商责任底表'!$A$5:$A$1541,$A106,'供应商责任底表'!$H$5:$H$1541,$C106,'供应商责任底表'!$F$5:$F$1541,$D106,'供应商责任底表'!$E$5:$E$1541,$E106)</f>
        <v>0</v>
      </c>
    </row>
    <row r="107">
      <c r="A107" s="19" t="str">
        <v>波兰区</v>
      </c>
      <c r="B107" s="19" t="str">
        <v>Tez sp z o.o.</v>
      </c>
      <c r="C107" s="19" t="str">
        <v>S000298</v>
      </c>
      <c r="D107" s="19" t="str">
        <v>操作员</v>
      </c>
      <c r="E107" s="19" t="str">
        <v>2026-04</v>
      </c>
      <c r="F107" s="23" t="n">
        <f>SUMIFS('供应商责任底表'!$O$5:$O$1541,'供应商责任底表'!$A$5:$A$1541,$A107,'供应商责任底表'!$H$5:$H$1541,$C107,'供应商责任底表'!$F$5:$F$1541,$D107,'供应商责任底表'!$E$5:$E$1541,$E107)</f>
        <v>39</v>
      </c>
      <c r="G107" s="23" t="n">
        <f>SUMIFS('供应商责任底表'!$P$5:$P$1541,'供应商责任底表'!$A$5:$A$1541,$A107,'供应商责任底表'!$H$5:$H$1541,$C107,'供应商责任底表'!$F$5:$F$1541,$D107,'供应商责任底表'!$E$5:$E$1541,$E107)</f>
        <v>39</v>
      </c>
      <c r="H107" s="23" t="n">
        <f>SUMIFS('供应商责任底表'!$Q$5:$Q$1541,'供应商责任底表'!$A$5:$A$1541,$A107,'供应商责任底表'!$H$5:$H$1541,$C107,'供应商责任底表'!$F$5:$F$1541,$D107,'供应商责任底表'!$E$5:$E$1541,$E107)</f>
        <v>39</v>
      </c>
      <c r="I107" s="27" t="n">
        <f>IF(F107=0,"",H107/F107)</f>
        <v>1</v>
      </c>
      <c r="J107" s="23" t="n">
        <f>SUMIFS('供应商责任底表'!$S$5:$S$1541,'供应商责任底表'!$A$5:$A$1541,$A107,'供应商责任底表'!$H$5:$H$1541,$C107,'供应商责任底表'!$F$5:$F$1541,$D107,'供应商责任底表'!$E$5:$E$1541,$E107)</f>
        <v>34</v>
      </c>
      <c r="K107" s="23" t="n">
        <f>SUMIFS('供应商责任底表'!$T$5:$T$1541,'供应商责任底表'!$A$5:$A$1541,$A107,'供应商责任底表'!$H$5:$H$1541,$C107,'供应商责任底表'!$F$5:$F$1541,$D107,'供应商责任底表'!$E$5:$E$1541,$E107)</f>
        <v>34</v>
      </c>
      <c r="L107" s="27" t="n">
        <f>IF(J107=0,"",K107/J107)</f>
        <v>1</v>
      </c>
      <c r="M107" s="23" t="n">
        <f>SUMIFS('供应商责任底表'!$U$5:$U$1541,'供应商责任底表'!$A$5:$A$1541,$A107,'供应商责任底表'!$H$5:$H$1541,$C107,'供应商责任底表'!$F$5:$F$1541,$D107,'供应商责任底表'!$E$5:$E$1541,$E107)</f>
        <v>5</v>
      </c>
      <c r="N107" s="27" t="n">
        <f>IF(OR(F107=0,J107=0),"",L107-I107)</f>
        <v>0</v>
      </c>
      <c r="O107" s="23" t="n">
        <f>SUMIFS('供应商责任底表'!$V$5:$V$1541,'供应商责任底表'!$A$5:$A$1541,$A107,'供应商责任底表'!$H$5:$H$1541,$C107,'供应商责任底表'!$F$5:$F$1541,$D107,'供应商责任底表'!$E$5:$E$1541,$E107)</f>
        <v>0</v>
      </c>
    </row>
    <row r="108">
      <c r="A108" s="19" t="str">
        <v>波兰区</v>
      </c>
      <c r="B108" s="19" t="str">
        <v>Tez sp z o.o.</v>
      </c>
      <c r="C108" s="19" t="str">
        <v>S000298</v>
      </c>
      <c r="D108" s="19" t="str">
        <v>操作员</v>
      </c>
      <c r="E108" s="19" t="str">
        <v>2026-05</v>
      </c>
      <c r="F108" s="23" t="n">
        <f>SUMIFS('供应商责任底表'!$O$5:$O$1541,'供应商责任底表'!$A$5:$A$1541,$A108,'供应商责任底表'!$H$5:$H$1541,$C108,'供应商责任底表'!$F$5:$F$1541,$D108,'供应商责任底表'!$E$5:$E$1541,$E108)</f>
        <v>191</v>
      </c>
      <c r="G108" s="23" t="n">
        <f>SUMIFS('供应商责任底表'!$P$5:$P$1541,'供应商责任底表'!$A$5:$A$1541,$A108,'供应商责任底表'!$H$5:$H$1541,$C108,'供应商责任底表'!$F$5:$F$1541,$D108,'供应商责任底表'!$E$5:$E$1541,$E108)</f>
        <v>96</v>
      </c>
      <c r="H108" s="23" t="n">
        <f>SUMIFS('供应商责任底表'!$Q$5:$Q$1541,'供应商责任底表'!$A$5:$A$1541,$A108,'供应商责任底表'!$H$5:$H$1541,$C108,'供应商责任底表'!$F$5:$F$1541,$D108,'供应商责任底表'!$E$5:$E$1541,$E108)</f>
        <v>96</v>
      </c>
      <c r="I108" s="27" t="n">
        <f>IF(F108=0,"",H108/F108)</f>
        <v>0.5026178010471204</v>
      </c>
      <c r="J108" s="23" t="n">
        <f>SUMIFS('供应商责任底表'!$S$5:$S$1541,'供应商责任底表'!$A$5:$A$1541,$A108,'供应商责任底表'!$H$5:$H$1541,$C108,'供应商责任底表'!$F$5:$F$1541,$D108,'供应商责任底表'!$E$5:$E$1541,$E108)</f>
        <v>114.93719653230221</v>
      </c>
      <c r="K108" s="23" t="n">
        <f>SUMIFS('供应商责任底表'!$T$5:$T$1541,'供应商责任底表'!$A$5:$A$1541,$A108,'供应商责任底表'!$H$5:$H$1541,$C108,'供应商责任底表'!$F$5:$F$1541,$D108,'供应商责任底表'!$E$5:$E$1541,$E108)</f>
        <v>82.71223758320534</v>
      </c>
      <c r="L108" s="27" t="n">
        <f>IF(J108=0,"",K108/J108)</f>
        <v>0.7196298507242579</v>
      </c>
      <c r="M108" s="23" t="n">
        <f>SUMIFS('供应商责任底表'!$U$5:$U$1541,'供应商责任底表'!$A$5:$A$1541,$A108,'供应商责任底表'!$H$5:$H$1541,$C108,'供应商责任底表'!$F$5:$F$1541,$D108,'供应商责任底表'!$E$5:$E$1541,$E108)</f>
        <v>76.06280346769779</v>
      </c>
      <c r="N108" s="27" t="n">
        <f>IF(OR(F108=0,J108=0),"",L108-I108)</f>
        <v>0.2170120496771375</v>
      </c>
      <c r="O108" s="23" t="n">
        <f>SUMIFS('供应商责任底表'!$V$5:$V$1541,'供应商责任底表'!$A$5:$A$1541,$A108,'供应商责任底表'!$H$5:$H$1541,$C108,'供应商责任底表'!$F$5:$F$1541,$D108,'供应商责任底表'!$E$5:$E$1541,$E108)</f>
        <v>0</v>
      </c>
    </row>
    <row r="109">
      <c r="A109" s="19" t="str">
        <v>波兰区</v>
      </c>
      <c r="B109" s="19" t="str">
        <v>Tez sp z o.o.</v>
      </c>
      <c r="C109" s="19" t="str">
        <v>S000298</v>
      </c>
      <c r="D109" s="19" t="str">
        <v>操作员</v>
      </c>
      <c r="E109" s="19" t="str">
        <v>2026-06</v>
      </c>
      <c r="F109" s="23" t="n">
        <f>SUMIFS('供应商责任底表'!$O$5:$O$1541,'供应商责任底表'!$A$5:$A$1541,$A109,'供应商责任底表'!$H$5:$H$1541,$C109,'供应商责任底表'!$F$5:$F$1541,$D109,'供应商责任底表'!$E$5:$E$1541,$E109)</f>
        <v>145</v>
      </c>
      <c r="G109" s="23" t="n">
        <f>SUMIFS('供应商责任底表'!$P$5:$P$1541,'供应商责任底表'!$A$5:$A$1541,$A109,'供应商责任底表'!$H$5:$H$1541,$C109,'供应商责任底表'!$F$5:$F$1541,$D109,'供应商责任底表'!$E$5:$E$1541,$E109)</f>
        <v>49</v>
      </c>
      <c r="H109" s="23" t="n">
        <f>SUMIFS('供应商责任底表'!$Q$5:$Q$1541,'供应商责任底表'!$A$5:$A$1541,$A109,'供应商责任底表'!$H$5:$H$1541,$C109,'供应商责任底表'!$F$5:$F$1541,$D109,'供应商责任底表'!$E$5:$E$1541,$E109)</f>
        <v>49</v>
      </c>
      <c r="I109" s="27" t="n">
        <f>IF(F109=0,"",H109/F109)</f>
        <v>0.33793103448275863</v>
      </c>
      <c r="J109" s="23" t="n">
        <f>SUMIFS('供应商责任底表'!$S$5:$S$1541,'供应商责任底表'!$A$5:$A$1541,$A109,'供应商责任底表'!$H$5:$H$1541,$C109,'供应商责任底表'!$F$5:$F$1541,$D109,'供应商责任底表'!$E$5:$E$1541,$E109)</f>
        <v>130.66384180790962</v>
      </c>
      <c r="K109" s="23" t="n">
        <f>SUMIFS('供应商责任底表'!$T$5:$T$1541,'供应商责任底表'!$A$5:$A$1541,$A109,'供应商责任底表'!$H$5:$H$1541,$C109,'供应商责任底表'!$F$5:$F$1541,$D109,'供应商责任底表'!$E$5:$E$1541,$E109)</f>
        <v>49</v>
      </c>
      <c r="L109" s="27" t="n">
        <f>IF(J109=0,"",K109/J109)</f>
        <v>0.37500810723165057</v>
      </c>
      <c r="M109" s="23" t="n">
        <f>SUMIFS('供应商责任底表'!$U$5:$U$1541,'供应商责任底表'!$A$5:$A$1541,$A109,'供应商责任底表'!$H$5:$H$1541,$C109,'供应商责任底表'!$F$5:$F$1541,$D109,'供应商责任底表'!$E$5:$E$1541,$E109)</f>
        <v>14.336158192090394</v>
      </c>
      <c r="N109" s="27" t="n">
        <f>IF(OR(F109=0,J109=0),"",L109-I109)</f>
        <v>0.03707707274889194</v>
      </c>
      <c r="O109" s="23" t="n">
        <f>SUMIFS('供应商责任底表'!$V$5:$V$1541,'供应商责任底表'!$A$5:$A$1541,$A109,'供应商责任底表'!$H$5:$H$1541,$C109,'供应商责任底表'!$F$5:$F$1541,$D109,'供应商责任底表'!$E$5:$E$1541,$E109)</f>
        <v>0</v>
      </c>
    </row>
    <row r="110">
      <c r="A110" s="19" t="str">
        <v>波兰区</v>
      </c>
      <c r="B110" s="19" t="str">
        <v>PWP NIAGARA HREBENIUKOV SPÓŁKA JAWNA</v>
      </c>
      <c r="C110" s="19" t="str">
        <v>S000323</v>
      </c>
      <c r="D110" s="19" t="str">
        <v>操作员</v>
      </c>
      <c r="E110" s="19" t="str">
        <v>2026-04</v>
      </c>
      <c r="F110" s="23" t="n">
        <f>SUMIFS('供应商责任底表'!$O$5:$O$1541,'供应商责任底表'!$A$5:$A$1541,$A110,'供应商责任底表'!$H$5:$H$1541,$C110,'供应商责任底表'!$F$5:$F$1541,$D110,'供应商责任底表'!$E$5:$E$1541,$E110)</f>
        <v>21</v>
      </c>
      <c r="G110" s="23" t="n">
        <f>SUMIFS('供应商责任底表'!$P$5:$P$1541,'供应商责任底表'!$A$5:$A$1541,$A110,'供应商责任底表'!$H$5:$H$1541,$C110,'供应商责任底表'!$F$5:$F$1541,$D110,'供应商责任底表'!$E$5:$E$1541,$E110)</f>
        <v>18</v>
      </c>
      <c r="H110" s="23" t="n">
        <f>SUMIFS('供应商责任底表'!$Q$5:$Q$1541,'供应商责任底表'!$A$5:$A$1541,$A110,'供应商责任底表'!$H$5:$H$1541,$C110,'供应商责任底表'!$F$5:$F$1541,$D110,'供应商责任底表'!$E$5:$E$1541,$E110)</f>
        <v>18</v>
      </c>
      <c r="I110" s="27" t="n">
        <f>IF(F110=0,"",H110/F110)</f>
        <v>0.8571428571428571</v>
      </c>
      <c r="J110" s="23" t="n">
        <f>SUMIFS('供应商责任底表'!$S$5:$S$1541,'供应商责任底表'!$A$5:$A$1541,$A110,'供应商责任底表'!$H$5:$H$1541,$C110,'供应商责任底表'!$F$5:$F$1541,$D110,'供应商责任底表'!$E$5:$E$1541,$E110)</f>
        <v>15.291777188328911</v>
      </c>
      <c r="K110" s="23" t="n">
        <f>SUMIFS('供应商责任底表'!$T$5:$T$1541,'供应商责任底表'!$A$5:$A$1541,$A110,'供应商责任底表'!$H$5:$H$1541,$C110,'供应商责任底表'!$F$5:$F$1541,$D110,'供应商责任底表'!$E$5:$E$1541,$E110)</f>
        <v>15.291777188328911</v>
      </c>
      <c r="L110" s="27" t="n">
        <f>IF(J110=0,"",K110/J110)</f>
        <v>1</v>
      </c>
      <c r="M110" s="23" t="n">
        <f>SUMIFS('供应商责任底表'!$U$5:$U$1541,'供应商责任底表'!$A$5:$A$1541,$A110,'供应商责任底表'!$H$5:$H$1541,$C110,'供应商责任底表'!$F$5:$F$1541,$D110,'供应商责任底表'!$E$5:$E$1541,$E110)</f>
        <v>5.708222811671088</v>
      </c>
      <c r="N110" s="27" t="n">
        <f>IF(OR(F110=0,J110=0),"",L110-I110)</f>
        <v>0.1428571428571429</v>
      </c>
      <c r="O110" s="23" t="n">
        <f>SUMIFS('供应商责任底表'!$V$5:$V$1541,'供应商责任底表'!$A$5:$A$1541,$A110,'供应商责任底表'!$H$5:$H$1541,$C110,'供应商责任底表'!$F$5:$F$1541,$D110,'供应商责任底表'!$E$5:$E$1541,$E110)</f>
        <v>0</v>
      </c>
    </row>
    <row r="111">
      <c r="A111" s="19" t="str">
        <v>波兰区</v>
      </c>
      <c r="B111" s="19" t="str">
        <v>PWP NIAGARA HREBENIUKOV SPÓŁKA JAWNA</v>
      </c>
      <c r="C111" s="19" t="str">
        <v>S000323</v>
      </c>
      <c r="D111" s="19" t="str">
        <v>操作员</v>
      </c>
      <c r="E111" s="19" t="str">
        <v>2026-05</v>
      </c>
      <c r="F111" s="23" t="n">
        <f>SUMIFS('供应商责任底表'!$O$5:$O$1541,'供应商责任底表'!$A$5:$A$1541,$A111,'供应商责任底表'!$H$5:$H$1541,$C111,'供应商责任底表'!$F$5:$F$1541,$D111,'供应商责任底表'!$E$5:$E$1541,$E111)</f>
        <v>17</v>
      </c>
      <c r="G111" s="23" t="n">
        <f>SUMIFS('供应商责任底表'!$P$5:$P$1541,'供应商责任底表'!$A$5:$A$1541,$A111,'供应商责任底表'!$H$5:$H$1541,$C111,'供应商责任底表'!$F$5:$F$1541,$D111,'供应商责任底表'!$E$5:$E$1541,$E111)</f>
        <v>17</v>
      </c>
      <c r="H111" s="23" t="n">
        <f>SUMIFS('供应商责任底表'!$Q$5:$Q$1541,'供应商责任底表'!$A$5:$A$1541,$A111,'供应商责任底表'!$H$5:$H$1541,$C111,'供应商责任底表'!$F$5:$F$1541,$D111,'供应商责任底表'!$E$5:$E$1541,$E111)</f>
        <v>17</v>
      </c>
      <c r="I111" s="27" t="n">
        <f>IF(F111=0,"",H111/F111)</f>
        <v>1</v>
      </c>
      <c r="J111" s="23" t="n">
        <f>SUMIFS('供应商责任底表'!$S$5:$S$1541,'供应商责任底表'!$A$5:$A$1541,$A111,'供应商责任底表'!$H$5:$H$1541,$C111,'供应商责任底表'!$F$5:$F$1541,$D111,'供应商责任底表'!$E$5:$E$1541,$E111)</f>
        <v>11.008976192513456</v>
      </c>
      <c r="K111" s="23" t="n">
        <f>SUMIFS('供应商责任底表'!$T$5:$T$1541,'供应商责任底表'!$A$5:$A$1541,$A111,'供应商责任底表'!$H$5:$H$1541,$C111,'供应商责任底表'!$F$5:$F$1541,$D111,'供应商责任底表'!$E$5:$E$1541,$E111)</f>
        <v>11.008976192513456</v>
      </c>
      <c r="L111" s="27" t="n">
        <f>IF(J111=0,"",K111/J111)</f>
        <v>1</v>
      </c>
      <c r="M111" s="23" t="n">
        <f>SUMIFS('供应商责任底表'!$U$5:$U$1541,'供应商责任底表'!$A$5:$A$1541,$A111,'供应商责任底表'!$H$5:$H$1541,$C111,'供应商责任底表'!$F$5:$F$1541,$D111,'供应商责任底表'!$E$5:$E$1541,$E111)</f>
        <v>5.9910238074865445</v>
      </c>
      <c r="N111" s="27" t="n">
        <f>IF(OR(F111=0,J111=0),"",L111-I111)</f>
        <v>0</v>
      </c>
      <c r="O111" s="23" t="n">
        <f>SUMIFS('供应商责任底表'!$V$5:$V$1541,'供应商责任底表'!$A$5:$A$1541,$A111,'供应商责任底表'!$H$5:$H$1541,$C111,'供应商责任底表'!$F$5:$F$1541,$D111,'供应商责任底表'!$E$5:$E$1541,$E111)</f>
        <v>0</v>
      </c>
    </row>
    <row r="112">
      <c r="A112" s="19" t="str">
        <v>波兰区</v>
      </c>
      <c r="B112" s="19" t="str">
        <v>PWP NIAGARA HREBENIUKOV SPÓŁKA JAWNA</v>
      </c>
      <c r="C112" s="19" t="str">
        <v>S000323</v>
      </c>
      <c r="D112" s="19" t="str">
        <v>操作员</v>
      </c>
      <c r="E112" s="19" t="str">
        <v>2026-06</v>
      </c>
      <c r="F112" s="23" t="n">
        <f>SUMIFS('供应商责任底表'!$O$5:$O$1541,'供应商责任底表'!$A$5:$A$1541,$A112,'供应商责任底表'!$H$5:$H$1541,$C112,'供应商责任底表'!$F$5:$F$1541,$D112,'供应商责任底表'!$E$5:$E$1541,$E112)</f>
        <v>26</v>
      </c>
      <c r="G112" s="23" t="n">
        <f>SUMIFS('供应商责任底表'!$P$5:$P$1541,'供应商责任底表'!$A$5:$A$1541,$A112,'供应商责任底表'!$H$5:$H$1541,$C112,'供应商责任底表'!$F$5:$F$1541,$D112,'供应商责任底表'!$E$5:$E$1541,$E112)</f>
        <v>12</v>
      </c>
      <c r="H112" s="23" t="n">
        <f>SUMIFS('供应商责任底表'!$Q$5:$Q$1541,'供应商责任底表'!$A$5:$A$1541,$A112,'供应商责任底表'!$H$5:$H$1541,$C112,'供应商责任底表'!$F$5:$F$1541,$D112,'供应商责任底表'!$E$5:$E$1541,$E112)</f>
        <v>12</v>
      </c>
      <c r="I112" s="27" t="n">
        <f>IF(F112=0,"",H112/F112)</f>
        <v>0.46153846153846156</v>
      </c>
      <c r="J112" s="23" t="n">
        <f>SUMIFS('供应商责任底表'!$S$5:$S$1541,'供应商责任底表'!$A$5:$A$1541,$A112,'供应商责任底表'!$H$5:$H$1541,$C112,'供应商责任底表'!$F$5:$F$1541,$D112,'供应商责任底表'!$E$5:$E$1541,$E112)</f>
        <v>24.5</v>
      </c>
      <c r="K112" s="23" t="n">
        <f>SUMIFS('供应商责任底表'!$T$5:$T$1541,'供应商责任底表'!$A$5:$A$1541,$A112,'供应商责任底表'!$H$5:$H$1541,$C112,'供应商责任底表'!$F$5:$F$1541,$D112,'供应商责任底表'!$E$5:$E$1541,$E112)</f>
        <v>12</v>
      </c>
      <c r="L112" s="27" t="n">
        <f>IF(J112=0,"",K112/J112)</f>
        <v>0.4897959183673469</v>
      </c>
      <c r="M112" s="23" t="n">
        <f>SUMIFS('供应商责任底表'!$U$5:$U$1541,'供应商责任底表'!$A$5:$A$1541,$A112,'供应商责任底表'!$H$5:$H$1541,$C112,'供应商责任底表'!$F$5:$F$1541,$D112,'供应商责任底表'!$E$5:$E$1541,$E112)</f>
        <v>1.5</v>
      </c>
      <c r="N112" s="27" t="n">
        <f>IF(OR(F112=0,J112=0),"",L112-I112)</f>
        <v>0.028257456828885363</v>
      </c>
      <c r="O112" s="23" t="n">
        <f>SUMIFS('供应商责任底表'!$V$5:$V$1541,'供应商责任底表'!$A$5:$A$1541,$A112,'供应商责任底表'!$H$5:$H$1541,$C112,'供应商责任底表'!$F$5:$F$1541,$D112,'供应商责任底表'!$E$5:$E$1541,$E112)</f>
        <v>0</v>
      </c>
    </row>
    <row r="113">
      <c r="A113" s="19" t="str">
        <v>波兰区</v>
      </c>
      <c r="B113" s="19" t="str">
        <v>APT CREATION</v>
      </c>
      <c r="C113" s="19" t="str">
        <v>S000330</v>
      </c>
      <c r="D113" s="19" t="str">
        <v>操作员</v>
      </c>
      <c r="E113" s="19" t="str">
        <v>2026-04</v>
      </c>
      <c r="F113" s="23" t="n">
        <f>SUMIFS('供应商责任底表'!$O$5:$O$1541,'供应商责任底表'!$A$5:$A$1541,$A113,'供应商责任底表'!$H$5:$H$1541,$C113,'供应商责任底表'!$F$5:$F$1541,$D113,'供应商责任底表'!$E$5:$E$1541,$E113)</f>
        <v>50</v>
      </c>
      <c r="G113" s="23" t="n">
        <f>SUMIFS('供应商责任底表'!$P$5:$P$1541,'供应商责任底表'!$A$5:$A$1541,$A113,'供应商责任底表'!$H$5:$H$1541,$C113,'供应商责任底表'!$F$5:$F$1541,$D113,'供应商责任底表'!$E$5:$E$1541,$E113)</f>
        <v>38</v>
      </c>
      <c r="H113" s="23" t="n">
        <f>SUMIFS('供应商责任底表'!$Q$5:$Q$1541,'供应商责任底表'!$A$5:$A$1541,$A113,'供应商责任底表'!$H$5:$H$1541,$C113,'供应商责任底表'!$F$5:$F$1541,$D113,'供应商责任底表'!$E$5:$E$1541,$E113)</f>
        <v>38</v>
      </c>
      <c r="I113" s="27" t="n">
        <f>IF(F113=0,"",H113/F113)</f>
        <v>0.76</v>
      </c>
      <c r="J113" s="23" t="n">
        <f>SUMIFS('供应商责任底表'!$S$5:$S$1541,'供应商责任底表'!$A$5:$A$1541,$A113,'供应商责任底表'!$H$5:$H$1541,$C113,'供应商责任底表'!$F$5:$F$1541,$D113,'供应商责任底表'!$E$5:$E$1541,$E113)</f>
        <v>37.71305004063625</v>
      </c>
      <c r="K113" s="23" t="n">
        <f>SUMIFS('供应商责任底表'!$T$5:$T$1541,'供应商责任底表'!$A$5:$A$1541,$A113,'供应商责任底表'!$H$5:$H$1541,$C113,'供应商责任底表'!$F$5:$F$1541,$D113,'供应商责任底表'!$E$5:$E$1541,$E113)</f>
        <v>35.407407407407405</v>
      </c>
      <c r="L113" s="27" t="n">
        <f>IF(J113=0,"",K113/J113)</f>
        <v>0.9388635331604184</v>
      </c>
      <c r="M113" s="23" t="n">
        <f>SUMIFS('供应商责任底表'!$U$5:$U$1541,'供应商责任底表'!$A$5:$A$1541,$A113,'供应商责任底表'!$H$5:$H$1541,$C113,'供应商责任底表'!$F$5:$F$1541,$D113,'供应商责任底表'!$E$5:$E$1541,$E113)</f>
        <v>12.286949959363753</v>
      </c>
      <c r="N113" s="27" t="n">
        <f>IF(OR(F113=0,J113=0),"",L113-I113)</f>
        <v>0.17886353316041836</v>
      </c>
      <c r="O113" s="23" t="n">
        <f>SUMIFS('供应商责任底表'!$V$5:$V$1541,'供应商责任底表'!$A$5:$A$1541,$A113,'供应商责任底表'!$H$5:$H$1541,$C113,'供应商责任底表'!$F$5:$F$1541,$D113,'供应商责任底表'!$E$5:$E$1541,$E113)</f>
        <v>0</v>
      </c>
    </row>
    <row r="114">
      <c r="A114" s="19" t="str">
        <v>波兰区</v>
      </c>
      <c r="B114" s="19" t="str">
        <v>VIKTORIA SOLUTION</v>
      </c>
      <c r="C114" s="19" t="str">
        <v>S000342</v>
      </c>
      <c r="D114" s="19" t="str">
        <v>操作员</v>
      </c>
      <c r="E114" s="19" t="str">
        <v>2026-06</v>
      </c>
      <c r="F114" s="23" t="n">
        <f>SUMIFS('供应商责任底表'!$O$5:$O$1541,'供应商责任底表'!$A$5:$A$1541,$A114,'供应商责任底表'!$H$5:$H$1541,$C114,'供应商责任底表'!$F$5:$F$1541,$D114,'供应商责任底表'!$E$5:$E$1541,$E114)</f>
        <v>34</v>
      </c>
      <c r="G114" s="23" t="n">
        <f>SUMIFS('供应商责任底表'!$P$5:$P$1541,'供应商责任底表'!$A$5:$A$1541,$A114,'供应商责任底表'!$H$5:$H$1541,$C114,'供应商责任底表'!$F$5:$F$1541,$D114,'供应商责任底表'!$E$5:$E$1541,$E114)</f>
        <v>20</v>
      </c>
      <c r="H114" s="23" t="n">
        <f>SUMIFS('供应商责任底表'!$Q$5:$Q$1541,'供应商责任底表'!$A$5:$A$1541,$A114,'供应商责任底表'!$H$5:$H$1541,$C114,'供应商责任底表'!$F$5:$F$1541,$D114,'供应商责任底表'!$E$5:$E$1541,$E114)</f>
        <v>20</v>
      </c>
      <c r="I114" s="27" t="n">
        <f>IF(F114=0,"",H114/F114)</f>
        <v>0.5882352941176471</v>
      </c>
      <c r="J114" s="23" t="n">
        <f>SUMIFS('供应商责任底表'!$S$5:$S$1541,'供应商责任底表'!$A$5:$A$1541,$A114,'供应商责任底表'!$H$5:$H$1541,$C114,'供应商责任底表'!$F$5:$F$1541,$D114,'供应商责任底表'!$E$5:$E$1541,$E114)</f>
        <v>29.11864406779661</v>
      </c>
      <c r="K114" s="23" t="n">
        <f>SUMIFS('供应商责任底表'!$T$5:$T$1541,'供应商责任底表'!$A$5:$A$1541,$A114,'供应商责任底表'!$H$5:$H$1541,$C114,'供应商责任底表'!$F$5:$F$1541,$D114,'供应商责任底表'!$E$5:$E$1541,$E114)</f>
        <v>20</v>
      </c>
      <c r="L114" s="27" t="n">
        <f>IF(J114=0,"",K114/J114)</f>
        <v>0.6868451688009314</v>
      </c>
      <c r="M114" s="23" t="n">
        <f>SUMIFS('供应商责任底表'!$U$5:$U$1541,'供应商责任底表'!$A$5:$A$1541,$A114,'供应商责任底表'!$H$5:$H$1541,$C114,'供应商责任底表'!$F$5:$F$1541,$D114,'供应商责任底表'!$E$5:$E$1541,$E114)</f>
        <v>4.88135593220339</v>
      </c>
      <c r="N114" s="27" t="n">
        <f>IF(OR(F114=0,J114=0),"",L114-I114)</f>
        <v>0.0986098746832843</v>
      </c>
      <c r="O114" s="23" t="n">
        <f>SUMIFS('供应商责任底表'!$V$5:$V$1541,'供应商责任底表'!$A$5:$A$1541,$A114,'供应商责任底表'!$H$5:$H$1541,$C114,'供应商责任底表'!$F$5:$F$1541,$D114,'供应商责任底表'!$E$5:$E$1541,$E114)</f>
        <v>0</v>
      </c>
    </row>
    <row r="115">
      <c r="A115" s="19" t="str">
        <v>英国区</v>
      </c>
      <c r="B115" s="19" t="str">
        <v>Kenect</v>
      </c>
      <c r="C115" s="19" t="str">
        <v>S000007</v>
      </c>
      <c r="D115" s="19" t="str">
        <v>交运员 3.5T</v>
      </c>
      <c r="E115" s="19" t="str">
        <v>2026-05</v>
      </c>
      <c r="F115" s="23" t="n">
        <f>SUMIFS('供应商责任底表'!$O$5:$O$1541,'供应商责任底表'!$A$5:$A$1541,$A115,'供应商责任底表'!$H$5:$H$1541,$C115,'供应商责任底表'!$F$5:$F$1541,$D115,'供应商责任底表'!$E$5:$E$1541,$E115)</f>
        <v>2</v>
      </c>
      <c r="G115" s="23" t="n">
        <f>SUMIFS('供应商责任底表'!$P$5:$P$1541,'供应商责任底表'!$A$5:$A$1541,$A115,'供应商责任底表'!$H$5:$H$1541,$C115,'供应商责任底表'!$F$5:$F$1541,$D115,'供应商责任底表'!$E$5:$E$1541,$E115)</f>
        <v>2</v>
      </c>
      <c r="H115" s="23" t="n">
        <f>SUMIFS('供应商责任底表'!$Q$5:$Q$1541,'供应商责任底表'!$A$5:$A$1541,$A115,'供应商责任底表'!$H$5:$H$1541,$C115,'供应商责任底表'!$F$5:$F$1541,$D115,'供应商责任底表'!$E$5:$E$1541,$E115)</f>
        <v>2</v>
      </c>
      <c r="I115" s="27" t="n">
        <f>IF(F115=0,"",H115/F115)</f>
        <v>1</v>
      </c>
      <c r="J115" s="23" t="n">
        <f>SUMIFS('供应商责任底表'!$S$5:$S$1541,'供应商责任底表'!$A$5:$A$1541,$A115,'供应商责任底表'!$H$5:$H$1541,$C115,'供应商责任底表'!$F$5:$F$1541,$D115,'供应商责任底表'!$E$5:$E$1541,$E115)</f>
        <v>2</v>
      </c>
      <c r="K115" s="23" t="n">
        <f>SUMIFS('供应商责任底表'!$T$5:$T$1541,'供应商责任底表'!$A$5:$A$1541,$A115,'供应商责任底表'!$H$5:$H$1541,$C115,'供应商责任底表'!$F$5:$F$1541,$D115,'供应商责任底表'!$E$5:$E$1541,$E115)</f>
        <v>2</v>
      </c>
      <c r="L115" s="27" t="n">
        <f>IF(J115=0,"",K115/J115)</f>
        <v>1</v>
      </c>
      <c r="M115" s="23" t="n">
        <f>SUMIFS('供应商责任底表'!$U$5:$U$1541,'供应商责任底表'!$A$5:$A$1541,$A115,'供应商责任底表'!$H$5:$H$1541,$C115,'供应商责任底表'!$F$5:$F$1541,$D115,'供应商责任底表'!$E$5:$E$1541,$E115)</f>
        <v>0</v>
      </c>
      <c r="N115" s="27" t="n">
        <f>IF(OR(F115=0,J115=0),"",L115-I115)</f>
        <v>0</v>
      </c>
      <c r="O115" s="23" t="n">
        <f>SUMIFS('供应商责任底表'!$V$5:$V$1541,'供应商责任底表'!$A$5:$A$1541,$A115,'供应商责任底表'!$H$5:$H$1541,$C115,'供应商责任底表'!$F$5:$F$1541,$D115,'供应商责任底表'!$E$5:$E$1541,$E115)</f>
        <v>0</v>
      </c>
    </row>
    <row r="116">
      <c r="A116" s="19" t="str">
        <v>英国区</v>
      </c>
      <c r="B116" s="19" t="str">
        <v>Kenect</v>
      </c>
      <c r="C116" s="19" t="str">
        <v>S000007</v>
      </c>
      <c r="D116" s="19" t="str">
        <v>叉车司机</v>
      </c>
      <c r="E116" s="19" t="str">
        <v>2026-06</v>
      </c>
      <c r="F116" s="23" t="n">
        <f>SUMIFS('供应商责任底表'!$O$5:$O$1541,'供应商责任底表'!$A$5:$A$1541,$A116,'供应商责任底表'!$H$5:$H$1541,$C116,'供应商责任底表'!$F$5:$F$1541,$D116,'供应商责任底表'!$E$5:$E$1541,$E116)</f>
        <v>2</v>
      </c>
      <c r="G116" s="23" t="n">
        <f>SUMIFS('供应商责任底表'!$P$5:$P$1541,'供应商责任底表'!$A$5:$A$1541,$A116,'供应商责任底表'!$H$5:$H$1541,$C116,'供应商责任底表'!$F$5:$F$1541,$D116,'供应商责任底表'!$E$5:$E$1541,$E116)</f>
        <v>0</v>
      </c>
      <c r="H116" s="23" t="n">
        <f>SUMIFS('供应商责任底表'!$Q$5:$Q$1541,'供应商责任底表'!$A$5:$A$1541,$A116,'供应商责任底表'!$H$5:$H$1541,$C116,'供应商责任底表'!$F$5:$F$1541,$D116,'供应商责任底表'!$E$5:$E$1541,$E116)</f>
        <v>0</v>
      </c>
      <c r="I116" s="27" t="n">
        <f>IF(F116=0,"",H116/F116)</f>
        <v>0</v>
      </c>
      <c r="J116" s="23" t="n">
        <f>SUMIFS('供应商责任底表'!$S$5:$S$1541,'供应商责任底表'!$A$5:$A$1541,$A116,'供应商责任底表'!$H$5:$H$1541,$C116,'供应商责任底表'!$F$5:$F$1541,$D116,'供应商责任底表'!$E$5:$E$1541,$E116)</f>
        <v>2</v>
      </c>
      <c r="K116" s="23" t="n">
        <f>SUMIFS('供应商责任底表'!$T$5:$T$1541,'供应商责任底表'!$A$5:$A$1541,$A116,'供应商责任底表'!$H$5:$H$1541,$C116,'供应商责任底表'!$F$5:$F$1541,$D116,'供应商责任底表'!$E$5:$E$1541,$E116)</f>
        <v>0</v>
      </c>
      <c r="L116" s="27" t="n">
        <f>IF(J116=0,"",K116/J116)</f>
        <v>0</v>
      </c>
      <c r="M116" s="23" t="n">
        <f>SUMIFS('供应商责任底表'!$U$5:$U$1541,'供应商责任底表'!$A$5:$A$1541,$A116,'供应商责任底表'!$H$5:$H$1541,$C116,'供应商责任底表'!$F$5:$F$1541,$D116,'供应商责任底表'!$E$5:$E$1541,$E116)</f>
        <v>0</v>
      </c>
      <c r="N116" s="27" t="n">
        <f>IF(OR(F116=0,J116=0),"",L116-I116)</f>
        <v>0</v>
      </c>
      <c r="O116" s="23" t="n">
        <f>SUMIFS('供应商责任底表'!$V$5:$V$1541,'供应商责任底表'!$A$5:$A$1541,$A116,'供应商责任底表'!$H$5:$H$1541,$C116,'供应商责任底表'!$F$5:$F$1541,$D116,'供应商责任底表'!$E$5:$E$1541,$E116)</f>
        <v>0</v>
      </c>
    </row>
    <row r="117">
      <c r="A117" s="19" t="str">
        <v>英国区</v>
      </c>
      <c r="B117" s="19" t="str">
        <v>Kenect</v>
      </c>
      <c r="C117" s="19" t="str">
        <v>S000007</v>
      </c>
      <c r="D117" s="19" t="str">
        <v>操作员</v>
      </c>
      <c r="E117" s="19" t="str">
        <v>2026-04</v>
      </c>
      <c r="F117" s="23" t="n">
        <f>SUMIFS('供应商责任底表'!$O$5:$O$1541,'供应商责任底表'!$A$5:$A$1541,$A117,'供应商责任底表'!$H$5:$H$1541,$C117,'供应商责任底表'!$F$5:$F$1541,$D117,'供应商责任底表'!$E$5:$E$1541,$E117)</f>
        <v>50</v>
      </c>
      <c r="G117" s="23" t="n">
        <f>SUMIFS('供应商责任底表'!$P$5:$P$1541,'供应商责任底表'!$A$5:$A$1541,$A117,'供应商责任底表'!$H$5:$H$1541,$C117,'供应商责任底表'!$F$5:$F$1541,$D117,'供应商责任底表'!$E$5:$E$1541,$E117)</f>
        <v>45</v>
      </c>
      <c r="H117" s="23" t="n">
        <f>SUMIFS('供应商责任底表'!$Q$5:$Q$1541,'供应商责任底表'!$A$5:$A$1541,$A117,'供应商责任底表'!$H$5:$H$1541,$C117,'供应商责任底表'!$F$5:$F$1541,$D117,'供应商责任底表'!$E$5:$E$1541,$E117)</f>
        <v>45</v>
      </c>
      <c r="I117" s="27" t="n">
        <f>IF(F117=0,"",H117/F117)</f>
        <v>0.9</v>
      </c>
      <c r="J117" s="23" t="n">
        <f>SUMIFS('供应商责任底表'!$S$5:$S$1541,'供应商责任底表'!$A$5:$A$1541,$A117,'供应商责任底表'!$H$5:$H$1541,$C117,'供应商责任底表'!$F$5:$F$1541,$D117,'供应商责任底表'!$E$5:$E$1541,$E117)</f>
        <v>50</v>
      </c>
      <c r="K117" s="23" t="n">
        <f>SUMIFS('供应商责任底表'!$T$5:$T$1541,'供应商责任底表'!$A$5:$A$1541,$A117,'供应商责任底表'!$H$5:$H$1541,$C117,'供应商责任底表'!$F$5:$F$1541,$D117,'供应商责任底表'!$E$5:$E$1541,$E117)</f>
        <v>45</v>
      </c>
      <c r="L117" s="27" t="n">
        <f>IF(J117=0,"",K117/J117)</f>
        <v>0.9</v>
      </c>
      <c r="M117" s="23" t="n">
        <f>SUMIFS('供应商责任底表'!$U$5:$U$1541,'供应商责任底表'!$A$5:$A$1541,$A117,'供应商责任底表'!$H$5:$H$1541,$C117,'供应商责任底表'!$F$5:$F$1541,$D117,'供应商责任底表'!$E$5:$E$1541,$E117)</f>
        <v>0</v>
      </c>
      <c r="N117" s="27" t="n">
        <f>IF(OR(F117=0,J117=0),"",L117-I117)</f>
        <v>0</v>
      </c>
      <c r="O117" s="23" t="n">
        <f>SUMIFS('供应商责任底表'!$V$5:$V$1541,'供应商责任底表'!$A$5:$A$1541,$A117,'供应商责任底表'!$H$5:$H$1541,$C117,'供应商责任底表'!$F$5:$F$1541,$D117,'供应商责任底表'!$E$5:$E$1541,$E117)</f>
        <v>0</v>
      </c>
    </row>
    <row r="118">
      <c r="A118" s="19" t="str">
        <v>英国区</v>
      </c>
      <c r="B118" s="19" t="str">
        <v>Kenect</v>
      </c>
      <c r="C118" s="19" t="str">
        <v>S000007</v>
      </c>
      <c r="D118" s="19" t="str">
        <v>操作员</v>
      </c>
      <c r="E118" s="19" t="str">
        <v>2026-05</v>
      </c>
      <c r="F118" s="23" t="n">
        <f>SUMIFS('供应商责任底表'!$O$5:$O$1541,'供应商责任底表'!$A$5:$A$1541,$A118,'供应商责任底表'!$H$5:$H$1541,$C118,'供应商责任底表'!$F$5:$F$1541,$D118,'供应商责任底表'!$E$5:$E$1541,$E118)</f>
        <v>35</v>
      </c>
      <c r="G118" s="23" t="n">
        <f>SUMIFS('供应商责任底表'!$P$5:$P$1541,'供应商责任底表'!$A$5:$A$1541,$A118,'供应商责任底表'!$H$5:$H$1541,$C118,'供应商责任底表'!$F$5:$F$1541,$D118,'供应商责任底表'!$E$5:$E$1541,$E118)</f>
        <v>27</v>
      </c>
      <c r="H118" s="23" t="n">
        <f>SUMIFS('供应商责任底表'!$Q$5:$Q$1541,'供应商责任底表'!$A$5:$A$1541,$A118,'供应商责任底表'!$H$5:$H$1541,$C118,'供应商责任底表'!$F$5:$F$1541,$D118,'供应商责任底表'!$E$5:$E$1541,$E118)</f>
        <v>27</v>
      </c>
      <c r="I118" s="27" t="n">
        <f>IF(F118=0,"",H118/F118)</f>
        <v>0.7714285714285715</v>
      </c>
      <c r="J118" s="23" t="n">
        <f>SUMIFS('供应商责任底表'!$S$5:$S$1541,'供应商责任底表'!$A$5:$A$1541,$A118,'供应商责任底表'!$H$5:$H$1541,$C118,'供应商责任底表'!$F$5:$F$1541,$D118,'供应商责任底表'!$E$5:$E$1541,$E118)</f>
        <v>35</v>
      </c>
      <c r="K118" s="23" t="n">
        <f>SUMIFS('供应商责任底表'!$T$5:$T$1541,'供应商责任底表'!$A$5:$A$1541,$A118,'供应商责任底表'!$H$5:$H$1541,$C118,'供应商责任底表'!$F$5:$F$1541,$D118,'供应商责任底表'!$E$5:$E$1541,$E118)</f>
        <v>27</v>
      </c>
      <c r="L118" s="27" t="n">
        <f>IF(J118=0,"",K118/J118)</f>
        <v>0.7714285714285715</v>
      </c>
      <c r="M118" s="23" t="n">
        <f>SUMIFS('供应商责任底表'!$U$5:$U$1541,'供应商责任底表'!$A$5:$A$1541,$A118,'供应商责任底表'!$H$5:$H$1541,$C118,'供应商责任底表'!$F$5:$F$1541,$D118,'供应商责任底表'!$E$5:$E$1541,$E118)</f>
        <v>0</v>
      </c>
      <c r="N118" s="27" t="n">
        <f>IF(OR(F118=0,J118=0),"",L118-I118)</f>
        <v>0</v>
      </c>
      <c r="O118" s="23" t="n">
        <f>SUMIFS('供应商责任底表'!$V$5:$V$1541,'供应商责任底表'!$A$5:$A$1541,$A118,'供应商责任底表'!$H$5:$H$1541,$C118,'供应商责任底表'!$F$5:$F$1541,$D118,'供应商责任底表'!$E$5:$E$1541,$E118)</f>
        <v>0</v>
      </c>
    </row>
    <row r="119">
      <c r="A119" s="19" t="str">
        <v>英国区</v>
      </c>
      <c r="B119" s="19" t="str">
        <v>Kenect</v>
      </c>
      <c r="C119" s="19" t="str">
        <v>S000007</v>
      </c>
      <c r="D119" s="19" t="str">
        <v>操作员</v>
      </c>
      <c r="E119" s="19" t="str">
        <v>2026-06</v>
      </c>
      <c r="F119" s="23" t="n">
        <f>SUMIFS('供应商责任底表'!$O$5:$O$1541,'供应商责任底表'!$A$5:$A$1541,$A119,'供应商责任底表'!$H$5:$H$1541,$C119,'供应商责任底表'!$F$5:$F$1541,$D119,'供应商责任底表'!$E$5:$E$1541,$E119)</f>
        <v>62</v>
      </c>
      <c r="G119" s="23" t="n">
        <f>SUMIFS('供应商责任底表'!$P$5:$P$1541,'供应商责任底表'!$A$5:$A$1541,$A119,'供应商责任底表'!$H$5:$H$1541,$C119,'供应商责任底表'!$F$5:$F$1541,$D119,'供应商责任底表'!$E$5:$E$1541,$E119)</f>
        <v>52</v>
      </c>
      <c r="H119" s="23" t="n">
        <f>SUMIFS('供应商责任底表'!$Q$5:$Q$1541,'供应商责任底表'!$A$5:$A$1541,$A119,'供应商责任底表'!$H$5:$H$1541,$C119,'供应商责任底表'!$F$5:$F$1541,$D119,'供应商责任底表'!$E$5:$E$1541,$E119)</f>
        <v>52</v>
      </c>
      <c r="I119" s="27" t="n">
        <f>IF(F119=0,"",H119/F119)</f>
        <v>0.8387096774193549</v>
      </c>
      <c r="J119" s="23" t="n">
        <f>SUMIFS('供应商责任底表'!$S$5:$S$1541,'供应商责任底表'!$A$5:$A$1541,$A119,'供应商责任底表'!$H$5:$H$1541,$C119,'供应商责任底表'!$F$5:$F$1541,$D119,'供应商责任底表'!$E$5:$E$1541,$E119)</f>
        <v>62</v>
      </c>
      <c r="K119" s="23" t="n">
        <f>SUMIFS('供应商责任底表'!$T$5:$T$1541,'供应商责任底表'!$A$5:$A$1541,$A119,'供应商责任底表'!$H$5:$H$1541,$C119,'供应商责任底表'!$F$5:$F$1541,$D119,'供应商责任底表'!$E$5:$E$1541,$E119)</f>
        <v>52</v>
      </c>
      <c r="L119" s="27" t="n">
        <f>IF(J119=0,"",K119/J119)</f>
        <v>0.8387096774193549</v>
      </c>
      <c r="M119" s="23" t="n">
        <f>SUMIFS('供应商责任底表'!$U$5:$U$1541,'供应商责任底表'!$A$5:$A$1541,$A119,'供应商责任底表'!$H$5:$H$1541,$C119,'供应商责任底表'!$F$5:$F$1541,$D119,'供应商责任底表'!$E$5:$E$1541,$E119)</f>
        <v>0</v>
      </c>
      <c r="N119" s="27" t="n">
        <f>IF(OR(F119=0,J119=0),"",L119-I119)</f>
        <v>0</v>
      </c>
      <c r="O119" s="23" t="n">
        <f>SUMIFS('供应商责任底表'!$V$5:$V$1541,'供应商责任底表'!$A$5:$A$1541,$A119,'供应商责任底表'!$H$5:$H$1541,$C119,'供应商责任底表'!$F$5:$F$1541,$D119,'供应商责任底表'!$E$5:$E$1541,$E119)</f>
        <v>0</v>
      </c>
    </row>
    <row r="120">
      <c r="A120" s="19" t="str">
        <v>英国区</v>
      </c>
      <c r="B120" s="19" t="str">
        <v>SD4U</v>
      </c>
      <c r="C120" s="19" t="str">
        <v>S000011</v>
      </c>
      <c r="D120" s="19" t="str">
        <v>保安</v>
      </c>
      <c r="E120" s="19" t="str">
        <v>2026-04</v>
      </c>
      <c r="F120" s="23" t="n">
        <f>SUMIFS('供应商责任底表'!$O$5:$O$1541,'供应商责任底表'!$A$5:$A$1541,$A120,'供应商责任底表'!$H$5:$H$1541,$C120,'供应商责任底表'!$F$5:$F$1541,$D120,'供应商责任底表'!$E$5:$E$1541,$E120)</f>
        <v>1</v>
      </c>
      <c r="G120" s="23" t="n">
        <f>SUMIFS('供应商责任底表'!$P$5:$P$1541,'供应商责任底表'!$A$5:$A$1541,$A120,'供应商责任底表'!$H$5:$H$1541,$C120,'供应商责任底表'!$F$5:$F$1541,$D120,'供应商责任底表'!$E$5:$E$1541,$E120)</f>
        <v>0</v>
      </c>
      <c r="H120" s="23" t="n">
        <f>SUMIFS('供应商责任底表'!$Q$5:$Q$1541,'供应商责任底表'!$A$5:$A$1541,$A120,'供应商责任底表'!$H$5:$H$1541,$C120,'供应商责任底表'!$F$5:$F$1541,$D120,'供应商责任底表'!$E$5:$E$1541,$E120)</f>
        <v>0</v>
      </c>
      <c r="I120" s="27" t="n">
        <f>IF(F120=0,"",H120/F120)</f>
        <v>0</v>
      </c>
      <c r="J120" s="23" t="n">
        <f>SUMIFS('供应商责任底表'!$S$5:$S$1541,'供应商责任底表'!$A$5:$A$1541,$A120,'供应商责任底表'!$H$5:$H$1541,$C120,'供应商责任底表'!$F$5:$F$1541,$D120,'供应商责任底表'!$E$5:$E$1541,$E120)</f>
        <v>0.5</v>
      </c>
      <c r="K120" s="23" t="n">
        <f>SUMIFS('供应商责任底表'!$T$5:$T$1541,'供应商责任底表'!$A$5:$A$1541,$A120,'供应商责任底表'!$H$5:$H$1541,$C120,'供应商责任底表'!$F$5:$F$1541,$D120,'供应商责任底表'!$E$5:$E$1541,$E120)</f>
        <v>0</v>
      </c>
      <c r="L120" s="27" t="n">
        <f>IF(J120=0,"",K120/J120)</f>
        <v>0</v>
      </c>
      <c r="M120" s="23" t="n">
        <f>SUMIFS('供应商责任底表'!$U$5:$U$1541,'供应商责任底表'!$A$5:$A$1541,$A120,'供应商责任底表'!$H$5:$H$1541,$C120,'供应商责任底表'!$F$5:$F$1541,$D120,'供应商责任底表'!$E$5:$E$1541,$E120)</f>
        <v>0.5</v>
      </c>
      <c r="N120" s="27" t="n">
        <f>IF(OR(F120=0,J120=0),"",L120-I120)</f>
        <v>0</v>
      </c>
      <c r="O120" s="23" t="n">
        <f>SUMIFS('供应商责任底表'!$V$5:$V$1541,'供应商责任底表'!$A$5:$A$1541,$A120,'供应商责任底表'!$H$5:$H$1541,$C120,'供应商责任底表'!$F$5:$F$1541,$D120,'供应商责任底表'!$E$5:$E$1541,$E120)</f>
        <v>0</v>
      </c>
    </row>
    <row r="121">
      <c r="A121" s="19" t="str">
        <v>英国区</v>
      </c>
      <c r="B121" s="19" t="str">
        <v>SD4U</v>
      </c>
      <c r="C121" s="19" t="str">
        <v>S000011</v>
      </c>
      <c r="D121" s="19" t="str">
        <v>操作员</v>
      </c>
      <c r="E121" s="19" t="str">
        <v>2026-04</v>
      </c>
      <c r="F121" s="23" t="n">
        <f>SUMIFS('供应商责任底表'!$O$5:$O$1541,'供应商责任底表'!$A$5:$A$1541,$A121,'供应商责任底表'!$H$5:$H$1541,$C121,'供应商责任底表'!$F$5:$F$1541,$D121,'供应商责任底表'!$E$5:$E$1541,$E121)</f>
        <v>65</v>
      </c>
      <c r="G121" s="23" t="n">
        <f>SUMIFS('供应商责任底表'!$P$5:$P$1541,'供应商责任底表'!$A$5:$A$1541,$A121,'供应商责任底表'!$H$5:$H$1541,$C121,'供应商责任底表'!$F$5:$F$1541,$D121,'供应商责任底表'!$E$5:$E$1541,$E121)</f>
        <v>61</v>
      </c>
      <c r="H121" s="23" t="n">
        <f>SUMIFS('供应商责任底表'!$Q$5:$Q$1541,'供应商责任底表'!$A$5:$A$1541,$A121,'供应商责任底表'!$H$5:$H$1541,$C121,'供应商责任底表'!$F$5:$F$1541,$D121,'供应商责任底表'!$E$5:$E$1541,$E121)</f>
        <v>61</v>
      </c>
      <c r="I121" s="27" t="n">
        <f>IF(F121=0,"",H121/F121)</f>
        <v>0.9384615384615385</v>
      </c>
      <c r="J121" s="23" t="n">
        <f>SUMIFS('供应商责任底表'!$S$5:$S$1541,'供应商责任底表'!$A$5:$A$1541,$A121,'供应商责任底表'!$H$5:$H$1541,$C121,'供应商责任底表'!$F$5:$F$1541,$D121,'供应商责任底表'!$E$5:$E$1541,$E121)</f>
        <v>65</v>
      </c>
      <c r="K121" s="23" t="n">
        <f>SUMIFS('供应商责任底表'!$T$5:$T$1541,'供应商责任底表'!$A$5:$A$1541,$A121,'供应商责任底表'!$H$5:$H$1541,$C121,'供应商责任底表'!$F$5:$F$1541,$D121,'供应商责任底表'!$E$5:$E$1541,$E121)</f>
        <v>61</v>
      </c>
      <c r="L121" s="27" t="n">
        <f>IF(J121=0,"",K121/J121)</f>
        <v>0.9384615384615385</v>
      </c>
      <c r="M121" s="23" t="n">
        <f>SUMIFS('供应商责任底表'!$U$5:$U$1541,'供应商责任底表'!$A$5:$A$1541,$A121,'供应商责任底表'!$H$5:$H$1541,$C121,'供应商责任底表'!$F$5:$F$1541,$D121,'供应商责任底表'!$E$5:$E$1541,$E121)</f>
        <v>0</v>
      </c>
      <c r="N121" s="27" t="n">
        <f>IF(OR(F121=0,J121=0),"",L121-I121)</f>
        <v>0</v>
      </c>
      <c r="O121" s="23" t="n">
        <f>SUMIFS('供应商责任底表'!$V$5:$V$1541,'供应商责任底表'!$A$5:$A$1541,$A121,'供应商责任底表'!$H$5:$H$1541,$C121,'供应商责任底表'!$F$5:$F$1541,$D121,'供应商责任底表'!$E$5:$E$1541,$E121)</f>
        <v>0</v>
      </c>
    </row>
    <row r="122">
      <c r="A122" s="19" t="str">
        <v>英国区</v>
      </c>
      <c r="B122" s="19" t="str">
        <v>SD4U</v>
      </c>
      <c r="C122" s="19" t="str">
        <v>S000011</v>
      </c>
      <c r="D122" s="19" t="str">
        <v>操作员</v>
      </c>
      <c r="E122" s="19" t="str">
        <v>2026-05</v>
      </c>
      <c r="F122" s="23" t="n">
        <f>SUMIFS('供应商责任底表'!$O$5:$O$1541,'供应商责任底表'!$A$5:$A$1541,$A122,'供应商责任底表'!$H$5:$H$1541,$C122,'供应商责任底表'!$F$5:$F$1541,$D122,'供应商责任底表'!$E$5:$E$1541,$E122)</f>
        <v>78</v>
      </c>
      <c r="G122" s="23" t="n">
        <f>SUMIFS('供应商责任底表'!$P$5:$P$1541,'供应商责任底表'!$A$5:$A$1541,$A122,'供应商责任底表'!$H$5:$H$1541,$C122,'供应商责任底表'!$F$5:$F$1541,$D122,'供应商责任底表'!$E$5:$E$1541,$E122)</f>
        <v>58</v>
      </c>
      <c r="H122" s="23" t="n">
        <f>SUMIFS('供应商责任底表'!$Q$5:$Q$1541,'供应商责任底表'!$A$5:$A$1541,$A122,'供应商责任底表'!$H$5:$H$1541,$C122,'供应商责任底表'!$F$5:$F$1541,$D122,'供应商责任底表'!$E$5:$E$1541,$E122)</f>
        <v>58</v>
      </c>
      <c r="I122" s="27" t="n">
        <f>IF(F122=0,"",H122/F122)</f>
        <v>0.7435897435897436</v>
      </c>
      <c r="J122" s="23" t="n">
        <f>SUMIFS('供应商责任底表'!$S$5:$S$1541,'供应商责任底表'!$A$5:$A$1541,$A122,'供应商责任底表'!$H$5:$H$1541,$C122,'供应商责任底表'!$F$5:$F$1541,$D122,'供应商责任底表'!$E$5:$E$1541,$E122)</f>
        <v>78</v>
      </c>
      <c r="K122" s="23" t="n">
        <f>SUMIFS('供应商责任底表'!$T$5:$T$1541,'供应商责任底表'!$A$5:$A$1541,$A122,'供应商责任底表'!$H$5:$H$1541,$C122,'供应商责任底表'!$F$5:$F$1541,$D122,'供应商责任底表'!$E$5:$E$1541,$E122)</f>
        <v>58</v>
      </c>
      <c r="L122" s="27" t="n">
        <f>IF(J122=0,"",K122/J122)</f>
        <v>0.7435897435897436</v>
      </c>
      <c r="M122" s="23" t="n">
        <f>SUMIFS('供应商责任底表'!$U$5:$U$1541,'供应商责任底表'!$A$5:$A$1541,$A122,'供应商责任底表'!$H$5:$H$1541,$C122,'供应商责任底表'!$F$5:$F$1541,$D122,'供应商责任底表'!$E$5:$E$1541,$E122)</f>
        <v>0</v>
      </c>
      <c r="N122" s="27" t="n">
        <f>IF(OR(F122=0,J122=0),"",L122-I122)</f>
        <v>0</v>
      </c>
      <c r="O122" s="23" t="n">
        <f>SUMIFS('供应商责任底表'!$V$5:$V$1541,'供应商责任底表'!$A$5:$A$1541,$A122,'供应商责任底表'!$H$5:$H$1541,$C122,'供应商责任底表'!$F$5:$F$1541,$D122,'供应商责任底表'!$E$5:$E$1541,$E122)</f>
        <v>0</v>
      </c>
    </row>
    <row r="123">
      <c r="A123" s="19" t="str">
        <v>英国区</v>
      </c>
      <c r="B123" s="19" t="str">
        <v>SD4U</v>
      </c>
      <c r="C123" s="19" t="str">
        <v>S000011</v>
      </c>
      <c r="D123" s="19" t="str">
        <v>操作员</v>
      </c>
      <c r="E123" s="19" t="str">
        <v>2026-06</v>
      </c>
      <c r="F123" s="23" t="n">
        <f>SUMIFS('供应商责任底表'!$O$5:$O$1541,'供应商责任底表'!$A$5:$A$1541,$A123,'供应商责任底表'!$H$5:$H$1541,$C123,'供应商责任底表'!$F$5:$F$1541,$D123,'供应商责任底表'!$E$5:$E$1541,$E123)</f>
        <v>76</v>
      </c>
      <c r="G123" s="23" t="n">
        <f>SUMIFS('供应商责任底表'!$P$5:$P$1541,'供应商责任底表'!$A$5:$A$1541,$A123,'供应商责任底表'!$H$5:$H$1541,$C123,'供应商责任底表'!$F$5:$F$1541,$D123,'供应商责任底表'!$E$5:$E$1541,$E123)</f>
        <v>61</v>
      </c>
      <c r="H123" s="23" t="n">
        <f>SUMIFS('供应商责任底表'!$Q$5:$Q$1541,'供应商责任底表'!$A$5:$A$1541,$A123,'供应商责任底表'!$H$5:$H$1541,$C123,'供应商责任底表'!$F$5:$F$1541,$D123,'供应商责任底表'!$E$5:$E$1541,$E123)</f>
        <v>61</v>
      </c>
      <c r="I123" s="27" t="n">
        <f>IF(F123=0,"",H123/F123)</f>
        <v>0.8026315789473685</v>
      </c>
      <c r="J123" s="23" t="n">
        <f>SUMIFS('供应商责任底表'!$S$5:$S$1541,'供应商责任底表'!$A$5:$A$1541,$A123,'供应商责任底表'!$H$5:$H$1541,$C123,'供应商责任底表'!$F$5:$F$1541,$D123,'供应商责任底表'!$E$5:$E$1541,$E123)</f>
        <v>63.75</v>
      </c>
      <c r="K123" s="23" t="n">
        <f>SUMIFS('供应商责任底表'!$T$5:$T$1541,'供应商责任底表'!$A$5:$A$1541,$A123,'供应商责任底表'!$H$5:$H$1541,$C123,'供应商责任底表'!$F$5:$F$1541,$D123,'供应商责任底表'!$E$5:$E$1541,$E123)</f>
        <v>55</v>
      </c>
      <c r="L123" s="27" t="n">
        <f>IF(J123=0,"",K123/J123)</f>
        <v>0.8627450980392157</v>
      </c>
      <c r="M123" s="23" t="n">
        <f>SUMIFS('供应商责任底表'!$U$5:$U$1541,'供应商责任底表'!$A$5:$A$1541,$A123,'供应商责任底表'!$H$5:$H$1541,$C123,'供应商责任底表'!$F$5:$F$1541,$D123,'供应商责任底表'!$E$5:$E$1541,$E123)</f>
        <v>12.25</v>
      </c>
      <c r="N123" s="27" t="n">
        <f>IF(OR(F123=0,J123=0),"",L123-I123)</f>
        <v>0.060113519091847256</v>
      </c>
      <c r="O123" s="23" t="n">
        <f>SUMIFS('供应商责任底表'!$V$5:$V$1541,'供应商责任底表'!$A$5:$A$1541,$A123,'供应商责任底表'!$H$5:$H$1541,$C123,'供应商责任底表'!$F$5:$F$1541,$D123,'供应商责任底表'!$E$5:$E$1541,$E123)</f>
        <v>0</v>
      </c>
    </row>
    <row r="124">
      <c r="A124" s="19" t="str">
        <v>英国区</v>
      </c>
      <c r="B124" s="19" t="str">
        <v>FT Recruitment</v>
      </c>
      <c r="C124" s="19" t="str">
        <v>S000013</v>
      </c>
      <c r="D124" s="19" t="str">
        <v>交运员 3.5T</v>
      </c>
      <c r="E124" s="19" t="str">
        <v>2026-05</v>
      </c>
      <c r="F124" s="23" t="n">
        <f>SUMIFS('供应商责任底表'!$O$5:$O$1541,'供应商责任底表'!$A$5:$A$1541,$A124,'供应商责任底表'!$H$5:$H$1541,$C124,'供应商责任底表'!$F$5:$F$1541,$D124,'供应商责任底表'!$E$5:$E$1541,$E124)</f>
        <v>2</v>
      </c>
      <c r="G124" s="23" t="n">
        <f>SUMIFS('供应商责任底表'!$P$5:$P$1541,'供应商责任底表'!$A$5:$A$1541,$A124,'供应商责任底表'!$H$5:$H$1541,$C124,'供应商责任底表'!$F$5:$F$1541,$D124,'供应商责任底表'!$E$5:$E$1541,$E124)</f>
        <v>2</v>
      </c>
      <c r="H124" s="23" t="n">
        <f>SUMIFS('供应商责任底表'!$Q$5:$Q$1541,'供应商责任底表'!$A$5:$A$1541,$A124,'供应商责任底表'!$H$5:$H$1541,$C124,'供应商责任底表'!$F$5:$F$1541,$D124,'供应商责任底表'!$E$5:$E$1541,$E124)</f>
        <v>2</v>
      </c>
      <c r="I124" s="27" t="n">
        <f>IF(F124=0,"",H124/F124)</f>
        <v>1</v>
      </c>
      <c r="J124" s="23" t="n">
        <f>SUMIFS('供应商责任底表'!$S$5:$S$1541,'供应商责任底表'!$A$5:$A$1541,$A124,'供应商责任底表'!$H$5:$H$1541,$C124,'供应商责任底表'!$F$5:$F$1541,$D124,'供应商责任底表'!$E$5:$E$1541,$E124)</f>
        <v>2</v>
      </c>
      <c r="K124" s="23" t="n">
        <f>SUMIFS('供应商责任底表'!$T$5:$T$1541,'供应商责任底表'!$A$5:$A$1541,$A124,'供应商责任底表'!$H$5:$H$1541,$C124,'供应商责任底表'!$F$5:$F$1541,$D124,'供应商责任底表'!$E$5:$E$1541,$E124)</f>
        <v>2</v>
      </c>
      <c r="L124" s="27" t="n">
        <f>IF(J124=0,"",K124/J124)</f>
        <v>1</v>
      </c>
      <c r="M124" s="23" t="n">
        <f>SUMIFS('供应商责任底表'!$U$5:$U$1541,'供应商责任底表'!$A$5:$A$1541,$A124,'供应商责任底表'!$H$5:$H$1541,$C124,'供应商责任底表'!$F$5:$F$1541,$D124,'供应商责任底表'!$E$5:$E$1541,$E124)</f>
        <v>0</v>
      </c>
      <c r="N124" s="27" t="n">
        <f>IF(OR(F124=0,J124=0),"",L124-I124)</f>
        <v>0</v>
      </c>
      <c r="O124" s="23" t="n">
        <f>SUMIFS('供应商责任底表'!$V$5:$V$1541,'供应商责任底表'!$A$5:$A$1541,$A124,'供应商责任底表'!$H$5:$H$1541,$C124,'供应商责任底表'!$F$5:$F$1541,$D124,'供应商责任底表'!$E$5:$E$1541,$E124)</f>
        <v>0</v>
      </c>
    </row>
    <row r="125">
      <c r="A125" s="19" t="str">
        <v>英国区</v>
      </c>
      <c r="B125" s="19" t="str">
        <v>FT Recruitment</v>
      </c>
      <c r="C125" s="19" t="str">
        <v>S000013</v>
      </c>
      <c r="D125" s="19" t="str">
        <v>叉车司机</v>
      </c>
      <c r="E125" s="19" t="str">
        <v>2026-06</v>
      </c>
      <c r="F125" s="23" t="n">
        <f>SUMIFS('供应商责任底表'!$O$5:$O$1541,'供应商责任底表'!$A$5:$A$1541,$A125,'供应商责任底表'!$H$5:$H$1541,$C125,'供应商责任底表'!$F$5:$F$1541,$D125,'供应商责任底表'!$E$5:$E$1541,$E125)</f>
        <v>2</v>
      </c>
      <c r="G125" s="23" t="n">
        <f>SUMIFS('供应商责任底表'!$P$5:$P$1541,'供应商责任底表'!$A$5:$A$1541,$A125,'供应商责任底表'!$H$5:$H$1541,$C125,'供应商责任底表'!$F$5:$F$1541,$D125,'供应商责任底表'!$E$5:$E$1541,$E125)</f>
        <v>0</v>
      </c>
      <c r="H125" s="23" t="n">
        <f>SUMIFS('供应商责任底表'!$Q$5:$Q$1541,'供应商责任底表'!$A$5:$A$1541,$A125,'供应商责任底表'!$H$5:$H$1541,$C125,'供应商责任底表'!$F$5:$F$1541,$D125,'供应商责任底表'!$E$5:$E$1541,$E125)</f>
        <v>0</v>
      </c>
      <c r="I125" s="27" t="n">
        <f>IF(F125=0,"",H125/F125)</f>
        <v>0</v>
      </c>
      <c r="J125" s="23" t="n">
        <f>SUMIFS('供应商责任底表'!$S$5:$S$1541,'供应商责任底表'!$A$5:$A$1541,$A125,'供应商责任底表'!$H$5:$H$1541,$C125,'供应商责任底表'!$F$5:$F$1541,$D125,'供应商责任底表'!$E$5:$E$1541,$E125)</f>
        <v>2</v>
      </c>
      <c r="K125" s="23" t="n">
        <f>SUMIFS('供应商责任底表'!$T$5:$T$1541,'供应商责任底表'!$A$5:$A$1541,$A125,'供应商责任底表'!$H$5:$H$1541,$C125,'供应商责任底表'!$F$5:$F$1541,$D125,'供应商责任底表'!$E$5:$E$1541,$E125)</f>
        <v>0</v>
      </c>
      <c r="L125" s="27" t="n">
        <f>IF(J125=0,"",K125/J125)</f>
        <v>0</v>
      </c>
      <c r="M125" s="23" t="n">
        <f>SUMIFS('供应商责任底表'!$U$5:$U$1541,'供应商责任底表'!$A$5:$A$1541,$A125,'供应商责任底表'!$H$5:$H$1541,$C125,'供应商责任底表'!$F$5:$F$1541,$D125,'供应商责任底表'!$E$5:$E$1541,$E125)</f>
        <v>0</v>
      </c>
      <c r="N125" s="27" t="n">
        <f>IF(OR(F125=0,J125=0),"",L125-I125)</f>
        <v>0</v>
      </c>
      <c r="O125" s="23" t="n">
        <f>SUMIFS('供应商责任底表'!$V$5:$V$1541,'供应商责任底表'!$A$5:$A$1541,$A125,'供应商责任底表'!$H$5:$H$1541,$C125,'供应商责任底表'!$F$5:$F$1541,$D125,'供应商责任底表'!$E$5:$E$1541,$E125)</f>
        <v>0</v>
      </c>
    </row>
    <row r="126">
      <c r="A126" s="19" t="str">
        <v>英国区</v>
      </c>
      <c r="B126" s="19" t="str">
        <v>FT Recruitment</v>
      </c>
      <c r="C126" s="19" t="str">
        <v>S000013</v>
      </c>
      <c r="D126" s="19" t="str">
        <v>操作员</v>
      </c>
      <c r="E126" s="19" t="str">
        <v>2026-04</v>
      </c>
      <c r="F126" s="23" t="n">
        <f>SUMIFS('供应商责任底表'!$O$5:$O$1541,'供应商责任底表'!$A$5:$A$1541,$A126,'供应商责任底表'!$H$5:$H$1541,$C126,'供应商责任底表'!$F$5:$F$1541,$D126,'供应商责任底表'!$E$5:$E$1541,$E126)</f>
        <v>100</v>
      </c>
      <c r="G126" s="23" t="n">
        <f>SUMIFS('供应商责任底表'!$P$5:$P$1541,'供应商责任底表'!$A$5:$A$1541,$A126,'供应商责任底表'!$H$5:$H$1541,$C126,'供应商责任底表'!$F$5:$F$1541,$D126,'供应商责任底表'!$E$5:$E$1541,$E126)</f>
        <v>90</v>
      </c>
      <c r="H126" s="23" t="n">
        <f>SUMIFS('供应商责任底表'!$Q$5:$Q$1541,'供应商责任底表'!$A$5:$A$1541,$A126,'供应商责任底表'!$H$5:$H$1541,$C126,'供应商责任底表'!$F$5:$F$1541,$D126,'供应商责任底表'!$E$5:$E$1541,$E126)</f>
        <v>90</v>
      </c>
      <c r="I126" s="27" t="n">
        <f>IF(F126=0,"",H126/F126)</f>
        <v>0.9</v>
      </c>
      <c r="J126" s="23" t="n">
        <f>SUMIFS('供应商责任底表'!$S$5:$S$1541,'供应商责任底表'!$A$5:$A$1541,$A126,'供应商责任底表'!$H$5:$H$1541,$C126,'供应商责任底表'!$F$5:$F$1541,$D126,'供应商责任底表'!$E$5:$E$1541,$E126)</f>
        <v>100</v>
      </c>
      <c r="K126" s="23" t="n">
        <f>SUMIFS('供应商责任底表'!$T$5:$T$1541,'供应商责任底表'!$A$5:$A$1541,$A126,'供应商责任底表'!$H$5:$H$1541,$C126,'供应商责任底表'!$F$5:$F$1541,$D126,'供应商责任底表'!$E$5:$E$1541,$E126)</f>
        <v>90</v>
      </c>
      <c r="L126" s="27" t="n">
        <f>IF(J126=0,"",K126/J126)</f>
        <v>0.9</v>
      </c>
      <c r="M126" s="23" t="n">
        <f>SUMIFS('供应商责任底表'!$U$5:$U$1541,'供应商责任底表'!$A$5:$A$1541,$A126,'供应商责任底表'!$H$5:$H$1541,$C126,'供应商责任底表'!$F$5:$F$1541,$D126,'供应商责任底表'!$E$5:$E$1541,$E126)</f>
        <v>0</v>
      </c>
      <c r="N126" s="27" t="n">
        <f>IF(OR(F126=0,J126=0),"",L126-I126)</f>
        <v>0</v>
      </c>
      <c r="O126" s="23" t="n">
        <f>SUMIFS('供应商责任底表'!$V$5:$V$1541,'供应商责任底表'!$A$5:$A$1541,$A126,'供应商责任底表'!$H$5:$H$1541,$C126,'供应商责任底表'!$F$5:$F$1541,$D126,'供应商责任底表'!$E$5:$E$1541,$E126)</f>
        <v>0</v>
      </c>
    </row>
    <row r="127">
      <c r="A127" s="19" t="str">
        <v>英国区</v>
      </c>
      <c r="B127" s="19" t="str">
        <v>FT Recruitment</v>
      </c>
      <c r="C127" s="19" t="str">
        <v>S000013</v>
      </c>
      <c r="D127" s="19" t="str">
        <v>操作员</v>
      </c>
      <c r="E127" s="19" t="str">
        <v>2026-05</v>
      </c>
      <c r="F127" s="23" t="n">
        <f>SUMIFS('供应商责任底表'!$O$5:$O$1541,'供应商责任底表'!$A$5:$A$1541,$A127,'供应商责任底表'!$H$5:$H$1541,$C127,'供应商责任底表'!$F$5:$F$1541,$D127,'供应商责任底表'!$E$5:$E$1541,$E127)</f>
        <v>58</v>
      </c>
      <c r="G127" s="23" t="n">
        <f>SUMIFS('供应商责任底表'!$P$5:$P$1541,'供应商责任底表'!$A$5:$A$1541,$A127,'供应商责任底表'!$H$5:$H$1541,$C127,'供应商责任底表'!$F$5:$F$1541,$D127,'供应商责任底表'!$E$5:$E$1541,$E127)</f>
        <v>44</v>
      </c>
      <c r="H127" s="23" t="n">
        <f>SUMIFS('供应商责任底表'!$Q$5:$Q$1541,'供应商责任底表'!$A$5:$A$1541,$A127,'供应商责任底表'!$H$5:$H$1541,$C127,'供应商责任底表'!$F$5:$F$1541,$D127,'供应商责任底表'!$E$5:$E$1541,$E127)</f>
        <v>44</v>
      </c>
      <c r="I127" s="27" t="n">
        <f>IF(F127=0,"",H127/F127)</f>
        <v>0.7586206896551724</v>
      </c>
      <c r="J127" s="23" t="n">
        <f>SUMIFS('供应商责任底表'!$S$5:$S$1541,'供应商责任底表'!$A$5:$A$1541,$A127,'供应商责任底表'!$H$5:$H$1541,$C127,'供应商责任底表'!$F$5:$F$1541,$D127,'供应商责任底表'!$E$5:$E$1541,$E127)</f>
        <v>58</v>
      </c>
      <c r="K127" s="23" t="n">
        <f>SUMIFS('供应商责任底表'!$T$5:$T$1541,'供应商责任底表'!$A$5:$A$1541,$A127,'供应商责任底表'!$H$5:$H$1541,$C127,'供应商责任底表'!$F$5:$F$1541,$D127,'供应商责任底表'!$E$5:$E$1541,$E127)</f>
        <v>44</v>
      </c>
      <c r="L127" s="27" t="n">
        <f>IF(J127=0,"",K127/J127)</f>
        <v>0.7586206896551724</v>
      </c>
      <c r="M127" s="23" t="n">
        <f>SUMIFS('供应商责任底表'!$U$5:$U$1541,'供应商责任底表'!$A$5:$A$1541,$A127,'供应商责任底表'!$H$5:$H$1541,$C127,'供应商责任底表'!$F$5:$F$1541,$D127,'供应商责任底表'!$E$5:$E$1541,$E127)</f>
        <v>0</v>
      </c>
      <c r="N127" s="27" t="n">
        <f>IF(OR(F127=0,J127=0),"",L127-I127)</f>
        <v>0</v>
      </c>
      <c r="O127" s="23" t="n">
        <f>SUMIFS('供应商责任底表'!$V$5:$V$1541,'供应商责任底表'!$A$5:$A$1541,$A127,'供应商责任底表'!$H$5:$H$1541,$C127,'供应商责任底表'!$F$5:$F$1541,$D127,'供应商责任底表'!$E$5:$E$1541,$E127)</f>
        <v>0</v>
      </c>
    </row>
    <row r="128">
      <c r="A128" s="19" t="str">
        <v>英国区</v>
      </c>
      <c r="B128" s="19" t="str">
        <v>FT Recruitment</v>
      </c>
      <c r="C128" s="19" t="str">
        <v>S000013</v>
      </c>
      <c r="D128" s="19" t="str">
        <v>操作员</v>
      </c>
      <c r="E128" s="19" t="str">
        <v>2026-06</v>
      </c>
      <c r="F128" s="23" t="n">
        <f>SUMIFS('供应商责任底表'!$O$5:$O$1541,'供应商责任底表'!$A$5:$A$1541,$A128,'供应商责任底表'!$H$5:$H$1541,$C128,'供应商责任底表'!$F$5:$F$1541,$D128,'供应商责任底表'!$E$5:$E$1541,$E128)</f>
        <v>79</v>
      </c>
      <c r="G128" s="23" t="n">
        <f>SUMIFS('供应商责任底表'!$P$5:$P$1541,'供应商责任底表'!$A$5:$A$1541,$A128,'供应商责任底表'!$H$5:$H$1541,$C128,'供应商责任底表'!$F$5:$F$1541,$D128,'供应商责任底表'!$E$5:$E$1541,$E128)</f>
        <v>62</v>
      </c>
      <c r="H128" s="23" t="n">
        <f>SUMIFS('供应商责任底表'!$Q$5:$Q$1541,'供应商责任底表'!$A$5:$A$1541,$A128,'供应商责任底表'!$H$5:$H$1541,$C128,'供应商责任底表'!$F$5:$F$1541,$D128,'供应商责任底表'!$E$5:$E$1541,$E128)</f>
        <v>62</v>
      </c>
      <c r="I128" s="27" t="n">
        <f>IF(F128=0,"",H128/F128)</f>
        <v>0.7848101265822784</v>
      </c>
      <c r="J128" s="23" t="n">
        <f>SUMIFS('供应商责任底表'!$S$5:$S$1541,'供应商责任底表'!$A$5:$A$1541,$A128,'供应商责任底表'!$H$5:$H$1541,$C128,'供应商责任底表'!$F$5:$F$1541,$D128,'供应商责任底表'!$E$5:$E$1541,$E128)</f>
        <v>74.25</v>
      </c>
      <c r="K128" s="23" t="n">
        <f>SUMIFS('供应商责任底表'!$T$5:$T$1541,'供应商责任底表'!$A$5:$A$1541,$A128,'供应商责任底表'!$H$5:$H$1541,$C128,'供应商责任底表'!$F$5:$F$1541,$D128,'供应商责任底表'!$E$5:$E$1541,$E128)</f>
        <v>61.5</v>
      </c>
      <c r="L128" s="27" t="n">
        <f>IF(J128=0,"",K128/J128)</f>
        <v>0.8282828282828283</v>
      </c>
      <c r="M128" s="23" t="n">
        <f>SUMIFS('供应商责任底表'!$U$5:$U$1541,'供应商责任底表'!$A$5:$A$1541,$A128,'供应商责任底表'!$H$5:$H$1541,$C128,'供应商责任底表'!$F$5:$F$1541,$D128,'供应商责任底表'!$E$5:$E$1541,$E128)</f>
        <v>4.75</v>
      </c>
      <c r="N128" s="27" t="n">
        <f>IF(OR(F128=0,J128=0),"",L128-I128)</f>
        <v>0.04347270170054984</v>
      </c>
      <c r="O128" s="23" t="n">
        <f>SUMIFS('供应商责任底表'!$V$5:$V$1541,'供应商责任底表'!$A$5:$A$1541,$A128,'供应商责任底表'!$H$5:$H$1541,$C128,'供应商责任底表'!$F$5:$F$1541,$D128,'供应商责任底表'!$E$5:$E$1541,$E128)</f>
        <v>0</v>
      </c>
    </row>
    <row r="129">
      <c r="A129" s="19" t="str">
        <v>英国区</v>
      </c>
      <c r="B129" s="19" t="str">
        <v>HRA Recruitment Services</v>
      </c>
      <c r="C129" s="19" t="str">
        <v>S000132</v>
      </c>
      <c r="D129" s="19" t="str">
        <v>保安</v>
      </c>
      <c r="E129" s="19" t="str">
        <v>2026-04</v>
      </c>
      <c r="F129" s="23" t="n">
        <f>SUMIFS('供应商责任底表'!$O$5:$O$1541,'供应商责任底表'!$A$5:$A$1541,$A129,'供应商责任底表'!$H$5:$H$1541,$C129,'供应商责任底表'!$F$5:$F$1541,$D129,'供应商责任底表'!$E$5:$E$1541,$E129)</f>
        <v>3</v>
      </c>
      <c r="G129" s="23" t="n">
        <f>SUMIFS('供应商责任底表'!$P$5:$P$1541,'供应商责任底表'!$A$5:$A$1541,$A129,'供应商责任底表'!$H$5:$H$1541,$C129,'供应商责任底表'!$F$5:$F$1541,$D129,'供应商责任底表'!$E$5:$E$1541,$E129)</f>
        <v>3</v>
      </c>
      <c r="H129" s="23" t="n">
        <f>SUMIFS('供应商责任底表'!$Q$5:$Q$1541,'供应商责任底表'!$A$5:$A$1541,$A129,'供应商责任底表'!$H$5:$H$1541,$C129,'供应商责任底表'!$F$5:$F$1541,$D129,'供应商责任底表'!$E$5:$E$1541,$E129)</f>
        <v>3</v>
      </c>
      <c r="I129" s="27" t="n">
        <f>IF(F129=0,"",H129/F129)</f>
        <v>1</v>
      </c>
      <c r="J129" s="23" t="n">
        <f>SUMIFS('供应商责任底表'!$S$5:$S$1541,'供应商责任底表'!$A$5:$A$1541,$A129,'供应商责任底表'!$H$5:$H$1541,$C129,'供应商责任底表'!$F$5:$F$1541,$D129,'供应商责任底表'!$E$5:$E$1541,$E129)</f>
        <v>2.5</v>
      </c>
      <c r="K129" s="23" t="n">
        <f>SUMIFS('供应商责任底表'!$T$5:$T$1541,'供应商责任底表'!$A$5:$A$1541,$A129,'供应商责任底表'!$H$5:$H$1541,$C129,'供应商责任底表'!$F$5:$F$1541,$D129,'供应商责任底表'!$E$5:$E$1541,$E129)</f>
        <v>2.5</v>
      </c>
      <c r="L129" s="27" t="n">
        <f>IF(J129=0,"",K129/J129)</f>
        <v>1</v>
      </c>
      <c r="M129" s="23" t="n">
        <f>SUMIFS('供应商责任底表'!$U$5:$U$1541,'供应商责任底表'!$A$5:$A$1541,$A129,'供应商责任底表'!$H$5:$H$1541,$C129,'供应商责任底表'!$F$5:$F$1541,$D129,'供应商责任底表'!$E$5:$E$1541,$E129)</f>
        <v>0.5</v>
      </c>
      <c r="N129" s="27" t="n">
        <f>IF(OR(F129=0,J129=0),"",L129-I129)</f>
        <v>0</v>
      </c>
      <c r="O129" s="23" t="n">
        <f>SUMIFS('供应商责任底表'!$V$5:$V$1541,'供应商责任底表'!$A$5:$A$1541,$A129,'供应商责任底表'!$H$5:$H$1541,$C129,'供应商责任底表'!$F$5:$F$1541,$D129,'供应商责任底表'!$E$5:$E$1541,$E129)</f>
        <v>0</v>
      </c>
    </row>
    <row r="130">
      <c r="A130" s="19" t="str">
        <v>英国区</v>
      </c>
      <c r="B130" s="19" t="str">
        <v>HRA Recruitment Services</v>
      </c>
      <c r="C130" s="19" t="str">
        <v>S000132</v>
      </c>
      <c r="D130" s="19" t="str">
        <v>保安</v>
      </c>
      <c r="E130" s="19" t="str">
        <v>2026-05</v>
      </c>
      <c r="F130" s="23" t="n">
        <f>SUMIFS('供应商责任底表'!$O$5:$O$1541,'供应商责任底表'!$A$5:$A$1541,$A130,'供应商责任底表'!$H$5:$H$1541,$C130,'供应商责任底表'!$F$5:$F$1541,$D130,'供应商责任底表'!$E$5:$E$1541,$E130)</f>
        <v>3</v>
      </c>
      <c r="G130" s="23" t="n">
        <f>SUMIFS('供应商责任底表'!$P$5:$P$1541,'供应商责任底表'!$A$5:$A$1541,$A130,'供应商责任底表'!$H$5:$H$1541,$C130,'供应商责任底表'!$F$5:$F$1541,$D130,'供应商责任底表'!$E$5:$E$1541,$E130)</f>
        <v>3</v>
      </c>
      <c r="H130" s="23" t="n">
        <f>SUMIFS('供应商责任底表'!$Q$5:$Q$1541,'供应商责任底表'!$A$5:$A$1541,$A130,'供应商责任底表'!$H$5:$H$1541,$C130,'供应商责任底表'!$F$5:$F$1541,$D130,'供应商责任底表'!$E$5:$E$1541,$E130)</f>
        <v>3</v>
      </c>
      <c r="I130" s="27" t="n">
        <f>IF(F130=0,"",H130/F130)</f>
        <v>1</v>
      </c>
      <c r="J130" s="23" t="n">
        <f>SUMIFS('供应商责任底表'!$S$5:$S$1541,'供应商责任底表'!$A$5:$A$1541,$A130,'供应商责任底表'!$H$5:$H$1541,$C130,'供应商责任底表'!$F$5:$F$1541,$D130,'供应商责任底表'!$E$5:$E$1541,$E130)</f>
        <v>3</v>
      </c>
      <c r="K130" s="23" t="n">
        <f>SUMIFS('供应商责任底表'!$T$5:$T$1541,'供应商责任底表'!$A$5:$A$1541,$A130,'供应商责任底表'!$H$5:$H$1541,$C130,'供应商责任底表'!$F$5:$F$1541,$D130,'供应商责任底表'!$E$5:$E$1541,$E130)</f>
        <v>3</v>
      </c>
      <c r="L130" s="27" t="n">
        <f>IF(J130=0,"",K130/J130)</f>
        <v>1</v>
      </c>
      <c r="M130" s="23" t="n">
        <f>SUMIFS('供应商责任底表'!$U$5:$U$1541,'供应商责任底表'!$A$5:$A$1541,$A130,'供应商责任底表'!$H$5:$H$1541,$C130,'供应商责任底表'!$F$5:$F$1541,$D130,'供应商责任底表'!$E$5:$E$1541,$E130)</f>
        <v>0</v>
      </c>
      <c r="N130" s="27" t="n">
        <f>IF(OR(F130=0,J130=0),"",L130-I130)</f>
        <v>0</v>
      </c>
      <c r="O130" s="23" t="n">
        <f>SUMIFS('供应商责任底表'!$V$5:$V$1541,'供应商责任底表'!$A$5:$A$1541,$A130,'供应商责任底表'!$H$5:$H$1541,$C130,'供应商责任底表'!$F$5:$F$1541,$D130,'供应商责任底表'!$E$5:$E$1541,$E130)</f>
        <v>0</v>
      </c>
    </row>
    <row r="131">
      <c r="A131" s="19" t="str">
        <v>英国区</v>
      </c>
      <c r="B131" s="19" t="str">
        <v>HRA Recruitment Services</v>
      </c>
      <c r="C131" s="19" t="str">
        <v>S000132</v>
      </c>
      <c r="D131" s="19" t="str">
        <v>保洁员</v>
      </c>
      <c r="E131" s="19" t="str">
        <v>2026-04</v>
      </c>
      <c r="F131" s="23" t="n">
        <f>SUMIFS('供应商责任底表'!$O$5:$O$1541,'供应商责任底表'!$A$5:$A$1541,$A131,'供应商责任底表'!$H$5:$H$1541,$C131,'供应商责任底表'!$F$5:$F$1541,$D131,'供应商责任底表'!$E$5:$E$1541,$E131)</f>
        <v>1</v>
      </c>
      <c r="G131" s="23" t="n">
        <f>SUMIFS('供应商责任底表'!$P$5:$P$1541,'供应商责任底表'!$A$5:$A$1541,$A131,'供应商责任底表'!$H$5:$H$1541,$C131,'供应商责任底表'!$F$5:$F$1541,$D131,'供应商责任底表'!$E$5:$E$1541,$E131)</f>
        <v>1</v>
      </c>
      <c r="H131" s="23" t="n">
        <f>SUMIFS('供应商责任底表'!$Q$5:$Q$1541,'供应商责任底表'!$A$5:$A$1541,$A131,'供应商责任底表'!$H$5:$H$1541,$C131,'供应商责任底表'!$F$5:$F$1541,$D131,'供应商责任底表'!$E$5:$E$1541,$E131)</f>
        <v>1</v>
      </c>
      <c r="I131" s="27" t="n">
        <f>IF(F131=0,"",H131/F131)</f>
        <v>1</v>
      </c>
      <c r="J131" s="23" t="n">
        <f>SUMIFS('供应商责任底表'!$S$5:$S$1541,'供应商责任底表'!$A$5:$A$1541,$A131,'供应商责任底表'!$H$5:$H$1541,$C131,'供应商责任底表'!$F$5:$F$1541,$D131,'供应商责任底表'!$E$5:$E$1541,$E131)</f>
        <v>1</v>
      </c>
      <c r="K131" s="23" t="n">
        <f>SUMIFS('供应商责任底表'!$T$5:$T$1541,'供应商责任底表'!$A$5:$A$1541,$A131,'供应商责任底表'!$H$5:$H$1541,$C131,'供应商责任底表'!$F$5:$F$1541,$D131,'供应商责任底表'!$E$5:$E$1541,$E131)</f>
        <v>1</v>
      </c>
      <c r="L131" s="27" t="n">
        <f>IF(J131=0,"",K131/J131)</f>
        <v>1</v>
      </c>
      <c r="M131" s="23" t="n">
        <f>SUMIFS('供应商责任底表'!$U$5:$U$1541,'供应商责任底表'!$A$5:$A$1541,$A131,'供应商责任底表'!$H$5:$H$1541,$C131,'供应商责任底表'!$F$5:$F$1541,$D131,'供应商责任底表'!$E$5:$E$1541,$E131)</f>
        <v>0</v>
      </c>
      <c r="N131" s="27" t="n">
        <f>IF(OR(F131=0,J131=0),"",L131-I131)</f>
        <v>0</v>
      </c>
      <c r="O131" s="23" t="n">
        <f>SUMIFS('供应商责任底表'!$V$5:$V$1541,'供应商责任底表'!$A$5:$A$1541,$A131,'供应商责任底表'!$H$5:$H$1541,$C131,'供应商责任底表'!$F$5:$F$1541,$D131,'供应商责任底表'!$E$5:$E$1541,$E131)</f>
        <v>0</v>
      </c>
    </row>
    <row r="132">
      <c r="A132" s="19" t="str">
        <v>英国区</v>
      </c>
      <c r="B132" s="19" t="str">
        <v>HRA Recruitment Services</v>
      </c>
      <c r="C132" s="19" t="str">
        <v>S000132</v>
      </c>
      <c r="D132" s="19" t="str">
        <v>叉车司机</v>
      </c>
      <c r="E132" s="19" t="str">
        <v>2026-06</v>
      </c>
      <c r="F132" s="23" t="n">
        <f>SUMIFS('供应商责任底表'!$O$5:$O$1541,'供应商责任底表'!$A$5:$A$1541,$A132,'供应商责任底表'!$H$5:$H$1541,$C132,'供应商责任底表'!$F$5:$F$1541,$D132,'供应商责任底表'!$E$5:$E$1541,$E132)</f>
        <v>3</v>
      </c>
      <c r="G132" s="23" t="n">
        <f>SUMIFS('供应商责任底表'!$P$5:$P$1541,'供应商责任底表'!$A$5:$A$1541,$A132,'供应商责任底表'!$H$5:$H$1541,$C132,'供应商责任底表'!$F$5:$F$1541,$D132,'供应商责任底表'!$E$5:$E$1541,$E132)</f>
        <v>1</v>
      </c>
      <c r="H132" s="23" t="n">
        <f>SUMIFS('供应商责任底表'!$Q$5:$Q$1541,'供应商责任底表'!$A$5:$A$1541,$A132,'供应商责任底表'!$H$5:$H$1541,$C132,'供应商责任底表'!$F$5:$F$1541,$D132,'供应商责任底表'!$E$5:$E$1541,$E132)</f>
        <v>1</v>
      </c>
      <c r="I132" s="27" t="n">
        <f>IF(F132=0,"",H132/F132)</f>
        <v>0.3333333333333333</v>
      </c>
      <c r="J132" s="23" t="n">
        <f>SUMIFS('供应商责任底表'!$S$5:$S$1541,'供应商责任底表'!$A$5:$A$1541,$A132,'供应商责任底表'!$H$5:$H$1541,$C132,'供应商责任底表'!$F$5:$F$1541,$D132,'供应商责任底表'!$E$5:$E$1541,$E132)</f>
        <v>3</v>
      </c>
      <c r="K132" s="23" t="n">
        <f>SUMIFS('供应商责任底表'!$T$5:$T$1541,'供应商责任底表'!$A$5:$A$1541,$A132,'供应商责任底表'!$H$5:$H$1541,$C132,'供应商责任底表'!$F$5:$F$1541,$D132,'供应商责任底表'!$E$5:$E$1541,$E132)</f>
        <v>1</v>
      </c>
      <c r="L132" s="27" t="n">
        <f>IF(J132=0,"",K132/J132)</f>
        <v>0.3333333333333333</v>
      </c>
      <c r="M132" s="23" t="n">
        <f>SUMIFS('供应商责任底表'!$U$5:$U$1541,'供应商责任底表'!$A$5:$A$1541,$A132,'供应商责任底表'!$H$5:$H$1541,$C132,'供应商责任底表'!$F$5:$F$1541,$D132,'供应商责任底表'!$E$5:$E$1541,$E132)</f>
        <v>0</v>
      </c>
      <c r="N132" s="27" t="n">
        <f>IF(OR(F132=0,J132=0),"",L132-I132)</f>
        <v>0</v>
      </c>
      <c r="O132" s="23" t="n">
        <f>SUMIFS('供应商责任底表'!$V$5:$V$1541,'供应商责任底表'!$A$5:$A$1541,$A132,'供应商责任底表'!$H$5:$H$1541,$C132,'供应商责任底表'!$F$5:$F$1541,$D132,'供应商责任底表'!$E$5:$E$1541,$E132)</f>
        <v>0</v>
      </c>
    </row>
    <row r="133">
      <c r="A133" s="19" t="str">
        <v>英国区</v>
      </c>
      <c r="B133" s="19" t="str">
        <v>HRA Recruitment Services</v>
      </c>
      <c r="C133" s="19" t="str">
        <v>S000132</v>
      </c>
      <c r="D133" s="19" t="str">
        <v>售后处理员</v>
      </c>
      <c r="E133" s="19" t="str">
        <v>2026-04</v>
      </c>
      <c r="F133" s="23" t="n">
        <f>SUMIFS('供应商责任底表'!$O$5:$O$1541,'供应商责任底表'!$A$5:$A$1541,$A133,'供应商责任底表'!$H$5:$H$1541,$C133,'供应商责任底表'!$F$5:$F$1541,$D133,'供应商责任底表'!$E$5:$E$1541,$E133)</f>
        <v>1</v>
      </c>
      <c r="G133" s="23" t="n">
        <f>SUMIFS('供应商责任底表'!$P$5:$P$1541,'供应商责任底表'!$A$5:$A$1541,$A133,'供应商责任底表'!$H$5:$H$1541,$C133,'供应商责任底表'!$F$5:$F$1541,$D133,'供应商责任底表'!$E$5:$E$1541,$E133)</f>
        <v>1</v>
      </c>
      <c r="H133" s="23" t="n">
        <f>SUMIFS('供应商责任底表'!$Q$5:$Q$1541,'供应商责任底表'!$A$5:$A$1541,$A133,'供应商责任底表'!$H$5:$H$1541,$C133,'供应商责任底表'!$F$5:$F$1541,$D133,'供应商责任底表'!$E$5:$E$1541,$E133)</f>
        <v>1</v>
      </c>
      <c r="I133" s="27" t="n">
        <f>IF(F133=0,"",H133/F133)</f>
        <v>1</v>
      </c>
      <c r="J133" s="23" t="n">
        <f>SUMIFS('供应商责任底表'!$S$5:$S$1541,'供应商责任底表'!$A$5:$A$1541,$A133,'供应商责任底表'!$H$5:$H$1541,$C133,'供应商责任底表'!$F$5:$F$1541,$D133,'供应商责任底表'!$E$5:$E$1541,$E133)</f>
        <v>1</v>
      </c>
      <c r="K133" s="23" t="n">
        <f>SUMIFS('供应商责任底表'!$T$5:$T$1541,'供应商责任底表'!$A$5:$A$1541,$A133,'供应商责任底表'!$H$5:$H$1541,$C133,'供应商责任底表'!$F$5:$F$1541,$D133,'供应商责任底表'!$E$5:$E$1541,$E133)</f>
        <v>1</v>
      </c>
      <c r="L133" s="27" t="n">
        <f>IF(J133=0,"",K133/J133)</f>
        <v>1</v>
      </c>
      <c r="M133" s="23" t="n">
        <f>SUMIFS('供应商责任底表'!$U$5:$U$1541,'供应商责任底表'!$A$5:$A$1541,$A133,'供应商责任底表'!$H$5:$H$1541,$C133,'供应商责任底表'!$F$5:$F$1541,$D133,'供应商责任底表'!$E$5:$E$1541,$E133)</f>
        <v>0</v>
      </c>
      <c r="N133" s="27" t="n">
        <f>IF(OR(F133=0,J133=0),"",L133-I133)</f>
        <v>0</v>
      </c>
      <c r="O133" s="23" t="n">
        <f>SUMIFS('供应商责任底表'!$V$5:$V$1541,'供应商责任底表'!$A$5:$A$1541,$A133,'供应商责任底表'!$H$5:$H$1541,$C133,'供应商责任底表'!$F$5:$F$1541,$D133,'供应商责任底表'!$E$5:$E$1541,$E133)</f>
        <v>0</v>
      </c>
    </row>
    <row r="134">
      <c r="A134" s="19" t="str">
        <v>英国区</v>
      </c>
      <c r="B134" s="19" t="str">
        <v>HRA Recruitment Services</v>
      </c>
      <c r="C134" s="19" t="str">
        <v>S000132</v>
      </c>
      <c r="D134" s="19" t="str">
        <v>操作员</v>
      </c>
      <c r="E134" s="19" t="str">
        <v>2026-04</v>
      </c>
      <c r="F134" s="23" t="n">
        <f>SUMIFS('供应商责任底表'!$O$5:$O$1541,'供应商责任底表'!$A$5:$A$1541,$A134,'供应商责任底表'!$H$5:$H$1541,$C134,'供应商责任底表'!$F$5:$F$1541,$D134,'供应商责任底表'!$E$5:$E$1541,$E134)</f>
        <v>179</v>
      </c>
      <c r="G134" s="23" t="n">
        <f>SUMIFS('供应商责任底表'!$P$5:$P$1541,'供应商责任底表'!$A$5:$A$1541,$A134,'供应商责任底表'!$H$5:$H$1541,$C134,'供应商责任底表'!$F$5:$F$1541,$D134,'供应商责任底表'!$E$5:$E$1541,$E134)</f>
        <v>178</v>
      </c>
      <c r="H134" s="23" t="n">
        <f>SUMIFS('供应商责任底表'!$Q$5:$Q$1541,'供应商责任底表'!$A$5:$A$1541,$A134,'供应商责任底表'!$H$5:$H$1541,$C134,'供应商责任底表'!$F$5:$F$1541,$D134,'供应商责任底表'!$E$5:$E$1541,$E134)</f>
        <v>178</v>
      </c>
      <c r="I134" s="27" t="n">
        <f>IF(F134=0,"",H134/F134)</f>
        <v>0.994413407821229</v>
      </c>
      <c r="J134" s="23" t="n">
        <f>SUMIFS('供应商责任底表'!$S$5:$S$1541,'供应商责任底表'!$A$5:$A$1541,$A134,'供应商责任底表'!$H$5:$H$1541,$C134,'供应商责任底表'!$F$5:$F$1541,$D134,'供应商责任底表'!$E$5:$E$1541,$E134)</f>
        <v>179</v>
      </c>
      <c r="K134" s="23" t="n">
        <f>SUMIFS('供应商责任底表'!$T$5:$T$1541,'供应商责任底表'!$A$5:$A$1541,$A134,'供应商责任底表'!$H$5:$H$1541,$C134,'供应商责任底表'!$F$5:$F$1541,$D134,'供应商责任底表'!$E$5:$E$1541,$E134)</f>
        <v>178</v>
      </c>
      <c r="L134" s="27" t="n">
        <f>IF(J134=0,"",K134/J134)</f>
        <v>0.994413407821229</v>
      </c>
      <c r="M134" s="23" t="n">
        <f>SUMIFS('供应商责任底表'!$U$5:$U$1541,'供应商责任底表'!$A$5:$A$1541,$A134,'供应商责任底表'!$H$5:$H$1541,$C134,'供应商责任底表'!$F$5:$F$1541,$D134,'供应商责任底表'!$E$5:$E$1541,$E134)</f>
        <v>0</v>
      </c>
      <c r="N134" s="27" t="n">
        <f>IF(OR(F134=0,J134=0),"",L134-I134)</f>
        <v>0</v>
      </c>
      <c r="O134" s="23" t="n">
        <f>SUMIFS('供应商责任底表'!$V$5:$V$1541,'供应商责任底表'!$A$5:$A$1541,$A134,'供应商责任底表'!$H$5:$H$1541,$C134,'供应商责任底表'!$F$5:$F$1541,$D134,'供应商责任底表'!$E$5:$E$1541,$E134)</f>
        <v>0</v>
      </c>
    </row>
    <row r="135">
      <c r="A135" s="19" t="str">
        <v>英国区</v>
      </c>
      <c r="B135" s="19" t="str">
        <v>HRA Recruitment Services</v>
      </c>
      <c r="C135" s="19" t="str">
        <v>S000132</v>
      </c>
      <c r="D135" s="19" t="str">
        <v>操作员</v>
      </c>
      <c r="E135" s="19" t="str">
        <v>2026-05</v>
      </c>
      <c r="F135" s="23" t="n">
        <f>SUMIFS('供应商责任底表'!$O$5:$O$1541,'供应商责任底表'!$A$5:$A$1541,$A135,'供应商责任底表'!$H$5:$H$1541,$C135,'供应商责任底表'!$F$5:$F$1541,$D135,'供应商责任底表'!$E$5:$E$1541,$E135)</f>
        <v>115</v>
      </c>
      <c r="G135" s="23" t="n">
        <f>SUMIFS('供应商责任底表'!$P$5:$P$1541,'供应商责任底表'!$A$5:$A$1541,$A135,'供应商责任底表'!$H$5:$H$1541,$C135,'供应商责任底表'!$F$5:$F$1541,$D135,'供应商责任底表'!$E$5:$E$1541,$E135)</f>
        <v>94</v>
      </c>
      <c r="H135" s="23" t="n">
        <f>SUMIFS('供应商责任底表'!$Q$5:$Q$1541,'供应商责任底表'!$A$5:$A$1541,$A135,'供应商责任底表'!$H$5:$H$1541,$C135,'供应商责任底表'!$F$5:$F$1541,$D135,'供应商责任底表'!$E$5:$E$1541,$E135)</f>
        <v>94</v>
      </c>
      <c r="I135" s="27" t="n">
        <f>IF(F135=0,"",H135/F135)</f>
        <v>0.8173913043478261</v>
      </c>
      <c r="J135" s="23" t="n">
        <f>SUMIFS('供应商责任底表'!$S$5:$S$1541,'供应商责任底表'!$A$5:$A$1541,$A135,'供应商责任底表'!$H$5:$H$1541,$C135,'供应商责任底表'!$F$5:$F$1541,$D135,'供应商责任底表'!$E$5:$E$1541,$E135)</f>
        <v>115</v>
      </c>
      <c r="K135" s="23" t="n">
        <f>SUMIFS('供应商责任底表'!$T$5:$T$1541,'供应商责任底表'!$A$5:$A$1541,$A135,'供应商责任底表'!$H$5:$H$1541,$C135,'供应商责任底表'!$F$5:$F$1541,$D135,'供应商责任底表'!$E$5:$E$1541,$E135)</f>
        <v>94</v>
      </c>
      <c r="L135" s="27" t="n">
        <f>IF(J135=0,"",K135/J135)</f>
        <v>0.8173913043478261</v>
      </c>
      <c r="M135" s="23" t="n">
        <f>SUMIFS('供应商责任底表'!$U$5:$U$1541,'供应商责任底表'!$A$5:$A$1541,$A135,'供应商责任底表'!$H$5:$H$1541,$C135,'供应商责任底表'!$F$5:$F$1541,$D135,'供应商责任底表'!$E$5:$E$1541,$E135)</f>
        <v>0</v>
      </c>
      <c r="N135" s="27" t="n">
        <f>IF(OR(F135=0,J135=0),"",L135-I135)</f>
        <v>0</v>
      </c>
      <c r="O135" s="23" t="n">
        <f>SUMIFS('供应商责任底表'!$V$5:$V$1541,'供应商责任底表'!$A$5:$A$1541,$A135,'供应商责任底表'!$H$5:$H$1541,$C135,'供应商责任底表'!$F$5:$F$1541,$D135,'供应商责任底表'!$E$5:$E$1541,$E135)</f>
        <v>0</v>
      </c>
    </row>
    <row r="136">
      <c r="A136" s="19" t="str">
        <v>英国区</v>
      </c>
      <c r="B136" s="19" t="str">
        <v>HRA Recruitment Services</v>
      </c>
      <c r="C136" s="19" t="str">
        <v>S000132</v>
      </c>
      <c r="D136" s="19" t="str">
        <v>操作员</v>
      </c>
      <c r="E136" s="19" t="str">
        <v>2026-06</v>
      </c>
      <c r="F136" s="23" t="n">
        <f>SUMIFS('供应商责任底表'!$O$5:$O$1541,'供应商责任底表'!$A$5:$A$1541,$A136,'供应商责任底表'!$H$5:$H$1541,$C136,'供应商责任底表'!$F$5:$F$1541,$D136,'供应商责任底表'!$E$5:$E$1541,$E136)</f>
        <v>244</v>
      </c>
      <c r="G136" s="23" t="n">
        <f>SUMIFS('供应商责任底表'!$P$5:$P$1541,'供应商责任底表'!$A$5:$A$1541,$A136,'供应商责任底表'!$H$5:$H$1541,$C136,'供应商责任底表'!$F$5:$F$1541,$D136,'供应商责任底表'!$E$5:$E$1541,$E136)</f>
        <v>193</v>
      </c>
      <c r="H136" s="23" t="n">
        <f>SUMIFS('供应商责任底表'!$Q$5:$Q$1541,'供应商责任底表'!$A$5:$A$1541,$A136,'供应商责任底表'!$H$5:$H$1541,$C136,'供应商责任底表'!$F$5:$F$1541,$D136,'供应商责任底表'!$E$5:$E$1541,$E136)</f>
        <v>193</v>
      </c>
      <c r="I136" s="27" t="n">
        <f>IF(F136=0,"",H136/F136)</f>
        <v>0.7909836065573771</v>
      </c>
      <c r="J136" s="23" t="n">
        <f>SUMIFS('供应商责任底表'!$S$5:$S$1541,'供应商责任底表'!$A$5:$A$1541,$A136,'供应商责任底表'!$H$5:$H$1541,$C136,'供应商责任底表'!$F$5:$F$1541,$D136,'供应商责任底表'!$E$5:$E$1541,$E136)</f>
        <v>225.28571428571428</v>
      </c>
      <c r="K136" s="23" t="n">
        <f>SUMIFS('供应商责任底表'!$T$5:$T$1541,'供应商责任底表'!$A$5:$A$1541,$A136,'供应商责任底表'!$H$5:$H$1541,$C136,'供应商责任底表'!$F$5:$F$1541,$D136,'供应商责任底表'!$E$5:$E$1541,$E136)</f>
        <v>184.35714285714286</v>
      </c>
      <c r="L136" s="27" t="n">
        <f>IF(J136=0,"",K136/J136)</f>
        <v>0.8183259353202283</v>
      </c>
      <c r="M136" s="23" t="n">
        <f>SUMIFS('供应商责任底表'!$U$5:$U$1541,'供应商责任底表'!$A$5:$A$1541,$A136,'供应商责任底表'!$H$5:$H$1541,$C136,'供应商责任底表'!$F$5:$F$1541,$D136,'供应商责任底表'!$E$5:$E$1541,$E136)</f>
        <v>18.714285714285715</v>
      </c>
      <c r="N136" s="27" t="n">
        <f>IF(OR(F136=0,J136=0),"",L136-I136)</f>
        <v>0.027342328762851253</v>
      </c>
      <c r="O136" s="23" t="n">
        <f>SUMIFS('供应商责任底表'!$V$5:$V$1541,'供应商责任底表'!$A$5:$A$1541,$A136,'供应商责任底表'!$H$5:$H$1541,$C136,'供应商责任底表'!$F$5:$F$1541,$D136,'供应商责任底表'!$E$5:$E$1541,$E136)</f>
        <v>0</v>
      </c>
    </row>
    <row r="137">
      <c r="A137" s="19" t="str">
        <v>英国区</v>
      </c>
      <c r="B137" s="19" t="str">
        <v>Jobsworth Recruitment Solutions Limited</v>
      </c>
      <c r="C137" s="19" t="str">
        <v>S000274</v>
      </c>
      <c r="D137" s="19" t="str">
        <v>保洁员</v>
      </c>
      <c r="E137" s="19" t="str">
        <v>2026-04</v>
      </c>
      <c r="F137" s="23" t="n">
        <f>SUMIFS('供应商责任底表'!$O$5:$O$1541,'供应商责任底表'!$A$5:$A$1541,$A137,'供应商责任底表'!$H$5:$H$1541,$C137,'供应商责任底表'!$F$5:$F$1541,$D137,'供应商责任底表'!$E$5:$E$1541,$E137)</f>
        <v>1</v>
      </c>
      <c r="G137" s="23" t="n">
        <f>SUMIFS('供应商责任底表'!$P$5:$P$1541,'供应商责任底表'!$A$5:$A$1541,$A137,'供应商责任底表'!$H$5:$H$1541,$C137,'供应商责任底表'!$F$5:$F$1541,$D137,'供应商责任底表'!$E$5:$E$1541,$E137)</f>
        <v>0</v>
      </c>
      <c r="H137" s="23" t="n">
        <f>SUMIFS('供应商责任底表'!$Q$5:$Q$1541,'供应商责任底表'!$A$5:$A$1541,$A137,'供应商责任底表'!$H$5:$H$1541,$C137,'供应商责任底表'!$F$5:$F$1541,$D137,'供应商责任底表'!$E$5:$E$1541,$E137)</f>
        <v>0</v>
      </c>
      <c r="I137" s="27" t="n">
        <f>IF(F137=0,"",H137/F137)</f>
        <v>0</v>
      </c>
      <c r="J137" s="23" t="n">
        <f>SUMIFS('供应商责任底表'!$S$5:$S$1541,'供应商责任底表'!$A$5:$A$1541,$A137,'供应商责任底表'!$H$5:$H$1541,$C137,'供应商责任底表'!$F$5:$F$1541,$D137,'供应商责任底表'!$E$5:$E$1541,$E137)</f>
        <v>1</v>
      </c>
      <c r="K137" s="23" t="n">
        <f>SUMIFS('供应商责任底表'!$T$5:$T$1541,'供应商责任底表'!$A$5:$A$1541,$A137,'供应商责任底表'!$H$5:$H$1541,$C137,'供应商责任底表'!$F$5:$F$1541,$D137,'供应商责任底表'!$E$5:$E$1541,$E137)</f>
        <v>0</v>
      </c>
      <c r="L137" s="27" t="n">
        <f>IF(J137=0,"",K137/J137)</f>
        <v>0</v>
      </c>
      <c r="M137" s="23" t="n">
        <f>SUMIFS('供应商责任底表'!$U$5:$U$1541,'供应商责任底表'!$A$5:$A$1541,$A137,'供应商责任底表'!$H$5:$H$1541,$C137,'供应商责任底表'!$F$5:$F$1541,$D137,'供应商责任底表'!$E$5:$E$1541,$E137)</f>
        <v>0</v>
      </c>
      <c r="N137" s="27" t="n">
        <f>IF(OR(F137=0,J137=0),"",L137-I137)</f>
        <v>0</v>
      </c>
      <c r="O137" s="23" t="n">
        <f>SUMIFS('供应商责任底表'!$V$5:$V$1541,'供应商责任底表'!$A$5:$A$1541,$A137,'供应商责任底表'!$H$5:$H$1541,$C137,'供应商责任底表'!$F$5:$F$1541,$D137,'供应商责任底表'!$E$5:$E$1541,$E137)</f>
        <v>0</v>
      </c>
    </row>
    <row r="138">
      <c r="A138" s="19" t="str">
        <v>英国区</v>
      </c>
      <c r="B138" s="19" t="str">
        <v>Jobsworth Recruitment Solutions Limited</v>
      </c>
      <c r="C138" s="19" t="str">
        <v>S000274</v>
      </c>
      <c r="D138" s="19" t="str">
        <v>叉车司机</v>
      </c>
      <c r="E138" s="19" t="str">
        <v>2026-06</v>
      </c>
      <c r="F138" s="23" t="n">
        <f>SUMIFS('供应商责任底表'!$O$5:$O$1541,'供应商责任底表'!$A$5:$A$1541,$A138,'供应商责任底表'!$H$5:$H$1541,$C138,'供应商责任底表'!$F$5:$F$1541,$D138,'供应商责任底表'!$E$5:$E$1541,$E138)</f>
        <v>5</v>
      </c>
      <c r="G138" s="23" t="n">
        <f>SUMIFS('供应商责任底表'!$P$5:$P$1541,'供应商责任底表'!$A$5:$A$1541,$A138,'供应商责任底表'!$H$5:$H$1541,$C138,'供应商责任底表'!$F$5:$F$1541,$D138,'供应商责任底表'!$E$5:$E$1541,$E138)</f>
        <v>5</v>
      </c>
      <c r="H138" s="23" t="n">
        <f>SUMIFS('供应商责任底表'!$Q$5:$Q$1541,'供应商责任底表'!$A$5:$A$1541,$A138,'供应商责任底表'!$H$5:$H$1541,$C138,'供应商责任底表'!$F$5:$F$1541,$D138,'供应商责任底表'!$E$5:$E$1541,$E138)</f>
        <v>5</v>
      </c>
      <c r="I138" s="27" t="n">
        <f>IF(F138=0,"",H138/F138)</f>
        <v>1</v>
      </c>
      <c r="J138" s="23" t="n">
        <f>SUMIFS('供应商责任底表'!$S$5:$S$1541,'供应商责任底表'!$A$5:$A$1541,$A138,'供应商责任底表'!$H$5:$H$1541,$C138,'供应商责任底表'!$F$5:$F$1541,$D138,'供应商责任底表'!$E$5:$E$1541,$E138)</f>
        <v>5</v>
      </c>
      <c r="K138" s="23" t="n">
        <f>SUMIFS('供应商责任底表'!$T$5:$T$1541,'供应商责任底表'!$A$5:$A$1541,$A138,'供应商责任底表'!$H$5:$H$1541,$C138,'供应商责任底表'!$F$5:$F$1541,$D138,'供应商责任底表'!$E$5:$E$1541,$E138)</f>
        <v>5</v>
      </c>
      <c r="L138" s="27" t="n">
        <f>IF(J138=0,"",K138/J138)</f>
        <v>1</v>
      </c>
      <c r="M138" s="23" t="n">
        <f>SUMIFS('供应商责任底表'!$U$5:$U$1541,'供应商责任底表'!$A$5:$A$1541,$A138,'供应商责任底表'!$H$5:$H$1541,$C138,'供应商责任底表'!$F$5:$F$1541,$D138,'供应商责任底表'!$E$5:$E$1541,$E138)</f>
        <v>0</v>
      </c>
      <c r="N138" s="27" t="n">
        <f>IF(OR(F138=0,J138=0),"",L138-I138)</f>
        <v>0</v>
      </c>
      <c r="O138" s="23" t="n">
        <f>SUMIFS('供应商责任底表'!$V$5:$V$1541,'供应商责任底表'!$A$5:$A$1541,$A138,'供应商责任底表'!$H$5:$H$1541,$C138,'供应商责任底表'!$F$5:$F$1541,$D138,'供应商责任底表'!$E$5:$E$1541,$E138)</f>
        <v>0</v>
      </c>
    </row>
    <row r="139">
      <c r="A139" s="19" t="str">
        <v>英国区</v>
      </c>
      <c r="B139" s="19" t="str">
        <v>Jobsworth Recruitment Solutions Limited</v>
      </c>
      <c r="C139" s="19" t="str">
        <v>S000274</v>
      </c>
      <c r="D139" s="19" t="str">
        <v>售后处理员</v>
      </c>
      <c r="E139" s="19" t="str">
        <v>2026-05</v>
      </c>
      <c r="F139" s="23" t="n">
        <f>SUMIFS('供应商责任底表'!$O$5:$O$1541,'供应商责任底表'!$A$5:$A$1541,$A139,'供应商责任底表'!$H$5:$H$1541,$C139,'供应商责任底表'!$F$5:$F$1541,$D139,'供应商责任底表'!$E$5:$E$1541,$E139)</f>
        <v>2</v>
      </c>
      <c r="G139" s="23" t="n">
        <f>SUMIFS('供应商责任底表'!$P$5:$P$1541,'供应商责任底表'!$A$5:$A$1541,$A139,'供应商责任底表'!$H$5:$H$1541,$C139,'供应商责任底表'!$F$5:$F$1541,$D139,'供应商责任底表'!$E$5:$E$1541,$E139)</f>
        <v>2</v>
      </c>
      <c r="H139" s="23" t="n">
        <f>SUMIFS('供应商责任底表'!$Q$5:$Q$1541,'供应商责任底表'!$A$5:$A$1541,$A139,'供应商责任底表'!$H$5:$H$1541,$C139,'供应商责任底表'!$F$5:$F$1541,$D139,'供应商责任底表'!$E$5:$E$1541,$E139)</f>
        <v>2</v>
      </c>
      <c r="I139" s="27" t="n">
        <f>IF(F139=0,"",H139/F139)</f>
        <v>1</v>
      </c>
      <c r="J139" s="23" t="n">
        <f>SUMIFS('供应商责任底表'!$S$5:$S$1541,'供应商责任底表'!$A$5:$A$1541,$A139,'供应商责任底表'!$H$5:$H$1541,$C139,'供应商责任底表'!$F$5:$F$1541,$D139,'供应商责任底表'!$E$5:$E$1541,$E139)</f>
        <v>2</v>
      </c>
      <c r="K139" s="23" t="n">
        <f>SUMIFS('供应商责任底表'!$T$5:$T$1541,'供应商责任底表'!$A$5:$A$1541,$A139,'供应商责任底表'!$H$5:$H$1541,$C139,'供应商责任底表'!$F$5:$F$1541,$D139,'供应商责任底表'!$E$5:$E$1541,$E139)</f>
        <v>2</v>
      </c>
      <c r="L139" s="27" t="n">
        <f>IF(J139=0,"",K139/J139)</f>
        <v>1</v>
      </c>
      <c r="M139" s="23" t="n">
        <f>SUMIFS('供应商责任底表'!$U$5:$U$1541,'供应商责任底表'!$A$5:$A$1541,$A139,'供应商责任底表'!$H$5:$H$1541,$C139,'供应商责任底表'!$F$5:$F$1541,$D139,'供应商责任底表'!$E$5:$E$1541,$E139)</f>
        <v>0</v>
      </c>
      <c r="N139" s="27" t="n">
        <f>IF(OR(F139=0,J139=0),"",L139-I139)</f>
        <v>0</v>
      </c>
      <c r="O139" s="23" t="n">
        <f>SUMIFS('供应商责任底表'!$V$5:$V$1541,'供应商责任底表'!$A$5:$A$1541,$A139,'供应商责任底表'!$H$5:$H$1541,$C139,'供应商责任底表'!$F$5:$F$1541,$D139,'供应商责任底表'!$E$5:$E$1541,$E139)</f>
        <v>0</v>
      </c>
    </row>
    <row r="140">
      <c r="A140" s="19" t="str">
        <v>英国区</v>
      </c>
      <c r="B140" s="19" t="str">
        <v>Jobsworth Recruitment Solutions Limited</v>
      </c>
      <c r="C140" s="19" t="str">
        <v>S000274</v>
      </c>
      <c r="D140" s="19" t="str">
        <v>操作员</v>
      </c>
      <c r="E140" s="19" t="str">
        <v>2026-04</v>
      </c>
      <c r="F140" s="23" t="n">
        <f>SUMIFS('供应商责任底表'!$O$5:$O$1541,'供应商责任底表'!$A$5:$A$1541,$A140,'供应商责任底表'!$H$5:$H$1541,$C140,'供应商责任底表'!$F$5:$F$1541,$D140,'供应商责任底表'!$E$5:$E$1541,$E140)</f>
        <v>143</v>
      </c>
      <c r="G140" s="23" t="n">
        <f>SUMIFS('供应商责任底表'!$P$5:$P$1541,'供应商责任底表'!$A$5:$A$1541,$A140,'供应商责任底表'!$H$5:$H$1541,$C140,'供应商责任底表'!$F$5:$F$1541,$D140,'供应商责任底表'!$E$5:$E$1541,$E140)</f>
        <v>126</v>
      </c>
      <c r="H140" s="23" t="n">
        <f>SUMIFS('供应商责任底表'!$Q$5:$Q$1541,'供应商责任底表'!$A$5:$A$1541,$A140,'供应商责任底表'!$H$5:$H$1541,$C140,'供应商责任底表'!$F$5:$F$1541,$D140,'供应商责任底表'!$E$5:$E$1541,$E140)</f>
        <v>126</v>
      </c>
      <c r="I140" s="27" t="n">
        <f>IF(F140=0,"",H140/F140)</f>
        <v>0.8811188811188811</v>
      </c>
      <c r="J140" s="23" t="n">
        <f>SUMIFS('供应商责任底表'!$S$5:$S$1541,'供应商责任底表'!$A$5:$A$1541,$A140,'供应商责任底表'!$H$5:$H$1541,$C140,'供应商责任底表'!$F$5:$F$1541,$D140,'供应商责任底表'!$E$5:$E$1541,$E140)</f>
        <v>143</v>
      </c>
      <c r="K140" s="23" t="n">
        <f>SUMIFS('供应商责任底表'!$T$5:$T$1541,'供应商责任底表'!$A$5:$A$1541,$A140,'供应商责任底表'!$H$5:$H$1541,$C140,'供应商责任底表'!$F$5:$F$1541,$D140,'供应商责任底表'!$E$5:$E$1541,$E140)</f>
        <v>126</v>
      </c>
      <c r="L140" s="27" t="n">
        <f>IF(J140=0,"",K140/J140)</f>
        <v>0.8811188811188811</v>
      </c>
      <c r="M140" s="23" t="n">
        <f>SUMIFS('供应商责任底表'!$U$5:$U$1541,'供应商责任底表'!$A$5:$A$1541,$A140,'供应商责任底表'!$H$5:$H$1541,$C140,'供应商责任底表'!$F$5:$F$1541,$D140,'供应商责任底表'!$E$5:$E$1541,$E140)</f>
        <v>0</v>
      </c>
      <c r="N140" s="27" t="n">
        <f>IF(OR(F140=0,J140=0),"",L140-I140)</f>
        <v>0</v>
      </c>
      <c r="O140" s="23" t="n">
        <f>SUMIFS('供应商责任底表'!$V$5:$V$1541,'供应商责任底表'!$A$5:$A$1541,$A140,'供应商责任底表'!$H$5:$H$1541,$C140,'供应商责任底表'!$F$5:$F$1541,$D140,'供应商责任底表'!$E$5:$E$1541,$E140)</f>
        <v>0</v>
      </c>
    </row>
    <row r="141">
      <c r="A141" s="19" t="str">
        <v>英国区</v>
      </c>
      <c r="B141" s="19" t="str">
        <v>Jobsworth Recruitment Solutions Limited</v>
      </c>
      <c r="C141" s="19" t="str">
        <v>S000274</v>
      </c>
      <c r="D141" s="19" t="str">
        <v>操作员</v>
      </c>
      <c r="E141" s="19" t="str">
        <v>2026-05</v>
      </c>
      <c r="F141" s="23" t="n">
        <f>SUMIFS('供应商责任底表'!$O$5:$O$1541,'供应商责任底表'!$A$5:$A$1541,$A141,'供应商责任底表'!$H$5:$H$1541,$C141,'供应商责任底表'!$F$5:$F$1541,$D141,'供应商责任底表'!$E$5:$E$1541,$E141)</f>
        <v>175</v>
      </c>
      <c r="G141" s="23" t="n">
        <f>SUMIFS('供应商责任底表'!$P$5:$P$1541,'供应商责任底表'!$A$5:$A$1541,$A141,'供应商责任底表'!$H$5:$H$1541,$C141,'供应商责任底表'!$F$5:$F$1541,$D141,'供应商责任底表'!$E$5:$E$1541,$E141)</f>
        <v>167</v>
      </c>
      <c r="H141" s="23" t="n">
        <f>SUMIFS('供应商责任底表'!$Q$5:$Q$1541,'供应商责任底表'!$A$5:$A$1541,$A141,'供应商责任底表'!$H$5:$H$1541,$C141,'供应商责任底表'!$F$5:$F$1541,$D141,'供应商责任底表'!$E$5:$E$1541,$E141)</f>
        <v>167</v>
      </c>
      <c r="I141" s="27" t="n">
        <f>IF(F141=0,"",H141/F141)</f>
        <v>0.9542857142857143</v>
      </c>
      <c r="J141" s="23" t="n">
        <f>SUMIFS('供应商责任底表'!$S$5:$S$1541,'供应商责任底表'!$A$5:$A$1541,$A141,'供应商责任底表'!$H$5:$H$1541,$C141,'供应商责任底表'!$F$5:$F$1541,$D141,'供应商责任底表'!$E$5:$E$1541,$E141)</f>
        <v>172.5</v>
      </c>
      <c r="K141" s="23" t="n">
        <f>SUMIFS('供应商责任底表'!$T$5:$T$1541,'供应商责任底表'!$A$5:$A$1541,$A141,'供应商责任底表'!$H$5:$H$1541,$C141,'供应商责任底表'!$F$5:$F$1541,$D141,'供应商责任底表'!$E$5:$E$1541,$E141)</f>
        <v>164.5</v>
      </c>
      <c r="L141" s="27" t="n">
        <f>IF(J141=0,"",K141/J141)</f>
        <v>0.9536231884057971</v>
      </c>
      <c r="M141" s="23" t="n">
        <f>SUMIFS('供应商责任底表'!$U$5:$U$1541,'供应商责任底表'!$A$5:$A$1541,$A141,'供应商责任底表'!$H$5:$H$1541,$C141,'供应商责任底表'!$F$5:$F$1541,$D141,'供应商责任底表'!$E$5:$E$1541,$E141)</f>
        <v>2.5</v>
      </c>
      <c r="N141" s="27" t="n">
        <f>IF(OR(F141=0,J141=0),"",L141-I141)</f>
        <v>-0.0006625258799172196</v>
      </c>
      <c r="O141" s="23" t="n">
        <f>SUMIFS('供应商责任底表'!$V$5:$V$1541,'供应商责任底表'!$A$5:$A$1541,$A141,'供应商责任底表'!$H$5:$H$1541,$C141,'供应商责任底表'!$F$5:$F$1541,$D141,'供应商责任底表'!$E$5:$E$1541,$E141)</f>
        <v>0</v>
      </c>
    </row>
    <row r="142">
      <c r="A142" s="19" t="str">
        <v>英国区</v>
      </c>
      <c r="B142" s="19" t="str">
        <v>Jobsworth Recruitment Solutions Limited</v>
      </c>
      <c r="C142" s="19" t="str">
        <v>S000274</v>
      </c>
      <c r="D142" s="19" t="str">
        <v>操作员</v>
      </c>
      <c r="E142" s="19" t="str">
        <v>2026-06</v>
      </c>
      <c r="F142" s="23" t="n">
        <f>SUMIFS('供应商责任底表'!$O$5:$O$1541,'供应商责任底表'!$A$5:$A$1541,$A142,'供应商责任底表'!$H$5:$H$1541,$C142,'供应商责任底表'!$F$5:$F$1541,$D142,'供应商责任底表'!$E$5:$E$1541,$E142)</f>
        <v>172</v>
      </c>
      <c r="G142" s="23" t="n">
        <f>SUMIFS('供应商责任底表'!$P$5:$P$1541,'供应商责任底表'!$A$5:$A$1541,$A142,'供应商责任底表'!$H$5:$H$1541,$C142,'供应商责任底表'!$F$5:$F$1541,$D142,'供应商责任底表'!$E$5:$E$1541,$E142)</f>
        <v>165</v>
      </c>
      <c r="H142" s="23" t="n">
        <f>SUMIFS('供应商责任底表'!$Q$5:$Q$1541,'供应商责任底表'!$A$5:$A$1541,$A142,'供应商责任底表'!$H$5:$H$1541,$C142,'供应商责任底表'!$F$5:$F$1541,$D142,'供应商责任底表'!$E$5:$E$1541,$E142)</f>
        <v>165</v>
      </c>
      <c r="I142" s="27" t="n">
        <f>IF(F142=0,"",H142/F142)</f>
        <v>0.9593023255813954</v>
      </c>
      <c r="J142" s="23" t="n">
        <f>SUMIFS('供应商责任底表'!$S$5:$S$1541,'供应商责任底表'!$A$5:$A$1541,$A142,'供应商责任底表'!$H$5:$H$1541,$C142,'供应商责任底表'!$F$5:$F$1541,$D142,'供应商责任底表'!$E$5:$E$1541,$E142)</f>
        <v>157</v>
      </c>
      <c r="K142" s="23" t="n">
        <f>SUMIFS('供应商责任底表'!$T$5:$T$1541,'供应商责任底表'!$A$5:$A$1541,$A142,'供应商责任底表'!$H$5:$H$1541,$C142,'供应商责任底表'!$F$5:$F$1541,$D142,'供应商责任底表'!$E$5:$E$1541,$E142)</f>
        <v>150</v>
      </c>
      <c r="L142" s="27" t="n">
        <f>IF(J142=0,"",K142/J142)</f>
        <v>0.9554140127388535</v>
      </c>
      <c r="M142" s="23" t="n">
        <f>SUMIFS('供应商责任底表'!$U$5:$U$1541,'供应商责任底表'!$A$5:$A$1541,$A142,'供应商责任底表'!$H$5:$H$1541,$C142,'供应商责任底表'!$F$5:$F$1541,$D142,'供应商责任底表'!$E$5:$E$1541,$E142)</f>
        <v>15</v>
      </c>
      <c r="N142" s="27" t="n">
        <f>IF(OR(F142=0,J142=0),"",L142-I142)</f>
        <v>-0.0038883128425418745</v>
      </c>
      <c r="O142" s="23" t="n">
        <f>SUMIFS('供应商责任底表'!$V$5:$V$1541,'供应商责任底表'!$A$5:$A$1541,$A142,'供应商责任底表'!$H$5:$H$1541,$C142,'供应商责任底表'!$F$5:$F$1541,$D142,'供应商责任底表'!$E$5:$E$1541,$E142)</f>
        <v>0</v>
      </c>
    </row>
    <row r="143">
      <c r="A143" s="19" t="str">
        <v>英国区</v>
      </c>
      <c r="B143" s="19" t="str">
        <v>Staffzilla Limited</v>
      </c>
      <c r="C143" s="19" t="str">
        <v>S000289</v>
      </c>
      <c r="D143" s="19" t="str">
        <v>操作员</v>
      </c>
      <c r="E143" s="19" t="str">
        <v>2026-04</v>
      </c>
      <c r="F143" s="23" t="n">
        <f>SUMIFS('供应商责任底表'!$O$5:$O$1541,'供应商责任底表'!$A$5:$A$1541,$A143,'供应商责任底表'!$H$5:$H$1541,$C143,'供应商责任底表'!$F$5:$F$1541,$D143,'供应商责任底表'!$E$5:$E$1541,$E143)</f>
        <v>43</v>
      </c>
      <c r="G143" s="23" t="n">
        <f>SUMIFS('供应商责任底表'!$P$5:$P$1541,'供应商责任底表'!$A$5:$A$1541,$A143,'供应商责任底表'!$H$5:$H$1541,$C143,'供应商责任底表'!$F$5:$F$1541,$D143,'供应商责任底表'!$E$5:$E$1541,$E143)</f>
        <v>38</v>
      </c>
      <c r="H143" s="23" t="n">
        <f>SUMIFS('供应商责任底表'!$Q$5:$Q$1541,'供应商责任底表'!$A$5:$A$1541,$A143,'供应商责任底表'!$H$5:$H$1541,$C143,'供应商责任底表'!$F$5:$F$1541,$D143,'供应商责任底表'!$E$5:$E$1541,$E143)</f>
        <v>38</v>
      </c>
      <c r="I143" s="27" t="n">
        <f>IF(F143=0,"",H143/F143)</f>
        <v>0.8837209302325582</v>
      </c>
      <c r="J143" s="23" t="n">
        <f>SUMIFS('供应商责任底表'!$S$5:$S$1541,'供应商责任底表'!$A$5:$A$1541,$A143,'供应商责任底表'!$H$5:$H$1541,$C143,'供应商责任底表'!$F$5:$F$1541,$D143,'供应商责任底表'!$E$5:$E$1541,$E143)</f>
        <v>43</v>
      </c>
      <c r="K143" s="23" t="n">
        <f>SUMIFS('供应商责任底表'!$T$5:$T$1541,'供应商责任底表'!$A$5:$A$1541,$A143,'供应商责任底表'!$H$5:$H$1541,$C143,'供应商责任底表'!$F$5:$F$1541,$D143,'供应商责任底表'!$E$5:$E$1541,$E143)</f>
        <v>38</v>
      </c>
      <c r="L143" s="27" t="n">
        <f>IF(J143=0,"",K143/J143)</f>
        <v>0.8837209302325582</v>
      </c>
      <c r="M143" s="23" t="n">
        <f>SUMIFS('供应商责任底表'!$U$5:$U$1541,'供应商责任底表'!$A$5:$A$1541,$A143,'供应商责任底表'!$H$5:$H$1541,$C143,'供应商责任底表'!$F$5:$F$1541,$D143,'供应商责任底表'!$E$5:$E$1541,$E143)</f>
        <v>0</v>
      </c>
      <c r="N143" s="27" t="n">
        <f>IF(OR(F143=0,J143=0),"",L143-I143)</f>
        <v>0</v>
      </c>
      <c r="O143" s="23" t="n">
        <f>SUMIFS('供应商责任底表'!$V$5:$V$1541,'供应商责任底表'!$A$5:$A$1541,$A143,'供应商责任底表'!$H$5:$H$1541,$C143,'供应商责任底表'!$F$5:$F$1541,$D143,'供应商责任底表'!$E$5:$E$1541,$E143)</f>
        <v>0</v>
      </c>
    </row>
    <row r="144">
      <c r="A144" s="19" t="str">
        <v>英国区</v>
      </c>
      <c r="B144" s="19" t="str">
        <v>Staffzilla Limited</v>
      </c>
      <c r="C144" s="19" t="str">
        <v>S000289</v>
      </c>
      <c r="D144" s="19" t="str">
        <v>操作员</v>
      </c>
      <c r="E144" s="19" t="str">
        <v>2026-05</v>
      </c>
      <c r="F144" s="23" t="n">
        <f>SUMIFS('供应商责任底表'!$O$5:$O$1541,'供应商责任底表'!$A$5:$A$1541,$A144,'供应商责任底表'!$H$5:$H$1541,$C144,'供应商责任底表'!$F$5:$F$1541,$D144,'供应商责任底表'!$E$5:$E$1541,$E144)</f>
        <v>17</v>
      </c>
      <c r="G144" s="23" t="n">
        <f>SUMIFS('供应商责任底表'!$P$5:$P$1541,'供应商责任底表'!$A$5:$A$1541,$A144,'供应商责任底表'!$H$5:$H$1541,$C144,'供应商责任底表'!$F$5:$F$1541,$D144,'供应商责任底表'!$E$5:$E$1541,$E144)</f>
        <v>12</v>
      </c>
      <c r="H144" s="23" t="n">
        <f>SUMIFS('供应商责任底表'!$Q$5:$Q$1541,'供应商责任底表'!$A$5:$A$1541,$A144,'供应商责任底表'!$H$5:$H$1541,$C144,'供应商责任底表'!$F$5:$F$1541,$D144,'供应商责任底表'!$E$5:$E$1541,$E144)</f>
        <v>12</v>
      </c>
      <c r="I144" s="27" t="n">
        <f>IF(F144=0,"",H144/F144)</f>
        <v>0.7058823529411765</v>
      </c>
      <c r="J144" s="23" t="n">
        <f>SUMIFS('供应商责任底表'!$S$5:$S$1541,'供应商责任底表'!$A$5:$A$1541,$A144,'供应商责任底表'!$H$5:$H$1541,$C144,'供应商责任底表'!$F$5:$F$1541,$D144,'供应商责任底表'!$E$5:$E$1541,$E144)</f>
        <v>17</v>
      </c>
      <c r="K144" s="23" t="n">
        <f>SUMIFS('供应商责任底表'!$T$5:$T$1541,'供应商责任底表'!$A$5:$A$1541,$A144,'供应商责任底表'!$H$5:$H$1541,$C144,'供应商责任底表'!$F$5:$F$1541,$D144,'供应商责任底表'!$E$5:$E$1541,$E144)</f>
        <v>12</v>
      </c>
      <c r="L144" s="27" t="n">
        <f>IF(J144=0,"",K144/J144)</f>
        <v>0.7058823529411765</v>
      </c>
      <c r="M144" s="23" t="n">
        <f>SUMIFS('供应商责任底表'!$U$5:$U$1541,'供应商责任底表'!$A$5:$A$1541,$A144,'供应商责任底表'!$H$5:$H$1541,$C144,'供应商责任底表'!$F$5:$F$1541,$D144,'供应商责任底表'!$E$5:$E$1541,$E144)</f>
        <v>0</v>
      </c>
      <c r="N144" s="27" t="n">
        <f>IF(OR(F144=0,J144=0),"",L144-I144)</f>
        <v>0</v>
      </c>
      <c r="O144" s="23" t="n">
        <f>SUMIFS('供应商责任底表'!$V$5:$V$1541,'供应商责任底表'!$A$5:$A$1541,$A144,'供应商责任底表'!$H$5:$H$1541,$C144,'供应商责任底表'!$F$5:$F$1541,$D144,'供应商责任底表'!$E$5:$E$1541,$E144)</f>
        <v>0</v>
      </c>
    </row>
    <row r="145">
      <c r="A145" s="19" t="str">
        <v>英国区</v>
      </c>
      <c r="B145" s="19" t="str">
        <v>Staffzilla Limited</v>
      </c>
      <c r="C145" s="19" t="str">
        <v>S000289</v>
      </c>
      <c r="D145" s="19" t="str">
        <v>操作员</v>
      </c>
      <c r="E145" s="19" t="str">
        <v>2026-06</v>
      </c>
      <c r="F145" s="23" t="n">
        <f>SUMIFS('供应商责任底表'!$O$5:$O$1541,'供应商责任底表'!$A$5:$A$1541,$A145,'供应商责任底表'!$H$5:$H$1541,$C145,'供应商责任底表'!$F$5:$F$1541,$D145,'供应商责任底表'!$E$5:$E$1541,$E145)</f>
        <v>9</v>
      </c>
      <c r="G145" s="23" t="n">
        <f>SUMIFS('供应商责任底表'!$P$5:$P$1541,'供应商责任底表'!$A$5:$A$1541,$A145,'供应商责任底表'!$H$5:$H$1541,$C145,'供应商责任底表'!$F$5:$F$1541,$D145,'供应商责任底表'!$E$5:$E$1541,$E145)</f>
        <v>8</v>
      </c>
      <c r="H145" s="23" t="n">
        <f>SUMIFS('供应商责任底表'!$Q$5:$Q$1541,'供应商责任底表'!$A$5:$A$1541,$A145,'供应商责任底表'!$H$5:$H$1541,$C145,'供应商责任底表'!$F$5:$F$1541,$D145,'供应商责任底表'!$E$5:$E$1541,$E145)</f>
        <v>8</v>
      </c>
      <c r="I145" s="27" t="n">
        <f>IF(F145=0,"",H145/F145)</f>
        <v>0.8888888888888888</v>
      </c>
      <c r="J145" s="23" t="n">
        <f>SUMIFS('供应商责任底表'!$S$5:$S$1541,'供应商责任底表'!$A$5:$A$1541,$A145,'供应商责任底表'!$H$5:$H$1541,$C145,'供应商责任底表'!$F$5:$F$1541,$D145,'供应商责任底表'!$E$5:$E$1541,$E145)</f>
        <v>9</v>
      </c>
      <c r="K145" s="23" t="n">
        <f>SUMIFS('供应商责任底表'!$T$5:$T$1541,'供应商责任底表'!$A$5:$A$1541,$A145,'供应商责任底表'!$H$5:$H$1541,$C145,'供应商责任底表'!$F$5:$F$1541,$D145,'供应商责任底表'!$E$5:$E$1541,$E145)</f>
        <v>8</v>
      </c>
      <c r="L145" s="27" t="n">
        <f>IF(J145=0,"",K145/J145)</f>
        <v>0.8888888888888888</v>
      </c>
      <c r="M145" s="23" t="n">
        <f>SUMIFS('供应商责任底表'!$U$5:$U$1541,'供应商责任底表'!$A$5:$A$1541,$A145,'供应商责任底表'!$H$5:$H$1541,$C145,'供应商责任底表'!$F$5:$F$1541,$D145,'供应商责任底表'!$E$5:$E$1541,$E145)</f>
        <v>0</v>
      </c>
      <c r="N145" s="27" t="n">
        <f>IF(OR(F145=0,J145=0),"",L145-I145)</f>
        <v>0</v>
      </c>
      <c r="O145" s="23" t="n">
        <f>SUMIFS('供应商责任底表'!$V$5:$V$1541,'供应商责任底表'!$A$5:$A$1541,$A145,'供应商责任底表'!$H$5:$H$1541,$C145,'供应商责任底表'!$F$5:$F$1541,$D145,'供应商责任底表'!$E$5:$E$1541,$E145)</f>
        <v>0</v>
      </c>
    </row>
    <row r="146">
      <c r="A146" s="19" t="str">
        <v>英国区</v>
      </c>
      <c r="B146" s="19" t="str">
        <v>Employment of London Limited</v>
      </c>
      <c r="C146" s="19" t="str">
        <v>S000331</v>
      </c>
      <c r="D146" s="19" t="str">
        <v>操作员</v>
      </c>
      <c r="E146" s="19" t="str">
        <v>2026-04</v>
      </c>
      <c r="F146" s="23" t="n">
        <f>SUMIFS('供应商责任底表'!$O$5:$O$1541,'供应商责任底表'!$A$5:$A$1541,$A146,'供应商责任底表'!$H$5:$H$1541,$C146,'供应商责任底表'!$F$5:$F$1541,$D146,'供应商责任底表'!$E$5:$E$1541,$E146)</f>
        <v>30</v>
      </c>
      <c r="G146" s="23" t="n">
        <f>SUMIFS('供应商责任底表'!$P$5:$P$1541,'供应商责任底表'!$A$5:$A$1541,$A146,'供应商责任底表'!$H$5:$H$1541,$C146,'供应商责任底表'!$F$5:$F$1541,$D146,'供应商责任底表'!$E$5:$E$1541,$E146)</f>
        <v>28</v>
      </c>
      <c r="H146" s="23" t="n">
        <f>SUMIFS('供应商责任底表'!$Q$5:$Q$1541,'供应商责任底表'!$A$5:$A$1541,$A146,'供应商责任底表'!$H$5:$H$1541,$C146,'供应商责任底表'!$F$5:$F$1541,$D146,'供应商责任底表'!$E$5:$E$1541,$E146)</f>
        <v>28</v>
      </c>
      <c r="I146" s="27" t="n">
        <f>IF(F146=0,"",H146/F146)</f>
        <v>0.9333333333333333</v>
      </c>
      <c r="J146" s="23" t="n">
        <f>SUMIFS('供应商责任底表'!$S$5:$S$1541,'供应商责任底表'!$A$5:$A$1541,$A146,'供应商责任底表'!$H$5:$H$1541,$C146,'供应商责任底表'!$F$5:$F$1541,$D146,'供应商责任底表'!$E$5:$E$1541,$E146)</f>
        <v>30</v>
      </c>
      <c r="K146" s="23" t="n">
        <f>SUMIFS('供应商责任底表'!$T$5:$T$1541,'供应商责任底表'!$A$5:$A$1541,$A146,'供应商责任底表'!$H$5:$H$1541,$C146,'供应商责任底表'!$F$5:$F$1541,$D146,'供应商责任底表'!$E$5:$E$1541,$E146)</f>
        <v>28</v>
      </c>
      <c r="L146" s="27" t="n">
        <f>IF(J146=0,"",K146/J146)</f>
        <v>0.9333333333333333</v>
      </c>
      <c r="M146" s="23" t="n">
        <f>SUMIFS('供应商责任底表'!$U$5:$U$1541,'供应商责任底表'!$A$5:$A$1541,$A146,'供应商责任底表'!$H$5:$H$1541,$C146,'供应商责任底表'!$F$5:$F$1541,$D146,'供应商责任底表'!$E$5:$E$1541,$E146)</f>
        <v>0</v>
      </c>
      <c r="N146" s="27" t="n">
        <f>IF(OR(F146=0,J146=0),"",L146-I146)</f>
        <v>0</v>
      </c>
      <c r="O146" s="23" t="n">
        <f>SUMIFS('供应商责任底表'!$V$5:$V$1541,'供应商责任底表'!$A$5:$A$1541,$A146,'供应商责任底表'!$H$5:$H$1541,$C146,'供应商责任底表'!$F$5:$F$1541,$D146,'供应商责任底表'!$E$5:$E$1541,$E146)</f>
        <v>0</v>
      </c>
    </row>
    <row r="147">
      <c r="A147" s="19" t="str">
        <v>英国区</v>
      </c>
      <c r="B147" s="19" t="str">
        <v>Employment of London Limited</v>
      </c>
      <c r="C147" s="19" t="str">
        <v>S000331</v>
      </c>
      <c r="D147" s="19" t="str">
        <v>操作员</v>
      </c>
      <c r="E147" s="19" t="str">
        <v>2026-05</v>
      </c>
      <c r="F147" s="23" t="n">
        <f>SUMIFS('供应商责任底表'!$O$5:$O$1541,'供应商责任底表'!$A$5:$A$1541,$A147,'供应商责任底表'!$H$5:$H$1541,$C147,'供应商责任底表'!$F$5:$F$1541,$D147,'供应商责任底表'!$E$5:$E$1541,$E147)</f>
        <v>310</v>
      </c>
      <c r="G147" s="23" t="n">
        <f>SUMIFS('供应商责任底表'!$P$5:$P$1541,'供应商责任底表'!$A$5:$A$1541,$A147,'供应商责任底表'!$H$5:$H$1541,$C147,'供应商责任底表'!$F$5:$F$1541,$D147,'供应商责任底表'!$E$5:$E$1541,$E147)</f>
        <v>249</v>
      </c>
      <c r="H147" s="23" t="n">
        <f>SUMIFS('供应商责任底表'!$Q$5:$Q$1541,'供应商责任底表'!$A$5:$A$1541,$A147,'供应商责任底表'!$H$5:$H$1541,$C147,'供应商责任底表'!$F$5:$F$1541,$D147,'供应商责任底表'!$E$5:$E$1541,$E147)</f>
        <v>249</v>
      </c>
      <c r="I147" s="27" t="n">
        <f>IF(F147=0,"",H147/F147)</f>
        <v>0.8032258064516129</v>
      </c>
      <c r="J147" s="23" t="n">
        <f>SUMIFS('供应商责任底表'!$S$5:$S$1541,'供应商责任底表'!$A$5:$A$1541,$A147,'供应商责任底表'!$H$5:$H$1541,$C147,'供应商责任底表'!$F$5:$F$1541,$D147,'供应商责任底表'!$E$5:$E$1541,$E147)</f>
        <v>307.5</v>
      </c>
      <c r="K147" s="23" t="n">
        <f>SUMIFS('供应商责任底表'!$T$5:$T$1541,'供应商责任底表'!$A$5:$A$1541,$A147,'供应商责任底表'!$H$5:$H$1541,$C147,'供应商责任底表'!$F$5:$F$1541,$D147,'供应商责任底表'!$E$5:$E$1541,$E147)</f>
        <v>249</v>
      </c>
      <c r="L147" s="27" t="n">
        <f>IF(J147=0,"",K147/J147)</f>
        <v>0.8097560975609757</v>
      </c>
      <c r="M147" s="23" t="n">
        <f>SUMIFS('供应商责任底表'!$U$5:$U$1541,'供应商责任底表'!$A$5:$A$1541,$A147,'供应商责任底表'!$H$5:$H$1541,$C147,'供应商责任底表'!$F$5:$F$1541,$D147,'供应商责任底表'!$E$5:$E$1541,$E147)</f>
        <v>2.5</v>
      </c>
      <c r="N147" s="27" t="n">
        <f>IF(OR(F147=0,J147=0),"",L147-I147)</f>
        <v>0.0065302911093627625</v>
      </c>
      <c r="O147" s="23" t="n">
        <f>SUMIFS('供应商责任底表'!$V$5:$V$1541,'供应商责任底表'!$A$5:$A$1541,$A147,'供应商责任底表'!$H$5:$H$1541,$C147,'供应商责任底表'!$F$5:$F$1541,$D147,'供应商责任底表'!$E$5:$E$1541,$E147)</f>
        <v>0</v>
      </c>
    </row>
    <row r="148">
      <c r="A148" s="19" t="str">
        <v>英国区</v>
      </c>
      <c r="B148" s="19" t="str">
        <v>Employment of London Limited</v>
      </c>
      <c r="C148" s="19" t="str">
        <v>S000331</v>
      </c>
      <c r="D148" s="19" t="str">
        <v>操作员</v>
      </c>
      <c r="E148" s="19" t="str">
        <v>2026-06</v>
      </c>
      <c r="F148" s="23" t="n">
        <f>SUMIFS('供应商责任底表'!$O$5:$O$1541,'供应商责任底表'!$A$5:$A$1541,$A148,'供应商责任底表'!$H$5:$H$1541,$C148,'供应商责任底表'!$F$5:$F$1541,$D148,'供应商责任底表'!$E$5:$E$1541,$E148)</f>
        <v>327</v>
      </c>
      <c r="G148" s="23" t="n">
        <f>SUMIFS('供应商责任底表'!$P$5:$P$1541,'供应商责任底表'!$A$5:$A$1541,$A148,'供应商责任底表'!$H$5:$H$1541,$C148,'供应商责任底表'!$F$5:$F$1541,$D148,'供应商责任底表'!$E$5:$E$1541,$E148)</f>
        <v>313</v>
      </c>
      <c r="H148" s="23" t="n">
        <f>SUMIFS('供应商责任底表'!$Q$5:$Q$1541,'供应商责任底表'!$A$5:$A$1541,$A148,'供应商责任底表'!$H$5:$H$1541,$C148,'供应商责任底表'!$F$5:$F$1541,$D148,'供应商责任底表'!$E$5:$E$1541,$E148)</f>
        <v>313</v>
      </c>
      <c r="I148" s="27" t="n">
        <f>IF(F148=0,"",H148/F148)</f>
        <v>0.9571865443425076</v>
      </c>
      <c r="J148" s="23" t="n">
        <f>SUMIFS('供应商责任底表'!$S$5:$S$1541,'供应商责任底表'!$A$5:$A$1541,$A148,'供应商责任底表'!$H$5:$H$1541,$C148,'供应商责任底表'!$F$5:$F$1541,$D148,'供应商责任底表'!$E$5:$E$1541,$E148)</f>
        <v>305.7142857142857</v>
      </c>
      <c r="K148" s="23" t="n">
        <f>SUMIFS('供应商责任底表'!$T$5:$T$1541,'供应商责任底表'!$A$5:$A$1541,$A148,'供应商责任底表'!$H$5:$H$1541,$C148,'供应商责任底表'!$F$5:$F$1541,$D148,'供应商责任底表'!$E$5:$E$1541,$E148)</f>
        <v>296.7142857142857</v>
      </c>
      <c r="L148" s="27" t="n">
        <f>IF(J148=0,"",K148/J148)</f>
        <v>0.9705607476635514</v>
      </c>
      <c r="M148" s="23" t="n">
        <f>SUMIFS('供应商责任底表'!$U$5:$U$1541,'供应商责任底表'!$A$5:$A$1541,$A148,'供应商责任底表'!$H$5:$H$1541,$C148,'供应商责任底表'!$F$5:$F$1541,$D148,'供应商责任底表'!$E$5:$E$1541,$E148)</f>
        <v>21.285714285714285</v>
      </c>
      <c r="N148" s="27" t="n">
        <f>IF(OR(F148=0,J148=0),"",L148-I148)</f>
        <v>0.013374203321043776</v>
      </c>
      <c r="O148" s="23" t="n">
        <f>SUMIFS('供应商责任底表'!$V$5:$V$1541,'供应商责任底表'!$A$5:$A$1541,$A148,'供应商责任底表'!$H$5:$H$1541,$C148,'供应商责任底表'!$F$5:$F$1541,$D148,'供应商责任底表'!$E$5:$E$1541,$E148)</f>
        <v>0</v>
      </c>
    </row>
    <row r="149">
      <c r="A149" s="19" t="str">
        <v>西班牙区</v>
      </c>
      <c r="B149" s="19" t="str">
        <v>FLEXIPLAN ETT S.A.</v>
      </c>
      <c r="C149" s="19" t="str">
        <v>S000303</v>
      </c>
      <c r="D149" s="19" t="str">
        <v>交运员Class 1</v>
      </c>
      <c r="E149" s="19" t="str">
        <v>2026-06</v>
      </c>
      <c r="F149" s="23" t="n">
        <f>SUMIFS('供应商责任底表'!$O$5:$O$1541,'供应商责任底表'!$A$5:$A$1541,$A149,'供应商责任底表'!$H$5:$H$1541,$C149,'供应商责任底表'!$F$5:$F$1541,$D149,'供应商责任底表'!$E$5:$E$1541,$E149)</f>
        <v>1</v>
      </c>
      <c r="G149" s="23" t="n">
        <f>SUMIFS('供应商责任底表'!$P$5:$P$1541,'供应商责任底表'!$A$5:$A$1541,$A149,'供应商责任底表'!$H$5:$H$1541,$C149,'供应商责任底表'!$F$5:$F$1541,$D149,'供应商责任底表'!$E$5:$E$1541,$E149)</f>
        <v>1</v>
      </c>
      <c r="H149" s="23" t="n">
        <f>SUMIFS('供应商责任底表'!$Q$5:$Q$1541,'供应商责任底表'!$A$5:$A$1541,$A149,'供应商责任底表'!$H$5:$H$1541,$C149,'供应商责任底表'!$F$5:$F$1541,$D149,'供应商责任底表'!$E$5:$E$1541,$E149)</f>
        <v>1</v>
      </c>
      <c r="I149" s="27" t="n">
        <f>IF(F149=0,"",H149/F149)</f>
        <v>1</v>
      </c>
      <c r="J149" s="23" t="n">
        <f>SUMIFS('供应商责任底表'!$S$5:$S$1541,'供应商责任底表'!$A$5:$A$1541,$A149,'供应商责任底表'!$H$5:$H$1541,$C149,'供应商责任底表'!$F$5:$F$1541,$D149,'供应商责任底表'!$E$5:$E$1541,$E149)</f>
        <v>1</v>
      </c>
      <c r="K149" s="23" t="n">
        <f>SUMIFS('供应商责任底表'!$T$5:$T$1541,'供应商责任底表'!$A$5:$A$1541,$A149,'供应商责任底表'!$H$5:$H$1541,$C149,'供应商责任底表'!$F$5:$F$1541,$D149,'供应商责任底表'!$E$5:$E$1541,$E149)</f>
        <v>1</v>
      </c>
      <c r="L149" s="27" t="n">
        <f>IF(J149=0,"",K149/J149)</f>
        <v>1</v>
      </c>
      <c r="M149" s="23" t="n">
        <f>SUMIFS('供应商责任底表'!$U$5:$U$1541,'供应商责任底表'!$A$5:$A$1541,$A149,'供应商责任底表'!$H$5:$H$1541,$C149,'供应商责任底表'!$F$5:$F$1541,$D149,'供应商责任底表'!$E$5:$E$1541,$E149)</f>
        <v>0</v>
      </c>
      <c r="N149" s="27" t="n">
        <f>IF(OR(F149=0,J149=0),"",L149-I149)</f>
        <v>0</v>
      </c>
      <c r="O149" s="23" t="n">
        <f>SUMIFS('供应商责任底表'!$V$5:$V$1541,'供应商责任底表'!$A$5:$A$1541,$A149,'供应商责任底表'!$H$5:$H$1541,$C149,'供应商责任底表'!$F$5:$F$1541,$D149,'供应商责任底表'!$E$5:$E$1541,$E149)</f>
        <v>0</v>
      </c>
    </row>
    <row r="150">
      <c r="A150" s="19" t="str">
        <v>西班牙区</v>
      </c>
      <c r="B150" s="19" t="str">
        <v>FLEXIPLAN ETT S.A.</v>
      </c>
      <c r="C150" s="19" t="str">
        <v>S000303</v>
      </c>
      <c r="D150" s="19" t="str">
        <v>保洁员</v>
      </c>
      <c r="E150" s="19" t="str">
        <v>2026-06</v>
      </c>
      <c r="F150" s="23" t="n">
        <f>SUMIFS('供应商责任底表'!$O$5:$O$1541,'供应商责任底表'!$A$5:$A$1541,$A150,'供应商责任底表'!$H$5:$H$1541,$C150,'供应商责任底表'!$F$5:$F$1541,$D150,'供应商责任底表'!$E$5:$E$1541,$E150)</f>
        <v>1</v>
      </c>
      <c r="G150" s="23" t="n">
        <f>SUMIFS('供应商责任底表'!$P$5:$P$1541,'供应商责任底表'!$A$5:$A$1541,$A150,'供应商责任底表'!$H$5:$H$1541,$C150,'供应商责任底表'!$F$5:$F$1541,$D150,'供应商责任底表'!$E$5:$E$1541,$E150)</f>
        <v>1</v>
      </c>
      <c r="H150" s="23" t="n">
        <f>SUMIFS('供应商责任底表'!$Q$5:$Q$1541,'供应商责任底表'!$A$5:$A$1541,$A150,'供应商责任底表'!$H$5:$H$1541,$C150,'供应商责任底表'!$F$5:$F$1541,$D150,'供应商责任底表'!$E$5:$E$1541,$E150)</f>
        <v>1</v>
      </c>
      <c r="I150" s="27" t="n">
        <f>IF(F150=0,"",H150/F150)</f>
        <v>1</v>
      </c>
      <c r="J150" s="23" t="n">
        <f>SUMIFS('供应商责任底表'!$S$5:$S$1541,'供应商责任底表'!$A$5:$A$1541,$A150,'供应商责任底表'!$H$5:$H$1541,$C150,'供应商责任底表'!$F$5:$F$1541,$D150,'供应商责任底表'!$E$5:$E$1541,$E150)</f>
        <v>1</v>
      </c>
      <c r="K150" s="23" t="n">
        <f>SUMIFS('供应商责任底表'!$T$5:$T$1541,'供应商责任底表'!$A$5:$A$1541,$A150,'供应商责任底表'!$H$5:$H$1541,$C150,'供应商责任底表'!$F$5:$F$1541,$D150,'供应商责任底表'!$E$5:$E$1541,$E150)</f>
        <v>1</v>
      </c>
      <c r="L150" s="27" t="n">
        <f>IF(J150=0,"",K150/J150)</f>
        <v>1</v>
      </c>
      <c r="M150" s="23" t="n">
        <f>SUMIFS('供应商责任底表'!$U$5:$U$1541,'供应商责任底表'!$A$5:$A$1541,$A150,'供应商责任底表'!$H$5:$H$1541,$C150,'供应商责任底表'!$F$5:$F$1541,$D150,'供应商责任底表'!$E$5:$E$1541,$E150)</f>
        <v>0</v>
      </c>
      <c r="N150" s="27" t="n">
        <f>IF(OR(F150=0,J150=0),"",L150-I150)</f>
        <v>0</v>
      </c>
      <c r="O150" s="23" t="n">
        <f>SUMIFS('供应商责任底表'!$V$5:$V$1541,'供应商责任底表'!$A$5:$A$1541,$A150,'供应商责任底表'!$H$5:$H$1541,$C150,'供应商责任底表'!$F$5:$F$1541,$D150,'供应商责任底表'!$E$5:$E$1541,$E150)</f>
        <v>0</v>
      </c>
    </row>
    <row r="151">
      <c r="A151" s="19" t="str">
        <v>西班牙区</v>
      </c>
      <c r="B151" s="19" t="str">
        <v>FLEXIPLAN ETT S.A.</v>
      </c>
      <c r="C151" s="19" t="str">
        <v>S000303</v>
      </c>
      <c r="D151" s="19" t="str">
        <v>叉车司机</v>
      </c>
      <c r="E151" s="19" t="str">
        <v>2026-04</v>
      </c>
      <c r="F151" s="23" t="n">
        <f>SUMIFS('供应商责任底表'!$O$5:$O$1541,'供应商责任底表'!$A$5:$A$1541,$A151,'供应商责任底表'!$H$5:$H$1541,$C151,'供应商责任底表'!$F$5:$F$1541,$D151,'供应商责任底表'!$E$5:$E$1541,$E151)</f>
        <v>5</v>
      </c>
      <c r="G151" s="23" t="n">
        <f>SUMIFS('供应商责任底表'!$P$5:$P$1541,'供应商责任底表'!$A$5:$A$1541,$A151,'供应商责任底表'!$H$5:$H$1541,$C151,'供应商责任底表'!$F$5:$F$1541,$D151,'供应商责任底表'!$E$5:$E$1541,$E151)</f>
        <v>5</v>
      </c>
      <c r="H151" s="23" t="n">
        <f>SUMIFS('供应商责任底表'!$Q$5:$Q$1541,'供应商责任底表'!$A$5:$A$1541,$A151,'供应商责任底表'!$H$5:$H$1541,$C151,'供应商责任底表'!$F$5:$F$1541,$D151,'供应商责任底表'!$E$5:$E$1541,$E151)</f>
        <v>5</v>
      </c>
      <c r="I151" s="27" t="n">
        <f>IF(F151=0,"",H151/F151)</f>
        <v>1</v>
      </c>
      <c r="J151" s="23" t="n">
        <f>SUMIFS('供应商责任底表'!$S$5:$S$1541,'供应商责任底表'!$A$5:$A$1541,$A151,'供应商责任底表'!$H$5:$H$1541,$C151,'供应商责任底表'!$F$5:$F$1541,$D151,'供应商责任底表'!$E$5:$E$1541,$E151)</f>
        <v>5</v>
      </c>
      <c r="K151" s="23" t="n">
        <f>SUMIFS('供应商责任底表'!$T$5:$T$1541,'供应商责任底表'!$A$5:$A$1541,$A151,'供应商责任底表'!$H$5:$H$1541,$C151,'供应商责任底表'!$F$5:$F$1541,$D151,'供应商责任底表'!$E$5:$E$1541,$E151)</f>
        <v>5</v>
      </c>
      <c r="L151" s="27" t="n">
        <f>IF(J151=0,"",K151/J151)</f>
        <v>1</v>
      </c>
      <c r="M151" s="23" t="n">
        <f>SUMIFS('供应商责任底表'!$U$5:$U$1541,'供应商责任底表'!$A$5:$A$1541,$A151,'供应商责任底表'!$H$5:$H$1541,$C151,'供应商责任底表'!$F$5:$F$1541,$D151,'供应商责任底表'!$E$5:$E$1541,$E151)</f>
        <v>0</v>
      </c>
      <c r="N151" s="27" t="n">
        <f>IF(OR(F151=0,J151=0),"",L151-I151)</f>
        <v>0</v>
      </c>
      <c r="O151" s="23" t="n">
        <f>SUMIFS('供应商责任底表'!$V$5:$V$1541,'供应商责任底表'!$A$5:$A$1541,$A151,'供应商责任底表'!$H$5:$H$1541,$C151,'供应商责任底表'!$F$5:$F$1541,$D151,'供应商责任底表'!$E$5:$E$1541,$E151)</f>
        <v>0</v>
      </c>
    </row>
    <row r="152">
      <c r="A152" s="19" t="str">
        <v>西班牙区</v>
      </c>
      <c r="B152" s="19" t="str">
        <v>FLEXIPLAN ETT S.A.</v>
      </c>
      <c r="C152" s="19" t="str">
        <v>S000303</v>
      </c>
      <c r="D152" s="19" t="str">
        <v>叉车司机</v>
      </c>
      <c r="E152" s="19" t="str">
        <v>2026-05</v>
      </c>
      <c r="F152" s="23" t="n">
        <f>SUMIFS('供应商责任底表'!$O$5:$O$1541,'供应商责任底表'!$A$5:$A$1541,$A152,'供应商责任底表'!$H$5:$H$1541,$C152,'供应商责任底表'!$F$5:$F$1541,$D152,'供应商责任底表'!$E$5:$E$1541,$E152)</f>
        <v>15</v>
      </c>
      <c r="G152" s="23" t="n">
        <f>SUMIFS('供应商责任底表'!$P$5:$P$1541,'供应商责任底表'!$A$5:$A$1541,$A152,'供应商责任底表'!$H$5:$H$1541,$C152,'供应商责任底表'!$F$5:$F$1541,$D152,'供应商责任底表'!$E$5:$E$1541,$E152)</f>
        <v>15</v>
      </c>
      <c r="H152" s="23" t="n">
        <f>SUMIFS('供应商责任底表'!$Q$5:$Q$1541,'供应商责任底表'!$A$5:$A$1541,$A152,'供应商责任底表'!$H$5:$H$1541,$C152,'供应商责任底表'!$F$5:$F$1541,$D152,'供应商责任底表'!$E$5:$E$1541,$E152)</f>
        <v>15</v>
      </c>
      <c r="I152" s="27" t="n">
        <f>IF(F152=0,"",H152/F152)</f>
        <v>1</v>
      </c>
      <c r="J152" s="23" t="n">
        <f>SUMIFS('供应商责任底表'!$S$5:$S$1541,'供应商责任底表'!$A$5:$A$1541,$A152,'供应商责任底表'!$H$5:$H$1541,$C152,'供应商责任底表'!$F$5:$F$1541,$D152,'供应商责任底表'!$E$5:$E$1541,$E152)</f>
        <v>15</v>
      </c>
      <c r="K152" s="23" t="n">
        <f>SUMIFS('供应商责任底表'!$T$5:$T$1541,'供应商责任底表'!$A$5:$A$1541,$A152,'供应商责任底表'!$H$5:$H$1541,$C152,'供应商责任底表'!$F$5:$F$1541,$D152,'供应商责任底表'!$E$5:$E$1541,$E152)</f>
        <v>15</v>
      </c>
      <c r="L152" s="27" t="n">
        <f>IF(J152=0,"",K152/J152)</f>
        <v>1</v>
      </c>
      <c r="M152" s="23" t="n">
        <f>SUMIFS('供应商责任底表'!$U$5:$U$1541,'供应商责任底表'!$A$5:$A$1541,$A152,'供应商责任底表'!$H$5:$H$1541,$C152,'供应商责任底表'!$F$5:$F$1541,$D152,'供应商责任底表'!$E$5:$E$1541,$E152)</f>
        <v>0</v>
      </c>
      <c r="N152" s="27" t="n">
        <f>IF(OR(F152=0,J152=0),"",L152-I152)</f>
        <v>0</v>
      </c>
      <c r="O152" s="23" t="n">
        <f>SUMIFS('供应商责任底表'!$V$5:$V$1541,'供应商责任底表'!$A$5:$A$1541,$A152,'供应商责任底表'!$H$5:$H$1541,$C152,'供应商责任底表'!$F$5:$F$1541,$D152,'供应商责任底表'!$E$5:$E$1541,$E152)</f>
        <v>0</v>
      </c>
    </row>
    <row r="153">
      <c r="A153" s="19" t="str">
        <v>西班牙区</v>
      </c>
      <c r="B153" s="19" t="str">
        <v>FLEXIPLAN ETT S.A.</v>
      </c>
      <c r="C153" s="19" t="str">
        <v>S000303</v>
      </c>
      <c r="D153" s="19" t="str">
        <v>叉车司机</v>
      </c>
      <c r="E153" s="19" t="str">
        <v>2026-06</v>
      </c>
      <c r="F153" s="23" t="n">
        <f>SUMIFS('供应商责任底表'!$O$5:$O$1541,'供应商责任底表'!$A$5:$A$1541,$A153,'供应商责任底表'!$H$5:$H$1541,$C153,'供应商责任底表'!$F$5:$F$1541,$D153,'供应商责任底表'!$E$5:$E$1541,$E153)</f>
        <v>3</v>
      </c>
      <c r="G153" s="23" t="n">
        <f>SUMIFS('供应商责任底表'!$P$5:$P$1541,'供应商责任底表'!$A$5:$A$1541,$A153,'供应商责任底表'!$H$5:$H$1541,$C153,'供应商责任底表'!$F$5:$F$1541,$D153,'供应商责任底表'!$E$5:$E$1541,$E153)</f>
        <v>3</v>
      </c>
      <c r="H153" s="23" t="n">
        <f>SUMIFS('供应商责任底表'!$Q$5:$Q$1541,'供应商责任底表'!$A$5:$A$1541,$A153,'供应商责任底表'!$H$5:$H$1541,$C153,'供应商责任底表'!$F$5:$F$1541,$D153,'供应商责任底表'!$E$5:$E$1541,$E153)</f>
        <v>3</v>
      </c>
      <c r="I153" s="27" t="n">
        <f>IF(F153=0,"",H153/F153)</f>
        <v>1</v>
      </c>
      <c r="J153" s="23" t="n">
        <f>SUMIFS('供应商责任底表'!$S$5:$S$1541,'供应商责任底表'!$A$5:$A$1541,$A153,'供应商责任底表'!$H$5:$H$1541,$C153,'供应商责任底表'!$F$5:$F$1541,$D153,'供应商责任底表'!$E$5:$E$1541,$E153)</f>
        <v>3</v>
      </c>
      <c r="K153" s="23" t="n">
        <f>SUMIFS('供应商责任底表'!$T$5:$T$1541,'供应商责任底表'!$A$5:$A$1541,$A153,'供应商责任底表'!$H$5:$H$1541,$C153,'供应商责任底表'!$F$5:$F$1541,$D153,'供应商责任底表'!$E$5:$E$1541,$E153)</f>
        <v>3</v>
      </c>
      <c r="L153" s="27" t="n">
        <f>IF(J153=0,"",K153/J153)</f>
        <v>1</v>
      </c>
      <c r="M153" s="23" t="n">
        <f>SUMIFS('供应商责任底表'!$U$5:$U$1541,'供应商责任底表'!$A$5:$A$1541,$A153,'供应商责任底表'!$H$5:$H$1541,$C153,'供应商责任底表'!$F$5:$F$1541,$D153,'供应商责任底表'!$E$5:$E$1541,$E153)</f>
        <v>0</v>
      </c>
      <c r="N153" s="27" t="n">
        <f>IF(OR(F153=0,J153=0),"",L153-I153)</f>
        <v>0</v>
      </c>
      <c r="O153" s="23" t="n">
        <f>SUMIFS('供应商责任底表'!$V$5:$V$1541,'供应商责任底表'!$A$5:$A$1541,$A153,'供应商责任底表'!$H$5:$H$1541,$C153,'供应商责任底表'!$F$5:$F$1541,$D153,'供应商责任底表'!$E$5:$E$1541,$E153)</f>
        <v>0</v>
      </c>
    </row>
    <row r="154">
      <c r="A154" s="19" t="str">
        <v>西班牙区</v>
      </c>
      <c r="B154" s="19" t="str">
        <v>FLEXIPLAN ETT S.A.</v>
      </c>
      <c r="C154" s="19" t="str">
        <v>S000303</v>
      </c>
      <c r="D154" s="19" t="str">
        <v>操作员</v>
      </c>
      <c r="E154" s="19" t="str">
        <v>2026-05</v>
      </c>
      <c r="F154" s="23" t="n">
        <f>SUMIFS('供应商责任底表'!$O$5:$O$1541,'供应商责任底表'!$A$5:$A$1541,$A154,'供应商责任底表'!$H$5:$H$1541,$C154,'供应商责任底表'!$F$5:$F$1541,$D154,'供应商责任底表'!$E$5:$E$1541,$E154)</f>
        <v>1</v>
      </c>
      <c r="G154" s="23" t="n">
        <f>SUMIFS('供应商责任底表'!$P$5:$P$1541,'供应商责任底表'!$A$5:$A$1541,$A154,'供应商责任底表'!$H$5:$H$1541,$C154,'供应商责任底表'!$F$5:$F$1541,$D154,'供应商责任底表'!$E$5:$E$1541,$E154)</f>
        <v>1</v>
      </c>
      <c r="H154" s="23" t="n">
        <f>SUMIFS('供应商责任底表'!$Q$5:$Q$1541,'供应商责任底表'!$A$5:$A$1541,$A154,'供应商责任底表'!$H$5:$H$1541,$C154,'供应商责任底表'!$F$5:$F$1541,$D154,'供应商责任底表'!$E$5:$E$1541,$E154)</f>
        <v>1</v>
      </c>
      <c r="I154" s="27" t="n">
        <f>IF(F154=0,"",H154/F154)</f>
        <v>1</v>
      </c>
      <c r="J154" s="23" t="n">
        <f>SUMIFS('供应商责任底表'!$S$5:$S$1541,'供应商责任底表'!$A$5:$A$1541,$A154,'供应商责任底表'!$H$5:$H$1541,$C154,'供应商责任底表'!$F$5:$F$1541,$D154,'供应商责任底表'!$E$5:$E$1541,$E154)</f>
        <v>1</v>
      </c>
      <c r="K154" s="23" t="n">
        <f>SUMIFS('供应商责任底表'!$T$5:$T$1541,'供应商责任底表'!$A$5:$A$1541,$A154,'供应商责任底表'!$H$5:$H$1541,$C154,'供应商责任底表'!$F$5:$F$1541,$D154,'供应商责任底表'!$E$5:$E$1541,$E154)</f>
        <v>1</v>
      </c>
      <c r="L154" s="27" t="n">
        <f>IF(J154=0,"",K154/J154)</f>
        <v>1</v>
      </c>
      <c r="M154" s="23" t="n">
        <f>SUMIFS('供应商责任底表'!$U$5:$U$1541,'供应商责任底表'!$A$5:$A$1541,$A154,'供应商责任底表'!$H$5:$H$1541,$C154,'供应商责任底表'!$F$5:$F$1541,$D154,'供应商责任底表'!$E$5:$E$1541,$E154)</f>
        <v>0</v>
      </c>
      <c r="N154" s="27" t="n">
        <f>IF(OR(F154=0,J154=0),"",L154-I154)</f>
        <v>0</v>
      </c>
      <c r="O154" s="23" t="n">
        <f>SUMIFS('供应商责任底表'!$V$5:$V$1541,'供应商责任底表'!$A$5:$A$1541,$A154,'供应商责任底表'!$H$5:$H$1541,$C154,'供应商责任底表'!$F$5:$F$1541,$D154,'供应商责任底表'!$E$5:$E$1541,$E154)</f>
        <v>0</v>
      </c>
    </row>
    <row r="155">
      <c r="A155" s="19" t="str">
        <v>西班牙区</v>
      </c>
      <c r="B155" s="19" t="str">
        <v>FLEXIPLAN ETT S.A.</v>
      </c>
      <c r="C155" s="19" t="str">
        <v>S000303</v>
      </c>
      <c r="D155" s="19" t="str">
        <v>操作员</v>
      </c>
      <c r="E155" s="19" t="str">
        <v>2026-06</v>
      </c>
      <c r="F155" s="23" t="n">
        <f>SUMIFS('供应商责任底表'!$O$5:$O$1541,'供应商责任底表'!$A$5:$A$1541,$A155,'供应商责任底表'!$H$5:$H$1541,$C155,'供应商责任底表'!$F$5:$F$1541,$D155,'供应商责任底表'!$E$5:$E$1541,$E155)</f>
        <v>2</v>
      </c>
      <c r="G155" s="23" t="n">
        <f>SUMIFS('供应商责任底表'!$P$5:$P$1541,'供应商责任底表'!$A$5:$A$1541,$A155,'供应商责任底表'!$H$5:$H$1541,$C155,'供应商责任底表'!$F$5:$F$1541,$D155,'供应商责任底表'!$E$5:$E$1541,$E155)</f>
        <v>2</v>
      </c>
      <c r="H155" s="23" t="n">
        <f>SUMIFS('供应商责任底表'!$Q$5:$Q$1541,'供应商责任底表'!$A$5:$A$1541,$A155,'供应商责任底表'!$H$5:$H$1541,$C155,'供应商责任底表'!$F$5:$F$1541,$D155,'供应商责任底表'!$E$5:$E$1541,$E155)</f>
        <v>2</v>
      </c>
      <c r="I155" s="27" t="n">
        <f>IF(F155=0,"",H155/F155)</f>
        <v>1</v>
      </c>
      <c r="J155" s="23" t="n">
        <f>SUMIFS('供应商责任底表'!$S$5:$S$1541,'供应商责任底表'!$A$5:$A$1541,$A155,'供应商责任底表'!$H$5:$H$1541,$C155,'供应商责任底表'!$F$5:$F$1541,$D155,'供应商责任底表'!$E$5:$E$1541,$E155)</f>
        <v>2</v>
      </c>
      <c r="K155" s="23" t="n">
        <f>SUMIFS('供应商责任底表'!$T$5:$T$1541,'供应商责任底表'!$A$5:$A$1541,$A155,'供应商责任底表'!$H$5:$H$1541,$C155,'供应商责任底表'!$F$5:$F$1541,$D155,'供应商责任底表'!$E$5:$E$1541,$E155)</f>
        <v>2</v>
      </c>
      <c r="L155" s="27" t="n">
        <f>IF(J155=0,"",K155/J155)</f>
        <v>1</v>
      </c>
      <c r="M155" s="23" t="n">
        <f>SUMIFS('供应商责任底表'!$U$5:$U$1541,'供应商责任底表'!$A$5:$A$1541,$A155,'供应商责任底表'!$H$5:$H$1541,$C155,'供应商责任底表'!$F$5:$F$1541,$D155,'供应商责任底表'!$E$5:$E$1541,$E155)</f>
        <v>0</v>
      </c>
      <c r="N155" s="27" t="n">
        <f>IF(OR(F155=0,J155=0),"",L155-I155)</f>
        <v>0</v>
      </c>
      <c r="O155" s="23" t="n">
        <f>SUMIFS('供应商责任底表'!$V$5:$V$1541,'供应商责任底表'!$A$5:$A$1541,$A155,'供应商责任底表'!$H$5:$H$1541,$C155,'供应商责任底表'!$F$5:$F$1541,$D155,'供应商责任底表'!$E$5:$E$1541,$E155)</f>
        <v>0</v>
      </c>
    </row>
  </sheetData>
  <mergeCells>
    <mergeCell ref="A1:O1"/>
    <mergeCell ref="A2:O2"/>
  </mergeCells>
  <conditionalFormatting sqref="I5:I155">
    <cfRule type="expression" dxfId="4" priority="1">
      <formula>AND(I5&lt;&gt;"",I5&lt;0.7)</formula>
    </cfRule>
    <cfRule type="expression" dxfId="5" priority="2">
      <formula>AND(I5&lt;&gt;"",I5&gt;=0.7,I5&lt;0.85)</formula>
    </cfRule>
    <cfRule type="expression" dxfId="6" priority="3">
      <formula>AND(I5&lt;&gt;"",I5&gt;=0.85)</formula>
    </cfRule>
  </conditionalFormatting>
  <conditionalFormatting sqref="L5:L155">
    <cfRule type="expression" dxfId="7" priority="4">
      <formula>AND(L5&lt;&gt;"",L5&lt;0.7)</formula>
    </cfRule>
    <cfRule type="expression" dxfId="8" priority="5">
      <formula>AND(L5&lt;&gt;"",L5&gt;=0.7,L5&lt;0.85)</formula>
    </cfRule>
    <cfRule type="expression" dxfId="9" priority="6">
      <formula>AND(L5&lt;&gt;"",L5&gt;=0.85)</formula>
    </cfRule>
  </conditionalFormatting>
  <pageMargins left="0.7" right="0.7" top="0.75" bottom="0.75" header="0.3" footer="0.3"/>
  <tableParts count="1">
    <tablePart xmlns:r="http://schemas.openxmlformats.org/officeDocument/2006/relationships" r:id="Rdcef204ce0a64515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14" hidden="0" customWidth="1"/>
    <col min="3" max="3" width="15" hidden="0" customWidth="1"/>
    <col min="4" max="4" width="10" hidden="0" customWidth="1"/>
    <col min="5" max="5" width="12" hidden="0" customWidth="1"/>
    <col min="6" max="6" width="11" hidden="0" customWidth="1"/>
    <col min="7" max="7" width="11" hidden="0" customWidth="1"/>
    <col min="8" max="8" width="12" hidden="0" customWidth="1"/>
    <col min="9" max="9" width="13" hidden="0" customWidth="1"/>
    <col min="10" max="10" width="11" hidden="0" customWidth="1"/>
    <col min="11" max="11" width="12" hidden="0" customWidth="1"/>
    <col min="12" max="12" width="11" hidden="0" customWidth="1"/>
    <col min="13" max="13" width="11" hidden="0" customWidth="1"/>
    <col min="14" max="14" width="12" hidden="0" customWidth="1"/>
    <col min="15" max="15" width="12" hidden="0" customWidth="1"/>
    <col min="16" max="16" width="12" hidden="0" customWidth="1"/>
    <col min="17" max="17" width="12" hidden="0" customWidth="1"/>
  </cols>
  <sheetData>
    <row r="1" ht="34" customHeight="1">
      <c r="A1" s="4" t="str">
        <v>仓库满足与发单质量：仓库结果、HR责任与供应商表现并列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38" customHeight="1">
      <c r="A2" s="8" t="str">
        <v>仓库满足率只评价仓库保障结果；发单覆盖、超发、少发和零需求发单用于评价HR分配质量；原始/校正履约率用于观察供应商表现。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ht="32" customHeight="1">
      <c r="A4" s="14" t="str">
        <v>区域</v>
      </c>
      <c r="B4" s="14" t="str">
        <v>层级</v>
      </c>
      <c r="C4" s="14" t="str">
        <v>工种</v>
      </c>
      <c r="D4" s="14" t="str">
        <v>月份</v>
      </c>
      <c r="E4" s="14" t="str">
        <v>真实需求</v>
      </c>
      <c r="F4" s="14" t="str">
        <v>总发单</v>
      </c>
      <c r="G4" s="14" t="str">
        <v>总派遣</v>
      </c>
      <c r="H4" s="14" t="str">
        <v>发单覆盖量</v>
      </c>
      <c r="I4" s="14" t="str">
        <v>仓库有效满足</v>
      </c>
      <c r="J4" s="14" t="str">
        <v>超发人日</v>
      </c>
      <c r="K4" s="14" t="str">
        <v>零需求发单</v>
      </c>
      <c r="L4" s="14" t="str">
        <v>少发人日</v>
      </c>
      <c r="M4" s="14" t="str">
        <v>冗余派遣</v>
      </c>
      <c r="N4" s="14" t="str">
        <v>发单覆盖率</v>
      </c>
      <c r="O4" s="14" t="str">
        <v>仓库满足率</v>
      </c>
      <c r="P4" s="14" t="str">
        <v>原始兑现率</v>
      </c>
      <c r="Q4" s="14" t="str">
        <v>超发校正率</v>
      </c>
    </row>
    <row r="5">
      <c r="A5" s="46" t="str">
        <v>英国区</v>
      </c>
      <c r="B5" s="46" t="str">
        <v>工种明细</v>
      </c>
      <c r="C5" s="46" t="str">
        <v>操作员</v>
      </c>
      <c r="D5" s="46" t="str">
        <v>2026-04</v>
      </c>
      <c r="E5" s="47" t="n">
        <f>SUMIFS('仓库单元底表'!$J$5:$J$1321,'仓库单元底表'!$A$5:$A$1321,$A5,'仓库单元底表'!$F$5:$F$1321,$C5,'仓库单元底表'!$E$5:$E$1321,$D5)</f>
        <v>623</v>
      </c>
      <c r="F5" s="47" t="n">
        <f>SUMIFS('仓库单元底表'!$K$5:$K$1321,'仓库单元底表'!$A$5:$A$1321,$A5,'仓库单元底表'!$F$5:$F$1321,$C5,'仓库单元底表'!$E$5:$E$1321,$D5)</f>
        <v>610</v>
      </c>
      <c r="G5" s="47" t="n">
        <f>SUMIFS('仓库单元底表'!$L$5:$L$1321,'仓库单元底表'!$A$5:$A$1321,$A5,'仓库单元底表'!$F$5:$F$1321,$C5,'仓库单元底表'!$E$5:$E$1321,$D5)</f>
        <v>566</v>
      </c>
      <c r="H5" s="47" t="n">
        <f>SUMIFS('仓库单元底表'!$M$5:$M$1321,'仓库单元底表'!$A$5:$A$1321,$A5,'仓库单元底表'!$F$5:$F$1321,$C5,'仓库单元底表'!$E$5:$E$1321,$D5)</f>
        <v>610</v>
      </c>
      <c r="I5" s="47" t="n">
        <f>SUMIFS('仓库单元底表'!$N$5:$N$1321,'仓库单元底表'!$A$5:$A$1321,$A5,'仓库单元底表'!$F$5:$F$1321,$C5,'仓库单元底表'!$E$5:$E$1321,$D5)</f>
        <v>566</v>
      </c>
      <c r="J5" s="47" t="n">
        <f>SUMIFS('仓库单元底表'!$P$5:$P$1321,'仓库单元底表'!$A$5:$A$1321,$A5,'仓库单元底表'!$F$5:$F$1321,$C5,'仓库单元底表'!$E$5:$E$1321,$D5)</f>
        <v>0</v>
      </c>
      <c r="K5" s="47" t="n">
        <f>SUMIFS('仓库单元底表'!$Q$5:$Q$1321,'仓库单元底表'!$A$5:$A$1321,$A5,'仓库单元底表'!$F$5:$F$1321,$C5,'仓库单元底表'!$E$5:$E$1321,$D5)</f>
        <v>0</v>
      </c>
      <c r="L5" s="47" t="n">
        <f>SUMIFS('仓库单元底表'!$R$5:$R$1321,'仓库单元底表'!$A$5:$A$1321,$A5,'仓库单元底表'!$F$5:$F$1321,$C5,'仓库单元底表'!$E$5:$E$1321,$D5)</f>
        <v>13</v>
      </c>
      <c r="M5" s="47" t="n">
        <f>SUMIFS('仓库单元底表'!$S$5:$S$1321,'仓库单元底表'!$A$5:$A$1321,$A5,'仓库单元底表'!$F$5:$F$1321,$C5,'仓库单元底表'!$E$5:$E$1321,$D5)</f>
        <v>0</v>
      </c>
      <c r="N5" s="48" t="n">
        <f>IF(E5=0,"",H5/E5)</f>
        <v>0.9791332263242376</v>
      </c>
      <c r="O5" s="48" t="n">
        <f>IF(E5=0,"",I5/E5)</f>
        <v>0.9085072231139647</v>
      </c>
      <c r="P5" s="48" t="n">
        <f>IF(SUMIFS('供应商月度明细'!$F$5:$F$155,'供应商月度明细'!$A$5:$A$155,$A5,'供应商月度明细'!$D$5:$D$155,$C5,'供应商月度明细'!$E$5:$E$155,$D5)=0,"",SUMIFS('供应商月度明细'!$H$5:$H$155,'供应商月度明细'!$A$5:$A$155,$A5,'供应商月度明细'!$D$5:$D$155,$C5,'供应商月度明细'!$E$5:$E$155,$D5)/SUMIFS('供应商月度明细'!$F$5:$F$155,'供应商月度明细'!$A$5:$A$155,$A5,'供应商月度明细'!$D$5:$D$155,$C5,'供应商月度明细'!$E$5:$E$155,$D5))</f>
        <v>0.9278688524590164</v>
      </c>
      <c r="Q5" s="48" t="n">
        <f>IF(SUMIFS('供应商月度明细'!$J$5:$J$155,'供应商月度明细'!$A$5:$A$155,$A5,'供应商月度明细'!$D$5:$D$155,$C5,'供应商月度明细'!$E$5:$E$155,$D5)=0,"",SUMIFS('供应商月度明细'!$K$5:$K$155,'供应商月度明细'!$A$5:$A$155,$A5,'供应商月度明细'!$D$5:$D$155,$C5,'供应商月度明细'!$E$5:$E$155,$D5)/SUMIFS('供应商月度明细'!$J$5:$J$155,'供应商月度明细'!$A$5:$A$155,$A5,'供应商月度明细'!$D$5:$D$155,$C5,'供应商月度明细'!$E$5:$E$155,$D5))</f>
        <v>0.9278688524590164</v>
      </c>
    </row>
    <row r="6">
      <c r="A6" s="34" t="str">
        <v>英国区</v>
      </c>
      <c r="B6" s="34" t="str">
        <v>工种明细</v>
      </c>
      <c r="C6" s="34" t="str">
        <v>操作员</v>
      </c>
      <c r="D6" s="34" t="str">
        <v>2026-05</v>
      </c>
      <c r="E6" s="36" t="n">
        <f>SUMIFS('仓库单元底表'!$J$5:$J$1321,'仓库单元底表'!$A$5:$A$1321,$A6,'仓库单元底表'!$F$5:$F$1321,$C6,'仓库单元底表'!$E$5:$E$1321,$D6)</f>
        <v>791</v>
      </c>
      <c r="F6" s="36" t="n">
        <f>SUMIFS('仓库单元底表'!$K$5:$K$1321,'仓库单元底表'!$A$5:$A$1321,$A6,'仓库单元底表'!$F$5:$F$1321,$C6,'仓库单元底表'!$E$5:$E$1321,$D6)</f>
        <v>788</v>
      </c>
      <c r="G6" s="36" t="n">
        <f>SUMIFS('仓库单元底表'!$L$5:$L$1321,'仓库单元底表'!$A$5:$A$1321,$A6,'仓库单元底表'!$F$5:$F$1321,$C6,'仓库单元底表'!$E$5:$E$1321,$D6)</f>
        <v>651</v>
      </c>
      <c r="H6" s="36" t="n">
        <f>SUMIFS('仓库单元底表'!$M$5:$M$1321,'仓库单元底表'!$A$5:$A$1321,$A6,'仓库单元底表'!$F$5:$F$1321,$C6,'仓库单元底表'!$E$5:$E$1321,$D6)</f>
        <v>783</v>
      </c>
      <c r="I6" s="36" t="n">
        <f>SUMIFS('仓库单元底表'!$N$5:$N$1321,'仓库单元底表'!$A$5:$A$1321,$A6,'仓库单元底表'!$F$5:$F$1321,$C6,'仓库单元底表'!$E$5:$E$1321,$D6)</f>
        <v>651</v>
      </c>
      <c r="J6" s="36" t="n">
        <f>SUMIFS('仓库单元底表'!$P$5:$P$1321,'仓库单元底表'!$A$5:$A$1321,$A6,'仓库单元底表'!$F$5:$F$1321,$C6,'仓库单元底表'!$E$5:$E$1321,$D6)</f>
        <v>5</v>
      </c>
      <c r="K6" s="36" t="n">
        <f>SUMIFS('仓库单元底表'!$Q$5:$Q$1321,'仓库单元底表'!$A$5:$A$1321,$A6,'仓库单元底表'!$F$5:$F$1321,$C6,'仓库单元底表'!$E$5:$E$1321,$D6)</f>
        <v>0</v>
      </c>
      <c r="L6" s="36" t="n">
        <f>SUMIFS('仓库单元底表'!$R$5:$R$1321,'仓库单元底表'!$A$5:$A$1321,$A6,'仓库单元底表'!$F$5:$F$1321,$C6,'仓库单元底表'!$E$5:$E$1321,$D6)</f>
        <v>8</v>
      </c>
      <c r="M6" s="36" t="n">
        <f>SUMIFS('仓库单元底表'!$S$5:$S$1321,'仓库单元底表'!$A$5:$A$1321,$A6,'仓库单元底表'!$F$5:$F$1321,$C6,'仓库单元底表'!$E$5:$E$1321,$D6)</f>
        <v>0</v>
      </c>
      <c r="N6" s="35" t="n">
        <f>IF(E6=0,"",H6/E6)</f>
        <v>0.9898862199747156</v>
      </c>
      <c r="O6" s="35" t="n">
        <f>IF(E6=0,"",I6/E6)</f>
        <v>0.8230088495575221</v>
      </c>
      <c r="P6" s="35" t="n">
        <f>IF(SUMIFS('供应商月度明细'!$F$5:$F$155,'供应商月度明细'!$A$5:$A$155,$A6,'供应商月度明细'!$D$5:$D$155,$C6,'供应商月度明细'!$E$5:$E$155,$D6)=0,"",SUMIFS('供应商月度明细'!$H$5:$H$155,'供应商月度明细'!$A$5:$A$155,$A6,'供应商月度明细'!$D$5:$D$155,$C6,'供应商月度明细'!$E$5:$E$155,$D6)/SUMIFS('供应商月度明细'!$F$5:$F$155,'供应商月度明细'!$A$5:$A$155,$A6,'供应商月度明细'!$D$5:$D$155,$C6,'供应商月度明细'!$E$5:$E$155,$D6))</f>
        <v>0.8261421319796954</v>
      </c>
      <c r="Q6" s="35" t="n">
        <f>IF(SUMIFS('供应商月度明细'!$J$5:$J$155,'供应商月度明细'!$A$5:$A$155,$A6,'供应商月度明细'!$D$5:$D$155,$C6,'供应商月度明细'!$E$5:$E$155,$D6)=0,"",SUMIFS('供应商月度明细'!$K$5:$K$155,'供应商月度明细'!$A$5:$A$155,$A6,'供应商月度明细'!$D$5:$D$155,$C6,'供应商月度明细'!$E$5:$E$155,$D6)/SUMIFS('供应商月度明细'!$J$5:$J$155,'供应商月度明细'!$A$5:$A$155,$A6,'供应商月度明细'!$D$5:$D$155,$C6,'供应商月度明细'!$E$5:$E$155,$D6))</f>
        <v>0.8282247765006385</v>
      </c>
    </row>
    <row r="7">
      <c r="A7" s="34" t="str">
        <v>英国区</v>
      </c>
      <c r="B7" s="34" t="str">
        <v>工种明细</v>
      </c>
      <c r="C7" s="34" t="str">
        <v>操作员</v>
      </c>
      <c r="D7" s="34" t="str">
        <v>2026-06</v>
      </c>
      <c r="E7" s="36" t="n">
        <f>SUMIFS('仓库单元底表'!$J$5:$J$1321,'仓库单元底表'!$A$5:$A$1321,$A7,'仓库单元底表'!$F$5:$F$1321,$C7,'仓库单元底表'!$E$5:$E$1321,$D7)</f>
        <v>919</v>
      </c>
      <c r="F7" s="36" t="n">
        <f>SUMIFS('仓库单元底表'!$K$5:$K$1321,'仓库单元底表'!$A$5:$A$1321,$A7,'仓库单元底表'!$F$5:$F$1321,$C7,'仓库单元底表'!$E$5:$E$1321,$D7)</f>
        <v>969</v>
      </c>
      <c r="G7" s="36" t="n">
        <f>SUMIFS('仓库单元底表'!$L$5:$L$1321,'仓库单元底表'!$A$5:$A$1321,$A7,'仓库单元底表'!$F$5:$F$1321,$C7,'仓库单元底表'!$E$5:$E$1321,$D7)</f>
        <v>854</v>
      </c>
      <c r="H7" s="36" t="n">
        <f>SUMIFS('仓库单元底表'!$M$5:$M$1321,'仓库单元底表'!$A$5:$A$1321,$A7,'仓库单元底表'!$F$5:$F$1321,$C7,'仓库单元底表'!$E$5:$E$1321,$D7)</f>
        <v>897</v>
      </c>
      <c r="I7" s="36" t="n">
        <f>SUMIFS('仓库单元底表'!$N$5:$N$1321,'仓库单元底表'!$A$5:$A$1321,$A7,'仓库单元底表'!$F$5:$F$1321,$C7,'仓库单元底表'!$E$5:$E$1321,$D7)</f>
        <v>811</v>
      </c>
      <c r="J7" s="36" t="n">
        <f>SUMIFS('仓库单元底表'!$P$5:$P$1321,'仓库单元底表'!$A$5:$A$1321,$A7,'仓库单元底表'!$F$5:$F$1321,$C7,'仓库单元底表'!$E$5:$E$1321,$D7)</f>
        <v>72</v>
      </c>
      <c r="K7" s="36" t="n">
        <f>SUMIFS('仓库单元底表'!$Q$5:$Q$1321,'仓库单元底表'!$A$5:$A$1321,$A7,'仓库单元底表'!$F$5:$F$1321,$C7,'仓库单元底表'!$E$5:$E$1321,$D7)</f>
        <v>0</v>
      </c>
      <c r="L7" s="36" t="n">
        <f>SUMIFS('仓库单元底表'!$R$5:$R$1321,'仓库单元底表'!$A$5:$A$1321,$A7,'仓库单元底表'!$F$5:$F$1321,$C7,'仓库单元底表'!$E$5:$E$1321,$D7)</f>
        <v>22</v>
      </c>
      <c r="M7" s="36" t="n">
        <f>SUMIFS('仓库单元底表'!$S$5:$S$1321,'仓库单元底表'!$A$5:$A$1321,$A7,'仓库单元底表'!$F$5:$F$1321,$C7,'仓库单元底表'!$E$5:$E$1321,$D7)</f>
        <v>43</v>
      </c>
      <c r="N7" s="35" t="n">
        <f>IF(E7=0,"",H7/E7)</f>
        <v>0.9760609357997824</v>
      </c>
      <c r="O7" s="35" t="n">
        <f>IF(E7=0,"",I7/E7)</f>
        <v>0.8824809575625681</v>
      </c>
      <c r="P7" s="35" t="n">
        <f>IF(SUMIFS('供应商月度明细'!$F$5:$F$155,'供应商月度明细'!$A$5:$A$155,$A7,'供应商月度明细'!$D$5:$D$155,$C7,'供应商月度明细'!$E$5:$E$155,$D7)=0,"",SUMIFS('供应商月度明细'!$H$5:$H$155,'供应商月度明细'!$A$5:$A$155,$A7,'供应商月度明细'!$D$5:$D$155,$C7,'供应商月度明细'!$E$5:$E$155,$D7)/SUMIFS('供应商月度明细'!$F$5:$F$155,'供应商月度明细'!$A$5:$A$155,$A7,'供应商月度明细'!$D$5:$D$155,$C7,'供应商月度明细'!$E$5:$E$155,$D7))</f>
        <v>0.8813209494324046</v>
      </c>
      <c r="Q7" s="35" t="n">
        <f>IF(SUMIFS('供应商月度明细'!$J$5:$J$155,'供应商月度明细'!$A$5:$A$155,$A7,'供应商月度明细'!$D$5:$D$155,$C7,'供应商月度明细'!$E$5:$E$155,$D7)=0,"",SUMIFS('供应商月度明细'!$K$5:$K$155,'供应商月度明细'!$A$5:$A$155,$A7,'供应商月度明细'!$D$5:$D$155,$C7,'供应商月度明细'!$E$5:$E$155,$D7)/SUMIFS('供应商月度明细'!$J$5:$J$155,'供应商月度明细'!$A$5:$A$155,$A7,'供应商月度明细'!$D$5:$D$155,$C7,'供应商月度明细'!$E$5:$E$155,$D7))</f>
        <v>0.90030259595477</v>
      </c>
    </row>
    <row r="8">
      <c r="A8" s="34" t="str">
        <v>英国区</v>
      </c>
      <c r="B8" s="34" t="str">
        <v>工种明细</v>
      </c>
      <c r="C8" s="34" t="str">
        <v>叉车司机</v>
      </c>
      <c r="D8" s="34" t="str">
        <v>2026-06</v>
      </c>
      <c r="E8" s="36" t="n">
        <f>SUMIFS('仓库单元底表'!$J$5:$J$1321,'仓库单元底表'!$A$5:$A$1321,$A8,'仓库单元底表'!$F$5:$F$1321,$C8,'仓库单元底表'!$E$5:$E$1321,$D8)</f>
        <v>12</v>
      </c>
      <c r="F8" s="36" t="n">
        <f>SUMIFS('仓库单元底表'!$K$5:$K$1321,'仓库单元底表'!$A$5:$A$1321,$A8,'仓库单元底表'!$F$5:$F$1321,$C8,'仓库单元底表'!$E$5:$E$1321,$D8)</f>
        <v>12</v>
      </c>
      <c r="G8" s="36" t="n">
        <f>SUMIFS('仓库单元底表'!$L$5:$L$1321,'仓库单元底表'!$A$5:$A$1321,$A8,'仓库单元底表'!$F$5:$F$1321,$C8,'仓库单元底表'!$E$5:$E$1321,$D8)</f>
        <v>6</v>
      </c>
      <c r="H8" s="36" t="n">
        <f>SUMIFS('仓库单元底表'!$M$5:$M$1321,'仓库单元底表'!$A$5:$A$1321,$A8,'仓库单元底表'!$F$5:$F$1321,$C8,'仓库单元底表'!$E$5:$E$1321,$D8)</f>
        <v>12</v>
      </c>
      <c r="I8" s="36" t="n">
        <f>SUMIFS('仓库单元底表'!$N$5:$N$1321,'仓库单元底表'!$A$5:$A$1321,$A8,'仓库单元底表'!$F$5:$F$1321,$C8,'仓库单元底表'!$E$5:$E$1321,$D8)</f>
        <v>6</v>
      </c>
      <c r="J8" s="36" t="n">
        <f>SUMIFS('仓库单元底表'!$P$5:$P$1321,'仓库单元底表'!$A$5:$A$1321,$A8,'仓库单元底表'!$F$5:$F$1321,$C8,'仓库单元底表'!$E$5:$E$1321,$D8)</f>
        <v>0</v>
      </c>
      <c r="K8" s="36" t="n">
        <f>SUMIFS('仓库单元底表'!$Q$5:$Q$1321,'仓库单元底表'!$A$5:$A$1321,$A8,'仓库单元底表'!$F$5:$F$1321,$C8,'仓库单元底表'!$E$5:$E$1321,$D8)</f>
        <v>0</v>
      </c>
      <c r="L8" s="36" t="n">
        <f>SUMIFS('仓库单元底表'!$R$5:$R$1321,'仓库单元底表'!$A$5:$A$1321,$A8,'仓库单元底表'!$F$5:$F$1321,$C8,'仓库单元底表'!$E$5:$E$1321,$D8)</f>
        <v>0</v>
      </c>
      <c r="M8" s="36" t="n">
        <f>SUMIFS('仓库单元底表'!$S$5:$S$1321,'仓库单元底表'!$A$5:$A$1321,$A8,'仓库单元底表'!$F$5:$F$1321,$C8,'仓库单元底表'!$E$5:$E$1321,$D8)</f>
        <v>0</v>
      </c>
      <c r="N8" s="35" t="n">
        <f>IF(E8=0,"",H8/E8)</f>
        <v>1</v>
      </c>
      <c r="O8" s="35" t="n">
        <f>IF(E8=0,"",I8/E8)</f>
        <v>0.5</v>
      </c>
      <c r="P8" s="35" t="n">
        <f>IF(SUMIFS('供应商月度明细'!$F$5:$F$155,'供应商月度明细'!$A$5:$A$155,$A8,'供应商月度明细'!$D$5:$D$155,$C8,'供应商月度明细'!$E$5:$E$155,$D8)=0,"",SUMIFS('供应商月度明细'!$H$5:$H$155,'供应商月度明细'!$A$5:$A$155,$A8,'供应商月度明细'!$D$5:$D$155,$C8,'供应商月度明细'!$E$5:$E$155,$D8)/SUMIFS('供应商月度明细'!$F$5:$F$155,'供应商月度明细'!$A$5:$A$155,$A8,'供应商月度明细'!$D$5:$D$155,$C8,'供应商月度明细'!$E$5:$E$155,$D8))</f>
        <v>0.5</v>
      </c>
      <c r="Q8" s="35" t="n">
        <f>IF(SUMIFS('供应商月度明细'!$J$5:$J$155,'供应商月度明细'!$A$5:$A$155,$A8,'供应商月度明细'!$D$5:$D$155,$C8,'供应商月度明细'!$E$5:$E$155,$D8)=0,"",SUMIFS('供应商月度明细'!$K$5:$K$155,'供应商月度明细'!$A$5:$A$155,$A8,'供应商月度明细'!$D$5:$D$155,$C8,'供应商月度明细'!$E$5:$E$155,$D8)/SUMIFS('供应商月度明细'!$J$5:$J$155,'供应商月度明细'!$A$5:$A$155,$A8,'供应商月度明细'!$D$5:$D$155,$C8,'供应商月度明细'!$E$5:$E$155,$D8))</f>
        <v>0.5</v>
      </c>
    </row>
    <row r="9">
      <c r="A9" s="34" t="str">
        <v>英国区</v>
      </c>
      <c r="B9" s="34" t="str">
        <v>工种明细</v>
      </c>
      <c r="C9" s="34" t="str">
        <v>售后处理员</v>
      </c>
      <c r="D9" s="34" t="str">
        <v>2026-04</v>
      </c>
      <c r="E9" s="36" t="n">
        <f>SUMIFS('仓库单元底表'!$J$5:$J$1321,'仓库单元底表'!$A$5:$A$1321,$A9,'仓库单元底表'!$F$5:$F$1321,$C9,'仓库单元底表'!$E$5:$E$1321,$D9)</f>
        <v>1</v>
      </c>
      <c r="F9" s="36" t="n">
        <f>SUMIFS('仓库单元底表'!$K$5:$K$1321,'仓库单元底表'!$A$5:$A$1321,$A9,'仓库单元底表'!$F$5:$F$1321,$C9,'仓库单元底表'!$E$5:$E$1321,$D9)</f>
        <v>1</v>
      </c>
      <c r="G9" s="36" t="n">
        <f>SUMIFS('仓库单元底表'!$L$5:$L$1321,'仓库单元底表'!$A$5:$A$1321,$A9,'仓库单元底表'!$F$5:$F$1321,$C9,'仓库单元底表'!$E$5:$E$1321,$D9)</f>
        <v>1</v>
      </c>
      <c r="H9" s="36" t="n">
        <f>SUMIFS('仓库单元底表'!$M$5:$M$1321,'仓库单元底表'!$A$5:$A$1321,$A9,'仓库单元底表'!$F$5:$F$1321,$C9,'仓库单元底表'!$E$5:$E$1321,$D9)</f>
        <v>1</v>
      </c>
      <c r="I9" s="36" t="n">
        <f>SUMIFS('仓库单元底表'!$N$5:$N$1321,'仓库单元底表'!$A$5:$A$1321,$A9,'仓库单元底表'!$F$5:$F$1321,$C9,'仓库单元底表'!$E$5:$E$1321,$D9)</f>
        <v>1</v>
      </c>
      <c r="J9" s="36" t="n">
        <f>SUMIFS('仓库单元底表'!$P$5:$P$1321,'仓库单元底表'!$A$5:$A$1321,$A9,'仓库单元底表'!$F$5:$F$1321,$C9,'仓库单元底表'!$E$5:$E$1321,$D9)</f>
        <v>0</v>
      </c>
      <c r="K9" s="36" t="n">
        <f>SUMIFS('仓库单元底表'!$Q$5:$Q$1321,'仓库单元底表'!$A$5:$A$1321,$A9,'仓库单元底表'!$F$5:$F$1321,$C9,'仓库单元底表'!$E$5:$E$1321,$D9)</f>
        <v>0</v>
      </c>
      <c r="L9" s="36" t="n">
        <f>SUMIFS('仓库单元底表'!$R$5:$R$1321,'仓库单元底表'!$A$5:$A$1321,$A9,'仓库单元底表'!$F$5:$F$1321,$C9,'仓库单元底表'!$E$5:$E$1321,$D9)</f>
        <v>0</v>
      </c>
      <c r="M9" s="36" t="n">
        <f>SUMIFS('仓库单元底表'!$S$5:$S$1321,'仓库单元底表'!$A$5:$A$1321,$A9,'仓库单元底表'!$F$5:$F$1321,$C9,'仓库单元底表'!$E$5:$E$1321,$D9)</f>
        <v>0</v>
      </c>
      <c r="N9" s="35" t="n">
        <f>IF(E9=0,"",H9/E9)</f>
        <v>1</v>
      </c>
      <c r="O9" s="35" t="n">
        <f>IF(E9=0,"",I9/E9)</f>
        <v>1</v>
      </c>
      <c r="P9" s="35" t="n">
        <f>IF(SUMIFS('供应商月度明细'!$F$5:$F$155,'供应商月度明细'!$A$5:$A$155,$A9,'供应商月度明细'!$D$5:$D$155,$C9,'供应商月度明细'!$E$5:$E$155,$D9)=0,"",SUMIFS('供应商月度明细'!$H$5:$H$155,'供应商月度明细'!$A$5:$A$155,$A9,'供应商月度明细'!$D$5:$D$155,$C9,'供应商月度明细'!$E$5:$E$155,$D9)/SUMIFS('供应商月度明细'!$F$5:$F$155,'供应商月度明细'!$A$5:$A$155,$A9,'供应商月度明细'!$D$5:$D$155,$C9,'供应商月度明细'!$E$5:$E$155,$D9))</f>
        <v>1</v>
      </c>
      <c r="Q9" s="35" t="n">
        <f>IF(SUMIFS('供应商月度明细'!$J$5:$J$155,'供应商月度明细'!$A$5:$A$155,$A9,'供应商月度明细'!$D$5:$D$155,$C9,'供应商月度明细'!$E$5:$E$155,$D9)=0,"",SUMIFS('供应商月度明细'!$K$5:$K$155,'供应商月度明细'!$A$5:$A$155,$A9,'供应商月度明细'!$D$5:$D$155,$C9,'供应商月度明细'!$E$5:$E$155,$D9)/SUMIFS('供应商月度明细'!$J$5:$J$155,'供应商月度明细'!$A$5:$A$155,$A9,'供应商月度明细'!$D$5:$D$155,$C9,'供应商月度明细'!$E$5:$E$155,$D9))</f>
        <v>1</v>
      </c>
    </row>
    <row r="10">
      <c r="A10" s="34" t="str">
        <v>英国区</v>
      </c>
      <c r="B10" s="34" t="str">
        <v>工种明细</v>
      </c>
      <c r="C10" s="34" t="str">
        <v>售后处理员</v>
      </c>
      <c r="D10" s="34" t="str">
        <v>2026-05</v>
      </c>
      <c r="E10" s="36" t="n">
        <f>SUMIFS('仓库单元底表'!$J$5:$J$1321,'仓库单元底表'!$A$5:$A$1321,$A10,'仓库单元底表'!$F$5:$F$1321,$C10,'仓库单元底表'!$E$5:$E$1321,$D10)</f>
        <v>2</v>
      </c>
      <c r="F10" s="36" t="n">
        <f>SUMIFS('仓库单元底表'!$K$5:$K$1321,'仓库单元底表'!$A$5:$A$1321,$A10,'仓库单元底表'!$F$5:$F$1321,$C10,'仓库单元底表'!$E$5:$E$1321,$D10)</f>
        <v>2</v>
      </c>
      <c r="G10" s="36" t="n">
        <f>SUMIFS('仓库单元底表'!$L$5:$L$1321,'仓库单元底表'!$A$5:$A$1321,$A10,'仓库单元底表'!$F$5:$F$1321,$C10,'仓库单元底表'!$E$5:$E$1321,$D10)</f>
        <v>2</v>
      </c>
      <c r="H10" s="36" t="n">
        <f>SUMIFS('仓库单元底表'!$M$5:$M$1321,'仓库单元底表'!$A$5:$A$1321,$A10,'仓库单元底表'!$F$5:$F$1321,$C10,'仓库单元底表'!$E$5:$E$1321,$D10)</f>
        <v>2</v>
      </c>
      <c r="I10" s="36" t="n">
        <f>SUMIFS('仓库单元底表'!$N$5:$N$1321,'仓库单元底表'!$A$5:$A$1321,$A10,'仓库单元底表'!$F$5:$F$1321,$C10,'仓库单元底表'!$E$5:$E$1321,$D10)</f>
        <v>2</v>
      </c>
      <c r="J10" s="36" t="n">
        <f>SUMIFS('仓库单元底表'!$P$5:$P$1321,'仓库单元底表'!$A$5:$A$1321,$A10,'仓库单元底表'!$F$5:$F$1321,$C10,'仓库单元底表'!$E$5:$E$1321,$D10)</f>
        <v>0</v>
      </c>
      <c r="K10" s="36" t="n">
        <f>SUMIFS('仓库单元底表'!$Q$5:$Q$1321,'仓库单元底表'!$A$5:$A$1321,$A10,'仓库单元底表'!$F$5:$F$1321,$C10,'仓库单元底表'!$E$5:$E$1321,$D10)</f>
        <v>0</v>
      </c>
      <c r="L10" s="36" t="n">
        <f>SUMIFS('仓库单元底表'!$R$5:$R$1321,'仓库单元底表'!$A$5:$A$1321,$A10,'仓库单元底表'!$F$5:$F$1321,$C10,'仓库单元底表'!$E$5:$E$1321,$D10)</f>
        <v>0</v>
      </c>
      <c r="M10" s="36" t="n">
        <f>SUMIFS('仓库单元底表'!$S$5:$S$1321,'仓库单元底表'!$A$5:$A$1321,$A10,'仓库单元底表'!$F$5:$F$1321,$C10,'仓库单元底表'!$E$5:$E$1321,$D10)</f>
        <v>0</v>
      </c>
      <c r="N10" s="35" t="n">
        <f>IF(E10=0,"",H10/E10)</f>
        <v>1</v>
      </c>
      <c r="O10" s="35" t="n">
        <f>IF(E10=0,"",I10/E10)</f>
        <v>1</v>
      </c>
      <c r="P10" s="35" t="n">
        <f>IF(SUMIFS('供应商月度明细'!$F$5:$F$155,'供应商月度明细'!$A$5:$A$155,$A10,'供应商月度明细'!$D$5:$D$155,$C10,'供应商月度明细'!$E$5:$E$155,$D10)=0,"",SUMIFS('供应商月度明细'!$H$5:$H$155,'供应商月度明细'!$A$5:$A$155,$A10,'供应商月度明细'!$D$5:$D$155,$C10,'供应商月度明细'!$E$5:$E$155,$D10)/SUMIFS('供应商月度明细'!$F$5:$F$155,'供应商月度明细'!$A$5:$A$155,$A10,'供应商月度明细'!$D$5:$D$155,$C10,'供应商月度明细'!$E$5:$E$155,$D10))</f>
        <v>1</v>
      </c>
      <c r="Q10" s="35" t="n">
        <f>IF(SUMIFS('供应商月度明细'!$J$5:$J$155,'供应商月度明细'!$A$5:$A$155,$A10,'供应商月度明细'!$D$5:$D$155,$C10,'供应商月度明细'!$E$5:$E$155,$D10)=0,"",SUMIFS('供应商月度明细'!$K$5:$K$155,'供应商月度明细'!$A$5:$A$155,$A10,'供应商月度明细'!$D$5:$D$155,$C10,'供应商月度明细'!$E$5:$E$155,$D10)/SUMIFS('供应商月度明细'!$J$5:$J$155,'供应商月度明细'!$A$5:$A$155,$A10,'供应商月度明细'!$D$5:$D$155,$C10,'供应商月度明细'!$E$5:$E$155,$D10))</f>
        <v>1</v>
      </c>
    </row>
    <row r="11">
      <c r="A11" s="34" t="str">
        <v>英国区</v>
      </c>
      <c r="B11" s="34" t="str">
        <v>工种明细</v>
      </c>
      <c r="C11" s="34" t="str">
        <v>保洁员</v>
      </c>
      <c r="D11" s="34" t="str">
        <v>2026-04</v>
      </c>
      <c r="E11" s="36" t="n">
        <f>SUMIFS('仓库单元底表'!$J$5:$J$1321,'仓库单元底表'!$A$5:$A$1321,$A11,'仓库单元底表'!$F$5:$F$1321,$C11,'仓库单元底表'!$E$5:$E$1321,$D11)</f>
        <v>2</v>
      </c>
      <c r="F11" s="36" t="n">
        <f>SUMIFS('仓库单元底表'!$K$5:$K$1321,'仓库单元底表'!$A$5:$A$1321,$A11,'仓库单元底表'!$F$5:$F$1321,$C11,'仓库单元底表'!$E$5:$E$1321,$D11)</f>
        <v>2</v>
      </c>
      <c r="G11" s="36" t="n">
        <f>SUMIFS('仓库单元底表'!$L$5:$L$1321,'仓库单元底表'!$A$5:$A$1321,$A11,'仓库单元底表'!$F$5:$F$1321,$C11,'仓库单元底表'!$E$5:$E$1321,$D11)</f>
        <v>1</v>
      </c>
      <c r="H11" s="36" t="n">
        <f>SUMIFS('仓库单元底表'!$M$5:$M$1321,'仓库单元底表'!$A$5:$A$1321,$A11,'仓库单元底表'!$F$5:$F$1321,$C11,'仓库单元底表'!$E$5:$E$1321,$D11)</f>
        <v>2</v>
      </c>
      <c r="I11" s="36" t="n">
        <f>SUMIFS('仓库单元底表'!$N$5:$N$1321,'仓库单元底表'!$A$5:$A$1321,$A11,'仓库单元底表'!$F$5:$F$1321,$C11,'仓库单元底表'!$E$5:$E$1321,$D11)</f>
        <v>1</v>
      </c>
      <c r="J11" s="36" t="n">
        <f>SUMIFS('仓库单元底表'!$P$5:$P$1321,'仓库单元底表'!$A$5:$A$1321,$A11,'仓库单元底表'!$F$5:$F$1321,$C11,'仓库单元底表'!$E$5:$E$1321,$D11)</f>
        <v>0</v>
      </c>
      <c r="K11" s="36" t="n">
        <f>SUMIFS('仓库单元底表'!$Q$5:$Q$1321,'仓库单元底表'!$A$5:$A$1321,$A11,'仓库单元底表'!$F$5:$F$1321,$C11,'仓库单元底表'!$E$5:$E$1321,$D11)</f>
        <v>0</v>
      </c>
      <c r="L11" s="36" t="n">
        <f>SUMIFS('仓库单元底表'!$R$5:$R$1321,'仓库单元底表'!$A$5:$A$1321,$A11,'仓库单元底表'!$F$5:$F$1321,$C11,'仓库单元底表'!$E$5:$E$1321,$D11)</f>
        <v>0</v>
      </c>
      <c r="M11" s="36" t="n">
        <f>SUMIFS('仓库单元底表'!$S$5:$S$1321,'仓库单元底表'!$A$5:$A$1321,$A11,'仓库单元底表'!$F$5:$F$1321,$C11,'仓库单元底表'!$E$5:$E$1321,$D11)</f>
        <v>0</v>
      </c>
      <c r="N11" s="35" t="n">
        <f>IF(E11=0,"",H11/E11)</f>
        <v>1</v>
      </c>
      <c r="O11" s="35" t="n">
        <f>IF(E11=0,"",I11/E11)</f>
        <v>0.5</v>
      </c>
      <c r="P11" s="35" t="n">
        <f>IF(SUMIFS('供应商月度明细'!$F$5:$F$155,'供应商月度明细'!$A$5:$A$155,$A11,'供应商月度明细'!$D$5:$D$155,$C11,'供应商月度明细'!$E$5:$E$155,$D11)=0,"",SUMIFS('供应商月度明细'!$H$5:$H$155,'供应商月度明细'!$A$5:$A$155,$A11,'供应商月度明细'!$D$5:$D$155,$C11,'供应商月度明细'!$E$5:$E$155,$D11)/SUMIFS('供应商月度明细'!$F$5:$F$155,'供应商月度明细'!$A$5:$A$155,$A11,'供应商月度明细'!$D$5:$D$155,$C11,'供应商月度明细'!$E$5:$E$155,$D11))</f>
        <v>0.5</v>
      </c>
      <c r="Q11" s="35" t="n">
        <f>IF(SUMIFS('供应商月度明细'!$J$5:$J$155,'供应商月度明细'!$A$5:$A$155,$A11,'供应商月度明细'!$D$5:$D$155,$C11,'供应商月度明细'!$E$5:$E$155,$D11)=0,"",SUMIFS('供应商月度明细'!$K$5:$K$155,'供应商月度明细'!$A$5:$A$155,$A11,'供应商月度明细'!$D$5:$D$155,$C11,'供应商月度明细'!$E$5:$E$155,$D11)/SUMIFS('供应商月度明细'!$J$5:$J$155,'供应商月度明细'!$A$5:$A$155,$A11,'供应商月度明细'!$D$5:$D$155,$C11,'供应商月度明细'!$E$5:$E$155,$D11))</f>
        <v>0.5</v>
      </c>
    </row>
    <row r="12">
      <c r="A12" s="34" t="str">
        <v>英国区</v>
      </c>
      <c r="B12" s="34" t="str">
        <v>工种明细</v>
      </c>
      <c r="C12" s="34" t="str">
        <v>交运员 3.5T</v>
      </c>
      <c r="D12" s="34" t="str">
        <v>2026-05</v>
      </c>
      <c r="E12" s="36" t="n">
        <f>SUMIFS('仓库单元底表'!$J$5:$J$1321,'仓库单元底表'!$A$5:$A$1321,$A12,'仓库单元底表'!$F$5:$F$1321,$C12,'仓库单元底表'!$E$5:$E$1321,$D12)</f>
        <v>4</v>
      </c>
      <c r="F12" s="36" t="n">
        <f>SUMIFS('仓库单元底表'!$K$5:$K$1321,'仓库单元底表'!$A$5:$A$1321,$A12,'仓库单元底表'!$F$5:$F$1321,$C12,'仓库单元底表'!$E$5:$E$1321,$D12)</f>
        <v>4</v>
      </c>
      <c r="G12" s="36" t="n">
        <f>SUMIFS('仓库单元底表'!$L$5:$L$1321,'仓库单元底表'!$A$5:$A$1321,$A12,'仓库单元底表'!$F$5:$F$1321,$C12,'仓库单元底表'!$E$5:$E$1321,$D12)</f>
        <v>4</v>
      </c>
      <c r="H12" s="36" t="n">
        <f>SUMIFS('仓库单元底表'!$M$5:$M$1321,'仓库单元底表'!$A$5:$A$1321,$A12,'仓库单元底表'!$F$5:$F$1321,$C12,'仓库单元底表'!$E$5:$E$1321,$D12)</f>
        <v>4</v>
      </c>
      <c r="I12" s="36" t="n">
        <f>SUMIFS('仓库单元底表'!$N$5:$N$1321,'仓库单元底表'!$A$5:$A$1321,$A12,'仓库单元底表'!$F$5:$F$1321,$C12,'仓库单元底表'!$E$5:$E$1321,$D12)</f>
        <v>4</v>
      </c>
      <c r="J12" s="36" t="n">
        <f>SUMIFS('仓库单元底表'!$P$5:$P$1321,'仓库单元底表'!$A$5:$A$1321,$A12,'仓库单元底表'!$F$5:$F$1321,$C12,'仓库单元底表'!$E$5:$E$1321,$D12)</f>
        <v>0</v>
      </c>
      <c r="K12" s="36" t="n">
        <f>SUMIFS('仓库单元底表'!$Q$5:$Q$1321,'仓库单元底表'!$A$5:$A$1321,$A12,'仓库单元底表'!$F$5:$F$1321,$C12,'仓库单元底表'!$E$5:$E$1321,$D12)</f>
        <v>0</v>
      </c>
      <c r="L12" s="36" t="n">
        <f>SUMIFS('仓库单元底表'!$R$5:$R$1321,'仓库单元底表'!$A$5:$A$1321,$A12,'仓库单元底表'!$F$5:$F$1321,$C12,'仓库单元底表'!$E$5:$E$1321,$D12)</f>
        <v>0</v>
      </c>
      <c r="M12" s="36" t="n">
        <f>SUMIFS('仓库单元底表'!$S$5:$S$1321,'仓库单元底表'!$A$5:$A$1321,$A12,'仓库单元底表'!$F$5:$F$1321,$C12,'仓库单元底表'!$E$5:$E$1321,$D12)</f>
        <v>0</v>
      </c>
      <c r="N12" s="35" t="n">
        <f>IF(E12=0,"",H12/E12)</f>
        <v>1</v>
      </c>
      <c r="O12" s="35" t="n">
        <f>IF(E12=0,"",I12/E12)</f>
        <v>1</v>
      </c>
      <c r="P12" s="35" t="n">
        <f>IF(SUMIFS('供应商月度明细'!$F$5:$F$155,'供应商月度明细'!$A$5:$A$155,$A12,'供应商月度明细'!$D$5:$D$155,$C12,'供应商月度明细'!$E$5:$E$155,$D12)=0,"",SUMIFS('供应商月度明细'!$H$5:$H$155,'供应商月度明细'!$A$5:$A$155,$A12,'供应商月度明细'!$D$5:$D$155,$C12,'供应商月度明细'!$E$5:$E$155,$D12)/SUMIFS('供应商月度明细'!$F$5:$F$155,'供应商月度明细'!$A$5:$A$155,$A12,'供应商月度明细'!$D$5:$D$155,$C12,'供应商月度明细'!$E$5:$E$155,$D12))</f>
        <v>1</v>
      </c>
      <c r="Q12" s="35" t="n">
        <f>IF(SUMIFS('供应商月度明细'!$J$5:$J$155,'供应商月度明细'!$A$5:$A$155,$A12,'供应商月度明细'!$D$5:$D$155,$C12,'供应商月度明细'!$E$5:$E$155,$D12)=0,"",SUMIFS('供应商月度明细'!$K$5:$K$155,'供应商月度明细'!$A$5:$A$155,$A12,'供应商月度明细'!$D$5:$D$155,$C12,'供应商月度明细'!$E$5:$E$155,$D12)/SUMIFS('供应商月度明细'!$J$5:$J$155,'供应商月度明细'!$A$5:$A$155,$A12,'供应商月度明细'!$D$5:$D$155,$C12,'供应商月度明细'!$E$5:$E$155,$D12))</f>
        <v>1</v>
      </c>
    </row>
    <row r="13">
      <c r="A13" s="34" t="str">
        <v>英国区</v>
      </c>
      <c r="B13" s="34" t="str">
        <v>工种明细</v>
      </c>
      <c r="C13" s="34" t="str">
        <v>保安</v>
      </c>
      <c r="D13" s="34" t="str">
        <v>2026-04</v>
      </c>
      <c r="E13" s="36" t="n">
        <f>SUMIFS('仓库单元底表'!$J$5:$J$1321,'仓库单元底表'!$A$5:$A$1321,$A13,'仓库单元底表'!$F$5:$F$1321,$C13,'仓库单元底表'!$E$5:$E$1321,$D13)</f>
        <v>3</v>
      </c>
      <c r="F13" s="36" t="n">
        <f>SUMIFS('仓库单元底表'!$K$5:$K$1321,'仓库单元底表'!$A$5:$A$1321,$A13,'仓库单元底表'!$F$5:$F$1321,$C13,'仓库单元底表'!$E$5:$E$1321,$D13)</f>
        <v>4</v>
      </c>
      <c r="G13" s="36" t="n">
        <f>SUMIFS('仓库单元底表'!$L$5:$L$1321,'仓库单元底表'!$A$5:$A$1321,$A13,'仓库单元底表'!$F$5:$F$1321,$C13,'仓库单元底表'!$E$5:$E$1321,$D13)</f>
        <v>3</v>
      </c>
      <c r="H13" s="36" t="n">
        <f>SUMIFS('仓库单元底表'!$M$5:$M$1321,'仓库单元底表'!$A$5:$A$1321,$A13,'仓库单元底表'!$F$5:$F$1321,$C13,'仓库单元底表'!$E$5:$E$1321,$D13)</f>
        <v>3</v>
      </c>
      <c r="I13" s="36" t="n">
        <f>SUMIFS('仓库单元底表'!$N$5:$N$1321,'仓库单元底表'!$A$5:$A$1321,$A13,'仓库单元底表'!$F$5:$F$1321,$C13,'仓库单元底表'!$E$5:$E$1321,$D13)</f>
        <v>3</v>
      </c>
      <c r="J13" s="36" t="n">
        <f>SUMIFS('仓库单元底表'!$P$5:$P$1321,'仓库单元底表'!$A$5:$A$1321,$A13,'仓库单元底表'!$F$5:$F$1321,$C13,'仓库单元底表'!$E$5:$E$1321,$D13)</f>
        <v>1</v>
      </c>
      <c r="K13" s="36" t="n">
        <f>SUMIFS('仓库单元底表'!$Q$5:$Q$1321,'仓库单元底表'!$A$5:$A$1321,$A13,'仓库单元底表'!$F$5:$F$1321,$C13,'仓库单元底表'!$E$5:$E$1321,$D13)</f>
        <v>0</v>
      </c>
      <c r="L13" s="36" t="n">
        <f>SUMIFS('仓库单元底表'!$R$5:$R$1321,'仓库单元底表'!$A$5:$A$1321,$A13,'仓库单元底表'!$F$5:$F$1321,$C13,'仓库单元底表'!$E$5:$E$1321,$D13)</f>
        <v>0</v>
      </c>
      <c r="M13" s="36" t="n">
        <f>SUMIFS('仓库单元底表'!$S$5:$S$1321,'仓库单元底表'!$A$5:$A$1321,$A13,'仓库单元底表'!$F$5:$F$1321,$C13,'仓库单元底表'!$E$5:$E$1321,$D13)</f>
        <v>0</v>
      </c>
      <c r="N13" s="35" t="n">
        <f>IF(E13=0,"",H13/E13)</f>
        <v>1</v>
      </c>
      <c r="O13" s="35" t="n">
        <f>IF(E13=0,"",I13/E13)</f>
        <v>1</v>
      </c>
      <c r="P13" s="35" t="n">
        <f>IF(SUMIFS('供应商月度明细'!$F$5:$F$155,'供应商月度明细'!$A$5:$A$155,$A13,'供应商月度明细'!$D$5:$D$155,$C13,'供应商月度明细'!$E$5:$E$155,$D13)=0,"",SUMIFS('供应商月度明细'!$H$5:$H$155,'供应商月度明细'!$A$5:$A$155,$A13,'供应商月度明细'!$D$5:$D$155,$C13,'供应商月度明细'!$E$5:$E$155,$D13)/SUMIFS('供应商月度明细'!$F$5:$F$155,'供应商月度明细'!$A$5:$A$155,$A13,'供应商月度明细'!$D$5:$D$155,$C13,'供应商月度明细'!$E$5:$E$155,$D13))</f>
        <v>0.75</v>
      </c>
      <c r="Q13" s="35" t="n">
        <f>IF(SUMIFS('供应商月度明细'!$J$5:$J$155,'供应商月度明细'!$A$5:$A$155,$A13,'供应商月度明细'!$D$5:$D$155,$C13,'供应商月度明细'!$E$5:$E$155,$D13)=0,"",SUMIFS('供应商月度明细'!$K$5:$K$155,'供应商月度明细'!$A$5:$A$155,$A13,'供应商月度明细'!$D$5:$D$155,$C13,'供应商月度明细'!$E$5:$E$155,$D13)/SUMIFS('供应商月度明细'!$J$5:$J$155,'供应商月度明细'!$A$5:$A$155,$A13,'供应商月度明细'!$D$5:$D$155,$C13,'供应商月度明细'!$E$5:$E$155,$D13))</f>
        <v>0.8333333333333334</v>
      </c>
    </row>
    <row r="14">
      <c r="A14" s="34" t="str">
        <v>英国区</v>
      </c>
      <c r="B14" s="34" t="str">
        <v>工种明细</v>
      </c>
      <c r="C14" s="34" t="str">
        <v>保安</v>
      </c>
      <c r="D14" s="34" t="str">
        <v>2026-05</v>
      </c>
      <c r="E14" s="36" t="n">
        <f>SUMIFS('仓库单元底表'!$J$5:$J$1321,'仓库单元底表'!$A$5:$A$1321,$A14,'仓库单元底表'!$F$5:$F$1321,$C14,'仓库单元底表'!$E$5:$E$1321,$D14)</f>
        <v>3</v>
      </c>
      <c r="F14" s="36" t="n">
        <f>SUMIFS('仓库单元底表'!$K$5:$K$1321,'仓库单元底表'!$A$5:$A$1321,$A14,'仓库单元底表'!$F$5:$F$1321,$C14,'仓库单元底表'!$E$5:$E$1321,$D14)</f>
        <v>3</v>
      </c>
      <c r="G14" s="36" t="n">
        <f>SUMIFS('仓库单元底表'!$L$5:$L$1321,'仓库单元底表'!$A$5:$A$1321,$A14,'仓库单元底表'!$F$5:$F$1321,$C14,'仓库单元底表'!$E$5:$E$1321,$D14)</f>
        <v>3</v>
      </c>
      <c r="H14" s="36" t="n">
        <f>SUMIFS('仓库单元底表'!$M$5:$M$1321,'仓库单元底表'!$A$5:$A$1321,$A14,'仓库单元底表'!$F$5:$F$1321,$C14,'仓库单元底表'!$E$5:$E$1321,$D14)</f>
        <v>3</v>
      </c>
      <c r="I14" s="36" t="n">
        <f>SUMIFS('仓库单元底表'!$N$5:$N$1321,'仓库单元底表'!$A$5:$A$1321,$A14,'仓库单元底表'!$F$5:$F$1321,$C14,'仓库单元底表'!$E$5:$E$1321,$D14)</f>
        <v>3</v>
      </c>
      <c r="J14" s="36" t="n">
        <f>SUMIFS('仓库单元底表'!$P$5:$P$1321,'仓库单元底表'!$A$5:$A$1321,$A14,'仓库单元底表'!$F$5:$F$1321,$C14,'仓库单元底表'!$E$5:$E$1321,$D14)</f>
        <v>0</v>
      </c>
      <c r="K14" s="36" t="n">
        <f>SUMIFS('仓库单元底表'!$Q$5:$Q$1321,'仓库单元底表'!$A$5:$A$1321,$A14,'仓库单元底表'!$F$5:$F$1321,$C14,'仓库单元底表'!$E$5:$E$1321,$D14)</f>
        <v>0</v>
      </c>
      <c r="L14" s="36" t="n">
        <f>SUMIFS('仓库单元底表'!$R$5:$R$1321,'仓库单元底表'!$A$5:$A$1321,$A14,'仓库单元底表'!$F$5:$F$1321,$C14,'仓库单元底表'!$E$5:$E$1321,$D14)</f>
        <v>0</v>
      </c>
      <c r="M14" s="36" t="n">
        <f>SUMIFS('仓库单元底表'!$S$5:$S$1321,'仓库单元底表'!$A$5:$A$1321,$A14,'仓库单元底表'!$F$5:$F$1321,$C14,'仓库单元底表'!$E$5:$E$1321,$D14)</f>
        <v>0</v>
      </c>
      <c r="N14" s="35" t="n">
        <f>IF(E14=0,"",H14/E14)</f>
        <v>1</v>
      </c>
      <c r="O14" s="35" t="n">
        <f>IF(E14=0,"",I14/E14)</f>
        <v>1</v>
      </c>
      <c r="P14" s="35" t="n">
        <f>IF(SUMIFS('供应商月度明细'!$F$5:$F$155,'供应商月度明细'!$A$5:$A$155,$A14,'供应商月度明细'!$D$5:$D$155,$C14,'供应商月度明细'!$E$5:$E$155,$D14)=0,"",SUMIFS('供应商月度明细'!$H$5:$H$155,'供应商月度明细'!$A$5:$A$155,$A14,'供应商月度明细'!$D$5:$D$155,$C14,'供应商月度明细'!$E$5:$E$155,$D14)/SUMIFS('供应商月度明细'!$F$5:$F$155,'供应商月度明细'!$A$5:$A$155,$A14,'供应商月度明细'!$D$5:$D$155,$C14,'供应商月度明细'!$E$5:$E$155,$D14))</f>
        <v>1</v>
      </c>
      <c r="Q14" s="35" t="n">
        <f>IF(SUMIFS('供应商月度明细'!$J$5:$J$155,'供应商月度明细'!$A$5:$A$155,$A14,'供应商月度明细'!$D$5:$D$155,$C14,'供应商月度明细'!$E$5:$E$155,$D14)=0,"",SUMIFS('供应商月度明细'!$K$5:$K$155,'供应商月度明细'!$A$5:$A$155,$A14,'供应商月度明细'!$D$5:$D$155,$C14,'供应商月度明细'!$E$5:$E$155,$D14)/SUMIFS('供应商月度明细'!$J$5:$J$155,'供应商月度明细'!$A$5:$A$155,$A14,'供应商月度明细'!$D$5:$D$155,$C14,'供应商月度明细'!$E$5:$E$155,$D14))</f>
        <v>1</v>
      </c>
    </row>
    <row r="15">
      <c r="A15" s="37" t="str">
        <v>英国区</v>
      </c>
      <c r="B15" s="37" t="str">
        <v>区域汇总</v>
      </c>
      <c r="C15" s="37" t="str">
        <v>全部工种</v>
      </c>
      <c r="D15" s="37" t="str">
        <v>2026-04</v>
      </c>
      <c r="E15" s="39" t="n">
        <f>SUMIFS('仓库单元底表'!$J$5:$J$1321,'仓库单元底表'!$A$5:$A$1321,$A15,'仓库单元底表'!$E$5:$E$1321,$D15)</f>
        <v>629</v>
      </c>
      <c r="F15" s="39" t="n">
        <f>SUMIFS('仓库单元底表'!$K$5:$K$1321,'仓库单元底表'!$A$5:$A$1321,$A15,'仓库单元底表'!$E$5:$E$1321,$D15)</f>
        <v>617</v>
      </c>
      <c r="G15" s="39" t="n">
        <f>SUMIFS('仓库单元底表'!$L$5:$L$1321,'仓库单元底表'!$A$5:$A$1321,$A15,'仓库单元底表'!$E$5:$E$1321,$D15)</f>
        <v>571</v>
      </c>
      <c r="H15" s="39" t="n">
        <f>SUMIFS('仓库单元底表'!$M$5:$M$1321,'仓库单元底表'!$A$5:$A$1321,$A15,'仓库单元底表'!$E$5:$E$1321,$D15)</f>
        <v>616</v>
      </c>
      <c r="I15" s="39" t="n">
        <f>SUMIFS('仓库单元底表'!$N$5:$N$1321,'仓库单元底表'!$A$5:$A$1321,$A15,'仓库单元底表'!$E$5:$E$1321,$D15)</f>
        <v>571</v>
      </c>
      <c r="J15" s="39" t="n">
        <f>SUMIFS('仓库单元底表'!$P$5:$P$1321,'仓库单元底表'!$A$5:$A$1321,$A15,'仓库单元底表'!$E$5:$E$1321,$D15)</f>
        <v>1</v>
      </c>
      <c r="K15" s="39" t="n">
        <f>SUMIFS('仓库单元底表'!$Q$5:$Q$1321,'仓库单元底表'!$A$5:$A$1321,$A15,'仓库单元底表'!$E$5:$E$1321,$D15)</f>
        <v>0</v>
      </c>
      <c r="L15" s="39" t="n">
        <f>SUMIFS('仓库单元底表'!$R$5:$R$1321,'仓库单元底表'!$A$5:$A$1321,$A15,'仓库单元底表'!$E$5:$E$1321,$D15)</f>
        <v>13</v>
      </c>
      <c r="M15" s="39" t="n">
        <f>SUMIFS('仓库单元底表'!$S$5:$S$1321,'仓库单元底表'!$A$5:$A$1321,$A15,'仓库单元底表'!$E$5:$E$1321,$D15)</f>
        <v>0</v>
      </c>
      <c r="N15" s="38" t="n">
        <f>IF(E15=0,"",H15/E15)</f>
        <v>0.9793322734499205</v>
      </c>
      <c r="O15" s="38" t="n">
        <f>IF(E15=0,"",I15/E15)</f>
        <v>0.9077901430842608</v>
      </c>
      <c r="P15" s="38" t="n">
        <f>IF(SUMIFS('供应商月度明细'!$F$5:$F$155,'供应商月度明细'!$A$5:$A$155,$A15,'供应商月度明细'!$E$5:$E$155,$D15)=0,"",SUMIFS('供应商月度明细'!$H$5:$H$155,'供应商月度明细'!$A$5:$A$155,$A15,'供应商月度明细'!$E$5:$E$155,$D15)/SUMIFS('供应商月度明细'!$F$5:$F$155,'供应商月度明细'!$A$5:$A$155,$A15,'供应商月度明细'!$E$5:$E$155,$D15))</f>
        <v>0.9254457050243112</v>
      </c>
      <c r="Q15" s="38" t="n">
        <f>IF(SUMIFS('供应商月度明细'!$J$5:$J$155,'供应商月度明细'!$A$5:$A$155,$A15,'供应商月度明细'!$E$5:$E$155,$D15)=0,"",SUMIFS('供应商月度明细'!$K$5:$K$155,'供应商月度明细'!$A$5:$A$155,$A15,'供应商月度明细'!$E$5:$E$155,$D15)/SUMIFS('供应商月度明细'!$J$5:$J$155,'供应商月度明细'!$A$5:$A$155,$A15,'供应商月度明细'!$E$5:$E$155,$D15))</f>
        <v>0.9261363636363636</v>
      </c>
    </row>
    <row r="16">
      <c r="A16" s="37" t="str">
        <v>英国区</v>
      </c>
      <c r="B16" s="37" t="str">
        <v>区域汇总</v>
      </c>
      <c r="C16" s="37" t="str">
        <v>全部工种</v>
      </c>
      <c r="D16" s="37" t="str">
        <v>2026-05</v>
      </c>
      <c r="E16" s="39" t="n">
        <f>SUMIFS('仓库单元底表'!$J$5:$J$1321,'仓库单元底表'!$A$5:$A$1321,$A16,'仓库单元底表'!$E$5:$E$1321,$D16)</f>
        <v>800</v>
      </c>
      <c r="F16" s="39" t="n">
        <f>SUMIFS('仓库单元底表'!$K$5:$K$1321,'仓库单元底表'!$A$5:$A$1321,$A16,'仓库单元底表'!$E$5:$E$1321,$D16)</f>
        <v>797</v>
      </c>
      <c r="G16" s="39" t="n">
        <f>SUMIFS('仓库单元底表'!$L$5:$L$1321,'仓库单元底表'!$A$5:$A$1321,$A16,'仓库单元底表'!$E$5:$E$1321,$D16)</f>
        <v>660</v>
      </c>
      <c r="H16" s="39" t="n">
        <f>SUMIFS('仓库单元底表'!$M$5:$M$1321,'仓库单元底表'!$A$5:$A$1321,$A16,'仓库单元底表'!$E$5:$E$1321,$D16)</f>
        <v>792</v>
      </c>
      <c r="I16" s="39" t="n">
        <f>SUMIFS('仓库单元底表'!$N$5:$N$1321,'仓库单元底表'!$A$5:$A$1321,$A16,'仓库单元底表'!$E$5:$E$1321,$D16)</f>
        <v>660</v>
      </c>
      <c r="J16" s="39" t="n">
        <f>SUMIFS('仓库单元底表'!$P$5:$P$1321,'仓库单元底表'!$A$5:$A$1321,$A16,'仓库单元底表'!$E$5:$E$1321,$D16)</f>
        <v>5</v>
      </c>
      <c r="K16" s="39" t="n">
        <f>SUMIFS('仓库单元底表'!$Q$5:$Q$1321,'仓库单元底表'!$A$5:$A$1321,$A16,'仓库单元底表'!$E$5:$E$1321,$D16)</f>
        <v>0</v>
      </c>
      <c r="L16" s="39" t="n">
        <f>SUMIFS('仓库单元底表'!$R$5:$R$1321,'仓库单元底表'!$A$5:$A$1321,$A16,'仓库单元底表'!$E$5:$E$1321,$D16)</f>
        <v>8</v>
      </c>
      <c r="M16" s="39" t="n">
        <f>SUMIFS('仓库单元底表'!$S$5:$S$1321,'仓库单元底表'!$A$5:$A$1321,$A16,'仓库单元底表'!$E$5:$E$1321,$D16)</f>
        <v>0</v>
      </c>
      <c r="N16" s="38" t="n">
        <f>IF(E16=0,"",H16/E16)</f>
        <v>0.99</v>
      </c>
      <c r="O16" s="38" t="n">
        <f>IF(E16=0,"",I16/E16)</f>
        <v>0.825</v>
      </c>
      <c r="P16" s="38" t="n">
        <f>IF(SUMIFS('供应商月度明细'!$F$5:$F$155,'供应商月度明细'!$A$5:$A$155,$A16,'供应商月度明细'!$E$5:$E$155,$D16)=0,"",SUMIFS('供应商月度明细'!$H$5:$H$155,'供应商月度明细'!$A$5:$A$155,$A16,'供应商月度明细'!$E$5:$E$155,$D16)/SUMIFS('供应商月度明细'!$F$5:$F$155,'供应商月度明细'!$A$5:$A$155,$A16,'供应商月度明细'!$E$5:$E$155,$D16))</f>
        <v>0.8281053952321205</v>
      </c>
      <c r="Q16" s="38" t="n">
        <f>IF(SUMIFS('供应商月度明细'!$J$5:$J$155,'供应商月度明细'!$A$5:$A$155,$A16,'供应商月度明细'!$E$5:$E$155,$D16)=0,"",SUMIFS('供应商月度明细'!$K$5:$K$155,'供应商月度明细'!$A$5:$A$155,$A16,'供应商月度明细'!$E$5:$E$155,$D16)/SUMIFS('供应商月度明细'!$J$5:$J$155,'供应商月度明细'!$A$5:$A$155,$A16,'供应商月度明细'!$E$5:$E$155,$D16))</f>
        <v>0.8301767676767676</v>
      </c>
    </row>
    <row r="17">
      <c r="A17" s="37" t="str">
        <v>英国区</v>
      </c>
      <c r="B17" s="37" t="str">
        <v>区域汇总</v>
      </c>
      <c r="C17" s="37" t="str">
        <v>全部工种</v>
      </c>
      <c r="D17" s="37" t="str">
        <v>2026-06</v>
      </c>
      <c r="E17" s="39" t="n">
        <f>SUMIFS('仓库单元底表'!$J$5:$J$1321,'仓库单元底表'!$A$5:$A$1321,$A17,'仓库单元底表'!$E$5:$E$1321,$D17)</f>
        <v>931</v>
      </c>
      <c r="F17" s="39" t="n">
        <f>SUMIFS('仓库单元底表'!$K$5:$K$1321,'仓库单元底表'!$A$5:$A$1321,$A17,'仓库单元底表'!$E$5:$E$1321,$D17)</f>
        <v>981</v>
      </c>
      <c r="G17" s="39" t="n">
        <f>SUMIFS('仓库单元底表'!$L$5:$L$1321,'仓库单元底表'!$A$5:$A$1321,$A17,'仓库单元底表'!$E$5:$E$1321,$D17)</f>
        <v>860</v>
      </c>
      <c r="H17" s="39" t="n">
        <f>SUMIFS('仓库单元底表'!$M$5:$M$1321,'仓库单元底表'!$A$5:$A$1321,$A17,'仓库单元底表'!$E$5:$E$1321,$D17)</f>
        <v>909</v>
      </c>
      <c r="I17" s="39" t="n">
        <f>SUMIFS('仓库单元底表'!$N$5:$N$1321,'仓库单元底表'!$A$5:$A$1321,$A17,'仓库单元底表'!$E$5:$E$1321,$D17)</f>
        <v>817</v>
      </c>
      <c r="J17" s="39" t="n">
        <f>SUMIFS('仓库单元底表'!$P$5:$P$1321,'仓库单元底表'!$A$5:$A$1321,$A17,'仓库单元底表'!$E$5:$E$1321,$D17)</f>
        <v>72</v>
      </c>
      <c r="K17" s="39" t="n">
        <f>SUMIFS('仓库单元底表'!$Q$5:$Q$1321,'仓库单元底表'!$A$5:$A$1321,$A17,'仓库单元底表'!$E$5:$E$1321,$D17)</f>
        <v>0</v>
      </c>
      <c r="L17" s="39" t="n">
        <f>SUMIFS('仓库单元底表'!$R$5:$R$1321,'仓库单元底表'!$A$5:$A$1321,$A17,'仓库单元底表'!$E$5:$E$1321,$D17)</f>
        <v>22</v>
      </c>
      <c r="M17" s="39" t="n">
        <f>SUMIFS('仓库单元底表'!$S$5:$S$1321,'仓库单元底表'!$A$5:$A$1321,$A17,'仓库单元底表'!$E$5:$E$1321,$D17)</f>
        <v>43</v>
      </c>
      <c r="N17" s="38" t="n">
        <f>IF(E17=0,"",H17/E17)</f>
        <v>0.9763694951664876</v>
      </c>
      <c r="O17" s="38" t="n">
        <f>IF(E17=0,"",I17/E17)</f>
        <v>0.8775510204081632</v>
      </c>
      <c r="P17" s="38" t="n">
        <f>IF(SUMIFS('供应商月度明细'!$F$5:$F$155,'供应商月度明细'!$A$5:$A$155,$A17,'供应商月度明细'!$E$5:$E$155,$D17)=0,"",SUMIFS('供应商月度明细'!$H$5:$H$155,'供应商月度明细'!$A$5:$A$155,$A17,'供应商月度明细'!$E$5:$E$155,$D17)/SUMIFS('供应商月度明细'!$F$5:$F$155,'供应商月度明细'!$A$5:$A$155,$A17,'供应商月度明细'!$E$5:$E$155,$D17))</f>
        <v>0.8766564729867482</v>
      </c>
      <c r="Q17" s="38" t="n">
        <f>IF(SUMIFS('供应商月度明细'!$J$5:$J$155,'供应商月度明细'!$A$5:$A$155,$A17,'供应商月度明细'!$E$5:$E$155,$D17)=0,"",SUMIFS('供应商月度明细'!$K$5:$K$155,'供应商月度明细'!$A$5:$A$155,$A17,'供应商月度明细'!$E$5:$E$155,$D17)/SUMIFS('供应商月度明细'!$J$5:$J$155,'供应商月度明细'!$A$5:$A$155,$A17,'供应商月度明细'!$E$5:$E$155,$D17))</f>
        <v>0.8950180732358951</v>
      </c>
    </row>
    <row r="18">
      <c r="A18" s="34" t="str">
        <v>德国区</v>
      </c>
      <c r="B18" s="34" t="str">
        <v>工种明细</v>
      </c>
      <c r="C18" s="34" t="str">
        <v>操作员</v>
      </c>
      <c r="D18" s="34" t="str">
        <v>2026-04</v>
      </c>
      <c r="E18" s="36" t="n">
        <f>SUMIFS('仓库单元底表'!$J$5:$J$1321,'仓库单元底表'!$A$5:$A$1321,$A18,'仓库单元底表'!$F$5:$F$1321,$C18,'仓库单元底表'!$E$5:$E$1321,$D18)</f>
        <v>135</v>
      </c>
      <c r="F18" s="36" t="n">
        <f>SUMIFS('仓库单元底表'!$K$5:$K$1321,'仓库单元底表'!$A$5:$A$1321,$A18,'仓库单元底表'!$F$5:$F$1321,$C18,'仓库单元底表'!$E$5:$E$1321,$D18)</f>
        <v>146</v>
      </c>
      <c r="G18" s="36" t="n">
        <f>SUMIFS('仓库单元底表'!$L$5:$L$1321,'仓库单元底表'!$A$5:$A$1321,$A18,'仓库单元底表'!$F$5:$F$1321,$C18,'仓库单元底表'!$E$5:$E$1321,$D18)</f>
        <v>112</v>
      </c>
      <c r="H18" s="36" t="n">
        <f>SUMIFS('仓库单元底表'!$M$5:$M$1321,'仓库单元底表'!$A$5:$A$1321,$A18,'仓库单元底表'!$F$5:$F$1321,$C18,'仓库单元底表'!$E$5:$E$1321,$D18)</f>
        <v>111</v>
      </c>
      <c r="I18" s="36" t="n">
        <f>SUMIFS('仓库单元底表'!$N$5:$N$1321,'仓库单元底表'!$A$5:$A$1321,$A18,'仓库单元底表'!$F$5:$F$1321,$C18,'仓库单元底表'!$E$5:$E$1321,$D18)</f>
        <v>95</v>
      </c>
      <c r="J18" s="36" t="n">
        <f>SUMIFS('仓库单元底表'!$P$5:$P$1321,'仓库单元底表'!$A$5:$A$1321,$A18,'仓库单元底表'!$F$5:$F$1321,$C18,'仓库单元底表'!$E$5:$E$1321,$D18)</f>
        <v>20</v>
      </c>
      <c r="K18" s="36" t="n">
        <f>SUMIFS('仓库单元底表'!$Q$5:$Q$1321,'仓库单元底表'!$A$5:$A$1321,$A18,'仓库单元底表'!$F$5:$F$1321,$C18,'仓库单元底表'!$E$5:$E$1321,$D18)</f>
        <v>15</v>
      </c>
      <c r="L18" s="36" t="n">
        <f>SUMIFS('仓库单元底表'!$R$5:$R$1321,'仓库单元底表'!$A$5:$A$1321,$A18,'仓库单元底表'!$F$5:$F$1321,$C18,'仓库单元底表'!$E$5:$E$1321,$D18)</f>
        <v>24</v>
      </c>
      <c r="M18" s="36" t="n">
        <f>SUMIFS('仓库单元底表'!$S$5:$S$1321,'仓库单元底表'!$A$5:$A$1321,$A18,'仓库单元底表'!$F$5:$F$1321,$C18,'仓库单元底表'!$E$5:$E$1321,$D18)</f>
        <v>17</v>
      </c>
      <c r="N18" s="35" t="n">
        <f>IF(E18=0,"",H18/E18)</f>
        <v>0.8222222222222222</v>
      </c>
      <c r="O18" s="35" t="n">
        <f>IF(E18=0,"",I18/E18)</f>
        <v>0.7037037037037037</v>
      </c>
      <c r="P18" s="35" t="n">
        <f>IF(SUMIFS('供应商月度明细'!$F$5:$F$155,'供应商月度明细'!$A$5:$A$155,$A18,'供应商月度明细'!$D$5:$D$155,$C18,'供应商月度明细'!$E$5:$E$155,$D18)=0,"",SUMIFS('供应商月度明细'!$H$5:$H$155,'供应商月度明细'!$A$5:$A$155,$A18,'供应商月度明细'!$D$5:$D$155,$C18,'供应商月度明细'!$E$5:$E$155,$D18)/SUMIFS('供应商月度明细'!$F$5:$F$155,'供应商月度明细'!$A$5:$A$155,$A18,'供应商月度明细'!$D$5:$D$155,$C18,'供应商月度明细'!$E$5:$E$155,$D18))</f>
        <v>0.7671232876712328</v>
      </c>
      <c r="Q18" s="35" t="n">
        <f>IF(SUMIFS('供应商月度明细'!$J$5:$J$155,'供应商月度明细'!$A$5:$A$155,$A18,'供应商月度明细'!$D$5:$D$155,$C18,'供应商月度明细'!$E$5:$E$155,$D18)=0,"",SUMIFS('供应商月度明细'!$K$5:$K$155,'供应商月度明细'!$A$5:$A$155,$A18,'供应商月度明细'!$D$5:$D$155,$C18,'供应商月度明细'!$E$5:$E$155,$D18)/SUMIFS('供应商月度明细'!$J$5:$J$155,'供应商月度明细'!$A$5:$A$155,$A18,'供应商月度明细'!$D$5:$D$155,$C18,'供应商月度明细'!$E$5:$E$155,$D18))</f>
        <v>0.842985842985843</v>
      </c>
    </row>
    <row r="19">
      <c r="A19" s="34" t="str">
        <v>德国区</v>
      </c>
      <c r="B19" s="34" t="str">
        <v>工种明细</v>
      </c>
      <c r="C19" s="34" t="str">
        <v>操作员</v>
      </c>
      <c r="D19" s="34" t="str">
        <v>2026-05</v>
      </c>
      <c r="E19" s="36" t="n">
        <f>SUMIFS('仓库单元底表'!$J$5:$J$1321,'仓库单元底表'!$A$5:$A$1321,$A19,'仓库单元底表'!$F$5:$F$1321,$C19,'仓库单元底表'!$E$5:$E$1321,$D19)</f>
        <v>429</v>
      </c>
      <c r="F19" s="36" t="n">
        <f>SUMIFS('仓库单元底表'!$K$5:$K$1321,'仓库单元底表'!$A$5:$A$1321,$A19,'仓库单元底表'!$F$5:$F$1321,$C19,'仓库单元底表'!$E$5:$E$1321,$D19)</f>
        <v>381</v>
      </c>
      <c r="G19" s="36" t="n">
        <f>SUMIFS('仓库单元底表'!$L$5:$L$1321,'仓库单元底表'!$A$5:$A$1321,$A19,'仓库单元底表'!$F$5:$F$1321,$C19,'仓库单元底表'!$E$5:$E$1321,$D19)</f>
        <v>331</v>
      </c>
      <c r="H19" s="36" t="n">
        <f>SUMIFS('仓库单元底表'!$M$5:$M$1321,'仓库单元底表'!$A$5:$A$1321,$A19,'仓库单元底表'!$F$5:$F$1321,$C19,'仓库单元底表'!$E$5:$E$1321,$D19)</f>
        <v>315</v>
      </c>
      <c r="I19" s="36" t="n">
        <f>SUMIFS('仓库单元底表'!$N$5:$N$1321,'仓库单元底表'!$A$5:$A$1321,$A19,'仓库单元底表'!$F$5:$F$1321,$C19,'仓库单元底表'!$E$5:$E$1321,$D19)</f>
        <v>283</v>
      </c>
      <c r="J19" s="36" t="n">
        <f>SUMIFS('仓库单元底表'!$P$5:$P$1321,'仓库单元底表'!$A$5:$A$1321,$A19,'仓库单元底表'!$F$5:$F$1321,$C19,'仓库单元底表'!$E$5:$E$1321,$D19)</f>
        <v>58</v>
      </c>
      <c r="K19" s="36" t="n">
        <f>SUMIFS('仓库单元底表'!$Q$5:$Q$1321,'仓库单元底表'!$A$5:$A$1321,$A19,'仓库单元底表'!$F$5:$F$1321,$C19,'仓库单元底表'!$E$5:$E$1321,$D19)</f>
        <v>8</v>
      </c>
      <c r="L19" s="36" t="n">
        <f>SUMIFS('仓库单元底表'!$R$5:$R$1321,'仓库单元底表'!$A$5:$A$1321,$A19,'仓库单元底表'!$F$5:$F$1321,$C19,'仓库单元底表'!$E$5:$E$1321,$D19)</f>
        <v>114</v>
      </c>
      <c r="M19" s="36" t="n">
        <f>SUMIFS('仓库单元底表'!$S$5:$S$1321,'仓库单元底表'!$A$5:$A$1321,$A19,'仓库单元底表'!$F$5:$F$1321,$C19,'仓库单元底表'!$E$5:$E$1321,$D19)</f>
        <v>48</v>
      </c>
      <c r="N19" s="35" t="n">
        <f>IF(E19=0,"",H19/E19)</f>
        <v>0.7342657342657343</v>
      </c>
      <c r="O19" s="35" t="n">
        <f>IF(E19=0,"",I19/E19)</f>
        <v>0.6596736596736597</v>
      </c>
      <c r="P19" s="35" t="n">
        <f>IF(SUMIFS('供应商月度明细'!$F$5:$F$155,'供应商月度明细'!$A$5:$A$155,$A19,'供应商月度明细'!$D$5:$D$155,$C19,'供应商月度明细'!$E$5:$E$155,$D19)=0,"",SUMIFS('供应商月度明细'!$H$5:$H$155,'供应商月度明细'!$A$5:$A$155,$A19,'供应商月度明细'!$D$5:$D$155,$C19,'供应商月度明细'!$E$5:$E$155,$D19)/SUMIFS('供应商月度明细'!$F$5:$F$155,'供应商月度明细'!$A$5:$A$155,$A19,'供应商月度明细'!$D$5:$D$155,$C19,'供应商月度明细'!$E$5:$E$155,$D19))</f>
        <v>0.868766404199475</v>
      </c>
      <c r="Q19" s="35" t="n">
        <f>IF(SUMIFS('供应商月度明细'!$J$5:$J$155,'供应商月度明细'!$A$5:$A$155,$A19,'供应商月度明细'!$D$5:$D$155,$C19,'供应商月度明细'!$E$5:$E$155,$D19)=0,"",SUMIFS('供应商月度明细'!$K$5:$K$155,'供应商月度明细'!$A$5:$A$155,$A19,'供应商月度明细'!$D$5:$D$155,$C19,'供应商月度明细'!$E$5:$E$155,$D19)/SUMIFS('供应商月度明细'!$J$5:$J$155,'供应商月度明细'!$A$5:$A$155,$A19,'供应商月度明细'!$D$5:$D$155,$C19,'供应商月度明细'!$E$5:$E$155,$D19))</f>
        <v>0.8875661375661376</v>
      </c>
    </row>
    <row r="20">
      <c r="A20" s="34" t="str">
        <v>德国区</v>
      </c>
      <c r="B20" s="34" t="str">
        <v>工种明细</v>
      </c>
      <c r="C20" s="34" t="str">
        <v>操作员</v>
      </c>
      <c r="D20" s="34" t="str">
        <v>2026-06</v>
      </c>
      <c r="E20" s="36" t="n">
        <f>SUMIFS('仓库单元底表'!$J$5:$J$1321,'仓库单元底表'!$A$5:$A$1321,$A20,'仓库单元底表'!$F$5:$F$1321,$C20,'仓库单元底表'!$E$5:$E$1321,$D20)</f>
        <v>800</v>
      </c>
      <c r="F20" s="36" t="n">
        <f>SUMIFS('仓库单元底表'!$K$5:$K$1321,'仓库单元底表'!$A$5:$A$1321,$A20,'仓库单元底表'!$F$5:$F$1321,$C20,'仓库单元底表'!$E$5:$E$1321,$D20)</f>
        <v>762</v>
      </c>
      <c r="G20" s="36" t="n">
        <f>SUMIFS('仓库单元底表'!$L$5:$L$1321,'仓库单元底表'!$A$5:$A$1321,$A20,'仓库单元底表'!$F$5:$F$1321,$C20,'仓库单元底表'!$E$5:$E$1321,$D20)</f>
        <v>646</v>
      </c>
      <c r="H20" s="36" t="n">
        <f>SUMIFS('仓库单元底表'!$M$5:$M$1321,'仓库单元底表'!$A$5:$A$1321,$A20,'仓库单元底表'!$F$5:$F$1321,$C20,'仓库单元底表'!$E$5:$E$1321,$D20)</f>
        <v>616</v>
      </c>
      <c r="I20" s="36" t="n">
        <f>SUMIFS('仓库单元底表'!$N$5:$N$1321,'仓库单元底表'!$A$5:$A$1321,$A20,'仓库单元底表'!$F$5:$F$1321,$C20,'仓库单元底表'!$E$5:$E$1321,$D20)</f>
        <v>533</v>
      </c>
      <c r="J20" s="36" t="n">
        <f>SUMIFS('仓库单元底表'!$P$5:$P$1321,'仓库单元底表'!$A$5:$A$1321,$A20,'仓库单元底表'!$F$5:$F$1321,$C20,'仓库单元底表'!$E$5:$E$1321,$D20)</f>
        <v>136</v>
      </c>
      <c r="K20" s="36" t="n">
        <f>SUMIFS('仓库单元底表'!$Q$5:$Q$1321,'仓库单元底表'!$A$5:$A$1321,$A20,'仓库单元底表'!$F$5:$F$1321,$C20,'仓库单元底表'!$E$5:$E$1321,$D20)</f>
        <v>10</v>
      </c>
      <c r="L20" s="36" t="n">
        <f>SUMIFS('仓库单元底表'!$R$5:$R$1321,'仓库单元底表'!$A$5:$A$1321,$A20,'仓库单元底表'!$F$5:$F$1321,$C20,'仓库单元底表'!$E$5:$E$1321,$D20)</f>
        <v>184</v>
      </c>
      <c r="M20" s="36" t="n">
        <f>SUMIFS('仓库单元底表'!$S$5:$S$1321,'仓库单元底表'!$A$5:$A$1321,$A20,'仓库单元底表'!$F$5:$F$1321,$C20,'仓库单元底表'!$E$5:$E$1321,$D20)</f>
        <v>113</v>
      </c>
      <c r="N20" s="35" t="n">
        <f>IF(E20=0,"",H20/E20)</f>
        <v>0.77</v>
      </c>
      <c r="O20" s="35" t="n">
        <f>IF(E20=0,"",I20/E20)</f>
        <v>0.66625</v>
      </c>
      <c r="P20" s="35" t="n">
        <f>IF(SUMIFS('供应商月度明细'!$F$5:$F$155,'供应商月度明细'!$A$5:$A$155,$A20,'供应商月度明细'!$D$5:$D$155,$C20,'供应商月度明细'!$E$5:$E$155,$D20)=0,"",SUMIFS('供应商月度明细'!$H$5:$H$155,'供应商月度明细'!$A$5:$A$155,$A20,'供应商月度明细'!$D$5:$D$155,$C20,'供应商月度明细'!$E$5:$E$155,$D20)/SUMIFS('供应商月度明细'!$F$5:$F$155,'供应商月度明细'!$A$5:$A$155,$A20,'供应商月度明细'!$D$5:$D$155,$C20,'供应商月度明细'!$E$5:$E$155,$D20))</f>
        <v>0.847769028871391</v>
      </c>
      <c r="Q20" s="35" t="n">
        <f>IF(SUMIFS('供应商月度明细'!$J$5:$J$155,'供应商月度明细'!$A$5:$A$155,$A20,'供应商月度明细'!$D$5:$D$155,$C20,'供应商月度明细'!$E$5:$E$155,$D20)=0,"",SUMIFS('供应商月度明细'!$K$5:$K$155,'供应商月度明细'!$A$5:$A$155,$A20,'供应商月度明细'!$D$5:$D$155,$C20,'供应商月度明细'!$E$5:$E$155,$D20)/SUMIFS('供应商月度明细'!$J$5:$J$155,'供应商月度明细'!$A$5:$A$155,$A20,'供应商月度明细'!$D$5:$D$155,$C20,'供应商月度明细'!$E$5:$E$155,$D20))</f>
        <v>0.8475119937782275</v>
      </c>
    </row>
    <row r="21">
      <c r="A21" s="34" t="str">
        <v>德国区</v>
      </c>
      <c r="B21" s="34" t="str">
        <v>工种明细</v>
      </c>
      <c r="C21" s="34" t="str">
        <v>售后处理员</v>
      </c>
      <c r="D21" s="34" t="str">
        <v>2026-04</v>
      </c>
      <c r="E21" s="36" t="n">
        <f>SUMIFS('仓库单元底表'!$J$5:$J$1321,'仓库单元底表'!$A$5:$A$1321,$A21,'仓库单元底表'!$F$5:$F$1321,$C21,'仓库单元底表'!$E$5:$E$1321,$D21)</f>
        <v>5</v>
      </c>
      <c r="F21" s="36" t="n">
        <f>SUMIFS('仓库单元底表'!$K$5:$K$1321,'仓库单元底表'!$A$5:$A$1321,$A21,'仓库单元底表'!$F$5:$F$1321,$C21,'仓库单元底表'!$E$5:$E$1321,$D21)</f>
        <v>7</v>
      </c>
      <c r="G21" s="36" t="n">
        <f>SUMIFS('仓库单元底表'!$L$5:$L$1321,'仓库单元底表'!$A$5:$A$1321,$A21,'仓库单元底表'!$F$5:$F$1321,$C21,'仓库单元底表'!$E$5:$E$1321,$D21)</f>
        <v>2</v>
      </c>
      <c r="H21" s="36" t="n">
        <f>SUMIFS('仓库单元底表'!$M$5:$M$1321,'仓库单元底表'!$A$5:$A$1321,$A21,'仓库单元底表'!$F$5:$F$1321,$C21,'仓库单元底表'!$E$5:$E$1321,$D21)</f>
        <v>5</v>
      </c>
      <c r="I21" s="36" t="n">
        <f>SUMIFS('仓库单元底表'!$N$5:$N$1321,'仓库单元底表'!$A$5:$A$1321,$A21,'仓库单元底表'!$F$5:$F$1321,$C21,'仓库单元底表'!$E$5:$E$1321,$D21)</f>
        <v>2</v>
      </c>
      <c r="J21" s="36" t="n">
        <f>SUMIFS('仓库单元底表'!$P$5:$P$1321,'仓库单元底表'!$A$5:$A$1321,$A21,'仓库单元底表'!$F$5:$F$1321,$C21,'仓库单元底表'!$E$5:$E$1321,$D21)</f>
        <v>2</v>
      </c>
      <c r="K21" s="36" t="n">
        <f>SUMIFS('仓库单元底表'!$Q$5:$Q$1321,'仓库单元底表'!$A$5:$A$1321,$A21,'仓库单元底表'!$F$5:$F$1321,$C21,'仓库单元底表'!$E$5:$E$1321,$D21)</f>
        <v>0</v>
      </c>
      <c r="L21" s="36" t="n">
        <f>SUMIFS('仓库单元底表'!$R$5:$R$1321,'仓库单元底表'!$A$5:$A$1321,$A21,'仓库单元底表'!$F$5:$F$1321,$C21,'仓库单元底表'!$E$5:$E$1321,$D21)</f>
        <v>0</v>
      </c>
      <c r="M21" s="36" t="n">
        <f>SUMIFS('仓库单元底表'!$S$5:$S$1321,'仓库单元底表'!$A$5:$A$1321,$A21,'仓库单元底表'!$F$5:$F$1321,$C21,'仓库单元底表'!$E$5:$E$1321,$D21)</f>
        <v>0</v>
      </c>
      <c r="N21" s="35" t="n">
        <f>IF(E21=0,"",H21/E21)</f>
        <v>1</v>
      </c>
      <c r="O21" s="35" t="n">
        <f>IF(E21=0,"",I21/E21)</f>
        <v>0.4</v>
      </c>
      <c r="P21" s="35" t="n">
        <f>IF(SUMIFS('供应商月度明细'!$F$5:$F$155,'供应商月度明细'!$A$5:$A$155,$A21,'供应商月度明细'!$D$5:$D$155,$C21,'供应商月度明细'!$E$5:$E$155,$D21)=0,"",SUMIFS('供应商月度明细'!$H$5:$H$155,'供应商月度明细'!$A$5:$A$155,$A21,'供应商月度明细'!$D$5:$D$155,$C21,'供应商月度明细'!$E$5:$E$155,$D21)/SUMIFS('供应商月度明细'!$F$5:$F$155,'供应商月度明细'!$A$5:$A$155,$A21,'供应商月度明细'!$D$5:$D$155,$C21,'供应商月度明细'!$E$5:$E$155,$D21))</f>
        <v>0.2857142857142857</v>
      </c>
      <c r="Q21" s="35" t="n">
        <f>IF(SUMIFS('供应商月度明细'!$J$5:$J$155,'供应商月度明细'!$A$5:$A$155,$A21,'供应商月度明细'!$D$5:$D$155,$C21,'供应商月度明细'!$E$5:$E$155,$D21)=0,"",SUMIFS('供应商月度明细'!$K$5:$K$155,'供应商月度明细'!$A$5:$A$155,$A21,'供应商月度明细'!$D$5:$D$155,$C21,'供应商月度明细'!$E$5:$E$155,$D21)/SUMIFS('供应商月度明细'!$J$5:$J$155,'供应商月度明细'!$A$5:$A$155,$A21,'供应商月度明细'!$D$5:$D$155,$C21,'供应商月度明细'!$E$5:$E$155,$D21))</f>
        <v>0.2</v>
      </c>
    </row>
    <row r="22">
      <c r="A22" s="34" t="str">
        <v>德国区</v>
      </c>
      <c r="B22" s="34" t="str">
        <v>工种明细</v>
      </c>
      <c r="C22" s="34" t="str">
        <v>售后处理员</v>
      </c>
      <c r="D22" s="34" t="str">
        <v>2026-05</v>
      </c>
      <c r="E22" s="36" t="n">
        <f>SUMIFS('仓库单元底表'!$J$5:$J$1321,'仓库单元底表'!$A$5:$A$1321,$A22,'仓库单元底表'!$F$5:$F$1321,$C22,'仓库单元底表'!$E$5:$E$1321,$D22)</f>
        <v>20</v>
      </c>
      <c r="F22" s="36" t="n">
        <f>SUMIFS('仓库单元底表'!$K$5:$K$1321,'仓库单元底表'!$A$5:$A$1321,$A22,'仓库单元底表'!$F$5:$F$1321,$C22,'仓库单元底表'!$E$5:$E$1321,$D22)</f>
        <v>20</v>
      </c>
      <c r="G22" s="36" t="n">
        <f>SUMIFS('仓库单元底表'!$L$5:$L$1321,'仓库单元底表'!$A$5:$A$1321,$A22,'仓库单元底表'!$F$5:$F$1321,$C22,'仓库单元底表'!$E$5:$E$1321,$D22)</f>
        <v>10</v>
      </c>
      <c r="H22" s="36" t="n">
        <f>SUMIFS('仓库单元底表'!$M$5:$M$1321,'仓库单元底表'!$A$5:$A$1321,$A22,'仓库单元底表'!$F$5:$F$1321,$C22,'仓库单元底表'!$E$5:$E$1321,$D22)</f>
        <v>16</v>
      </c>
      <c r="I22" s="36" t="n">
        <f>SUMIFS('仓库单元底表'!$N$5:$N$1321,'仓库单元底表'!$A$5:$A$1321,$A22,'仓库单元底表'!$F$5:$F$1321,$C22,'仓库单元底表'!$E$5:$E$1321,$D22)</f>
        <v>8</v>
      </c>
      <c r="J22" s="36" t="n">
        <f>SUMIFS('仓库单元底表'!$P$5:$P$1321,'仓库单元底表'!$A$5:$A$1321,$A22,'仓库单元底表'!$F$5:$F$1321,$C22,'仓库单元底表'!$E$5:$E$1321,$D22)</f>
        <v>4</v>
      </c>
      <c r="K22" s="36" t="n">
        <f>SUMIFS('仓库单元底表'!$Q$5:$Q$1321,'仓库单元底表'!$A$5:$A$1321,$A22,'仓库单元底表'!$F$5:$F$1321,$C22,'仓库单元底表'!$E$5:$E$1321,$D22)</f>
        <v>0</v>
      </c>
      <c r="L22" s="36" t="n">
        <f>SUMIFS('仓库单元底表'!$R$5:$R$1321,'仓库单元底表'!$A$5:$A$1321,$A22,'仓库单元底表'!$F$5:$F$1321,$C22,'仓库单元底表'!$E$5:$E$1321,$D22)</f>
        <v>4</v>
      </c>
      <c r="M22" s="36" t="n">
        <f>SUMIFS('仓库单元底表'!$S$5:$S$1321,'仓库单元底表'!$A$5:$A$1321,$A22,'仓库单元底表'!$F$5:$F$1321,$C22,'仓库单元底表'!$E$5:$E$1321,$D22)</f>
        <v>2</v>
      </c>
      <c r="N22" s="35" t="n">
        <f>IF(E22=0,"",H22/E22)</f>
        <v>0.8</v>
      </c>
      <c r="O22" s="35" t="n">
        <f>IF(E22=0,"",I22/E22)</f>
        <v>0.4</v>
      </c>
      <c r="P22" s="35" t="n">
        <f>IF(SUMIFS('供应商月度明细'!$F$5:$F$155,'供应商月度明细'!$A$5:$A$155,$A22,'供应商月度明细'!$D$5:$D$155,$C22,'供应商月度明细'!$E$5:$E$155,$D22)=0,"",SUMIFS('供应商月度明细'!$H$5:$H$155,'供应商月度明细'!$A$5:$A$155,$A22,'供应商月度明细'!$D$5:$D$155,$C22,'供应商月度明细'!$E$5:$E$155,$D22)/SUMIFS('供应商月度明细'!$F$5:$F$155,'供应商月度明细'!$A$5:$A$155,$A22,'供应商月度明细'!$D$5:$D$155,$C22,'供应商月度明细'!$E$5:$E$155,$D22))</f>
        <v>0.5</v>
      </c>
      <c r="Q22" s="35" t="n">
        <f>IF(SUMIFS('供应商月度明细'!$J$5:$J$155,'供应商月度明细'!$A$5:$A$155,$A22,'供应商月度明细'!$D$5:$D$155,$C22,'供应商月度明细'!$E$5:$E$155,$D22)=0,"",SUMIFS('供应商月度明细'!$K$5:$K$155,'供应商月度明细'!$A$5:$A$155,$A22,'供应商月度明细'!$D$5:$D$155,$C22,'供应商月度明细'!$E$5:$E$155,$D22)/SUMIFS('供应商月度明细'!$J$5:$J$155,'供应商月度明细'!$A$5:$A$155,$A22,'供应商月度明细'!$D$5:$D$155,$C22,'供应商月度明细'!$E$5:$E$155,$D22))</f>
        <v>0.5</v>
      </c>
    </row>
    <row r="23">
      <c r="A23" s="34" t="str">
        <v>德国区</v>
      </c>
      <c r="B23" s="34" t="str">
        <v>工种明细</v>
      </c>
      <c r="C23" s="34" t="str">
        <v>售后处理员</v>
      </c>
      <c r="D23" s="34" t="str">
        <v>2026-06</v>
      </c>
      <c r="E23" s="36" t="n">
        <f>SUMIFS('仓库单元底表'!$J$5:$J$1321,'仓库单元底表'!$A$5:$A$1321,$A23,'仓库单元底表'!$F$5:$F$1321,$C23,'仓库单元底表'!$E$5:$E$1321,$D23)</f>
        <v>4</v>
      </c>
      <c r="F23" s="36" t="n">
        <f>SUMIFS('仓库单元底表'!$K$5:$K$1321,'仓库单元底表'!$A$5:$A$1321,$A23,'仓库单元底表'!$F$5:$F$1321,$C23,'仓库单元底表'!$E$5:$E$1321,$D23)</f>
        <v>3</v>
      </c>
      <c r="G23" s="36" t="n">
        <f>SUMIFS('仓库单元底表'!$L$5:$L$1321,'仓库单元底表'!$A$5:$A$1321,$A23,'仓库单元底表'!$F$5:$F$1321,$C23,'仓库单元底表'!$E$5:$E$1321,$D23)</f>
        <v>2</v>
      </c>
      <c r="H23" s="36" t="n">
        <f>SUMIFS('仓库单元底表'!$M$5:$M$1321,'仓库单元底表'!$A$5:$A$1321,$A23,'仓库单元底表'!$F$5:$F$1321,$C23,'仓库单元底表'!$E$5:$E$1321,$D23)</f>
        <v>3</v>
      </c>
      <c r="I23" s="36" t="n">
        <f>SUMIFS('仓库单元底表'!$N$5:$N$1321,'仓库单元底表'!$A$5:$A$1321,$A23,'仓库单元底表'!$F$5:$F$1321,$C23,'仓库单元底表'!$E$5:$E$1321,$D23)</f>
        <v>2</v>
      </c>
      <c r="J23" s="36" t="n">
        <f>SUMIFS('仓库单元底表'!$P$5:$P$1321,'仓库单元底表'!$A$5:$A$1321,$A23,'仓库单元底表'!$F$5:$F$1321,$C23,'仓库单元底表'!$E$5:$E$1321,$D23)</f>
        <v>0</v>
      </c>
      <c r="K23" s="36" t="n">
        <f>SUMIFS('仓库单元底表'!$Q$5:$Q$1321,'仓库单元底表'!$A$5:$A$1321,$A23,'仓库单元底表'!$F$5:$F$1321,$C23,'仓库单元底表'!$E$5:$E$1321,$D23)</f>
        <v>0</v>
      </c>
      <c r="L23" s="36" t="n">
        <f>SUMIFS('仓库单元底表'!$R$5:$R$1321,'仓库单元底表'!$A$5:$A$1321,$A23,'仓库单元底表'!$F$5:$F$1321,$C23,'仓库单元底表'!$E$5:$E$1321,$D23)</f>
        <v>1</v>
      </c>
      <c r="M23" s="36" t="n">
        <f>SUMIFS('仓库单元底表'!$S$5:$S$1321,'仓库单元底表'!$A$5:$A$1321,$A23,'仓库单元底表'!$F$5:$F$1321,$C23,'仓库单元底表'!$E$5:$E$1321,$D23)</f>
        <v>0</v>
      </c>
      <c r="N23" s="35" t="n">
        <f>IF(E23=0,"",H23/E23)</f>
        <v>0.75</v>
      </c>
      <c r="O23" s="35" t="n">
        <f>IF(E23=0,"",I23/E23)</f>
        <v>0.5</v>
      </c>
      <c r="P23" s="35" t="n">
        <f>IF(SUMIFS('供应商月度明细'!$F$5:$F$155,'供应商月度明细'!$A$5:$A$155,$A23,'供应商月度明细'!$D$5:$D$155,$C23,'供应商月度明细'!$E$5:$E$155,$D23)=0,"",SUMIFS('供应商月度明细'!$H$5:$H$155,'供应商月度明细'!$A$5:$A$155,$A23,'供应商月度明细'!$D$5:$D$155,$C23,'供应商月度明细'!$E$5:$E$155,$D23)/SUMIFS('供应商月度明细'!$F$5:$F$155,'供应商月度明细'!$A$5:$A$155,$A23,'供应商月度明细'!$D$5:$D$155,$C23,'供应商月度明细'!$E$5:$E$155,$D23))</f>
        <v>0.6666666666666666</v>
      </c>
      <c r="Q23" s="35" t="n">
        <f>IF(SUMIFS('供应商月度明细'!$J$5:$J$155,'供应商月度明细'!$A$5:$A$155,$A23,'供应商月度明细'!$D$5:$D$155,$C23,'供应商月度明细'!$E$5:$E$155,$D23)=0,"",SUMIFS('供应商月度明细'!$K$5:$K$155,'供应商月度明细'!$A$5:$A$155,$A23,'供应商月度明细'!$D$5:$D$155,$C23,'供应商月度明细'!$E$5:$E$155,$D23)/SUMIFS('供应商月度明细'!$J$5:$J$155,'供应商月度明细'!$A$5:$A$155,$A23,'供应商月度明细'!$D$5:$D$155,$C23,'供应商月度明细'!$E$5:$E$155,$D23))</f>
        <v>0.6666666666666666</v>
      </c>
    </row>
    <row r="24">
      <c r="A24" s="34" t="str">
        <v>德国区</v>
      </c>
      <c r="B24" s="34" t="str">
        <v>工种明细</v>
      </c>
      <c r="C24" s="34" t="str">
        <v>保洁员</v>
      </c>
      <c r="D24" s="34" t="str">
        <v>2026-04</v>
      </c>
      <c r="E24" s="36" t="n">
        <f>SUMIFS('仓库单元底表'!$J$5:$J$1321,'仓库单元底表'!$A$5:$A$1321,$A24,'仓库单元底表'!$F$5:$F$1321,$C24,'仓库单元底表'!$E$5:$E$1321,$D24)</f>
        <v>1</v>
      </c>
      <c r="F24" s="36" t="n">
        <f>SUMIFS('仓库单元底表'!$K$5:$K$1321,'仓库单元底表'!$A$5:$A$1321,$A24,'仓库单元底表'!$F$5:$F$1321,$C24,'仓库单元底表'!$E$5:$E$1321,$D24)</f>
        <v>1</v>
      </c>
      <c r="G24" s="36" t="n">
        <f>SUMIFS('仓库单元底表'!$L$5:$L$1321,'仓库单元底表'!$A$5:$A$1321,$A24,'仓库单元底表'!$F$5:$F$1321,$C24,'仓库单元底表'!$E$5:$E$1321,$D24)</f>
        <v>1</v>
      </c>
      <c r="H24" s="36" t="n">
        <f>SUMIFS('仓库单元底表'!$M$5:$M$1321,'仓库单元底表'!$A$5:$A$1321,$A24,'仓库单元底表'!$F$5:$F$1321,$C24,'仓库单元底表'!$E$5:$E$1321,$D24)</f>
        <v>1</v>
      </c>
      <c r="I24" s="36" t="n">
        <f>SUMIFS('仓库单元底表'!$N$5:$N$1321,'仓库单元底表'!$A$5:$A$1321,$A24,'仓库单元底表'!$F$5:$F$1321,$C24,'仓库单元底表'!$E$5:$E$1321,$D24)</f>
        <v>1</v>
      </c>
      <c r="J24" s="36" t="n">
        <f>SUMIFS('仓库单元底表'!$P$5:$P$1321,'仓库单元底表'!$A$5:$A$1321,$A24,'仓库单元底表'!$F$5:$F$1321,$C24,'仓库单元底表'!$E$5:$E$1321,$D24)</f>
        <v>0</v>
      </c>
      <c r="K24" s="36" t="n">
        <f>SUMIFS('仓库单元底表'!$Q$5:$Q$1321,'仓库单元底表'!$A$5:$A$1321,$A24,'仓库单元底表'!$F$5:$F$1321,$C24,'仓库单元底表'!$E$5:$E$1321,$D24)</f>
        <v>0</v>
      </c>
      <c r="L24" s="36" t="n">
        <f>SUMIFS('仓库单元底表'!$R$5:$R$1321,'仓库单元底表'!$A$5:$A$1321,$A24,'仓库单元底表'!$F$5:$F$1321,$C24,'仓库单元底表'!$E$5:$E$1321,$D24)</f>
        <v>0</v>
      </c>
      <c r="M24" s="36" t="n">
        <f>SUMIFS('仓库单元底表'!$S$5:$S$1321,'仓库单元底表'!$A$5:$A$1321,$A24,'仓库单元底表'!$F$5:$F$1321,$C24,'仓库单元底表'!$E$5:$E$1321,$D24)</f>
        <v>0</v>
      </c>
      <c r="N24" s="35" t="n">
        <f>IF(E24=0,"",H24/E24)</f>
        <v>1</v>
      </c>
      <c r="O24" s="35" t="n">
        <f>IF(E24=0,"",I24/E24)</f>
        <v>1</v>
      </c>
      <c r="P24" s="35" t="n">
        <f>IF(SUMIFS('供应商月度明细'!$F$5:$F$155,'供应商月度明细'!$A$5:$A$155,$A24,'供应商月度明细'!$D$5:$D$155,$C24,'供应商月度明细'!$E$5:$E$155,$D24)=0,"",SUMIFS('供应商月度明细'!$H$5:$H$155,'供应商月度明细'!$A$5:$A$155,$A24,'供应商月度明细'!$D$5:$D$155,$C24,'供应商月度明细'!$E$5:$E$155,$D24)/SUMIFS('供应商月度明细'!$F$5:$F$155,'供应商月度明细'!$A$5:$A$155,$A24,'供应商月度明细'!$D$5:$D$155,$C24,'供应商月度明细'!$E$5:$E$155,$D24))</f>
        <v>1</v>
      </c>
      <c r="Q24" s="35" t="n">
        <f>IF(SUMIFS('供应商月度明细'!$J$5:$J$155,'供应商月度明细'!$A$5:$A$155,$A24,'供应商月度明细'!$D$5:$D$155,$C24,'供应商月度明细'!$E$5:$E$155,$D24)=0,"",SUMIFS('供应商月度明细'!$K$5:$K$155,'供应商月度明细'!$A$5:$A$155,$A24,'供应商月度明细'!$D$5:$D$155,$C24,'供应商月度明细'!$E$5:$E$155,$D24)/SUMIFS('供应商月度明细'!$J$5:$J$155,'供应商月度明细'!$A$5:$A$155,$A24,'供应商月度明细'!$D$5:$D$155,$C24,'供应商月度明细'!$E$5:$E$155,$D24))</f>
        <v>1</v>
      </c>
    </row>
    <row r="25">
      <c r="A25" s="34" t="str">
        <v>德国区</v>
      </c>
      <c r="B25" s="34" t="str">
        <v>工种明细</v>
      </c>
      <c r="C25" s="34" t="str">
        <v>保洁员</v>
      </c>
      <c r="D25" s="34" t="str">
        <v>2026-05</v>
      </c>
      <c r="E25" s="36" t="n">
        <f>SUMIFS('仓库单元底表'!$J$5:$J$1321,'仓库单元底表'!$A$5:$A$1321,$A25,'仓库单元底表'!$F$5:$F$1321,$C25,'仓库单元底表'!$E$5:$E$1321,$D25)</f>
        <v>5</v>
      </c>
      <c r="F25" s="36" t="n">
        <f>SUMIFS('仓库单元底表'!$K$5:$K$1321,'仓库单元底表'!$A$5:$A$1321,$A25,'仓库单元底表'!$F$5:$F$1321,$C25,'仓库单元底表'!$E$5:$E$1321,$D25)</f>
        <v>3</v>
      </c>
      <c r="G25" s="36" t="n">
        <f>SUMIFS('仓库单元底表'!$L$5:$L$1321,'仓库单元底表'!$A$5:$A$1321,$A25,'仓库单元底表'!$F$5:$F$1321,$C25,'仓库单元底表'!$E$5:$E$1321,$D25)</f>
        <v>3</v>
      </c>
      <c r="H25" s="36" t="n">
        <f>SUMIFS('仓库单元底表'!$M$5:$M$1321,'仓库单元底表'!$A$5:$A$1321,$A25,'仓库单元底表'!$F$5:$F$1321,$C25,'仓库单元底表'!$E$5:$E$1321,$D25)</f>
        <v>3</v>
      </c>
      <c r="I25" s="36" t="n">
        <f>SUMIFS('仓库单元底表'!$N$5:$N$1321,'仓库单元底表'!$A$5:$A$1321,$A25,'仓库单元底表'!$F$5:$F$1321,$C25,'仓库单元底表'!$E$5:$E$1321,$D25)</f>
        <v>3</v>
      </c>
      <c r="J25" s="36" t="n">
        <f>SUMIFS('仓库单元底表'!$P$5:$P$1321,'仓库单元底表'!$A$5:$A$1321,$A25,'仓库单元底表'!$F$5:$F$1321,$C25,'仓库单元底表'!$E$5:$E$1321,$D25)</f>
        <v>0</v>
      </c>
      <c r="K25" s="36" t="n">
        <f>SUMIFS('仓库单元底表'!$Q$5:$Q$1321,'仓库单元底表'!$A$5:$A$1321,$A25,'仓库单元底表'!$F$5:$F$1321,$C25,'仓库单元底表'!$E$5:$E$1321,$D25)</f>
        <v>0</v>
      </c>
      <c r="L25" s="36" t="n">
        <f>SUMIFS('仓库单元底表'!$R$5:$R$1321,'仓库单元底表'!$A$5:$A$1321,$A25,'仓库单元底表'!$F$5:$F$1321,$C25,'仓库单元底表'!$E$5:$E$1321,$D25)</f>
        <v>2</v>
      </c>
      <c r="M25" s="36" t="n">
        <f>SUMIFS('仓库单元底表'!$S$5:$S$1321,'仓库单元底表'!$A$5:$A$1321,$A25,'仓库单元底表'!$F$5:$F$1321,$C25,'仓库单元底表'!$E$5:$E$1321,$D25)</f>
        <v>0</v>
      </c>
      <c r="N25" s="35" t="n">
        <f>IF(E25=0,"",H25/E25)</f>
        <v>0.6</v>
      </c>
      <c r="O25" s="35" t="n">
        <f>IF(E25=0,"",I25/E25)</f>
        <v>0.6</v>
      </c>
      <c r="P25" s="35" t="n">
        <f>IF(SUMIFS('供应商月度明细'!$F$5:$F$155,'供应商月度明细'!$A$5:$A$155,$A25,'供应商月度明细'!$D$5:$D$155,$C25,'供应商月度明细'!$E$5:$E$155,$D25)=0,"",SUMIFS('供应商月度明细'!$H$5:$H$155,'供应商月度明细'!$A$5:$A$155,$A25,'供应商月度明细'!$D$5:$D$155,$C25,'供应商月度明细'!$E$5:$E$155,$D25)/SUMIFS('供应商月度明细'!$F$5:$F$155,'供应商月度明细'!$A$5:$A$155,$A25,'供应商月度明细'!$D$5:$D$155,$C25,'供应商月度明细'!$E$5:$E$155,$D25))</f>
        <v>1</v>
      </c>
      <c r="Q25" s="35" t="n">
        <f>IF(SUMIFS('供应商月度明细'!$J$5:$J$155,'供应商月度明细'!$A$5:$A$155,$A25,'供应商月度明细'!$D$5:$D$155,$C25,'供应商月度明细'!$E$5:$E$155,$D25)=0,"",SUMIFS('供应商月度明细'!$K$5:$K$155,'供应商月度明细'!$A$5:$A$155,$A25,'供应商月度明细'!$D$5:$D$155,$C25,'供应商月度明细'!$E$5:$E$155,$D25)/SUMIFS('供应商月度明细'!$J$5:$J$155,'供应商月度明细'!$A$5:$A$155,$A25,'供应商月度明细'!$D$5:$D$155,$C25,'供应商月度明细'!$E$5:$E$155,$D25))</f>
        <v>1</v>
      </c>
    </row>
    <row r="26">
      <c r="A26" s="34" t="str">
        <v>德国区</v>
      </c>
      <c r="B26" s="34" t="str">
        <v>工种明细</v>
      </c>
      <c r="C26" s="34" t="str">
        <v>保洁员</v>
      </c>
      <c r="D26" s="34" t="str">
        <v>2026-06</v>
      </c>
      <c r="E26" s="36" t="n">
        <f>SUMIFS('仓库单元底表'!$J$5:$J$1321,'仓库单元底表'!$A$5:$A$1321,$A26,'仓库单元底表'!$F$5:$F$1321,$C26,'仓库单元底表'!$E$5:$E$1321,$D26)</f>
        <v>5</v>
      </c>
      <c r="F26" s="36" t="n">
        <f>SUMIFS('仓库单元底表'!$K$5:$K$1321,'仓库单元底表'!$A$5:$A$1321,$A26,'仓库单元底表'!$F$5:$F$1321,$C26,'仓库单元底表'!$E$5:$E$1321,$D26)</f>
        <v>5</v>
      </c>
      <c r="G26" s="36" t="n">
        <f>SUMIFS('仓库单元底表'!$L$5:$L$1321,'仓库单元底表'!$A$5:$A$1321,$A26,'仓库单元底表'!$F$5:$F$1321,$C26,'仓库单元底表'!$E$5:$E$1321,$D26)</f>
        <v>4</v>
      </c>
      <c r="H26" s="36" t="n">
        <f>SUMIFS('仓库单元底表'!$M$5:$M$1321,'仓库单元底表'!$A$5:$A$1321,$A26,'仓库单元底表'!$F$5:$F$1321,$C26,'仓库单元底表'!$E$5:$E$1321,$D26)</f>
        <v>4</v>
      </c>
      <c r="I26" s="36" t="n">
        <f>SUMIFS('仓库单元底表'!$N$5:$N$1321,'仓库单元底表'!$A$5:$A$1321,$A26,'仓库单元底表'!$F$5:$F$1321,$C26,'仓库单元底表'!$E$5:$E$1321,$D26)</f>
        <v>3</v>
      </c>
      <c r="J26" s="36" t="n">
        <f>SUMIFS('仓库单元底表'!$P$5:$P$1321,'仓库单元底表'!$A$5:$A$1321,$A26,'仓库单元底表'!$F$5:$F$1321,$C26,'仓库单元底表'!$E$5:$E$1321,$D26)</f>
        <v>1</v>
      </c>
      <c r="K26" s="36" t="n">
        <f>SUMIFS('仓库单元底表'!$Q$5:$Q$1321,'仓库单元底表'!$A$5:$A$1321,$A26,'仓库单元底表'!$F$5:$F$1321,$C26,'仓库单元底表'!$E$5:$E$1321,$D26)</f>
        <v>0</v>
      </c>
      <c r="L26" s="36" t="n">
        <f>SUMIFS('仓库单元底表'!$R$5:$R$1321,'仓库单元底表'!$A$5:$A$1321,$A26,'仓库单元底表'!$F$5:$F$1321,$C26,'仓库单元底表'!$E$5:$E$1321,$D26)</f>
        <v>1</v>
      </c>
      <c r="M26" s="36" t="n">
        <f>SUMIFS('仓库单元底表'!$S$5:$S$1321,'仓库单元底表'!$A$5:$A$1321,$A26,'仓库单元底表'!$F$5:$F$1321,$C26,'仓库单元底表'!$E$5:$E$1321,$D26)</f>
        <v>1</v>
      </c>
      <c r="N26" s="35" t="n">
        <f>IF(E26=0,"",H26/E26)</f>
        <v>0.8</v>
      </c>
      <c r="O26" s="35" t="n">
        <f>IF(E26=0,"",I26/E26)</f>
        <v>0.6</v>
      </c>
      <c r="P26" s="35" t="n">
        <f>IF(SUMIFS('供应商月度明细'!$F$5:$F$155,'供应商月度明细'!$A$5:$A$155,$A26,'供应商月度明细'!$D$5:$D$155,$C26,'供应商月度明细'!$E$5:$E$155,$D26)=0,"",SUMIFS('供应商月度明细'!$H$5:$H$155,'供应商月度明细'!$A$5:$A$155,$A26,'供应商月度明细'!$D$5:$D$155,$C26,'供应商月度明细'!$E$5:$E$155,$D26)/SUMIFS('供应商月度明细'!$F$5:$F$155,'供应商月度明细'!$A$5:$A$155,$A26,'供应商月度明细'!$D$5:$D$155,$C26,'供应商月度明细'!$E$5:$E$155,$D26))</f>
        <v>0.8</v>
      </c>
      <c r="Q26" s="35" t="n">
        <f>IF(SUMIFS('供应商月度明细'!$J$5:$J$155,'供应商月度明细'!$A$5:$A$155,$A26,'供应商月度明细'!$D$5:$D$155,$C26,'供应商月度明细'!$E$5:$E$155,$D26)=0,"",SUMIFS('供应商月度明细'!$K$5:$K$155,'供应商月度明细'!$A$5:$A$155,$A26,'供应商月度明细'!$D$5:$D$155,$C26,'供应商月度明细'!$E$5:$E$155,$D26)/SUMIFS('供应商月度明细'!$J$5:$J$155,'供应商月度明细'!$A$5:$A$155,$A26,'供应商月度明细'!$D$5:$D$155,$C26,'供应商月度明细'!$E$5:$E$155,$D26))</f>
        <v>0.75</v>
      </c>
    </row>
    <row r="27">
      <c r="A27" s="37" t="str">
        <v>德国区</v>
      </c>
      <c r="B27" s="37" t="str">
        <v>区域汇总</v>
      </c>
      <c r="C27" s="37" t="str">
        <v>全部工种</v>
      </c>
      <c r="D27" s="37" t="str">
        <v>2026-04</v>
      </c>
      <c r="E27" s="39" t="n">
        <f>SUMIFS('仓库单元底表'!$J$5:$J$1321,'仓库单元底表'!$A$5:$A$1321,$A27,'仓库单元底表'!$E$5:$E$1321,$D27)</f>
        <v>141</v>
      </c>
      <c r="F27" s="39" t="n">
        <f>SUMIFS('仓库单元底表'!$K$5:$K$1321,'仓库单元底表'!$A$5:$A$1321,$A27,'仓库单元底表'!$E$5:$E$1321,$D27)</f>
        <v>154</v>
      </c>
      <c r="G27" s="39" t="n">
        <f>SUMIFS('仓库单元底表'!$L$5:$L$1321,'仓库单元底表'!$A$5:$A$1321,$A27,'仓库单元底表'!$E$5:$E$1321,$D27)</f>
        <v>115</v>
      </c>
      <c r="H27" s="39" t="n">
        <f>SUMIFS('仓库单元底表'!$M$5:$M$1321,'仓库单元底表'!$A$5:$A$1321,$A27,'仓库单元底表'!$E$5:$E$1321,$D27)</f>
        <v>117</v>
      </c>
      <c r="I27" s="39" t="n">
        <f>SUMIFS('仓库单元底表'!$N$5:$N$1321,'仓库单元底表'!$A$5:$A$1321,$A27,'仓库单元底表'!$E$5:$E$1321,$D27)</f>
        <v>98</v>
      </c>
      <c r="J27" s="39" t="n">
        <f>SUMIFS('仓库单元底表'!$P$5:$P$1321,'仓库单元底表'!$A$5:$A$1321,$A27,'仓库单元底表'!$E$5:$E$1321,$D27)</f>
        <v>22</v>
      </c>
      <c r="K27" s="39" t="n">
        <f>SUMIFS('仓库单元底表'!$Q$5:$Q$1321,'仓库单元底表'!$A$5:$A$1321,$A27,'仓库单元底表'!$E$5:$E$1321,$D27)</f>
        <v>15</v>
      </c>
      <c r="L27" s="39" t="n">
        <f>SUMIFS('仓库单元底表'!$R$5:$R$1321,'仓库单元底表'!$A$5:$A$1321,$A27,'仓库单元底表'!$E$5:$E$1321,$D27)</f>
        <v>24</v>
      </c>
      <c r="M27" s="39" t="n">
        <f>SUMIFS('仓库单元底表'!$S$5:$S$1321,'仓库单元底表'!$A$5:$A$1321,$A27,'仓库单元底表'!$E$5:$E$1321,$D27)</f>
        <v>17</v>
      </c>
      <c r="N27" s="38" t="n">
        <f>IF(E27=0,"",H27/E27)</f>
        <v>0.8297872340425532</v>
      </c>
      <c r="O27" s="38" t="n">
        <f>IF(E27=0,"",I27/E27)</f>
        <v>0.6950354609929078</v>
      </c>
      <c r="P27" s="38" t="n">
        <f>IF(SUMIFS('供应商月度明细'!$F$5:$F$155,'供应商月度明细'!$A$5:$A$155,$A27,'供应商月度明细'!$E$5:$E$155,$D27)=0,"",SUMIFS('供应商月度明细'!$H$5:$H$155,'供应商月度明细'!$A$5:$A$155,$A27,'供应商月度明细'!$E$5:$E$155,$D27)/SUMIFS('供应商月度明细'!$F$5:$F$155,'供应商月度明细'!$A$5:$A$155,$A27,'供应商月度明细'!$E$5:$E$155,$D27))</f>
        <v>0.7467532467532467</v>
      </c>
      <c r="Q27" s="38" t="n">
        <f>IF(SUMIFS('供应商月度明细'!$J$5:$J$155,'供应商月度明细'!$A$5:$A$155,$A27,'供应商月度明细'!$E$5:$E$155,$D27)=0,"",SUMIFS('供应商月度明细'!$K$5:$K$155,'供应商月度明细'!$A$5:$A$155,$A27,'供应商月度明细'!$E$5:$E$155,$D27)/SUMIFS('供应商月度明细'!$J$5:$J$155,'供应商月度明细'!$A$5:$A$155,$A27,'供应商月度明细'!$E$5:$E$155,$D27))</f>
        <v>0.8168498168498168</v>
      </c>
    </row>
    <row r="28">
      <c r="A28" s="37" t="str">
        <v>德国区</v>
      </c>
      <c r="B28" s="37" t="str">
        <v>区域汇总</v>
      </c>
      <c r="C28" s="37" t="str">
        <v>全部工种</v>
      </c>
      <c r="D28" s="37" t="str">
        <v>2026-05</v>
      </c>
      <c r="E28" s="39" t="n">
        <f>SUMIFS('仓库单元底表'!$J$5:$J$1321,'仓库单元底表'!$A$5:$A$1321,$A28,'仓库单元底表'!$E$5:$E$1321,$D28)</f>
        <v>454</v>
      </c>
      <c r="F28" s="39" t="n">
        <f>SUMIFS('仓库单元底表'!$K$5:$K$1321,'仓库单元底表'!$A$5:$A$1321,$A28,'仓库单元底表'!$E$5:$E$1321,$D28)</f>
        <v>404</v>
      </c>
      <c r="G28" s="39" t="n">
        <f>SUMIFS('仓库单元底表'!$L$5:$L$1321,'仓库单元底表'!$A$5:$A$1321,$A28,'仓库单元底表'!$E$5:$E$1321,$D28)</f>
        <v>344</v>
      </c>
      <c r="H28" s="39" t="n">
        <f>SUMIFS('仓库单元底表'!$M$5:$M$1321,'仓库单元底表'!$A$5:$A$1321,$A28,'仓库单元底表'!$E$5:$E$1321,$D28)</f>
        <v>334</v>
      </c>
      <c r="I28" s="39" t="n">
        <f>SUMIFS('仓库单元底表'!$N$5:$N$1321,'仓库单元底表'!$A$5:$A$1321,$A28,'仓库单元底表'!$E$5:$E$1321,$D28)</f>
        <v>294</v>
      </c>
      <c r="J28" s="39" t="n">
        <f>SUMIFS('仓库单元底表'!$P$5:$P$1321,'仓库单元底表'!$A$5:$A$1321,$A28,'仓库单元底表'!$E$5:$E$1321,$D28)</f>
        <v>62</v>
      </c>
      <c r="K28" s="39" t="n">
        <f>SUMIFS('仓库单元底表'!$Q$5:$Q$1321,'仓库单元底表'!$A$5:$A$1321,$A28,'仓库单元底表'!$E$5:$E$1321,$D28)</f>
        <v>8</v>
      </c>
      <c r="L28" s="39" t="n">
        <f>SUMIFS('仓库单元底表'!$R$5:$R$1321,'仓库单元底表'!$A$5:$A$1321,$A28,'仓库单元底表'!$E$5:$E$1321,$D28)</f>
        <v>120</v>
      </c>
      <c r="M28" s="39" t="n">
        <f>SUMIFS('仓库单元底表'!$S$5:$S$1321,'仓库单元底表'!$A$5:$A$1321,$A28,'仓库单元底表'!$E$5:$E$1321,$D28)</f>
        <v>50</v>
      </c>
      <c r="N28" s="38" t="n">
        <f>IF(E28=0,"",H28/E28)</f>
        <v>0.73568281938326</v>
      </c>
      <c r="O28" s="38" t="n">
        <f>IF(E28=0,"",I28/E28)</f>
        <v>0.6475770925110133</v>
      </c>
      <c r="P28" s="38" t="n">
        <f>IF(SUMIFS('供应商月度明细'!$F$5:$F$155,'供应商月度明细'!$A$5:$A$155,$A28,'供应商月度明细'!$E$5:$E$155,$D28)=0,"",SUMIFS('供应商月度明细'!$H$5:$H$155,'供应商月度明细'!$A$5:$A$155,$A28,'供应商月度明细'!$E$5:$E$155,$D28)/SUMIFS('供应商月度明细'!$F$5:$F$155,'供应商月度明细'!$A$5:$A$155,$A28,'供应商月度明细'!$E$5:$E$155,$D28))</f>
        <v>0.8514851485148515</v>
      </c>
      <c r="Q28" s="38" t="n">
        <f>IF(SUMIFS('供应商月度明细'!$J$5:$J$155,'供应商月度明细'!$A$5:$A$155,$A28,'供应商月度明细'!$E$5:$E$155,$D28)=0,"",SUMIFS('供应商月度明细'!$K$5:$K$155,'供应商月度明细'!$A$5:$A$155,$A28,'供应商月度明细'!$E$5:$E$155,$D28)/SUMIFS('供应商月度明细'!$J$5:$J$155,'供应商月度明细'!$A$5:$A$155,$A28,'供应商月度明细'!$E$5:$E$155,$D28))</f>
        <v>0.8700099800399201</v>
      </c>
    </row>
    <row r="29">
      <c r="A29" s="37" t="str">
        <v>德国区</v>
      </c>
      <c r="B29" s="37" t="str">
        <v>区域汇总</v>
      </c>
      <c r="C29" s="37" t="str">
        <v>全部工种</v>
      </c>
      <c r="D29" s="37" t="str">
        <v>2026-06</v>
      </c>
      <c r="E29" s="39" t="n">
        <f>SUMIFS('仓库单元底表'!$J$5:$J$1321,'仓库单元底表'!$A$5:$A$1321,$A29,'仓库单元底表'!$E$5:$E$1321,$D29)</f>
        <v>809</v>
      </c>
      <c r="F29" s="39" t="n">
        <f>SUMIFS('仓库单元底表'!$K$5:$K$1321,'仓库单元底表'!$A$5:$A$1321,$A29,'仓库单元底表'!$E$5:$E$1321,$D29)</f>
        <v>770</v>
      </c>
      <c r="G29" s="39" t="n">
        <f>SUMIFS('仓库单元底表'!$L$5:$L$1321,'仓库单元底表'!$A$5:$A$1321,$A29,'仓库单元底表'!$E$5:$E$1321,$D29)</f>
        <v>652</v>
      </c>
      <c r="H29" s="39" t="n">
        <f>SUMIFS('仓库单元底表'!$M$5:$M$1321,'仓库单元底表'!$A$5:$A$1321,$A29,'仓库单元底表'!$E$5:$E$1321,$D29)</f>
        <v>623</v>
      </c>
      <c r="I29" s="39" t="n">
        <f>SUMIFS('仓库单元底表'!$N$5:$N$1321,'仓库单元底表'!$A$5:$A$1321,$A29,'仓库单元底表'!$E$5:$E$1321,$D29)</f>
        <v>538</v>
      </c>
      <c r="J29" s="39" t="n">
        <f>SUMIFS('仓库单元底表'!$P$5:$P$1321,'仓库单元底表'!$A$5:$A$1321,$A29,'仓库单元底表'!$E$5:$E$1321,$D29)</f>
        <v>137</v>
      </c>
      <c r="K29" s="39" t="n">
        <f>SUMIFS('仓库单元底表'!$Q$5:$Q$1321,'仓库单元底表'!$A$5:$A$1321,$A29,'仓库单元底表'!$E$5:$E$1321,$D29)</f>
        <v>10</v>
      </c>
      <c r="L29" s="39" t="n">
        <f>SUMIFS('仓库单元底表'!$R$5:$R$1321,'仓库单元底表'!$A$5:$A$1321,$A29,'仓库单元底表'!$E$5:$E$1321,$D29)</f>
        <v>186</v>
      </c>
      <c r="M29" s="39" t="n">
        <f>SUMIFS('仓库单元底表'!$S$5:$S$1321,'仓库单元底表'!$A$5:$A$1321,$A29,'仓库单元底表'!$E$5:$E$1321,$D29)</f>
        <v>114</v>
      </c>
      <c r="N29" s="38" t="n">
        <f>IF(E29=0,"",H29/E29)</f>
        <v>0.7700865265760197</v>
      </c>
      <c r="O29" s="38" t="n">
        <f>IF(E29=0,"",I29/E29)</f>
        <v>0.6650185414091471</v>
      </c>
      <c r="P29" s="38" t="n">
        <f>IF(SUMIFS('供应商月度明细'!$F$5:$F$155,'供应商月度明细'!$A$5:$A$155,$A29,'供应商月度明细'!$E$5:$E$155,$D29)=0,"",SUMIFS('供应商月度明细'!$H$5:$H$155,'供应商月度明细'!$A$5:$A$155,$A29,'供应商月度明细'!$E$5:$E$155,$D29)/SUMIFS('供应商月度明细'!$F$5:$F$155,'供应商月度明细'!$A$5:$A$155,$A29,'供应商月度明细'!$E$5:$E$155,$D29))</f>
        <v>0.8467532467532467</v>
      </c>
      <c r="Q29" s="38" t="n">
        <f>IF(SUMIFS('供应商月度明细'!$J$5:$J$155,'供应商月度明细'!$A$5:$A$155,$A29,'供应商月度明细'!$E$5:$E$155,$D29)=0,"",SUMIFS('供应商月度明细'!$K$5:$K$155,'供应商月度明细'!$A$5:$A$155,$A29,'供应商月度明细'!$E$5:$E$155,$D29)/SUMIFS('供应商月度明细'!$J$5:$J$155,'供应商月度明细'!$A$5:$A$155,$A29,'供应商月度明细'!$E$5:$E$155,$D29))</f>
        <v>0.8460150692895475</v>
      </c>
    </row>
    <row r="30">
      <c r="A30" s="34" t="str">
        <v>波兰区</v>
      </c>
      <c r="B30" s="34" t="str">
        <v>工种明细</v>
      </c>
      <c r="C30" s="34" t="str">
        <v>操作员</v>
      </c>
      <c r="D30" s="34" t="str">
        <v>2026-04</v>
      </c>
      <c r="E30" s="36" t="n">
        <f>SUMIFS('仓库单元底表'!$J$5:$J$1321,'仓库单元底表'!$A$5:$A$1321,$A30,'仓库单元底表'!$F$5:$F$1321,$C30,'仓库单元底表'!$E$5:$E$1321,$D30)</f>
        <v>358</v>
      </c>
      <c r="F30" s="36" t="n">
        <f>SUMIFS('仓库单元底表'!$K$5:$K$1321,'仓库单元底表'!$A$5:$A$1321,$A30,'仓库单元底表'!$F$5:$F$1321,$C30,'仓库单元底表'!$E$5:$E$1321,$D30)</f>
        <v>485</v>
      </c>
      <c r="G30" s="36" t="n">
        <f>SUMIFS('仓库单元底表'!$L$5:$L$1321,'仓库单元底表'!$A$5:$A$1321,$A30,'仓库单元底表'!$F$5:$F$1321,$C30,'仓库单元底表'!$E$5:$E$1321,$D30)</f>
        <v>404</v>
      </c>
      <c r="H30" s="36" t="n">
        <f>SUMIFS('仓库单元底表'!$M$5:$M$1321,'仓库单元底表'!$A$5:$A$1321,$A30,'仓库单元底表'!$F$5:$F$1321,$C30,'仓库单元底表'!$E$5:$E$1321,$D30)</f>
        <v>357</v>
      </c>
      <c r="I30" s="36" t="n">
        <f>SUMIFS('仓库单元底表'!$N$5:$N$1321,'仓库单元底表'!$A$5:$A$1321,$A30,'仓库单元底表'!$F$5:$F$1321,$C30,'仓库单元底表'!$E$5:$E$1321,$D30)</f>
        <v>343</v>
      </c>
      <c r="J30" s="36" t="n">
        <f>SUMIFS('仓库单元底表'!$P$5:$P$1321,'仓库单元底表'!$A$5:$A$1321,$A30,'仓库单元底表'!$F$5:$F$1321,$C30,'仓库单元底表'!$E$5:$E$1321,$D30)</f>
        <v>98</v>
      </c>
      <c r="K30" s="36" t="n">
        <f>SUMIFS('仓库单元底表'!$Q$5:$Q$1321,'仓库单元底表'!$A$5:$A$1321,$A30,'仓库单元底表'!$F$5:$F$1321,$C30,'仓库单元底表'!$E$5:$E$1321,$D30)</f>
        <v>30</v>
      </c>
      <c r="L30" s="36" t="n">
        <f>SUMIFS('仓库单元底表'!$R$5:$R$1321,'仓库单元底表'!$A$5:$A$1321,$A30,'仓库单元底表'!$F$5:$F$1321,$C30,'仓库单元底表'!$E$5:$E$1321,$D30)</f>
        <v>1</v>
      </c>
      <c r="M30" s="36" t="n">
        <f>SUMIFS('仓库单元底表'!$S$5:$S$1321,'仓库单元底表'!$A$5:$A$1321,$A30,'仓库单元底表'!$F$5:$F$1321,$C30,'仓库单元底表'!$E$5:$E$1321,$D30)</f>
        <v>61</v>
      </c>
      <c r="N30" s="35" t="n">
        <f>IF(E30=0,"",H30/E30)</f>
        <v>0.9972067039106145</v>
      </c>
      <c r="O30" s="35" t="n">
        <f>IF(E30=0,"",I30/E30)</f>
        <v>0.9581005586592178</v>
      </c>
      <c r="P30" s="35" t="n">
        <f>IF(SUMIFS('供应商月度明细'!$F$5:$F$155,'供应商月度明细'!$A$5:$A$155,$A30,'供应商月度明细'!$D$5:$D$155,$C30,'供应商月度明细'!$E$5:$E$155,$D30)=0,"",SUMIFS('供应商月度明细'!$H$5:$H$155,'供应商月度明细'!$A$5:$A$155,$A30,'供应商月度明细'!$D$5:$D$155,$C30,'供应商月度明细'!$E$5:$E$155,$D30)/SUMIFS('供应商月度明细'!$F$5:$F$155,'供应商月度明细'!$A$5:$A$155,$A30,'供应商月度明细'!$D$5:$D$155,$C30,'供应商月度明细'!$E$5:$E$155,$D30))</f>
        <v>0.8329896907216495</v>
      </c>
      <c r="Q30" s="35" t="n">
        <f>IF(SUMIFS('供应商月度明细'!$J$5:$J$155,'供应商月度明细'!$A$5:$A$155,$A30,'供应商月度明细'!$D$5:$D$155,$C30,'供应商月度明细'!$E$5:$E$155,$D30)=0,"",SUMIFS('供应商月度明细'!$K$5:$K$155,'供应商月度明细'!$A$5:$A$155,$A30,'供应商月度明细'!$D$5:$D$155,$C30,'供应商月度明细'!$E$5:$E$155,$D30)/SUMIFS('供应商月度明细'!$J$5:$J$155,'供应商月度明细'!$A$5:$A$155,$A30,'供应商月度明细'!$D$5:$D$155,$C30,'供应商月度明细'!$E$5:$E$155,$D30))</f>
        <v>0.9389695990276157</v>
      </c>
    </row>
    <row r="31">
      <c r="A31" s="34" t="str">
        <v>波兰区</v>
      </c>
      <c r="B31" s="34" t="str">
        <v>工种明细</v>
      </c>
      <c r="C31" s="34" t="str">
        <v>操作员</v>
      </c>
      <c r="D31" s="34" t="str">
        <v>2026-05</v>
      </c>
      <c r="E31" s="36" t="n">
        <f>SUMIFS('仓库单元底表'!$J$5:$J$1321,'仓库单元底表'!$A$5:$A$1321,$A31,'仓库单元底表'!$F$5:$F$1321,$C31,'仓库单元底表'!$E$5:$E$1321,$D31)</f>
        <v>665</v>
      </c>
      <c r="F31" s="36" t="n">
        <f>SUMIFS('仓库单元底表'!$K$5:$K$1321,'仓库单元底表'!$A$5:$A$1321,$A31,'仓库单元底表'!$F$5:$F$1321,$C31,'仓库单元底表'!$E$5:$E$1321,$D31)</f>
        <v>727</v>
      </c>
      <c r="G31" s="36" t="n">
        <f>SUMIFS('仓库单元底表'!$L$5:$L$1321,'仓库单元底表'!$A$5:$A$1321,$A31,'仓库单元底表'!$F$5:$F$1321,$C31,'仓库单元底表'!$E$5:$E$1321,$D31)</f>
        <v>400</v>
      </c>
      <c r="H31" s="36" t="n">
        <f>SUMIFS('仓库单元底表'!$M$5:$M$1321,'仓库单元底表'!$A$5:$A$1321,$A31,'仓库单元底表'!$F$5:$F$1321,$C31,'仓库单元底表'!$E$5:$E$1321,$D31)</f>
        <v>516</v>
      </c>
      <c r="I31" s="36" t="n">
        <f>SUMIFS('仓库单元底表'!$N$5:$N$1321,'仓库单元底表'!$A$5:$A$1321,$A31,'仓库单元底表'!$F$5:$F$1321,$C31,'仓库单元底表'!$E$5:$E$1321,$D31)</f>
        <v>398</v>
      </c>
      <c r="J31" s="36" t="n">
        <f>SUMIFS('仓库单元底表'!$P$5:$P$1321,'仓库单元底表'!$A$5:$A$1321,$A31,'仓库单元底表'!$F$5:$F$1321,$C31,'仓库单元底表'!$E$5:$E$1321,$D31)</f>
        <v>141</v>
      </c>
      <c r="K31" s="36" t="n">
        <f>SUMIFS('仓库单元底表'!$Q$5:$Q$1321,'仓库单元底表'!$A$5:$A$1321,$A31,'仓库单元底表'!$F$5:$F$1321,$C31,'仓库单元底表'!$E$5:$E$1321,$D31)</f>
        <v>70</v>
      </c>
      <c r="L31" s="36" t="n">
        <f>SUMIFS('仓库单元底表'!$R$5:$R$1321,'仓库单元底表'!$A$5:$A$1321,$A31,'仓库单元底表'!$F$5:$F$1321,$C31,'仓库单元底表'!$E$5:$E$1321,$D31)</f>
        <v>149</v>
      </c>
      <c r="M31" s="36" t="n">
        <f>SUMIFS('仓库单元底表'!$S$5:$S$1321,'仓库单元底表'!$A$5:$A$1321,$A31,'仓库单元底表'!$F$5:$F$1321,$C31,'仓库单元底表'!$E$5:$E$1321,$D31)</f>
        <v>2</v>
      </c>
      <c r="N31" s="35" t="n">
        <f>IF(E31=0,"",H31/E31)</f>
        <v>0.7759398496240602</v>
      </c>
      <c r="O31" s="35" t="n">
        <f>IF(E31=0,"",I31/E31)</f>
        <v>0.5984962406015037</v>
      </c>
      <c r="P31" s="35" t="n">
        <f>IF(SUMIFS('供应商月度明细'!$F$5:$F$155,'供应商月度明细'!$A$5:$A$155,$A31,'供应商月度明细'!$D$5:$D$155,$C31,'供应商月度明细'!$E$5:$E$155,$D31)=0,"",SUMIFS('供应商月度明细'!$H$5:$H$155,'供应商月度明细'!$A$5:$A$155,$A31,'供应商月度明细'!$D$5:$D$155,$C31,'供应商月度明细'!$E$5:$E$155,$D31)/SUMIFS('供应商月度明细'!$F$5:$F$155,'供应商月度明细'!$A$5:$A$155,$A31,'供应商月度明细'!$D$5:$D$155,$C31,'供应商月度明细'!$E$5:$E$155,$D31))</f>
        <v>0.5502063273727648</v>
      </c>
      <c r="Q31" s="35" t="n">
        <f>IF(SUMIFS('供应商月度明细'!$J$5:$J$155,'供应商月度明细'!$A$5:$A$155,$A31,'供应商月度明细'!$D$5:$D$155,$C31,'供应商月度明细'!$E$5:$E$155,$D31)=0,"",SUMIFS('供应商月度明细'!$K$5:$K$155,'供应商月度明细'!$A$5:$A$155,$A31,'供应商月度明细'!$D$5:$D$155,$C31,'供应商月度明细'!$E$5:$E$155,$D31)/SUMIFS('供应商月度明细'!$J$5:$J$155,'供应商月度明细'!$A$5:$A$155,$A31,'供应商月度明细'!$D$5:$D$155,$C31,'供应商月度明细'!$E$5:$E$155,$D31))</f>
        <v>0.6933728736329171</v>
      </c>
    </row>
    <row r="32">
      <c r="A32" s="34" t="str">
        <v>波兰区</v>
      </c>
      <c r="B32" s="34" t="str">
        <v>工种明细</v>
      </c>
      <c r="C32" s="34" t="str">
        <v>操作员</v>
      </c>
      <c r="D32" s="34" t="str">
        <v>2026-06</v>
      </c>
      <c r="E32" s="36" t="n">
        <f>SUMIFS('仓库单元底表'!$J$5:$J$1321,'仓库单元底表'!$A$5:$A$1321,$A32,'仓库单元底表'!$F$5:$F$1321,$C32,'仓库单元底表'!$E$5:$E$1321,$D32)</f>
        <v>1443</v>
      </c>
      <c r="F32" s="36" t="n">
        <f>SUMIFS('仓库单元底表'!$K$5:$K$1321,'仓库单元底表'!$A$5:$A$1321,$A32,'仓库单元底表'!$F$5:$F$1321,$C32,'仓库单元底表'!$E$5:$E$1321,$D32)</f>
        <v>714</v>
      </c>
      <c r="G32" s="36" t="n">
        <f>SUMIFS('仓库单元底表'!$L$5:$L$1321,'仓库单元底表'!$A$5:$A$1321,$A32,'仓库单元底表'!$F$5:$F$1321,$C32,'仓库单元底表'!$E$5:$E$1321,$D32)</f>
        <v>293</v>
      </c>
      <c r="H32" s="36" t="n">
        <f>SUMIFS('仓库单元底表'!$M$5:$M$1321,'仓库单元底表'!$A$5:$A$1321,$A32,'仓库单元底表'!$F$5:$F$1321,$C32,'仓库单元底表'!$E$5:$E$1321,$D32)</f>
        <v>634</v>
      </c>
      <c r="I32" s="36" t="n">
        <f>SUMIFS('仓库单元底表'!$N$5:$N$1321,'仓库单元底表'!$A$5:$A$1321,$A32,'仓库单元底表'!$F$5:$F$1321,$C32,'仓库单元底表'!$E$5:$E$1321,$D32)</f>
        <v>293</v>
      </c>
      <c r="J32" s="36" t="n">
        <f>SUMIFS('仓库单元底表'!$P$5:$P$1321,'仓库单元底表'!$A$5:$A$1321,$A32,'仓库单元底表'!$F$5:$F$1321,$C32,'仓库单元底表'!$E$5:$E$1321,$D32)</f>
        <v>80</v>
      </c>
      <c r="K32" s="36" t="n">
        <f>SUMIFS('仓库单元底表'!$Q$5:$Q$1321,'仓库单元底表'!$A$5:$A$1321,$A32,'仓库单元底表'!$F$5:$F$1321,$C32,'仓库单元底表'!$E$5:$E$1321,$D32)</f>
        <v>0</v>
      </c>
      <c r="L32" s="36" t="n">
        <f>SUMIFS('仓库单元底表'!$R$5:$R$1321,'仓库单元底表'!$A$5:$A$1321,$A32,'仓库单元底表'!$F$5:$F$1321,$C32,'仓库单元底表'!$E$5:$E$1321,$D32)</f>
        <v>809</v>
      </c>
      <c r="M32" s="36" t="n">
        <f>SUMIFS('仓库单元底表'!$S$5:$S$1321,'仓库单元底表'!$A$5:$A$1321,$A32,'仓库单元底表'!$F$5:$F$1321,$C32,'仓库单元底表'!$E$5:$E$1321,$D32)</f>
        <v>0</v>
      </c>
      <c r="N32" s="35" t="n">
        <f>IF(E32=0,"",H32/E32)</f>
        <v>0.43936243936243935</v>
      </c>
      <c r="O32" s="35" t="n">
        <f>IF(E32=0,"",I32/E32)</f>
        <v>0.20304920304920304</v>
      </c>
      <c r="P32" s="35" t="n">
        <f>IF(SUMIFS('供应商月度明细'!$F$5:$F$155,'供应商月度明细'!$A$5:$A$155,$A32,'供应商月度明细'!$D$5:$D$155,$C32,'供应商月度明细'!$E$5:$E$155,$D32)=0,"",SUMIFS('供应商月度明细'!$H$5:$H$155,'供应商月度明细'!$A$5:$A$155,$A32,'供应商月度明细'!$D$5:$D$155,$C32,'供应商月度明细'!$E$5:$E$155,$D32)/SUMIFS('供应商月度明细'!$F$5:$F$155,'供应商月度明细'!$A$5:$A$155,$A32,'供应商月度明细'!$D$5:$D$155,$C32,'供应商月度明细'!$E$5:$E$155,$D32))</f>
        <v>0.4103641456582633</v>
      </c>
      <c r="Q32" s="35" t="n">
        <f>IF(SUMIFS('供应商月度明细'!$J$5:$J$155,'供应商月度明细'!$A$5:$A$155,$A32,'供应商月度明细'!$D$5:$D$155,$C32,'供应商月度明细'!$E$5:$E$155,$D32)=0,"",SUMIFS('供应商月度明细'!$K$5:$K$155,'供应商月度明细'!$A$5:$A$155,$A32,'供应商月度明细'!$D$5:$D$155,$C32,'供应商月度明细'!$E$5:$E$155,$D32)/SUMIFS('供应商月度明细'!$J$5:$J$155,'供应商月度明细'!$A$5:$A$155,$A32,'供应商月度明细'!$D$5:$D$155,$C32,'供应商月度明细'!$E$5:$E$155,$D32))</f>
        <v>0.45187937763995084</v>
      </c>
    </row>
    <row r="33">
      <c r="A33" s="37" t="str">
        <v>波兰区</v>
      </c>
      <c r="B33" s="37" t="str">
        <v>区域汇总</v>
      </c>
      <c r="C33" s="37" t="str">
        <v>全部工种</v>
      </c>
      <c r="D33" s="37" t="str">
        <v>2026-04</v>
      </c>
      <c r="E33" s="39" t="n">
        <f>SUMIFS('仓库单元底表'!$J$5:$J$1321,'仓库单元底表'!$A$5:$A$1321,$A33,'仓库单元底表'!$E$5:$E$1321,$D33)</f>
        <v>358</v>
      </c>
      <c r="F33" s="39" t="n">
        <f>SUMIFS('仓库单元底表'!$K$5:$K$1321,'仓库单元底表'!$A$5:$A$1321,$A33,'仓库单元底表'!$E$5:$E$1321,$D33)</f>
        <v>485</v>
      </c>
      <c r="G33" s="39" t="n">
        <f>SUMIFS('仓库单元底表'!$L$5:$L$1321,'仓库单元底表'!$A$5:$A$1321,$A33,'仓库单元底表'!$E$5:$E$1321,$D33)</f>
        <v>404</v>
      </c>
      <c r="H33" s="39" t="n">
        <f>SUMIFS('仓库单元底表'!$M$5:$M$1321,'仓库单元底表'!$A$5:$A$1321,$A33,'仓库单元底表'!$E$5:$E$1321,$D33)</f>
        <v>357</v>
      </c>
      <c r="I33" s="39" t="n">
        <f>SUMIFS('仓库单元底表'!$N$5:$N$1321,'仓库单元底表'!$A$5:$A$1321,$A33,'仓库单元底表'!$E$5:$E$1321,$D33)</f>
        <v>343</v>
      </c>
      <c r="J33" s="39" t="n">
        <f>SUMIFS('仓库单元底表'!$P$5:$P$1321,'仓库单元底表'!$A$5:$A$1321,$A33,'仓库单元底表'!$E$5:$E$1321,$D33)</f>
        <v>98</v>
      </c>
      <c r="K33" s="39" t="n">
        <f>SUMIFS('仓库单元底表'!$Q$5:$Q$1321,'仓库单元底表'!$A$5:$A$1321,$A33,'仓库单元底表'!$E$5:$E$1321,$D33)</f>
        <v>30</v>
      </c>
      <c r="L33" s="39" t="n">
        <f>SUMIFS('仓库单元底表'!$R$5:$R$1321,'仓库单元底表'!$A$5:$A$1321,$A33,'仓库单元底表'!$E$5:$E$1321,$D33)</f>
        <v>1</v>
      </c>
      <c r="M33" s="39" t="n">
        <f>SUMIFS('仓库单元底表'!$S$5:$S$1321,'仓库单元底表'!$A$5:$A$1321,$A33,'仓库单元底表'!$E$5:$E$1321,$D33)</f>
        <v>61</v>
      </c>
      <c r="N33" s="38" t="n">
        <f>IF(E33=0,"",H33/E33)</f>
        <v>0.9972067039106145</v>
      </c>
      <c r="O33" s="38" t="n">
        <f>IF(E33=0,"",I33/E33)</f>
        <v>0.9581005586592178</v>
      </c>
      <c r="P33" s="38" t="n">
        <f>IF(SUMIFS('供应商月度明细'!$F$5:$F$155,'供应商月度明细'!$A$5:$A$155,$A33,'供应商月度明细'!$E$5:$E$155,$D33)=0,"",SUMIFS('供应商月度明细'!$H$5:$H$155,'供应商月度明细'!$A$5:$A$155,$A33,'供应商月度明细'!$E$5:$E$155,$D33)/SUMIFS('供应商月度明细'!$F$5:$F$155,'供应商月度明细'!$A$5:$A$155,$A33,'供应商月度明细'!$E$5:$E$155,$D33))</f>
        <v>0.8329896907216495</v>
      </c>
      <c r="Q33" s="38" t="n">
        <f>IF(SUMIFS('供应商月度明细'!$J$5:$J$155,'供应商月度明细'!$A$5:$A$155,$A33,'供应商月度明细'!$E$5:$E$155,$D33)=0,"",SUMIFS('供应商月度明细'!$K$5:$K$155,'供应商月度明细'!$A$5:$A$155,$A33,'供应商月度明细'!$E$5:$E$155,$D33)/SUMIFS('供应商月度明细'!$J$5:$J$155,'供应商月度明细'!$A$5:$A$155,$A33,'供应商月度明细'!$E$5:$E$155,$D33))</f>
        <v>0.9389695990276157</v>
      </c>
    </row>
    <row r="34">
      <c r="A34" s="37" t="str">
        <v>波兰区</v>
      </c>
      <c r="B34" s="37" t="str">
        <v>区域汇总</v>
      </c>
      <c r="C34" s="37" t="str">
        <v>全部工种</v>
      </c>
      <c r="D34" s="37" t="str">
        <v>2026-05</v>
      </c>
      <c r="E34" s="39" t="n">
        <f>SUMIFS('仓库单元底表'!$J$5:$J$1321,'仓库单元底表'!$A$5:$A$1321,$A34,'仓库单元底表'!$E$5:$E$1321,$D34)</f>
        <v>665</v>
      </c>
      <c r="F34" s="39" t="n">
        <f>SUMIFS('仓库单元底表'!$K$5:$K$1321,'仓库单元底表'!$A$5:$A$1321,$A34,'仓库单元底表'!$E$5:$E$1321,$D34)</f>
        <v>727</v>
      </c>
      <c r="G34" s="39" t="n">
        <f>SUMIFS('仓库单元底表'!$L$5:$L$1321,'仓库单元底表'!$A$5:$A$1321,$A34,'仓库单元底表'!$E$5:$E$1321,$D34)</f>
        <v>400</v>
      </c>
      <c r="H34" s="39" t="n">
        <f>SUMIFS('仓库单元底表'!$M$5:$M$1321,'仓库单元底表'!$A$5:$A$1321,$A34,'仓库单元底表'!$E$5:$E$1321,$D34)</f>
        <v>516</v>
      </c>
      <c r="I34" s="39" t="n">
        <f>SUMIFS('仓库单元底表'!$N$5:$N$1321,'仓库单元底表'!$A$5:$A$1321,$A34,'仓库单元底表'!$E$5:$E$1321,$D34)</f>
        <v>398</v>
      </c>
      <c r="J34" s="39" t="n">
        <f>SUMIFS('仓库单元底表'!$P$5:$P$1321,'仓库单元底表'!$A$5:$A$1321,$A34,'仓库单元底表'!$E$5:$E$1321,$D34)</f>
        <v>141</v>
      </c>
      <c r="K34" s="39" t="n">
        <f>SUMIFS('仓库单元底表'!$Q$5:$Q$1321,'仓库单元底表'!$A$5:$A$1321,$A34,'仓库单元底表'!$E$5:$E$1321,$D34)</f>
        <v>70</v>
      </c>
      <c r="L34" s="39" t="n">
        <f>SUMIFS('仓库单元底表'!$R$5:$R$1321,'仓库单元底表'!$A$5:$A$1321,$A34,'仓库单元底表'!$E$5:$E$1321,$D34)</f>
        <v>149</v>
      </c>
      <c r="M34" s="39" t="n">
        <f>SUMIFS('仓库单元底表'!$S$5:$S$1321,'仓库单元底表'!$A$5:$A$1321,$A34,'仓库单元底表'!$E$5:$E$1321,$D34)</f>
        <v>2</v>
      </c>
      <c r="N34" s="38" t="n">
        <f>IF(E34=0,"",H34/E34)</f>
        <v>0.7759398496240602</v>
      </c>
      <c r="O34" s="38" t="n">
        <f>IF(E34=0,"",I34/E34)</f>
        <v>0.5984962406015037</v>
      </c>
      <c r="P34" s="38" t="n">
        <f>IF(SUMIFS('供应商月度明细'!$F$5:$F$155,'供应商月度明细'!$A$5:$A$155,$A34,'供应商月度明细'!$E$5:$E$155,$D34)=0,"",SUMIFS('供应商月度明细'!$H$5:$H$155,'供应商月度明细'!$A$5:$A$155,$A34,'供应商月度明细'!$E$5:$E$155,$D34)/SUMIFS('供应商月度明细'!$F$5:$F$155,'供应商月度明细'!$A$5:$A$155,$A34,'供应商月度明细'!$E$5:$E$155,$D34))</f>
        <v>0.5502063273727648</v>
      </c>
      <c r="Q34" s="38" t="n">
        <f>IF(SUMIFS('供应商月度明细'!$J$5:$J$155,'供应商月度明细'!$A$5:$A$155,$A34,'供应商月度明细'!$E$5:$E$155,$D34)=0,"",SUMIFS('供应商月度明细'!$K$5:$K$155,'供应商月度明细'!$A$5:$A$155,$A34,'供应商月度明细'!$E$5:$E$155,$D34)/SUMIFS('供应商月度明细'!$J$5:$J$155,'供应商月度明细'!$A$5:$A$155,$A34,'供应商月度明细'!$E$5:$E$155,$D34))</f>
        <v>0.6933728736329171</v>
      </c>
    </row>
    <row r="35">
      <c r="A35" s="37" t="str">
        <v>波兰区</v>
      </c>
      <c r="B35" s="37" t="str">
        <v>区域汇总</v>
      </c>
      <c r="C35" s="37" t="str">
        <v>全部工种</v>
      </c>
      <c r="D35" s="37" t="str">
        <v>2026-06</v>
      </c>
      <c r="E35" s="39" t="n">
        <f>SUMIFS('仓库单元底表'!$J$5:$J$1321,'仓库单元底表'!$A$5:$A$1321,$A35,'仓库单元底表'!$E$5:$E$1321,$D35)</f>
        <v>1443</v>
      </c>
      <c r="F35" s="39" t="n">
        <f>SUMIFS('仓库单元底表'!$K$5:$K$1321,'仓库单元底表'!$A$5:$A$1321,$A35,'仓库单元底表'!$E$5:$E$1321,$D35)</f>
        <v>714</v>
      </c>
      <c r="G35" s="39" t="n">
        <f>SUMIFS('仓库单元底表'!$L$5:$L$1321,'仓库单元底表'!$A$5:$A$1321,$A35,'仓库单元底表'!$E$5:$E$1321,$D35)</f>
        <v>293</v>
      </c>
      <c r="H35" s="39" t="n">
        <f>SUMIFS('仓库单元底表'!$M$5:$M$1321,'仓库单元底表'!$A$5:$A$1321,$A35,'仓库单元底表'!$E$5:$E$1321,$D35)</f>
        <v>634</v>
      </c>
      <c r="I35" s="39" t="n">
        <f>SUMIFS('仓库单元底表'!$N$5:$N$1321,'仓库单元底表'!$A$5:$A$1321,$A35,'仓库单元底表'!$E$5:$E$1321,$D35)</f>
        <v>293</v>
      </c>
      <c r="J35" s="39" t="n">
        <f>SUMIFS('仓库单元底表'!$P$5:$P$1321,'仓库单元底表'!$A$5:$A$1321,$A35,'仓库单元底表'!$E$5:$E$1321,$D35)</f>
        <v>80</v>
      </c>
      <c r="K35" s="39" t="n">
        <f>SUMIFS('仓库单元底表'!$Q$5:$Q$1321,'仓库单元底表'!$A$5:$A$1321,$A35,'仓库单元底表'!$E$5:$E$1321,$D35)</f>
        <v>0</v>
      </c>
      <c r="L35" s="39" t="n">
        <f>SUMIFS('仓库单元底表'!$R$5:$R$1321,'仓库单元底表'!$A$5:$A$1321,$A35,'仓库单元底表'!$E$5:$E$1321,$D35)</f>
        <v>809</v>
      </c>
      <c r="M35" s="39" t="n">
        <f>SUMIFS('仓库单元底表'!$S$5:$S$1321,'仓库单元底表'!$A$5:$A$1321,$A35,'仓库单元底表'!$E$5:$E$1321,$D35)</f>
        <v>0</v>
      </c>
      <c r="N35" s="38" t="n">
        <f>IF(E35=0,"",H35/E35)</f>
        <v>0.43936243936243935</v>
      </c>
      <c r="O35" s="38" t="n">
        <f>IF(E35=0,"",I35/E35)</f>
        <v>0.20304920304920304</v>
      </c>
      <c r="P35" s="38" t="n">
        <f>IF(SUMIFS('供应商月度明细'!$F$5:$F$155,'供应商月度明细'!$A$5:$A$155,$A35,'供应商月度明细'!$E$5:$E$155,$D35)=0,"",SUMIFS('供应商月度明细'!$H$5:$H$155,'供应商月度明细'!$A$5:$A$155,$A35,'供应商月度明细'!$E$5:$E$155,$D35)/SUMIFS('供应商月度明细'!$F$5:$F$155,'供应商月度明细'!$A$5:$A$155,$A35,'供应商月度明细'!$E$5:$E$155,$D35))</f>
        <v>0.4103641456582633</v>
      </c>
      <c r="Q35" s="38" t="n">
        <f>IF(SUMIFS('供应商月度明细'!$J$5:$J$155,'供应商月度明细'!$A$5:$A$155,$A35,'供应商月度明细'!$E$5:$E$155,$D35)=0,"",SUMIFS('供应商月度明细'!$K$5:$K$155,'供应商月度明细'!$A$5:$A$155,$A35,'供应商月度明细'!$E$5:$E$155,$D35)/SUMIFS('供应商月度明细'!$J$5:$J$155,'供应商月度明细'!$A$5:$A$155,$A35,'供应商月度明细'!$E$5:$E$155,$D35))</f>
        <v>0.45187937763995084</v>
      </c>
    </row>
    <row r="36">
      <c r="A36" s="34" t="str">
        <v>捷克区</v>
      </c>
      <c r="B36" s="34" t="str">
        <v>工种明细</v>
      </c>
      <c r="C36" s="34" t="str">
        <v>操作员</v>
      </c>
      <c r="D36" s="34" t="str">
        <v>2026-04</v>
      </c>
      <c r="E36" s="36" t="n">
        <f>SUMIFS('仓库单元底表'!$J$5:$J$1321,'仓库单元底表'!$A$5:$A$1321,$A36,'仓库单元底表'!$F$5:$F$1321,$C36,'仓库单元底表'!$E$5:$E$1321,$D36)</f>
        <v>21</v>
      </c>
      <c r="F36" s="36" t="n">
        <f>SUMIFS('仓库单元底表'!$K$5:$K$1321,'仓库单元底表'!$A$5:$A$1321,$A36,'仓库单元底表'!$F$5:$F$1321,$C36,'仓库单元底表'!$E$5:$E$1321,$D36)</f>
        <v>15</v>
      </c>
      <c r="G36" s="36" t="n">
        <f>SUMIFS('仓库单元底表'!$L$5:$L$1321,'仓库单元底表'!$A$5:$A$1321,$A36,'仓库单元底表'!$F$5:$F$1321,$C36,'仓库单元底表'!$E$5:$E$1321,$D36)</f>
        <v>8</v>
      </c>
      <c r="H36" s="36" t="n">
        <f>SUMIFS('仓库单元底表'!$M$5:$M$1321,'仓库单元底表'!$A$5:$A$1321,$A36,'仓库单元底表'!$F$5:$F$1321,$C36,'仓库单元底表'!$E$5:$E$1321,$D36)</f>
        <v>15</v>
      </c>
      <c r="I36" s="36" t="n">
        <f>SUMIFS('仓库单元底表'!$N$5:$N$1321,'仓库单元底表'!$A$5:$A$1321,$A36,'仓库单元底表'!$F$5:$F$1321,$C36,'仓库单元底表'!$E$5:$E$1321,$D36)</f>
        <v>8</v>
      </c>
      <c r="J36" s="36" t="n">
        <f>SUMIFS('仓库单元底表'!$P$5:$P$1321,'仓库单元底表'!$A$5:$A$1321,$A36,'仓库单元底表'!$F$5:$F$1321,$C36,'仓库单元底表'!$E$5:$E$1321,$D36)</f>
        <v>0</v>
      </c>
      <c r="K36" s="36" t="n">
        <f>SUMIFS('仓库单元底表'!$Q$5:$Q$1321,'仓库单元底表'!$A$5:$A$1321,$A36,'仓库单元底表'!$F$5:$F$1321,$C36,'仓库单元底表'!$E$5:$E$1321,$D36)</f>
        <v>0</v>
      </c>
      <c r="L36" s="36" t="n">
        <f>SUMIFS('仓库单元底表'!$R$5:$R$1321,'仓库单元底表'!$A$5:$A$1321,$A36,'仓库单元底表'!$F$5:$F$1321,$C36,'仓库单元底表'!$E$5:$E$1321,$D36)</f>
        <v>6</v>
      </c>
      <c r="M36" s="36" t="n">
        <f>SUMIFS('仓库单元底表'!$S$5:$S$1321,'仓库单元底表'!$A$5:$A$1321,$A36,'仓库单元底表'!$F$5:$F$1321,$C36,'仓库单元底表'!$E$5:$E$1321,$D36)</f>
        <v>0</v>
      </c>
      <c r="N36" s="35" t="n">
        <f>IF(E36=0,"",H36/E36)</f>
        <v>0.7142857142857143</v>
      </c>
      <c r="O36" s="35" t="n">
        <f>IF(E36=0,"",I36/E36)</f>
        <v>0.38095238095238093</v>
      </c>
      <c r="P36" s="35" t="n">
        <f>IF(SUMIFS('供应商月度明细'!$F$5:$F$155,'供应商月度明细'!$A$5:$A$155,$A36,'供应商月度明细'!$D$5:$D$155,$C36,'供应商月度明细'!$E$5:$E$155,$D36)=0,"",SUMIFS('供应商月度明细'!$H$5:$H$155,'供应商月度明细'!$A$5:$A$155,$A36,'供应商月度明细'!$D$5:$D$155,$C36,'供应商月度明细'!$E$5:$E$155,$D36)/SUMIFS('供应商月度明细'!$F$5:$F$155,'供应商月度明细'!$A$5:$A$155,$A36,'供应商月度明细'!$D$5:$D$155,$C36,'供应商月度明细'!$E$5:$E$155,$D36))</f>
        <v>0.5333333333333333</v>
      </c>
      <c r="Q36" s="35" t="n">
        <f>IF(SUMIFS('供应商月度明细'!$J$5:$J$155,'供应商月度明细'!$A$5:$A$155,$A36,'供应商月度明细'!$D$5:$D$155,$C36,'供应商月度明细'!$E$5:$E$155,$D36)=0,"",SUMIFS('供应商月度明细'!$K$5:$K$155,'供应商月度明细'!$A$5:$A$155,$A36,'供应商月度明细'!$D$5:$D$155,$C36,'供应商月度明细'!$E$5:$E$155,$D36)/SUMIFS('供应商月度明细'!$J$5:$J$155,'供应商月度明细'!$A$5:$A$155,$A36,'供应商月度明细'!$D$5:$D$155,$C36,'供应商月度明细'!$E$5:$E$155,$D36))</f>
        <v>0.5333333333333333</v>
      </c>
    </row>
    <row r="37">
      <c r="A37" s="34" t="str">
        <v>捷克区</v>
      </c>
      <c r="B37" s="34" t="str">
        <v>工种明细</v>
      </c>
      <c r="C37" s="34" t="str">
        <v>操作员</v>
      </c>
      <c r="D37" s="34" t="str">
        <v>2026-05</v>
      </c>
      <c r="E37" s="36" t="n">
        <f>SUMIFS('仓库单元底表'!$J$5:$J$1321,'仓库单元底表'!$A$5:$A$1321,$A37,'仓库单元底表'!$F$5:$F$1321,$C37,'仓库单元底表'!$E$5:$E$1321,$D37)</f>
        <v>31</v>
      </c>
      <c r="F37" s="36" t="n">
        <f>SUMIFS('仓库单元底表'!$K$5:$K$1321,'仓库单元底表'!$A$5:$A$1321,$A37,'仓库单元底表'!$F$5:$F$1321,$C37,'仓库单元底表'!$E$5:$E$1321,$D37)</f>
        <v>32</v>
      </c>
      <c r="G37" s="36" t="n">
        <f>SUMIFS('仓库单元底表'!$L$5:$L$1321,'仓库单元底表'!$A$5:$A$1321,$A37,'仓库单元底表'!$F$5:$F$1321,$C37,'仓库单元底表'!$E$5:$E$1321,$D37)</f>
        <v>7</v>
      </c>
      <c r="H37" s="36" t="n">
        <f>SUMIFS('仓库单元底表'!$M$5:$M$1321,'仓库单元底表'!$A$5:$A$1321,$A37,'仓库单元底表'!$F$5:$F$1321,$C37,'仓库单元底表'!$E$5:$E$1321,$D37)</f>
        <v>31</v>
      </c>
      <c r="I37" s="36" t="n">
        <f>SUMIFS('仓库单元底表'!$N$5:$N$1321,'仓库单元底表'!$A$5:$A$1321,$A37,'仓库单元底表'!$F$5:$F$1321,$C37,'仓库单元底表'!$E$5:$E$1321,$D37)</f>
        <v>7</v>
      </c>
      <c r="J37" s="36" t="n">
        <f>SUMIFS('仓库单元底表'!$P$5:$P$1321,'仓库单元底表'!$A$5:$A$1321,$A37,'仓库单元底表'!$F$5:$F$1321,$C37,'仓库单元底表'!$E$5:$E$1321,$D37)</f>
        <v>0</v>
      </c>
      <c r="K37" s="36" t="n">
        <f>SUMIFS('仓库单元底表'!$Q$5:$Q$1321,'仓库单元底表'!$A$5:$A$1321,$A37,'仓库单元底表'!$F$5:$F$1321,$C37,'仓库单元底表'!$E$5:$E$1321,$D37)</f>
        <v>1</v>
      </c>
      <c r="L37" s="36" t="n">
        <f>SUMIFS('仓库单元底表'!$R$5:$R$1321,'仓库单元底表'!$A$5:$A$1321,$A37,'仓库单元底表'!$F$5:$F$1321,$C37,'仓库单元底表'!$E$5:$E$1321,$D37)</f>
        <v>0</v>
      </c>
      <c r="M37" s="36" t="n">
        <f>SUMIFS('仓库单元底表'!$S$5:$S$1321,'仓库单元底表'!$A$5:$A$1321,$A37,'仓库单元底表'!$F$5:$F$1321,$C37,'仓库单元底表'!$E$5:$E$1321,$D37)</f>
        <v>0</v>
      </c>
      <c r="N37" s="35" t="n">
        <f>IF(E37=0,"",H37/E37)</f>
        <v>1</v>
      </c>
      <c r="O37" s="35" t="n">
        <f>IF(E37=0,"",I37/E37)</f>
        <v>0.22580645161290322</v>
      </c>
      <c r="P37" s="35" t="n">
        <f>IF(SUMIFS('供应商月度明细'!$F$5:$F$155,'供应商月度明细'!$A$5:$A$155,$A37,'供应商月度明细'!$D$5:$D$155,$C37,'供应商月度明细'!$E$5:$E$155,$D37)=0,"",SUMIFS('供应商月度明细'!$H$5:$H$155,'供应商月度明细'!$A$5:$A$155,$A37,'供应商月度明细'!$D$5:$D$155,$C37,'供应商月度明细'!$E$5:$E$155,$D37)/SUMIFS('供应商月度明细'!$F$5:$F$155,'供应商月度明细'!$A$5:$A$155,$A37,'供应商月度明细'!$D$5:$D$155,$C37,'供应商月度明细'!$E$5:$E$155,$D37))</f>
        <v>0.21875</v>
      </c>
      <c r="Q37" s="35" t="n">
        <f>IF(SUMIFS('供应商月度明细'!$J$5:$J$155,'供应商月度明细'!$A$5:$A$155,$A37,'供应商月度明细'!$D$5:$D$155,$C37,'供应商月度明细'!$E$5:$E$155,$D37)=0,"",SUMIFS('供应商月度明细'!$K$5:$K$155,'供应商月度明细'!$A$5:$A$155,$A37,'供应商月度明细'!$D$5:$D$155,$C37,'供应商月度明细'!$E$5:$E$155,$D37)/SUMIFS('供应商月度明细'!$J$5:$J$155,'供应商月度明细'!$A$5:$A$155,$A37,'供应商月度明细'!$D$5:$D$155,$C37,'供应商月度明细'!$E$5:$E$155,$D37))</f>
        <v>0.22580645161290322</v>
      </c>
    </row>
    <row r="38">
      <c r="A38" s="34" t="str">
        <v>捷克区</v>
      </c>
      <c r="B38" s="34" t="str">
        <v>工种明细</v>
      </c>
      <c r="C38" s="34" t="str">
        <v>操作员</v>
      </c>
      <c r="D38" s="34" t="str">
        <v>2026-06</v>
      </c>
      <c r="E38" s="36" t="n">
        <f>SUMIFS('仓库单元底表'!$J$5:$J$1321,'仓库单元底表'!$A$5:$A$1321,$A38,'仓库单元底表'!$F$5:$F$1321,$C38,'仓库单元底表'!$E$5:$E$1321,$D38)</f>
        <v>80</v>
      </c>
      <c r="F38" s="36" t="n">
        <f>SUMIFS('仓库单元底表'!$K$5:$K$1321,'仓库单元底表'!$A$5:$A$1321,$A38,'仓库单元底表'!$F$5:$F$1321,$C38,'仓库单元底表'!$E$5:$E$1321,$D38)</f>
        <v>80</v>
      </c>
      <c r="G38" s="36" t="n">
        <f>SUMIFS('仓库单元底表'!$L$5:$L$1321,'仓库单元底表'!$A$5:$A$1321,$A38,'仓库单元底表'!$F$5:$F$1321,$C38,'仓库单元底表'!$E$5:$E$1321,$D38)</f>
        <v>46</v>
      </c>
      <c r="H38" s="36" t="n">
        <f>SUMIFS('仓库单元底表'!$M$5:$M$1321,'仓库单元底表'!$A$5:$A$1321,$A38,'仓库单元底表'!$F$5:$F$1321,$C38,'仓库单元底表'!$E$5:$E$1321,$D38)</f>
        <v>80</v>
      </c>
      <c r="I38" s="36" t="n">
        <f>SUMIFS('仓库单元底表'!$N$5:$N$1321,'仓库单元底表'!$A$5:$A$1321,$A38,'仓库单元底表'!$F$5:$F$1321,$C38,'仓库单元底表'!$E$5:$E$1321,$D38)</f>
        <v>46</v>
      </c>
      <c r="J38" s="36" t="n">
        <f>SUMIFS('仓库单元底表'!$P$5:$P$1321,'仓库单元底表'!$A$5:$A$1321,$A38,'仓库单元底表'!$F$5:$F$1321,$C38,'仓库单元底表'!$E$5:$E$1321,$D38)</f>
        <v>0</v>
      </c>
      <c r="K38" s="36" t="n">
        <f>SUMIFS('仓库单元底表'!$Q$5:$Q$1321,'仓库单元底表'!$A$5:$A$1321,$A38,'仓库单元底表'!$F$5:$F$1321,$C38,'仓库单元底表'!$E$5:$E$1321,$D38)</f>
        <v>0</v>
      </c>
      <c r="L38" s="36" t="n">
        <f>SUMIFS('仓库单元底表'!$R$5:$R$1321,'仓库单元底表'!$A$5:$A$1321,$A38,'仓库单元底表'!$F$5:$F$1321,$C38,'仓库单元底表'!$E$5:$E$1321,$D38)</f>
        <v>0</v>
      </c>
      <c r="M38" s="36" t="n">
        <f>SUMIFS('仓库单元底表'!$S$5:$S$1321,'仓库单元底表'!$A$5:$A$1321,$A38,'仓库单元底表'!$F$5:$F$1321,$C38,'仓库单元底表'!$E$5:$E$1321,$D38)</f>
        <v>0</v>
      </c>
      <c r="N38" s="35" t="n">
        <f>IF(E38=0,"",H38/E38)</f>
        <v>1</v>
      </c>
      <c r="O38" s="35" t="n">
        <f>IF(E38=0,"",I38/E38)</f>
        <v>0.575</v>
      </c>
      <c r="P38" s="35" t="n">
        <f>IF(SUMIFS('供应商月度明细'!$F$5:$F$155,'供应商月度明细'!$A$5:$A$155,$A38,'供应商月度明细'!$D$5:$D$155,$C38,'供应商月度明细'!$E$5:$E$155,$D38)=0,"",SUMIFS('供应商月度明细'!$H$5:$H$155,'供应商月度明细'!$A$5:$A$155,$A38,'供应商月度明细'!$D$5:$D$155,$C38,'供应商月度明细'!$E$5:$E$155,$D38)/SUMIFS('供应商月度明细'!$F$5:$F$155,'供应商月度明细'!$A$5:$A$155,$A38,'供应商月度明细'!$D$5:$D$155,$C38,'供应商月度明细'!$E$5:$E$155,$D38))</f>
        <v>0.575</v>
      </c>
      <c r="Q38" s="35" t="n">
        <f>IF(SUMIFS('供应商月度明细'!$J$5:$J$155,'供应商月度明细'!$A$5:$A$155,$A38,'供应商月度明细'!$D$5:$D$155,$C38,'供应商月度明细'!$E$5:$E$155,$D38)=0,"",SUMIFS('供应商月度明细'!$K$5:$K$155,'供应商月度明细'!$A$5:$A$155,$A38,'供应商月度明细'!$D$5:$D$155,$C38,'供应商月度明细'!$E$5:$E$155,$D38)/SUMIFS('供应商月度明细'!$J$5:$J$155,'供应商月度明细'!$A$5:$A$155,$A38,'供应商月度明细'!$D$5:$D$155,$C38,'供应商月度明细'!$E$5:$E$155,$D38))</f>
        <v>0.575</v>
      </c>
    </row>
    <row r="39">
      <c r="A39" s="34" t="str">
        <v>捷克区</v>
      </c>
      <c r="B39" s="34" t="str">
        <v>工种明细</v>
      </c>
      <c r="C39" s="34" t="str">
        <v>叉车司机</v>
      </c>
      <c r="D39" s="34" t="str">
        <v>2026-04</v>
      </c>
      <c r="E39" s="36" t="n">
        <f>SUMIFS('仓库单元底表'!$J$5:$J$1321,'仓库单元底表'!$A$5:$A$1321,$A39,'仓库单元底表'!$F$5:$F$1321,$C39,'仓库单元底表'!$E$5:$E$1321,$D39)</f>
        <v>34</v>
      </c>
      <c r="F39" s="36" t="n">
        <f>SUMIFS('仓库单元底表'!$K$5:$K$1321,'仓库单元底表'!$A$5:$A$1321,$A39,'仓库单元底表'!$F$5:$F$1321,$C39,'仓库单元底表'!$E$5:$E$1321,$D39)</f>
        <v>27</v>
      </c>
      <c r="G39" s="36" t="n">
        <f>SUMIFS('仓库单元底表'!$L$5:$L$1321,'仓库单元底表'!$A$5:$A$1321,$A39,'仓库单元底表'!$F$5:$F$1321,$C39,'仓库单元底表'!$E$5:$E$1321,$D39)</f>
        <v>12</v>
      </c>
      <c r="H39" s="36" t="n">
        <f>SUMIFS('仓库单元底表'!$M$5:$M$1321,'仓库单元底表'!$A$5:$A$1321,$A39,'仓库单元底表'!$F$5:$F$1321,$C39,'仓库单元底表'!$E$5:$E$1321,$D39)</f>
        <v>27</v>
      </c>
      <c r="I39" s="36" t="n">
        <f>SUMIFS('仓库单元底表'!$N$5:$N$1321,'仓库单元底表'!$A$5:$A$1321,$A39,'仓库单元底表'!$F$5:$F$1321,$C39,'仓库单元底表'!$E$5:$E$1321,$D39)</f>
        <v>12</v>
      </c>
      <c r="J39" s="36" t="n">
        <f>SUMIFS('仓库单元底表'!$P$5:$P$1321,'仓库单元底表'!$A$5:$A$1321,$A39,'仓库单元底表'!$F$5:$F$1321,$C39,'仓库单元底表'!$E$5:$E$1321,$D39)</f>
        <v>0</v>
      </c>
      <c r="K39" s="36" t="n">
        <f>SUMIFS('仓库单元底表'!$Q$5:$Q$1321,'仓库单元底表'!$A$5:$A$1321,$A39,'仓库单元底表'!$F$5:$F$1321,$C39,'仓库单元底表'!$E$5:$E$1321,$D39)</f>
        <v>0</v>
      </c>
      <c r="L39" s="36" t="n">
        <f>SUMIFS('仓库单元底表'!$R$5:$R$1321,'仓库单元底表'!$A$5:$A$1321,$A39,'仓库单元底表'!$F$5:$F$1321,$C39,'仓库单元底表'!$E$5:$E$1321,$D39)</f>
        <v>7</v>
      </c>
      <c r="M39" s="36" t="n">
        <f>SUMIFS('仓库单元底表'!$S$5:$S$1321,'仓库单元底表'!$A$5:$A$1321,$A39,'仓库单元底表'!$F$5:$F$1321,$C39,'仓库单元底表'!$E$5:$E$1321,$D39)</f>
        <v>0</v>
      </c>
      <c r="N39" s="35" t="n">
        <f>IF(E39=0,"",H39/E39)</f>
        <v>0.7941176470588235</v>
      </c>
      <c r="O39" s="35" t="n">
        <f>IF(E39=0,"",I39/E39)</f>
        <v>0.35294117647058826</v>
      </c>
      <c r="P39" s="35" t="n">
        <f>IF(SUMIFS('供应商月度明细'!$F$5:$F$155,'供应商月度明细'!$A$5:$A$155,$A39,'供应商月度明细'!$D$5:$D$155,$C39,'供应商月度明细'!$E$5:$E$155,$D39)=0,"",SUMIFS('供应商月度明细'!$H$5:$H$155,'供应商月度明细'!$A$5:$A$155,$A39,'供应商月度明细'!$D$5:$D$155,$C39,'供应商月度明细'!$E$5:$E$155,$D39)/SUMIFS('供应商月度明细'!$F$5:$F$155,'供应商月度明细'!$A$5:$A$155,$A39,'供应商月度明细'!$D$5:$D$155,$C39,'供应商月度明细'!$E$5:$E$155,$D39))</f>
        <v>0.4444444444444444</v>
      </c>
      <c r="Q39" s="35" t="n">
        <f>IF(SUMIFS('供应商月度明细'!$J$5:$J$155,'供应商月度明细'!$A$5:$A$155,$A39,'供应商月度明细'!$D$5:$D$155,$C39,'供应商月度明细'!$E$5:$E$155,$D39)=0,"",SUMIFS('供应商月度明细'!$K$5:$K$155,'供应商月度明细'!$A$5:$A$155,$A39,'供应商月度明细'!$D$5:$D$155,$C39,'供应商月度明细'!$E$5:$E$155,$D39)/SUMIFS('供应商月度明细'!$J$5:$J$155,'供应商月度明细'!$A$5:$A$155,$A39,'供应商月度明细'!$D$5:$D$155,$C39,'供应商月度明细'!$E$5:$E$155,$D39))</f>
        <v>0.4444444444444444</v>
      </c>
    </row>
    <row r="40">
      <c r="A40" s="34" t="str">
        <v>捷克区</v>
      </c>
      <c r="B40" s="34" t="str">
        <v>工种明细</v>
      </c>
      <c r="C40" s="34" t="str">
        <v>叉车司机</v>
      </c>
      <c r="D40" s="34" t="str">
        <v>2026-05</v>
      </c>
      <c r="E40" s="36" t="n">
        <f>SUMIFS('仓库单元底表'!$J$5:$J$1321,'仓库单元底表'!$A$5:$A$1321,$A40,'仓库单元底表'!$F$5:$F$1321,$C40,'仓库单元底表'!$E$5:$E$1321,$D40)</f>
        <v>24</v>
      </c>
      <c r="F40" s="36" t="n">
        <f>SUMIFS('仓库单元底表'!$K$5:$K$1321,'仓库单元底表'!$A$5:$A$1321,$A40,'仓库单元底表'!$F$5:$F$1321,$C40,'仓库单元底表'!$E$5:$E$1321,$D40)</f>
        <v>23</v>
      </c>
      <c r="G40" s="36" t="n">
        <f>SUMIFS('仓库单元底表'!$L$5:$L$1321,'仓库单元底表'!$A$5:$A$1321,$A40,'仓库单元底表'!$F$5:$F$1321,$C40,'仓库单元底表'!$E$5:$E$1321,$D40)</f>
        <v>0</v>
      </c>
      <c r="H40" s="36" t="n">
        <f>SUMIFS('仓库单元底表'!$M$5:$M$1321,'仓库单元底表'!$A$5:$A$1321,$A40,'仓库单元底表'!$F$5:$F$1321,$C40,'仓库单元底表'!$E$5:$E$1321,$D40)</f>
        <v>23</v>
      </c>
      <c r="I40" s="36" t="n">
        <f>SUMIFS('仓库单元底表'!$N$5:$N$1321,'仓库单元底表'!$A$5:$A$1321,$A40,'仓库单元底表'!$F$5:$F$1321,$C40,'仓库单元底表'!$E$5:$E$1321,$D40)</f>
        <v>0</v>
      </c>
      <c r="J40" s="36" t="n">
        <f>SUMIFS('仓库单元底表'!$P$5:$P$1321,'仓库单元底表'!$A$5:$A$1321,$A40,'仓库单元底表'!$F$5:$F$1321,$C40,'仓库单元底表'!$E$5:$E$1321,$D40)</f>
        <v>0</v>
      </c>
      <c r="K40" s="36" t="n">
        <f>SUMIFS('仓库单元底表'!$Q$5:$Q$1321,'仓库单元底表'!$A$5:$A$1321,$A40,'仓库单元底表'!$F$5:$F$1321,$C40,'仓库单元底表'!$E$5:$E$1321,$D40)</f>
        <v>0</v>
      </c>
      <c r="L40" s="36" t="n">
        <f>SUMIFS('仓库单元底表'!$R$5:$R$1321,'仓库单元底表'!$A$5:$A$1321,$A40,'仓库单元底表'!$F$5:$F$1321,$C40,'仓库单元底表'!$E$5:$E$1321,$D40)</f>
        <v>1</v>
      </c>
      <c r="M40" s="36" t="n">
        <f>SUMIFS('仓库单元底表'!$S$5:$S$1321,'仓库单元底表'!$A$5:$A$1321,$A40,'仓库单元底表'!$F$5:$F$1321,$C40,'仓库单元底表'!$E$5:$E$1321,$D40)</f>
        <v>0</v>
      </c>
      <c r="N40" s="35" t="n">
        <f>IF(E40=0,"",H40/E40)</f>
        <v>0.9583333333333334</v>
      </c>
      <c r="O40" s="35" t="n">
        <f>IF(E40=0,"",I40/E40)</f>
        <v>0</v>
      </c>
      <c r="P40" s="35" t="n">
        <f>IF(SUMIFS('供应商月度明细'!$F$5:$F$155,'供应商月度明细'!$A$5:$A$155,$A40,'供应商月度明细'!$D$5:$D$155,$C40,'供应商月度明细'!$E$5:$E$155,$D40)=0,"",SUMIFS('供应商月度明细'!$H$5:$H$155,'供应商月度明细'!$A$5:$A$155,$A40,'供应商月度明细'!$D$5:$D$155,$C40,'供应商月度明细'!$E$5:$E$155,$D40)/SUMIFS('供应商月度明细'!$F$5:$F$155,'供应商月度明细'!$A$5:$A$155,$A40,'供应商月度明细'!$D$5:$D$155,$C40,'供应商月度明细'!$E$5:$E$155,$D40))</f>
        <v>0</v>
      </c>
      <c r="Q40" s="35" t="n">
        <f>IF(SUMIFS('供应商月度明细'!$J$5:$J$155,'供应商月度明细'!$A$5:$A$155,$A40,'供应商月度明细'!$D$5:$D$155,$C40,'供应商月度明细'!$E$5:$E$155,$D40)=0,"",SUMIFS('供应商月度明细'!$K$5:$K$155,'供应商月度明细'!$A$5:$A$155,$A40,'供应商月度明细'!$D$5:$D$155,$C40,'供应商月度明细'!$E$5:$E$155,$D40)/SUMIFS('供应商月度明细'!$J$5:$J$155,'供应商月度明细'!$A$5:$A$155,$A40,'供应商月度明细'!$D$5:$D$155,$C40,'供应商月度明细'!$E$5:$E$155,$D40))</f>
        <v>0</v>
      </c>
    </row>
    <row r="41">
      <c r="A41" s="34" t="str">
        <v>捷克区</v>
      </c>
      <c r="B41" s="34" t="str">
        <v>工种明细</v>
      </c>
      <c r="C41" s="34" t="str">
        <v>叉车司机</v>
      </c>
      <c r="D41" s="34" t="str">
        <v>2026-06</v>
      </c>
      <c r="E41" s="36" t="n">
        <f>SUMIFS('仓库单元底表'!$J$5:$J$1321,'仓库单元底表'!$A$5:$A$1321,$A41,'仓库单元底表'!$F$5:$F$1321,$C41,'仓库单元底表'!$E$5:$E$1321,$D41)</f>
        <v>92</v>
      </c>
      <c r="F41" s="36" t="n">
        <f>SUMIFS('仓库单元底表'!$K$5:$K$1321,'仓库单元底表'!$A$5:$A$1321,$A41,'仓库单元底表'!$F$5:$F$1321,$C41,'仓库单元底表'!$E$5:$E$1321,$D41)</f>
        <v>86</v>
      </c>
      <c r="G41" s="36" t="n">
        <f>SUMIFS('仓库单元底表'!$L$5:$L$1321,'仓库单元底表'!$A$5:$A$1321,$A41,'仓库单元底表'!$F$5:$F$1321,$C41,'仓库单元底表'!$E$5:$E$1321,$D41)</f>
        <v>51</v>
      </c>
      <c r="H41" s="36" t="n">
        <f>SUMIFS('仓库单元底表'!$M$5:$M$1321,'仓库单元底表'!$A$5:$A$1321,$A41,'仓库单元底表'!$F$5:$F$1321,$C41,'仓库单元底表'!$E$5:$E$1321,$D41)</f>
        <v>86</v>
      </c>
      <c r="I41" s="36" t="n">
        <f>SUMIFS('仓库单元底表'!$N$5:$N$1321,'仓库单元底表'!$A$5:$A$1321,$A41,'仓库单元底表'!$F$5:$F$1321,$C41,'仓库单元底表'!$E$5:$E$1321,$D41)</f>
        <v>51</v>
      </c>
      <c r="J41" s="36" t="n">
        <f>SUMIFS('仓库单元底表'!$P$5:$P$1321,'仓库单元底表'!$A$5:$A$1321,$A41,'仓库单元底表'!$F$5:$F$1321,$C41,'仓库单元底表'!$E$5:$E$1321,$D41)</f>
        <v>0</v>
      </c>
      <c r="K41" s="36" t="n">
        <f>SUMIFS('仓库单元底表'!$Q$5:$Q$1321,'仓库单元底表'!$A$5:$A$1321,$A41,'仓库单元底表'!$F$5:$F$1321,$C41,'仓库单元底表'!$E$5:$E$1321,$D41)</f>
        <v>0</v>
      </c>
      <c r="L41" s="36" t="n">
        <f>SUMIFS('仓库单元底表'!$R$5:$R$1321,'仓库单元底表'!$A$5:$A$1321,$A41,'仓库单元底表'!$F$5:$F$1321,$C41,'仓库单元底表'!$E$5:$E$1321,$D41)</f>
        <v>6</v>
      </c>
      <c r="M41" s="36" t="n">
        <f>SUMIFS('仓库单元底表'!$S$5:$S$1321,'仓库单元底表'!$A$5:$A$1321,$A41,'仓库单元底表'!$F$5:$F$1321,$C41,'仓库单元底表'!$E$5:$E$1321,$D41)</f>
        <v>0</v>
      </c>
      <c r="N41" s="35" t="n">
        <f>IF(E41=0,"",H41/E41)</f>
        <v>0.9347826086956522</v>
      </c>
      <c r="O41" s="35" t="n">
        <f>IF(E41=0,"",I41/E41)</f>
        <v>0.5543478260869565</v>
      </c>
      <c r="P41" s="35" t="n">
        <f>IF(SUMIFS('供应商月度明细'!$F$5:$F$155,'供应商月度明细'!$A$5:$A$155,$A41,'供应商月度明细'!$D$5:$D$155,$C41,'供应商月度明细'!$E$5:$E$155,$D41)=0,"",SUMIFS('供应商月度明细'!$H$5:$H$155,'供应商月度明细'!$A$5:$A$155,$A41,'供应商月度明细'!$D$5:$D$155,$C41,'供应商月度明细'!$E$5:$E$155,$D41)/SUMIFS('供应商月度明细'!$F$5:$F$155,'供应商月度明细'!$A$5:$A$155,$A41,'供应商月度明细'!$D$5:$D$155,$C41,'供应商月度明细'!$E$5:$E$155,$D41))</f>
        <v>0.5930232558139535</v>
      </c>
      <c r="Q41" s="35" t="n">
        <f>IF(SUMIFS('供应商月度明细'!$J$5:$J$155,'供应商月度明细'!$A$5:$A$155,$A41,'供应商月度明细'!$D$5:$D$155,$C41,'供应商月度明细'!$E$5:$E$155,$D41)=0,"",SUMIFS('供应商月度明细'!$K$5:$K$155,'供应商月度明细'!$A$5:$A$155,$A41,'供应商月度明细'!$D$5:$D$155,$C41,'供应商月度明细'!$E$5:$E$155,$D41)/SUMIFS('供应商月度明细'!$J$5:$J$155,'供应商月度明细'!$A$5:$A$155,$A41,'供应商月度明细'!$D$5:$D$155,$C41,'供应商月度明细'!$E$5:$E$155,$D41))</f>
        <v>0.5930232558139535</v>
      </c>
    </row>
    <row r="42">
      <c r="A42" s="34" t="str">
        <v>捷克区</v>
      </c>
      <c r="B42" s="34" t="str">
        <v>工种明细</v>
      </c>
      <c r="C42" s="34" t="str">
        <v>交运员 3.5T</v>
      </c>
      <c r="D42" s="34" t="str">
        <v>2026-06</v>
      </c>
      <c r="E42" s="36" t="n">
        <f>SUMIFS('仓库单元底表'!$J$5:$J$1321,'仓库单元底表'!$A$5:$A$1321,$A42,'仓库单元底表'!$F$5:$F$1321,$C42,'仓库单元底表'!$E$5:$E$1321,$D42)</f>
        <v>5</v>
      </c>
      <c r="F42" s="36" t="n">
        <f>SUMIFS('仓库单元底表'!$K$5:$K$1321,'仓库单元底表'!$A$5:$A$1321,$A42,'仓库单元底表'!$F$5:$F$1321,$C42,'仓库单元底表'!$E$5:$E$1321,$D42)</f>
        <v>5</v>
      </c>
      <c r="G42" s="36" t="n">
        <f>SUMIFS('仓库单元底表'!$L$5:$L$1321,'仓库单元底表'!$A$5:$A$1321,$A42,'仓库单元底表'!$F$5:$F$1321,$C42,'仓库单元底表'!$E$5:$E$1321,$D42)</f>
        <v>5</v>
      </c>
      <c r="H42" s="36" t="n">
        <f>SUMIFS('仓库单元底表'!$M$5:$M$1321,'仓库单元底表'!$A$5:$A$1321,$A42,'仓库单元底表'!$F$5:$F$1321,$C42,'仓库单元底表'!$E$5:$E$1321,$D42)</f>
        <v>5</v>
      </c>
      <c r="I42" s="36" t="n">
        <f>SUMIFS('仓库单元底表'!$N$5:$N$1321,'仓库单元底表'!$A$5:$A$1321,$A42,'仓库单元底表'!$F$5:$F$1321,$C42,'仓库单元底表'!$E$5:$E$1321,$D42)</f>
        <v>5</v>
      </c>
      <c r="J42" s="36" t="n">
        <f>SUMIFS('仓库单元底表'!$P$5:$P$1321,'仓库单元底表'!$A$5:$A$1321,$A42,'仓库单元底表'!$F$5:$F$1321,$C42,'仓库单元底表'!$E$5:$E$1321,$D42)</f>
        <v>0</v>
      </c>
      <c r="K42" s="36" t="n">
        <f>SUMIFS('仓库单元底表'!$Q$5:$Q$1321,'仓库单元底表'!$A$5:$A$1321,$A42,'仓库单元底表'!$F$5:$F$1321,$C42,'仓库单元底表'!$E$5:$E$1321,$D42)</f>
        <v>0</v>
      </c>
      <c r="L42" s="36" t="n">
        <f>SUMIFS('仓库单元底表'!$R$5:$R$1321,'仓库单元底表'!$A$5:$A$1321,$A42,'仓库单元底表'!$F$5:$F$1321,$C42,'仓库单元底表'!$E$5:$E$1321,$D42)</f>
        <v>0</v>
      </c>
      <c r="M42" s="36" t="n">
        <f>SUMIFS('仓库单元底表'!$S$5:$S$1321,'仓库单元底表'!$A$5:$A$1321,$A42,'仓库单元底表'!$F$5:$F$1321,$C42,'仓库单元底表'!$E$5:$E$1321,$D42)</f>
        <v>0</v>
      </c>
      <c r="N42" s="35" t="n">
        <f>IF(E42=0,"",H42/E42)</f>
        <v>1</v>
      </c>
      <c r="O42" s="35" t="n">
        <f>IF(E42=0,"",I42/E42)</f>
        <v>1</v>
      </c>
      <c r="P42" s="35" t="n">
        <f>IF(SUMIFS('供应商月度明细'!$F$5:$F$155,'供应商月度明细'!$A$5:$A$155,$A42,'供应商月度明细'!$D$5:$D$155,$C42,'供应商月度明细'!$E$5:$E$155,$D42)=0,"",SUMIFS('供应商月度明细'!$H$5:$H$155,'供应商月度明细'!$A$5:$A$155,$A42,'供应商月度明细'!$D$5:$D$155,$C42,'供应商月度明细'!$E$5:$E$155,$D42)/SUMIFS('供应商月度明细'!$F$5:$F$155,'供应商月度明细'!$A$5:$A$155,$A42,'供应商月度明细'!$D$5:$D$155,$C42,'供应商月度明细'!$E$5:$E$155,$D42))</f>
        <v>1</v>
      </c>
      <c r="Q42" s="35" t="n">
        <f>IF(SUMIFS('供应商月度明细'!$J$5:$J$155,'供应商月度明细'!$A$5:$A$155,$A42,'供应商月度明细'!$D$5:$D$155,$C42,'供应商月度明细'!$E$5:$E$155,$D42)=0,"",SUMIFS('供应商月度明细'!$K$5:$K$155,'供应商月度明细'!$A$5:$A$155,$A42,'供应商月度明细'!$D$5:$D$155,$C42,'供应商月度明细'!$E$5:$E$155,$D42)/SUMIFS('供应商月度明细'!$J$5:$J$155,'供应商月度明细'!$A$5:$A$155,$A42,'供应商月度明细'!$D$5:$D$155,$C42,'供应商月度明细'!$E$5:$E$155,$D42))</f>
        <v>1</v>
      </c>
    </row>
    <row r="43">
      <c r="A43" s="37" t="str">
        <v>捷克区</v>
      </c>
      <c r="B43" s="37" t="str">
        <v>区域汇总</v>
      </c>
      <c r="C43" s="37" t="str">
        <v>全部工种</v>
      </c>
      <c r="D43" s="37" t="str">
        <v>2026-04</v>
      </c>
      <c r="E43" s="39" t="n">
        <f>SUMIFS('仓库单元底表'!$J$5:$J$1321,'仓库单元底表'!$A$5:$A$1321,$A43,'仓库单元底表'!$E$5:$E$1321,$D43)</f>
        <v>55</v>
      </c>
      <c r="F43" s="39" t="n">
        <f>SUMIFS('仓库单元底表'!$K$5:$K$1321,'仓库单元底表'!$A$5:$A$1321,$A43,'仓库单元底表'!$E$5:$E$1321,$D43)</f>
        <v>42</v>
      </c>
      <c r="G43" s="39" t="n">
        <f>SUMIFS('仓库单元底表'!$L$5:$L$1321,'仓库单元底表'!$A$5:$A$1321,$A43,'仓库单元底表'!$E$5:$E$1321,$D43)</f>
        <v>20</v>
      </c>
      <c r="H43" s="39" t="n">
        <f>SUMIFS('仓库单元底表'!$M$5:$M$1321,'仓库单元底表'!$A$5:$A$1321,$A43,'仓库单元底表'!$E$5:$E$1321,$D43)</f>
        <v>42</v>
      </c>
      <c r="I43" s="39" t="n">
        <f>SUMIFS('仓库单元底表'!$N$5:$N$1321,'仓库单元底表'!$A$5:$A$1321,$A43,'仓库单元底表'!$E$5:$E$1321,$D43)</f>
        <v>20</v>
      </c>
      <c r="J43" s="39" t="n">
        <f>SUMIFS('仓库单元底表'!$P$5:$P$1321,'仓库单元底表'!$A$5:$A$1321,$A43,'仓库单元底表'!$E$5:$E$1321,$D43)</f>
        <v>0</v>
      </c>
      <c r="K43" s="39" t="n">
        <f>SUMIFS('仓库单元底表'!$Q$5:$Q$1321,'仓库单元底表'!$A$5:$A$1321,$A43,'仓库单元底表'!$E$5:$E$1321,$D43)</f>
        <v>0</v>
      </c>
      <c r="L43" s="39" t="n">
        <f>SUMIFS('仓库单元底表'!$R$5:$R$1321,'仓库单元底表'!$A$5:$A$1321,$A43,'仓库单元底表'!$E$5:$E$1321,$D43)</f>
        <v>13</v>
      </c>
      <c r="M43" s="39" t="n">
        <f>SUMIFS('仓库单元底表'!$S$5:$S$1321,'仓库单元底表'!$A$5:$A$1321,$A43,'仓库单元底表'!$E$5:$E$1321,$D43)</f>
        <v>0</v>
      </c>
      <c r="N43" s="38" t="n">
        <f>IF(E43=0,"",H43/E43)</f>
        <v>0.7636363636363637</v>
      </c>
      <c r="O43" s="38" t="n">
        <f>IF(E43=0,"",I43/E43)</f>
        <v>0.36363636363636365</v>
      </c>
      <c r="P43" s="38" t="n">
        <f>IF(SUMIFS('供应商月度明细'!$F$5:$F$155,'供应商月度明细'!$A$5:$A$155,$A43,'供应商月度明细'!$E$5:$E$155,$D43)=0,"",SUMIFS('供应商月度明细'!$H$5:$H$155,'供应商月度明细'!$A$5:$A$155,$A43,'供应商月度明细'!$E$5:$E$155,$D43)/SUMIFS('供应商月度明细'!$F$5:$F$155,'供应商月度明细'!$A$5:$A$155,$A43,'供应商月度明细'!$E$5:$E$155,$D43))</f>
        <v>0.47619047619047616</v>
      </c>
      <c r="Q43" s="38" t="n">
        <f>IF(SUMIFS('供应商月度明细'!$J$5:$J$155,'供应商月度明细'!$A$5:$A$155,$A43,'供应商月度明细'!$E$5:$E$155,$D43)=0,"",SUMIFS('供应商月度明细'!$K$5:$K$155,'供应商月度明细'!$A$5:$A$155,$A43,'供应商月度明细'!$E$5:$E$155,$D43)/SUMIFS('供应商月度明细'!$J$5:$J$155,'供应商月度明细'!$A$5:$A$155,$A43,'供应商月度明细'!$E$5:$E$155,$D43))</f>
        <v>0.47619047619047616</v>
      </c>
    </row>
    <row r="44">
      <c r="A44" s="37" t="str">
        <v>捷克区</v>
      </c>
      <c r="B44" s="37" t="str">
        <v>区域汇总</v>
      </c>
      <c r="C44" s="37" t="str">
        <v>全部工种</v>
      </c>
      <c r="D44" s="37" t="str">
        <v>2026-05</v>
      </c>
      <c r="E44" s="39" t="n">
        <f>SUMIFS('仓库单元底表'!$J$5:$J$1321,'仓库单元底表'!$A$5:$A$1321,$A44,'仓库单元底表'!$E$5:$E$1321,$D44)</f>
        <v>55</v>
      </c>
      <c r="F44" s="39" t="n">
        <f>SUMIFS('仓库单元底表'!$K$5:$K$1321,'仓库单元底表'!$A$5:$A$1321,$A44,'仓库单元底表'!$E$5:$E$1321,$D44)</f>
        <v>55</v>
      </c>
      <c r="G44" s="39" t="n">
        <f>SUMIFS('仓库单元底表'!$L$5:$L$1321,'仓库单元底表'!$A$5:$A$1321,$A44,'仓库单元底表'!$E$5:$E$1321,$D44)</f>
        <v>7</v>
      </c>
      <c r="H44" s="39" t="n">
        <f>SUMIFS('仓库单元底表'!$M$5:$M$1321,'仓库单元底表'!$A$5:$A$1321,$A44,'仓库单元底表'!$E$5:$E$1321,$D44)</f>
        <v>54</v>
      </c>
      <c r="I44" s="39" t="n">
        <f>SUMIFS('仓库单元底表'!$N$5:$N$1321,'仓库单元底表'!$A$5:$A$1321,$A44,'仓库单元底表'!$E$5:$E$1321,$D44)</f>
        <v>7</v>
      </c>
      <c r="J44" s="39" t="n">
        <f>SUMIFS('仓库单元底表'!$P$5:$P$1321,'仓库单元底表'!$A$5:$A$1321,$A44,'仓库单元底表'!$E$5:$E$1321,$D44)</f>
        <v>0</v>
      </c>
      <c r="K44" s="39" t="n">
        <f>SUMIFS('仓库单元底表'!$Q$5:$Q$1321,'仓库单元底表'!$A$5:$A$1321,$A44,'仓库单元底表'!$E$5:$E$1321,$D44)</f>
        <v>1</v>
      </c>
      <c r="L44" s="39" t="n">
        <f>SUMIFS('仓库单元底表'!$R$5:$R$1321,'仓库单元底表'!$A$5:$A$1321,$A44,'仓库单元底表'!$E$5:$E$1321,$D44)</f>
        <v>1</v>
      </c>
      <c r="M44" s="39" t="n">
        <f>SUMIFS('仓库单元底表'!$S$5:$S$1321,'仓库单元底表'!$A$5:$A$1321,$A44,'仓库单元底表'!$E$5:$E$1321,$D44)</f>
        <v>0</v>
      </c>
      <c r="N44" s="38" t="n">
        <f>IF(E44=0,"",H44/E44)</f>
        <v>0.9818181818181818</v>
      </c>
      <c r="O44" s="38" t="n">
        <f>IF(E44=0,"",I44/E44)</f>
        <v>0.12727272727272726</v>
      </c>
      <c r="P44" s="38" t="n">
        <f>IF(SUMIFS('供应商月度明细'!$F$5:$F$155,'供应商月度明细'!$A$5:$A$155,$A44,'供应商月度明细'!$E$5:$E$155,$D44)=0,"",SUMIFS('供应商月度明细'!$H$5:$H$155,'供应商月度明细'!$A$5:$A$155,$A44,'供应商月度明细'!$E$5:$E$155,$D44)/SUMIFS('供应商月度明细'!$F$5:$F$155,'供应商月度明细'!$A$5:$A$155,$A44,'供应商月度明细'!$E$5:$E$155,$D44))</f>
        <v>0.12727272727272726</v>
      </c>
      <c r="Q44" s="38" t="n">
        <f>IF(SUMIFS('供应商月度明细'!$J$5:$J$155,'供应商月度明细'!$A$5:$A$155,$A44,'供应商月度明细'!$E$5:$E$155,$D44)=0,"",SUMIFS('供应商月度明细'!$K$5:$K$155,'供应商月度明细'!$A$5:$A$155,$A44,'供应商月度明细'!$E$5:$E$155,$D44)/SUMIFS('供应商月度明细'!$J$5:$J$155,'供应商月度明细'!$A$5:$A$155,$A44,'供应商月度明细'!$E$5:$E$155,$D44))</f>
        <v>0.12962962962962962</v>
      </c>
    </row>
    <row r="45">
      <c r="A45" s="37" t="str">
        <v>捷克区</v>
      </c>
      <c r="B45" s="37" t="str">
        <v>区域汇总</v>
      </c>
      <c r="C45" s="37" t="str">
        <v>全部工种</v>
      </c>
      <c r="D45" s="37" t="str">
        <v>2026-06</v>
      </c>
      <c r="E45" s="39" t="n">
        <f>SUMIFS('仓库单元底表'!$J$5:$J$1321,'仓库单元底表'!$A$5:$A$1321,$A45,'仓库单元底表'!$E$5:$E$1321,$D45)</f>
        <v>177</v>
      </c>
      <c r="F45" s="39" t="n">
        <f>SUMIFS('仓库单元底表'!$K$5:$K$1321,'仓库单元底表'!$A$5:$A$1321,$A45,'仓库单元底表'!$E$5:$E$1321,$D45)</f>
        <v>171</v>
      </c>
      <c r="G45" s="39" t="n">
        <f>SUMIFS('仓库单元底表'!$L$5:$L$1321,'仓库单元底表'!$A$5:$A$1321,$A45,'仓库单元底表'!$E$5:$E$1321,$D45)</f>
        <v>102</v>
      </c>
      <c r="H45" s="39" t="n">
        <f>SUMIFS('仓库单元底表'!$M$5:$M$1321,'仓库单元底表'!$A$5:$A$1321,$A45,'仓库单元底表'!$E$5:$E$1321,$D45)</f>
        <v>171</v>
      </c>
      <c r="I45" s="39" t="n">
        <f>SUMIFS('仓库单元底表'!$N$5:$N$1321,'仓库单元底表'!$A$5:$A$1321,$A45,'仓库单元底表'!$E$5:$E$1321,$D45)</f>
        <v>102</v>
      </c>
      <c r="J45" s="39" t="n">
        <f>SUMIFS('仓库单元底表'!$P$5:$P$1321,'仓库单元底表'!$A$5:$A$1321,$A45,'仓库单元底表'!$E$5:$E$1321,$D45)</f>
        <v>0</v>
      </c>
      <c r="K45" s="39" t="n">
        <f>SUMIFS('仓库单元底表'!$Q$5:$Q$1321,'仓库单元底表'!$A$5:$A$1321,$A45,'仓库单元底表'!$E$5:$E$1321,$D45)</f>
        <v>0</v>
      </c>
      <c r="L45" s="39" t="n">
        <f>SUMIFS('仓库单元底表'!$R$5:$R$1321,'仓库单元底表'!$A$5:$A$1321,$A45,'仓库单元底表'!$E$5:$E$1321,$D45)</f>
        <v>6</v>
      </c>
      <c r="M45" s="39" t="n">
        <f>SUMIFS('仓库单元底表'!$S$5:$S$1321,'仓库单元底表'!$A$5:$A$1321,$A45,'仓库单元底表'!$E$5:$E$1321,$D45)</f>
        <v>0</v>
      </c>
      <c r="N45" s="38" t="n">
        <f>IF(E45=0,"",H45/E45)</f>
        <v>0.9661016949152542</v>
      </c>
      <c r="O45" s="38" t="n">
        <f>IF(E45=0,"",I45/E45)</f>
        <v>0.576271186440678</v>
      </c>
      <c r="P45" s="38" t="n">
        <f>IF(SUMIFS('供应商月度明细'!$F$5:$F$155,'供应商月度明细'!$A$5:$A$155,$A45,'供应商月度明细'!$E$5:$E$155,$D45)=0,"",SUMIFS('供应商月度明细'!$H$5:$H$155,'供应商月度明细'!$A$5:$A$155,$A45,'供应商月度明细'!$E$5:$E$155,$D45)/SUMIFS('供应商月度明细'!$F$5:$F$155,'供应商月度明细'!$A$5:$A$155,$A45,'供应商月度明细'!$E$5:$E$155,$D45))</f>
        <v>0.5964912280701754</v>
      </c>
      <c r="Q45" s="38" t="n">
        <f>IF(SUMIFS('供应商月度明细'!$J$5:$J$155,'供应商月度明细'!$A$5:$A$155,$A45,'供应商月度明细'!$E$5:$E$155,$D45)=0,"",SUMIFS('供应商月度明细'!$K$5:$K$155,'供应商月度明细'!$A$5:$A$155,$A45,'供应商月度明细'!$E$5:$E$155,$D45)/SUMIFS('供应商月度明细'!$J$5:$J$155,'供应商月度明细'!$A$5:$A$155,$A45,'供应商月度明细'!$E$5:$E$155,$D45))</f>
        <v>0.5964912280701754</v>
      </c>
    </row>
    <row r="46">
      <c r="A46" s="34" t="str">
        <v>西班牙区</v>
      </c>
      <c r="B46" s="34" t="str">
        <v>工种明细</v>
      </c>
      <c r="C46" s="34" t="str">
        <v>操作员</v>
      </c>
      <c r="D46" s="34" t="str">
        <v>2026-05</v>
      </c>
      <c r="E46" s="36" t="n">
        <f>SUMIFS('仓库单元底表'!$J$5:$J$1321,'仓库单元底表'!$A$5:$A$1321,$A46,'仓库单元底表'!$F$5:$F$1321,$C46,'仓库单元底表'!$E$5:$E$1321,$D46)</f>
        <v>1</v>
      </c>
      <c r="F46" s="36" t="n">
        <f>SUMIFS('仓库单元底表'!$K$5:$K$1321,'仓库单元底表'!$A$5:$A$1321,$A46,'仓库单元底表'!$F$5:$F$1321,$C46,'仓库单元底表'!$E$5:$E$1321,$D46)</f>
        <v>1</v>
      </c>
      <c r="G46" s="36" t="n">
        <f>SUMIFS('仓库单元底表'!$L$5:$L$1321,'仓库单元底表'!$A$5:$A$1321,$A46,'仓库单元底表'!$F$5:$F$1321,$C46,'仓库单元底表'!$E$5:$E$1321,$D46)</f>
        <v>1</v>
      </c>
      <c r="H46" s="36" t="n">
        <f>SUMIFS('仓库单元底表'!$M$5:$M$1321,'仓库单元底表'!$A$5:$A$1321,$A46,'仓库单元底表'!$F$5:$F$1321,$C46,'仓库单元底表'!$E$5:$E$1321,$D46)</f>
        <v>1</v>
      </c>
      <c r="I46" s="36" t="n">
        <f>SUMIFS('仓库单元底表'!$N$5:$N$1321,'仓库单元底表'!$A$5:$A$1321,$A46,'仓库单元底表'!$F$5:$F$1321,$C46,'仓库单元底表'!$E$5:$E$1321,$D46)</f>
        <v>1</v>
      </c>
      <c r="J46" s="36" t="n">
        <f>SUMIFS('仓库单元底表'!$P$5:$P$1321,'仓库单元底表'!$A$5:$A$1321,$A46,'仓库单元底表'!$F$5:$F$1321,$C46,'仓库单元底表'!$E$5:$E$1321,$D46)</f>
        <v>0</v>
      </c>
      <c r="K46" s="36" t="n">
        <f>SUMIFS('仓库单元底表'!$Q$5:$Q$1321,'仓库单元底表'!$A$5:$A$1321,$A46,'仓库单元底表'!$F$5:$F$1321,$C46,'仓库单元底表'!$E$5:$E$1321,$D46)</f>
        <v>0</v>
      </c>
      <c r="L46" s="36" t="n">
        <f>SUMIFS('仓库单元底表'!$R$5:$R$1321,'仓库单元底表'!$A$5:$A$1321,$A46,'仓库单元底表'!$F$5:$F$1321,$C46,'仓库单元底表'!$E$5:$E$1321,$D46)</f>
        <v>0</v>
      </c>
      <c r="M46" s="36" t="n">
        <f>SUMIFS('仓库单元底表'!$S$5:$S$1321,'仓库单元底表'!$A$5:$A$1321,$A46,'仓库单元底表'!$F$5:$F$1321,$C46,'仓库单元底表'!$E$5:$E$1321,$D46)</f>
        <v>0</v>
      </c>
      <c r="N46" s="35" t="n">
        <f>IF(E46=0,"",H46/E46)</f>
        <v>1</v>
      </c>
      <c r="O46" s="35" t="n">
        <f>IF(E46=0,"",I46/E46)</f>
        <v>1</v>
      </c>
      <c r="P46" s="35" t="n">
        <f>IF(SUMIFS('供应商月度明细'!$F$5:$F$155,'供应商月度明细'!$A$5:$A$155,$A46,'供应商月度明细'!$D$5:$D$155,$C46,'供应商月度明细'!$E$5:$E$155,$D46)=0,"",SUMIFS('供应商月度明细'!$H$5:$H$155,'供应商月度明细'!$A$5:$A$155,$A46,'供应商月度明细'!$D$5:$D$155,$C46,'供应商月度明细'!$E$5:$E$155,$D46)/SUMIFS('供应商月度明细'!$F$5:$F$155,'供应商月度明细'!$A$5:$A$155,$A46,'供应商月度明细'!$D$5:$D$155,$C46,'供应商月度明细'!$E$5:$E$155,$D46))</f>
        <v>1</v>
      </c>
      <c r="Q46" s="35" t="n">
        <f>IF(SUMIFS('供应商月度明细'!$J$5:$J$155,'供应商月度明细'!$A$5:$A$155,$A46,'供应商月度明细'!$D$5:$D$155,$C46,'供应商月度明细'!$E$5:$E$155,$D46)=0,"",SUMIFS('供应商月度明细'!$K$5:$K$155,'供应商月度明细'!$A$5:$A$155,$A46,'供应商月度明细'!$D$5:$D$155,$C46,'供应商月度明细'!$E$5:$E$155,$D46)/SUMIFS('供应商月度明细'!$J$5:$J$155,'供应商月度明细'!$A$5:$A$155,$A46,'供应商月度明细'!$D$5:$D$155,$C46,'供应商月度明细'!$E$5:$E$155,$D46))</f>
        <v>1</v>
      </c>
    </row>
    <row r="47">
      <c r="A47" s="34" t="str">
        <v>西班牙区</v>
      </c>
      <c r="B47" s="34" t="str">
        <v>工种明细</v>
      </c>
      <c r="C47" s="34" t="str">
        <v>操作员</v>
      </c>
      <c r="D47" s="34" t="str">
        <v>2026-06</v>
      </c>
      <c r="E47" s="36" t="n">
        <f>SUMIFS('仓库单元底表'!$J$5:$J$1321,'仓库单元底表'!$A$5:$A$1321,$A47,'仓库单元底表'!$F$5:$F$1321,$C47,'仓库单元底表'!$E$5:$E$1321,$D47)</f>
        <v>2</v>
      </c>
      <c r="F47" s="36" t="n">
        <f>SUMIFS('仓库单元底表'!$K$5:$K$1321,'仓库单元底表'!$A$5:$A$1321,$A47,'仓库单元底表'!$F$5:$F$1321,$C47,'仓库单元底表'!$E$5:$E$1321,$D47)</f>
        <v>2</v>
      </c>
      <c r="G47" s="36" t="n">
        <f>SUMIFS('仓库单元底表'!$L$5:$L$1321,'仓库单元底表'!$A$5:$A$1321,$A47,'仓库单元底表'!$F$5:$F$1321,$C47,'仓库单元底表'!$E$5:$E$1321,$D47)</f>
        <v>2</v>
      </c>
      <c r="H47" s="36" t="n">
        <f>SUMIFS('仓库单元底表'!$M$5:$M$1321,'仓库单元底表'!$A$5:$A$1321,$A47,'仓库单元底表'!$F$5:$F$1321,$C47,'仓库单元底表'!$E$5:$E$1321,$D47)</f>
        <v>2</v>
      </c>
      <c r="I47" s="36" t="n">
        <f>SUMIFS('仓库单元底表'!$N$5:$N$1321,'仓库单元底表'!$A$5:$A$1321,$A47,'仓库单元底表'!$F$5:$F$1321,$C47,'仓库单元底表'!$E$5:$E$1321,$D47)</f>
        <v>2</v>
      </c>
      <c r="J47" s="36" t="n">
        <f>SUMIFS('仓库单元底表'!$P$5:$P$1321,'仓库单元底表'!$A$5:$A$1321,$A47,'仓库单元底表'!$F$5:$F$1321,$C47,'仓库单元底表'!$E$5:$E$1321,$D47)</f>
        <v>0</v>
      </c>
      <c r="K47" s="36" t="n">
        <f>SUMIFS('仓库单元底表'!$Q$5:$Q$1321,'仓库单元底表'!$A$5:$A$1321,$A47,'仓库单元底表'!$F$5:$F$1321,$C47,'仓库单元底表'!$E$5:$E$1321,$D47)</f>
        <v>0</v>
      </c>
      <c r="L47" s="36" t="n">
        <f>SUMIFS('仓库单元底表'!$R$5:$R$1321,'仓库单元底表'!$A$5:$A$1321,$A47,'仓库单元底表'!$F$5:$F$1321,$C47,'仓库单元底表'!$E$5:$E$1321,$D47)</f>
        <v>0</v>
      </c>
      <c r="M47" s="36" t="n">
        <f>SUMIFS('仓库单元底表'!$S$5:$S$1321,'仓库单元底表'!$A$5:$A$1321,$A47,'仓库单元底表'!$F$5:$F$1321,$C47,'仓库单元底表'!$E$5:$E$1321,$D47)</f>
        <v>0</v>
      </c>
      <c r="N47" s="35" t="n">
        <f>IF(E47=0,"",H47/E47)</f>
        <v>1</v>
      </c>
      <c r="O47" s="35" t="n">
        <f>IF(E47=0,"",I47/E47)</f>
        <v>1</v>
      </c>
      <c r="P47" s="35" t="n">
        <f>IF(SUMIFS('供应商月度明细'!$F$5:$F$155,'供应商月度明细'!$A$5:$A$155,$A47,'供应商月度明细'!$D$5:$D$155,$C47,'供应商月度明细'!$E$5:$E$155,$D47)=0,"",SUMIFS('供应商月度明细'!$H$5:$H$155,'供应商月度明细'!$A$5:$A$155,$A47,'供应商月度明细'!$D$5:$D$155,$C47,'供应商月度明细'!$E$5:$E$155,$D47)/SUMIFS('供应商月度明细'!$F$5:$F$155,'供应商月度明细'!$A$5:$A$155,$A47,'供应商月度明细'!$D$5:$D$155,$C47,'供应商月度明细'!$E$5:$E$155,$D47))</f>
        <v>1</v>
      </c>
      <c r="Q47" s="35" t="n">
        <f>IF(SUMIFS('供应商月度明细'!$J$5:$J$155,'供应商月度明细'!$A$5:$A$155,$A47,'供应商月度明细'!$D$5:$D$155,$C47,'供应商月度明细'!$E$5:$E$155,$D47)=0,"",SUMIFS('供应商月度明细'!$K$5:$K$155,'供应商月度明细'!$A$5:$A$155,$A47,'供应商月度明细'!$D$5:$D$155,$C47,'供应商月度明细'!$E$5:$E$155,$D47)/SUMIFS('供应商月度明细'!$J$5:$J$155,'供应商月度明细'!$A$5:$A$155,$A47,'供应商月度明细'!$D$5:$D$155,$C47,'供应商月度明细'!$E$5:$E$155,$D47))</f>
        <v>1</v>
      </c>
    </row>
    <row r="48">
      <c r="A48" s="34" t="str">
        <v>西班牙区</v>
      </c>
      <c r="B48" s="34" t="str">
        <v>工种明细</v>
      </c>
      <c r="C48" s="34" t="str">
        <v>叉车司机</v>
      </c>
      <c r="D48" s="34" t="str">
        <v>2026-04</v>
      </c>
      <c r="E48" s="36" t="n">
        <f>SUMIFS('仓库单元底表'!$J$5:$J$1321,'仓库单元底表'!$A$5:$A$1321,$A48,'仓库单元底表'!$F$5:$F$1321,$C48,'仓库单元底表'!$E$5:$E$1321,$D48)</f>
        <v>5</v>
      </c>
      <c r="F48" s="36" t="n">
        <f>SUMIFS('仓库单元底表'!$K$5:$K$1321,'仓库单元底表'!$A$5:$A$1321,$A48,'仓库单元底表'!$F$5:$F$1321,$C48,'仓库单元底表'!$E$5:$E$1321,$D48)</f>
        <v>5</v>
      </c>
      <c r="G48" s="36" t="n">
        <f>SUMIFS('仓库单元底表'!$L$5:$L$1321,'仓库单元底表'!$A$5:$A$1321,$A48,'仓库单元底表'!$F$5:$F$1321,$C48,'仓库单元底表'!$E$5:$E$1321,$D48)</f>
        <v>5</v>
      </c>
      <c r="H48" s="36" t="n">
        <f>SUMIFS('仓库单元底表'!$M$5:$M$1321,'仓库单元底表'!$A$5:$A$1321,$A48,'仓库单元底表'!$F$5:$F$1321,$C48,'仓库单元底表'!$E$5:$E$1321,$D48)</f>
        <v>5</v>
      </c>
      <c r="I48" s="36" t="n">
        <f>SUMIFS('仓库单元底表'!$N$5:$N$1321,'仓库单元底表'!$A$5:$A$1321,$A48,'仓库单元底表'!$F$5:$F$1321,$C48,'仓库单元底表'!$E$5:$E$1321,$D48)</f>
        <v>5</v>
      </c>
      <c r="J48" s="36" t="n">
        <f>SUMIFS('仓库单元底表'!$P$5:$P$1321,'仓库单元底表'!$A$5:$A$1321,$A48,'仓库单元底表'!$F$5:$F$1321,$C48,'仓库单元底表'!$E$5:$E$1321,$D48)</f>
        <v>0</v>
      </c>
      <c r="K48" s="36" t="n">
        <f>SUMIFS('仓库单元底表'!$Q$5:$Q$1321,'仓库单元底表'!$A$5:$A$1321,$A48,'仓库单元底表'!$F$5:$F$1321,$C48,'仓库单元底表'!$E$5:$E$1321,$D48)</f>
        <v>0</v>
      </c>
      <c r="L48" s="36" t="n">
        <f>SUMIFS('仓库单元底表'!$R$5:$R$1321,'仓库单元底表'!$A$5:$A$1321,$A48,'仓库单元底表'!$F$5:$F$1321,$C48,'仓库单元底表'!$E$5:$E$1321,$D48)</f>
        <v>0</v>
      </c>
      <c r="M48" s="36" t="n">
        <f>SUMIFS('仓库单元底表'!$S$5:$S$1321,'仓库单元底表'!$A$5:$A$1321,$A48,'仓库单元底表'!$F$5:$F$1321,$C48,'仓库单元底表'!$E$5:$E$1321,$D48)</f>
        <v>0</v>
      </c>
      <c r="N48" s="35" t="n">
        <f>IF(E48=0,"",H48/E48)</f>
        <v>1</v>
      </c>
      <c r="O48" s="35" t="n">
        <f>IF(E48=0,"",I48/E48)</f>
        <v>1</v>
      </c>
      <c r="P48" s="35" t="n">
        <f>IF(SUMIFS('供应商月度明细'!$F$5:$F$155,'供应商月度明细'!$A$5:$A$155,$A48,'供应商月度明细'!$D$5:$D$155,$C48,'供应商月度明细'!$E$5:$E$155,$D48)=0,"",SUMIFS('供应商月度明细'!$H$5:$H$155,'供应商月度明细'!$A$5:$A$155,$A48,'供应商月度明细'!$D$5:$D$155,$C48,'供应商月度明细'!$E$5:$E$155,$D48)/SUMIFS('供应商月度明细'!$F$5:$F$155,'供应商月度明细'!$A$5:$A$155,$A48,'供应商月度明细'!$D$5:$D$155,$C48,'供应商月度明细'!$E$5:$E$155,$D48))</f>
        <v>1</v>
      </c>
      <c r="Q48" s="35" t="n">
        <f>IF(SUMIFS('供应商月度明细'!$J$5:$J$155,'供应商月度明细'!$A$5:$A$155,$A48,'供应商月度明细'!$D$5:$D$155,$C48,'供应商月度明细'!$E$5:$E$155,$D48)=0,"",SUMIFS('供应商月度明细'!$K$5:$K$155,'供应商月度明细'!$A$5:$A$155,$A48,'供应商月度明细'!$D$5:$D$155,$C48,'供应商月度明细'!$E$5:$E$155,$D48)/SUMIFS('供应商月度明细'!$J$5:$J$155,'供应商月度明细'!$A$5:$A$155,$A48,'供应商月度明细'!$D$5:$D$155,$C48,'供应商月度明细'!$E$5:$E$155,$D48))</f>
        <v>1</v>
      </c>
    </row>
    <row r="49">
      <c r="A49" s="34" t="str">
        <v>西班牙区</v>
      </c>
      <c r="B49" s="34" t="str">
        <v>工种明细</v>
      </c>
      <c r="C49" s="34" t="str">
        <v>叉车司机</v>
      </c>
      <c r="D49" s="34" t="str">
        <v>2026-05</v>
      </c>
      <c r="E49" s="36" t="n">
        <f>SUMIFS('仓库单元底表'!$J$5:$J$1321,'仓库单元底表'!$A$5:$A$1321,$A49,'仓库单元底表'!$F$5:$F$1321,$C49,'仓库单元底表'!$E$5:$E$1321,$D49)</f>
        <v>15</v>
      </c>
      <c r="F49" s="36" t="n">
        <f>SUMIFS('仓库单元底表'!$K$5:$K$1321,'仓库单元底表'!$A$5:$A$1321,$A49,'仓库单元底表'!$F$5:$F$1321,$C49,'仓库单元底表'!$E$5:$E$1321,$D49)</f>
        <v>15</v>
      </c>
      <c r="G49" s="36" t="n">
        <f>SUMIFS('仓库单元底表'!$L$5:$L$1321,'仓库单元底表'!$A$5:$A$1321,$A49,'仓库单元底表'!$F$5:$F$1321,$C49,'仓库单元底表'!$E$5:$E$1321,$D49)</f>
        <v>15</v>
      </c>
      <c r="H49" s="36" t="n">
        <f>SUMIFS('仓库单元底表'!$M$5:$M$1321,'仓库单元底表'!$A$5:$A$1321,$A49,'仓库单元底表'!$F$5:$F$1321,$C49,'仓库单元底表'!$E$5:$E$1321,$D49)</f>
        <v>15</v>
      </c>
      <c r="I49" s="36" t="n">
        <f>SUMIFS('仓库单元底表'!$N$5:$N$1321,'仓库单元底表'!$A$5:$A$1321,$A49,'仓库单元底表'!$F$5:$F$1321,$C49,'仓库单元底表'!$E$5:$E$1321,$D49)</f>
        <v>15</v>
      </c>
      <c r="J49" s="36" t="n">
        <f>SUMIFS('仓库单元底表'!$P$5:$P$1321,'仓库单元底表'!$A$5:$A$1321,$A49,'仓库单元底表'!$F$5:$F$1321,$C49,'仓库单元底表'!$E$5:$E$1321,$D49)</f>
        <v>0</v>
      </c>
      <c r="K49" s="36" t="n">
        <f>SUMIFS('仓库单元底表'!$Q$5:$Q$1321,'仓库单元底表'!$A$5:$A$1321,$A49,'仓库单元底表'!$F$5:$F$1321,$C49,'仓库单元底表'!$E$5:$E$1321,$D49)</f>
        <v>0</v>
      </c>
      <c r="L49" s="36" t="n">
        <f>SUMIFS('仓库单元底表'!$R$5:$R$1321,'仓库单元底表'!$A$5:$A$1321,$A49,'仓库单元底表'!$F$5:$F$1321,$C49,'仓库单元底表'!$E$5:$E$1321,$D49)</f>
        <v>0</v>
      </c>
      <c r="M49" s="36" t="n">
        <f>SUMIFS('仓库单元底表'!$S$5:$S$1321,'仓库单元底表'!$A$5:$A$1321,$A49,'仓库单元底表'!$F$5:$F$1321,$C49,'仓库单元底表'!$E$5:$E$1321,$D49)</f>
        <v>0</v>
      </c>
      <c r="N49" s="35" t="n">
        <f>IF(E49=0,"",H49/E49)</f>
        <v>1</v>
      </c>
      <c r="O49" s="35" t="n">
        <f>IF(E49=0,"",I49/E49)</f>
        <v>1</v>
      </c>
      <c r="P49" s="35" t="n">
        <f>IF(SUMIFS('供应商月度明细'!$F$5:$F$155,'供应商月度明细'!$A$5:$A$155,$A49,'供应商月度明细'!$D$5:$D$155,$C49,'供应商月度明细'!$E$5:$E$155,$D49)=0,"",SUMIFS('供应商月度明细'!$H$5:$H$155,'供应商月度明细'!$A$5:$A$155,$A49,'供应商月度明细'!$D$5:$D$155,$C49,'供应商月度明细'!$E$5:$E$155,$D49)/SUMIFS('供应商月度明细'!$F$5:$F$155,'供应商月度明细'!$A$5:$A$155,$A49,'供应商月度明细'!$D$5:$D$155,$C49,'供应商月度明细'!$E$5:$E$155,$D49))</f>
        <v>1</v>
      </c>
      <c r="Q49" s="35" t="n">
        <f>IF(SUMIFS('供应商月度明细'!$J$5:$J$155,'供应商月度明细'!$A$5:$A$155,$A49,'供应商月度明细'!$D$5:$D$155,$C49,'供应商月度明细'!$E$5:$E$155,$D49)=0,"",SUMIFS('供应商月度明细'!$K$5:$K$155,'供应商月度明细'!$A$5:$A$155,$A49,'供应商月度明细'!$D$5:$D$155,$C49,'供应商月度明细'!$E$5:$E$155,$D49)/SUMIFS('供应商月度明细'!$J$5:$J$155,'供应商月度明细'!$A$5:$A$155,$A49,'供应商月度明细'!$D$5:$D$155,$C49,'供应商月度明细'!$E$5:$E$155,$D49))</f>
        <v>1</v>
      </c>
    </row>
    <row r="50">
      <c r="A50" s="34" t="str">
        <v>西班牙区</v>
      </c>
      <c r="B50" s="34" t="str">
        <v>工种明细</v>
      </c>
      <c r="C50" s="34" t="str">
        <v>叉车司机</v>
      </c>
      <c r="D50" s="34" t="str">
        <v>2026-06</v>
      </c>
      <c r="E50" s="36" t="n">
        <f>SUMIFS('仓库单元底表'!$J$5:$J$1321,'仓库单元底表'!$A$5:$A$1321,$A50,'仓库单元底表'!$F$5:$F$1321,$C50,'仓库单元底表'!$E$5:$E$1321,$D50)</f>
        <v>3</v>
      </c>
      <c r="F50" s="36" t="n">
        <f>SUMIFS('仓库单元底表'!$K$5:$K$1321,'仓库单元底表'!$A$5:$A$1321,$A50,'仓库单元底表'!$F$5:$F$1321,$C50,'仓库单元底表'!$E$5:$E$1321,$D50)</f>
        <v>3</v>
      </c>
      <c r="G50" s="36" t="n">
        <f>SUMIFS('仓库单元底表'!$L$5:$L$1321,'仓库单元底表'!$A$5:$A$1321,$A50,'仓库单元底表'!$F$5:$F$1321,$C50,'仓库单元底表'!$E$5:$E$1321,$D50)</f>
        <v>3</v>
      </c>
      <c r="H50" s="36" t="n">
        <f>SUMIFS('仓库单元底表'!$M$5:$M$1321,'仓库单元底表'!$A$5:$A$1321,$A50,'仓库单元底表'!$F$5:$F$1321,$C50,'仓库单元底表'!$E$5:$E$1321,$D50)</f>
        <v>3</v>
      </c>
      <c r="I50" s="36" t="n">
        <f>SUMIFS('仓库单元底表'!$N$5:$N$1321,'仓库单元底表'!$A$5:$A$1321,$A50,'仓库单元底表'!$F$5:$F$1321,$C50,'仓库单元底表'!$E$5:$E$1321,$D50)</f>
        <v>3</v>
      </c>
      <c r="J50" s="36" t="n">
        <f>SUMIFS('仓库单元底表'!$P$5:$P$1321,'仓库单元底表'!$A$5:$A$1321,$A50,'仓库单元底表'!$F$5:$F$1321,$C50,'仓库单元底表'!$E$5:$E$1321,$D50)</f>
        <v>0</v>
      </c>
      <c r="K50" s="36" t="n">
        <f>SUMIFS('仓库单元底表'!$Q$5:$Q$1321,'仓库单元底表'!$A$5:$A$1321,$A50,'仓库单元底表'!$F$5:$F$1321,$C50,'仓库单元底表'!$E$5:$E$1321,$D50)</f>
        <v>0</v>
      </c>
      <c r="L50" s="36" t="n">
        <f>SUMIFS('仓库单元底表'!$R$5:$R$1321,'仓库单元底表'!$A$5:$A$1321,$A50,'仓库单元底表'!$F$5:$F$1321,$C50,'仓库单元底表'!$E$5:$E$1321,$D50)</f>
        <v>0</v>
      </c>
      <c r="M50" s="36" t="n">
        <f>SUMIFS('仓库单元底表'!$S$5:$S$1321,'仓库单元底表'!$A$5:$A$1321,$A50,'仓库单元底表'!$F$5:$F$1321,$C50,'仓库单元底表'!$E$5:$E$1321,$D50)</f>
        <v>0</v>
      </c>
      <c r="N50" s="35" t="n">
        <f>IF(E50=0,"",H50/E50)</f>
        <v>1</v>
      </c>
      <c r="O50" s="35" t="n">
        <f>IF(E50=0,"",I50/E50)</f>
        <v>1</v>
      </c>
      <c r="P50" s="35" t="n">
        <f>IF(SUMIFS('供应商月度明细'!$F$5:$F$155,'供应商月度明细'!$A$5:$A$155,$A50,'供应商月度明细'!$D$5:$D$155,$C50,'供应商月度明细'!$E$5:$E$155,$D50)=0,"",SUMIFS('供应商月度明细'!$H$5:$H$155,'供应商月度明细'!$A$5:$A$155,$A50,'供应商月度明细'!$D$5:$D$155,$C50,'供应商月度明细'!$E$5:$E$155,$D50)/SUMIFS('供应商月度明细'!$F$5:$F$155,'供应商月度明细'!$A$5:$A$155,$A50,'供应商月度明细'!$D$5:$D$155,$C50,'供应商月度明细'!$E$5:$E$155,$D50))</f>
        <v>1</v>
      </c>
      <c r="Q50" s="35" t="n">
        <f>IF(SUMIFS('供应商月度明细'!$J$5:$J$155,'供应商月度明细'!$A$5:$A$155,$A50,'供应商月度明细'!$D$5:$D$155,$C50,'供应商月度明细'!$E$5:$E$155,$D50)=0,"",SUMIFS('供应商月度明细'!$K$5:$K$155,'供应商月度明细'!$A$5:$A$155,$A50,'供应商月度明细'!$D$5:$D$155,$C50,'供应商月度明细'!$E$5:$E$155,$D50)/SUMIFS('供应商月度明细'!$J$5:$J$155,'供应商月度明细'!$A$5:$A$155,$A50,'供应商月度明细'!$D$5:$D$155,$C50,'供应商月度明细'!$E$5:$E$155,$D50))</f>
        <v>1</v>
      </c>
    </row>
    <row r="51">
      <c r="A51" s="34" t="str">
        <v>西班牙区</v>
      </c>
      <c r="B51" s="34" t="str">
        <v>工种明细</v>
      </c>
      <c r="C51" s="34" t="str">
        <v>保洁员</v>
      </c>
      <c r="D51" s="34" t="str">
        <v>2026-06</v>
      </c>
      <c r="E51" s="36" t="n">
        <f>SUMIFS('仓库单元底表'!$J$5:$J$1321,'仓库单元底表'!$A$5:$A$1321,$A51,'仓库单元底表'!$F$5:$F$1321,$C51,'仓库单元底表'!$E$5:$E$1321,$D51)</f>
        <v>1</v>
      </c>
      <c r="F51" s="36" t="n">
        <f>SUMIFS('仓库单元底表'!$K$5:$K$1321,'仓库单元底表'!$A$5:$A$1321,$A51,'仓库单元底表'!$F$5:$F$1321,$C51,'仓库单元底表'!$E$5:$E$1321,$D51)</f>
        <v>1</v>
      </c>
      <c r="G51" s="36" t="n">
        <f>SUMIFS('仓库单元底表'!$L$5:$L$1321,'仓库单元底表'!$A$5:$A$1321,$A51,'仓库单元底表'!$F$5:$F$1321,$C51,'仓库单元底表'!$E$5:$E$1321,$D51)</f>
        <v>1</v>
      </c>
      <c r="H51" s="36" t="n">
        <f>SUMIFS('仓库单元底表'!$M$5:$M$1321,'仓库单元底表'!$A$5:$A$1321,$A51,'仓库单元底表'!$F$5:$F$1321,$C51,'仓库单元底表'!$E$5:$E$1321,$D51)</f>
        <v>1</v>
      </c>
      <c r="I51" s="36" t="n">
        <f>SUMIFS('仓库单元底表'!$N$5:$N$1321,'仓库单元底表'!$A$5:$A$1321,$A51,'仓库单元底表'!$F$5:$F$1321,$C51,'仓库单元底表'!$E$5:$E$1321,$D51)</f>
        <v>1</v>
      </c>
      <c r="J51" s="36" t="n">
        <f>SUMIFS('仓库单元底表'!$P$5:$P$1321,'仓库单元底表'!$A$5:$A$1321,$A51,'仓库单元底表'!$F$5:$F$1321,$C51,'仓库单元底表'!$E$5:$E$1321,$D51)</f>
        <v>0</v>
      </c>
      <c r="K51" s="36" t="n">
        <f>SUMIFS('仓库单元底表'!$Q$5:$Q$1321,'仓库单元底表'!$A$5:$A$1321,$A51,'仓库单元底表'!$F$5:$F$1321,$C51,'仓库单元底表'!$E$5:$E$1321,$D51)</f>
        <v>0</v>
      </c>
      <c r="L51" s="36" t="n">
        <f>SUMIFS('仓库单元底表'!$R$5:$R$1321,'仓库单元底表'!$A$5:$A$1321,$A51,'仓库单元底表'!$F$5:$F$1321,$C51,'仓库单元底表'!$E$5:$E$1321,$D51)</f>
        <v>0</v>
      </c>
      <c r="M51" s="36" t="n">
        <f>SUMIFS('仓库单元底表'!$S$5:$S$1321,'仓库单元底表'!$A$5:$A$1321,$A51,'仓库单元底表'!$F$5:$F$1321,$C51,'仓库单元底表'!$E$5:$E$1321,$D51)</f>
        <v>0</v>
      </c>
      <c r="N51" s="35" t="n">
        <f>IF(E51=0,"",H51/E51)</f>
        <v>1</v>
      </c>
      <c r="O51" s="35" t="n">
        <f>IF(E51=0,"",I51/E51)</f>
        <v>1</v>
      </c>
      <c r="P51" s="35" t="n">
        <f>IF(SUMIFS('供应商月度明细'!$F$5:$F$155,'供应商月度明细'!$A$5:$A$155,$A51,'供应商月度明细'!$D$5:$D$155,$C51,'供应商月度明细'!$E$5:$E$155,$D51)=0,"",SUMIFS('供应商月度明细'!$H$5:$H$155,'供应商月度明细'!$A$5:$A$155,$A51,'供应商月度明细'!$D$5:$D$155,$C51,'供应商月度明细'!$E$5:$E$155,$D51)/SUMIFS('供应商月度明细'!$F$5:$F$155,'供应商月度明细'!$A$5:$A$155,$A51,'供应商月度明细'!$D$5:$D$155,$C51,'供应商月度明细'!$E$5:$E$155,$D51))</f>
        <v>1</v>
      </c>
      <c r="Q51" s="35" t="n">
        <f>IF(SUMIFS('供应商月度明细'!$J$5:$J$155,'供应商月度明细'!$A$5:$A$155,$A51,'供应商月度明细'!$D$5:$D$155,$C51,'供应商月度明细'!$E$5:$E$155,$D51)=0,"",SUMIFS('供应商月度明细'!$K$5:$K$155,'供应商月度明细'!$A$5:$A$155,$A51,'供应商月度明细'!$D$5:$D$155,$C51,'供应商月度明细'!$E$5:$E$155,$D51)/SUMIFS('供应商月度明细'!$J$5:$J$155,'供应商月度明细'!$A$5:$A$155,$A51,'供应商月度明细'!$D$5:$D$155,$C51,'供应商月度明细'!$E$5:$E$155,$D51))</f>
        <v>1</v>
      </c>
    </row>
    <row r="52">
      <c r="A52" s="34" t="str">
        <v>西班牙区</v>
      </c>
      <c r="B52" s="34" t="str">
        <v>工种明细</v>
      </c>
      <c r="C52" s="34" t="str">
        <v>交运员Class 1</v>
      </c>
      <c r="D52" s="34" t="str">
        <v>2026-06</v>
      </c>
      <c r="E52" s="36" t="n">
        <f>SUMIFS('仓库单元底表'!$J$5:$J$1321,'仓库单元底表'!$A$5:$A$1321,$A52,'仓库单元底表'!$F$5:$F$1321,$C52,'仓库单元底表'!$E$5:$E$1321,$D52)</f>
        <v>1</v>
      </c>
      <c r="F52" s="36" t="n">
        <f>SUMIFS('仓库单元底表'!$K$5:$K$1321,'仓库单元底表'!$A$5:$A$1321,$A52,'仓库单元底表'!$F$5:$F$1321,$C52,'仓库单元底表'!$E$5:$E$1321,$D52)</f>
        <v>1</v>
      </c>
      <c r="G52" s="36" t="n">
        <f>SUMIFS('仓库单元底表'!$L$5:$L$1321,'仓库单元底表'!$A$5:$A$1321,$A52,'仓库单元底表'!$F$5:$F$1321,$C52,'仓库单元底表'!$E$5:$E$1321,$D52)</f>
        <v>1</v>
      </c>
      <c r="H52" s="36" t="n">
        <f>SUMIFS('仓库单元底表'!$M$5:$M$1321,'仓库单元底表'!$A$5:$A$1321,$A52,'仓库单元底表'!$F$5:$F$1321,$C52,'仓库单元底表'!$E$5:$E$1321,$D52)</f>
        <v>1</v>
      </c>
      <c r="I52" s="36" t="n">
        <f>SUMIFS('仓库单元底表'!$N$5:$N$1321,'仓库单元底表'!$A$5:$A$1321,$A52,'仓库单元底表'!$F$5:$F$1321,$C52,'仓库单元底表'!$E$5:$E$1321,$D52)</f>
        <v>1</v>
      </c>
      <c r="J52" s="36" t="n">
        <f>SUMIFS('仓库单元底表'!$P$5:$P$1321,'仓库单元底表'!$A$5:$A$1321,$A52,'仓库单元底表'!$F$5:$F$1321,$C52,'仓库单元底表'!$E$5:$E$1321,$D52)</f>
        <v>0</v>
      </c>
      <c r="K52" s="36" t="n">
        <f>SUMIFS('仓库单元底表'!$Q$5:$Q$1321,'仓库单元底表'!$A$5:$A$1321,$A52,'仓库单元底表'!$F$5:$F$1321,$C52,'仓库单元底表'!$E$5:$E$1321,$D52)</f>
        <v>0</v>
      </c>
      <c r="L52" s="36" t="n">
        <f>SUMIFS('仓库单元底表'!$R$5:$R$1321,'仓库单元底表'!$A$5:$A$1321,$A52,'仓库单元底表'!$F$5:$F$1321,$C52,'仓库单元底表'!$E$5:$E$1321,$D52)</f>
        <v>0</v>
      </c>
      <c r="M52" s="36" t="n">
        <f>SUMIFS('仓库单元底表'!$S$5:$S$1321,'仓库单元底表'!$A$5:$A$1321,$A52,'仓库单元底表'!$F$5:$F$1321,$C52,'仓库单元底表'!$E$5:$E$1321,$D52)</f>
        <v>0</v>
      </c>
      <c r="N52" s="35" t="n">
        <f>IF(E52=0,"",H52/E52)</f>
        <v>1</v>
      </c>
      <c r="O52" s="35" t="n">
        <f>IF(E52=0,"",I52/E52)</f>
        <v>1</v>
      </c>
      <c r="P52" s="35" t="n">
        <f>IF(SUMIFS('供应商月度明细'!$F$5:$F$155,'供应商月度明细'!$A$5:$A$155,$A52,'供应商月度明细'!$D$5:$D$155,$C52,'供应商月度明细'!$E$5:$E$155,$D52)=0,"",SUMIFS('供应商月度明细'!$H$5:$H$155,'供应商月度明细'!$A$5:$A$155,$A52,'供应商月度明细'!$D$5:$D$155,$C52,'供应商月度明细'!$E$5:$E$155,$D52)/SUMIFS('供应商月度明细'!$F$5:$F$155,'供应商月度明细'!$A$5:$A$155,$A52,'供应商月度明细'!$D$5:$D$155,$C52,'供应商月度明细'!$E$5:$E$155,$D52))</f>
        <v>1</v>
      </c>
      <c r="Q52" s="35" t="n">
        <f>IF(SUMIFS('供应商月度明细'!$J$5:$J$155,'供应商月度明细'!$A$5:$A$155,$A52,'供应商月度明细'!$D$5:$D$155,$C52,'供应商月度明细'!$E$5:$E$155,$D52)=0,"",SUMIFS('供应商月度明细'!$K$5:$K$155,'供应商月度明细'!$A$5:$A$155,$A52,'供应商月度明细'!$D$5:$D$155,$C52,'供应商月度明细'!$E$5:$E$155,$D52)/SUMIFS('供应商月度明细'!$J$5:$J$155,'供应商月度明细'!$A$5:$A$155,$A52,'供应商月度明细'!$D$5:$D$155,$C52,'供应商月度明细'!$E$5:$E$155,$D52))</f>
        <v>1</v>
      </c>
    </row>
    <row r="53">
      <c r="A53" s="37" t="str">
        <v>西班牙区</v>
      </c>
      <c r="B53" s="37" t="str">
        <v>区域汇总</v>
      </c>
      <c r="C53" s="37" t="str">
        <v>全部工种</v>
      </c>
      <c r="D53" s="37" t="str">
        <v>2026-04</v>
      </c>
      <c r="E53" s="39" t="n">
        <f>SUMIFS('仓库单元底表'!$J$5:$J$1321,'仓库单元底表'!$A$5:$A$1321,$A53,'仓库单元底表'!$E$5:$E$1321,$D53)</f>
        <v>5</v>
      </c>
      <c r="F53" s="39" t="n">
        <f>SUMIFS('仓库单元底表'!$K$5:$K$1321,'仓库单元底表'!$A$5:$A$1321,$A53,'仓库单元底表'!$E$5:$E$1321,$D53)</f>
        <v>5</v>
      </c>
      <c r="G53" s="39" t="n">
        <f>SUMIFS('仓库单元底表'!$L$5:$L$1321,'仓库单元底表'!$A$5:$A$1321,$A53,'仓库单元底表'!$E$5:$E$1321,$D53)</f>
        <v>5</v>
      </c>
      <c r="H53" s="39" t="n">
        <f>SUMIFS('仓库单元底表'!$M$5:$M$1321,'仓库单元底表'!$A$5:$A$1321,$A53,'仓库单元底表'!$E$5:$E$1321,$D53)</f>
        <v>5</v>
      </c>
      <c r="I53" s="39" t="n">
        <f>SUMIFS('仓库单元底表'!$N$5:$N$1321,'仓库单元底表'!$A$5:$A$1321,$A53,'仓库单元底表'!$E$5:$E$1321,$D53)</f>
        <v>5</v>
      </c>
      <c r="J53" s="39" t="n">
        <f>SUMIFS('仓库单元底表'!$P$5:$P$1321,'仓库单元底表'!$A$5:$A$1321,$A53,'仓库单元底表'!$E$5:$E$1321,$D53)</f>
        <v>0</v>
      </c>
      <c r="K53" s="39" t="n">
        <f>SUMIFS('仓库单元底表'!$Q$5:$Q$1321,'仓库单元底表'!$A$5:$A$1321,$A53,'仓库单元底表'!$E$5:$E$1321,$D53)</f>
        <v>0</v>
      </c>
      <c r="L53" s="39" t="n">
        <f>SUMIFS('仓库单元底表'!$R$5:$R$1321,'仓库单元底表'!$A$5:$A$1321,$A53,'仓库单元底表'!$E$5:$E$1321,$D53)</f>
        <v>0</v>
      </c>
      <c r="M53" s="39" t="n">
        <f>SUMIFS('仓库单元底表'!$S$5:$S$1321,'仓库单元底表'!$A$5:$A$1321,$A53,'仓库单元底表'!$E$5:$E$1321,$D53)</f>
        <v>0</v>
      </c>
      <c r="N53" s="38" t="n">
        <f>IF(E53=0,"",H53/E53)</f>
        <v>1</v>
      </c>
      <c r="O53" s="38" t="n">
        <f>IF(E53=0,"",I53/E53)</f>
        <v>1</v>
      </c>
      <c r="P53" s="38" t="n">
        <f>IF(SUMIFS('供应商月度明细'!$F$5:$F$155,'供应商月度明细'!$A$5:$A$155,$A53,'供应商月度明细'!$E$5:$E$155,$D53)=0,"",SUMIFS('供应商月度明细'!$H$5:$H$155,'供应商月度明细'!$A$5:$A$155,$A53,'供应商月度明细'!$E$5:$E$155,$D53)/SUMIFS('供应商月度明细'!$F$5:$F$155,'供应商月度明细'!$A$5:$A$155,$A53,'供应商月度明细'!$E$5:$E$155,$D53))</f>
        <v>1</v>
      </c>
      <c r="Q53" s="38" t="n">
        <f>IF(SUMIFS('供应商月度明细'!$J$5:$J$155,'供应商月度明细'!$A$5:$A$155,$A53,'供应商月度明细'!$E$5:$E$155,$D53)=0,"",SUMIFS('供应商月度明细'!$K$5:$K$155,'供应商月度明细'!$A$5:$A$155,$A53,'供应商月度明细'!$E$5:$E$155,$D53)/SUMIFS('供应商月度明细'!$J$5:$J$155,'供应商月度明细'!$A$5:$A$155,$A53,'供应商月度明细'!$E$5:$E$155,$D53))</f>
        <v>1</v>
      </c>
    </row>
    <row r="54">
      <c r="A54" s="37" t="str">
        <v>西班牙区</v>
      </c>
      <c r="B54" s="37" t="str">
        <v>区域汇总</v>
      </c>
      <c r="C54" s="37" t="str">
        <v>全部工种</v>
      </c>
      <c r="D54" s="37" t="str">
        <v>2026-05</v>
      </c>
      <c r="E54" s="39" t="n">
        <f>SUMIFS('仓库单元底表'!$J$5:$J$1321,'仓库单元底表'!$A$5:$A$1321,$A54,'仓库单元底表'!$E$5:$E$1321,$D54)</f>
        <v>16</v>
      </c>
      <c r="F54" s="39" t="n">
        <f>SUMIFS('仓库单元底表'!$K$5:$K$1321,'仓库单元底表'!$A$5:$A$1321,$A54,'仓库单元底表'!$E$5:$E$1321,$D54)</f>
        <v>16</v>
      </c>
      <c r="G54" s="39" t="n">
        <f>SUMIFS('仓库单元底表'!$L$5:$L$1321,'仓库单元底表'!$A$5:$A$1321,$A54,'仓库单元底表'!$E$5:$E$1321,$D54)</f>
        <v>16</v>
      </c>
      <c r="H54" s="39" t="n">
        <f>SUMIFS('仓库单元底表'!$M$5:$M$1321,'仓库单元底表'!$A$5:$A$1321,$A54,'仓库单元底表'!$E$5:$E$1321,$D54)</f>
        <v>16</v>
      </c>
      <c r="I54" s="39" t="n">
        <f>SUMIFS('仓库单元底表'!$N$5:$N$1321,'仓库单元底表'!$A$5:$A$1321,$A54,'仓库单元底表'!$E$5:$E$1321,$D54)</f>
        <v>16</v>
      </c>
      <c r="J54" s="39" t="n">
        <f>SUMIFS('仓库单元底表'!$P$5:$P$1321,'仓库单元底表'!$A$5:$A$1321,$A54,'仓库单元底表'!$E$5:$E$1321,$D54)</f>
        <v>0</v>
      </c>
      <c r="K54" s="39" t="n">
        <f>SUMIFS('仓库单元底表'!$Q$5:$Q$1321,'仓库单元底表'!$A$5:$A$1321,$A54,'仓库单元底表'!$E$5:$E$1321,$D54)</f>
        <v>0</v>
      </c>
      <c r="L54" s="39" t="n">
        <f>SUMIFS('仓库单元底表'!$R$5:$R$1321,'仓库单元底表'!$A$5:$A$1321,$A54,'仓库单元底表'!$E$5:$E$1321,$D54)</f>
        <v>0</v>
      </c>
      <c r="M54" s="39" t="n">
        <f>SUMIFS('仓库单元底表'!$S$5:$S$1321,'仓库单元底表'!$A$5:$A$1321,$A54,'仓库单元底表'!$E$5:$E$1321,$D54)</f>
        <v>0</v>
      </c>
      <c r="N54" s="38" t="n">
        <f>IF(E54=0,"",H54/E54)</f>
        <v>1</v>
      </c>
      <c r="O54" s="38" t="n">
        <f>IF(E54=0,"",I54/E54)</f>
        <v>1</v>
      </c>
      <c r="P54" s="38" t="n">
        <f>IF(SUMIFS('供应商月度明细'!$F$5:$F$155,'供应商月度明细'!$A$5:$A$155,$A54,'供应商月度明细'!$E$5:$E$155,$D54)=0,"",SUMIFS('供应商月度明细'!$H$5:$H$155,'供应商月度明细'!$A$5:$A$155,$A54,'供应商月度明细'!$E$5:$E$155,$D54)/SUMIFS('供应商月度明细'!$F$5:$F$155,'供应商月度明细'!$A$5:$A$155,$A54,'供应商月度明细'!$E$5:$E$155,$D54))</f>
        <v>1</v>
      </c>
      <c r="Q54" s="38" t="n">
        <f>IF(SUMIFS('供应商月度明细'!$J$5:$J$155,'供应商月度明细'!$A$5:$A$155,$A54,'供应商月度明细'!$E$5:$E$155,$D54)=0,"",SUMIFS('供应商月度明细'!$K$5:$K$155,'供应商月度明细'!$A$5:$A$155,$A54,'供应商月度明细'!$E$5:$E$155,$D54)/SUMIFS('供应商月度明细'!$J$5:$J$155,'供应商月度明细'!$A$5:$A$155,$A54,'供应商月度明细'!$E$5:$E$155,$D54))</f>
        <v>1</v>
      </c>
    </row>
    <row r="55">
      <c r="A55" s="37" t="str">
        <v>西班牙区</v>
      </c>
      <c r="B55" s="37" t="str">
        <v>区域汇总</v>
      </c>
      <c r="C55" s="37" t="str">
        <v>全部工种</v>
      </c>
      <c r="D55" s="37" t="str">
        <v>2026-06</v>
      </c>
      <c r="E55" s="39" t="n">
        <f>SUMIFS('仓库单元底表'!$J$5:$J$1321,'仓库单元底表'!$A$5:$A$1321,$A55,'仓库单元底表'!$E$5:$E$1321,$D55)</f>
        <v>7</v>
      </c>
      <c r="F55" s="39" t="n">
        <f>SUMIFS('仓库单元底表'!$K$5:$K$1321,'仓库单元底表'!$A$5:$A$1321,$A55,'仓库单元底表'!$E$5:$E$1321,$D55)</f>
        <v>7</v>
      </c>
      <c r="G55" s="39" t="n">
        <f>SUMIFS('仓库单元底表'!$L$5:$L$1321,'仓库单元底表'!$A$5:$A$1321,$A55,'仓库单元底表'!$E$5:$E$1321,$D55)</f>
        <v>7</v>
      </c>
      <c r="H55" s="39" t="n">
        <f>SUMIFS('仓库单元底表'!$M$5:$M$1321,'仓库单元底表'!$A$5:$A$1321,$A55,'仓库单元底表'!$E$5:$E$1321,$D55)</f>
        <v>7</v>
      </c>
      <c r="I55" s="39" t="n">
        <f>SUMIFS('仓库单元底表'!$N$5:$N$1321,'仓库单元底表'!$A$5:$A$1321,$A55,'仓库单元底表'!$E$5:$E$1321,$D55)</f>
        <v>7</v>
      </c>
      <c r="J55" s="39" t="n">
        <f>SUMIFS('仓库单元底表'!$P$5:$P$1321,'仓库单元底表'!$A$5:$A$1321,$A55,'仓库单元底表'!$E$5:$E$1321,$D55)</f>
        <v>0</v>
      </c>
      <c r="K55" s="39" t="n">
        <f>SUMIFS('仓库单元底表'!$Q$5:$Q$1321,'仓库单元底表'!$A$5:$A$1321,$A55,'仓库单元底表'!$E$5:$E$1321,$D55)</f>
        <v>0</v>
      </c>
      <c r="L55" s="39" t="n">
        <f>SUMIFS('仓库单元底表'!$R$5:$R$1321,'仓库单元底表'!$A$5:$A$1321,$A55,'仓库单元底表'!$E$5:$E$1321,$D55)</f>
        <v>0</v>
      </c>
      <c r="M55" s="39" t="n">
        <f>SUMIFS('仓库单元底表'!$S$5:$S$1321,'仓库单元底表'!$A$5:$A$1321,$A55,'仓库单元底表'!$E$5:$E$1321,$D55)</f>
        <v>0</v>
      </c>
      <c r="N55" s="38" t="n">
        <f>IF(E55=0,"",H55/E55)</f>
        <v>1</v>
      </c>
      <c r="O55" s="38" t="n">
        <f>IF(E55=0,"",I55/E55)</f>
        <v>1</v>
      </c>
      <c r="P55" s="38" t="n">
        <f>IF(SUMIFS('供应商月度明细'!$F$5:$F$155,'供应商月度明细'!$A$5:$A$155,$A55,'供应商月度明细'!$E$5:$E$155,$D55)=0,"",SUMIFS('供应商月度明细'!$H$5:$H$155,'供应商月度明细'!$A$5:$A$155,$A55,'供应商月度明细'!$E$5:$E$155,$D55)/SUMIFS('供应商月度明细'!$F$5:$F$155,'供应商月度明细'!$A$5:$A$155,$A55,'供应商月度明细'!$E$5:$E$155,$D55))</f>
        <v>1</v>
      </c>
      <c r="Q55" s="38" t="n">
        <f>IF(SUMIFS('供应商月度明细'!$J$5:$J$155,'供应商月度明细'!$A$5:$A$155,$A55,'供应商月度明细'!$E$5:$E$155,$D55)=0,"",SUMIFS('供应商月度明细'!$K$5:$K$155,'供应商月度明细'!$A$5:$A$155,$A55,'供应商月度明细'!$E$5:$E$155,$D55)/SUMIFS('供应商月度明细'!$J$5:$J$155,'供应商月度明细'!$A$5:$A$155,$A55,'供应商月度明细'!$E$5:$E$155,$D55))</f>
        <v>1</v>
      </c>
    </row>
    <row r="56">
      <c r="A56" s="34" t="str">
        <v>意大利区</v>
      </c>
      <c r="B56" s="34" t="str">
        <v>工种明细</v>
      </c>
      <c r="C56" s="34" t="str">
        <v>操作员</v>
      </c>
      <c r="D56" s="34" t="str">
        <v>2026-05</v>
      </c>
      <c r="E56" s="36" t="n">
        <f>SUMIFS('仓库单元底表'!$J$5:$J$1321,'仓库单元底表'!$A$5:$A$1321,$A56,'仓库单元底表'!$F$5:$F$1321,$C56,'仓库单元底表'!$E$5:$E$1321,$D56)</f>
        <v>6</v>
      </c>
      <c r="F56" s="36" t="n">
        <f>SUMIFS('仓库单元底表'!$K$5:$K$1321,'仓库单元底表'!$A$5:$A$1321,$A56,'仓库单元底表'!$F$5:$F$1321,$C56,'仓库单元底表'!$E$5:$E$1321,$D56)</f>
        <v>6</v>
      </c>
      <c r="G56" s="36" t="n">
        <f>SUMIFS('仓库单元底表'!$L$5:$L$1321,'仓库单元底表'!$A$5:$A$1321,$A56,'仓库单元底表'!$F$5:$F$1321,$C56,'仓库单元底表'!$E$5:$E$1321,$D56)</f>
        <v>0</v>
      </c>
      <c r="H56" s="36" t="n">
        <f>SUMIFS('仓库单元底表'!$M$5:$M$1321,'仓库单元底表'!$A$5:$A$1321,$A56,'仓库单元底表'!$F$5:$F$1321,$C56,'仓库单元底表'!$E$5:$E$1321,$D56)</f>
        <v>6</v>
      </c>
      <c r="I56" s="36" t="n">
        <f>SUMIFS('仓库单元底表'!$N$5:$N$1321,'仓库单元底表'!$A$5:$A$1321,$A56,'仓库单元底表'!$F$5:$F$1321,$C56,'仓库单元底表'!$E$5:$E$1321,$D56)</f>
        <v>0</v>
      </c>
      <c r="J56" s="36" t="n">
        <f>SUMIFS('仓库单元底表'!$P$5:$P$1321,'仓库单元底表'!$A$5:$A$1321,$A56,'仓库单元底表'!$F$5:$F$1321,$C56,'仓库单元底表'!$E$5:$E$1321,$D56)</f>
        <v>0</v>
      </c>
      <c r="K56" s="36" t="n">
        <f>SUMIFS('仓库单元底表'!$Q$5:$Q$1321,'仓库单元底表'!$A$5:$A$1321,$A56,'仓库单元底表'!$F$5:$F$1321,$C56,'仓库单元底表'!$E$5:$E$1321,$D56)</f>
        <v>0</v>
      </c>
      <c r="L56" s="36" t="n">
        <f>SUMIFS('仓库单元底表'!$R$5:$R$1321,'仓库单元底表'!$A$5:$A$1321,$A56,'仓库单元底表'!$F$5:$F$1321,$C56,'仓库单元底表'!$E$5:$E$1321,$D56)</f>
        <v>0</v>
      </c>
      <c r="M56" s="36" t="n">
        <f>SUMIFS('仓库单元底表'!$S$5:$S$1321,'仓库单元底表'!$A$5:$A$1321,$A56,'仓库单元底表'!$F$5:$F$1321,$C56,'仓库单元底表'!$E$5:$E$1321,$D56)</f>
        <v>0</v>
      </c>
      <c r="N56" s="35" t="n">
        <f>IF(E56=0,"",H56/E56)</f>
        <v>1</v>
      </c>
      <c r="O56" s="35" t="n">
        <f>IF(E56=0,"",I56/E56)</f>
        <v>0</v>
      </c>
      <c r="P56" s="35" t="n">
        <f>IF(SUMIFS('供应商月度明细'!$F$5:$F$155,'供应商月度明细'!$A$5:$A$155,$A56,'供应商月度明细'!$D$5:$D$155,$C56,'供应商月度明细'!$E$5:$E$155,$D56)=0,"",SUMIFS('供应商月度明细'!$H$5:$H$155,'供应商月度明细'!$A$5:$A$155,$A56,'供应商月度明细'!$D$5:$D$155,$C56,'供应商月度明细'!$E$5:$E$155,$D56)/SUMIFS('供应商月度明细'!$F$5:$F$155,'供应商月度明细'!$A$5:$A$155,$A56,'供应商月度明细'!$D$5:$D$155,$C56,'供应商月度明细'!$E$5:$E$155,$D56))</f>
        <v>0</v>
      </c>
      <c r="Q56" s="35" t="n">
        <f>IF(SUMIFS('供应商月度明细'!$J$5:$J$155,'供应商月度明细'!$A$5:$A$155,$A56,'供应商月度明细'!$D$5:$D$155,$C56,'供应商月度明细'!$E$5:$E$155,$D56)=0,"",SUMIFS('供应商月度明细'!$K$5:$K$155,'供应商月度明细'!$A$5:$A$155,$A56,'供应商月度明细'!$D$5:$D$155,$C56,'供应商月度明细'!$E$5:$E$155,$D56)/SUMIFS('供应商月度明细'!$J$5:$J$155,'供应商月度明细'!$A$5:$A$155,$A56,'供应商月度明细'!$D$5:$D$155,$C56,'供应商月度明细'!$E$5:$E$155,$D56))</f>
        <v>0</v>
      </c>
    </row>
    <row r="57">
      <c r="A57" s="34" t="str">
        <v>意大利区</v>
      </c>
      <c r="B57" s="34" t="str">
        <v>工种明细</v>
      </c>
      <c r="C57" s="34" t="str">
        <v>操作员</v>
      </c>
      <c r="D57" s="34" t="str">
        <v>2026-06</v>
      </c>
      <c r="E57" s="36" t="n">
        <f>SUMIFS('仓库单元底表'!$J$5:$J$1321,'仓库单元底表'!$A$5:$A$1321,$A57,'仓库单元底表'!$F$5:$F$1321,$C57,'仓库单元底表'!$E$5:$E$1321,$D57)</f>
        <v>222</v>
      </c>
      <c r="F57" s="36" t="n">
        <f>SUMIFS('仓库单元底表'!$K$5:$K$1321,'仓库单元底表'!$A$5:$A$1321,$A57,'仓库单元底表'!$F$5:$F$1321,$C57,'仓库单元底表'!$E$5:$E$1321,$D57)</f>
        <v>228</v>
      </c>
      <c r="G57" s="36" t="n">
        <f>SUMIFS('仓库单元底表'!$L$5:$L$1321,'仓库单元底表'!$A$5:$A$1321,$A57,'仓库单元底表'!$F$5:$F$1321,$C57,'仓库单元底表'!$E$5:$E$1321,$D57)</f>
        <v>207</v>
      </c>
      <c r="H57" s="36" t="n">
        <f>SUMIFS('仓库单元底表'!$M$5:$M$1321,'仓库单元底表'!$A$5:$A$1321,$A57,'仓库单元底表'!$F$5:$F$1321,$C57,'仓库单元底表'!$E$5:$E$1321,$D57)</f>
        <v>222</v>
      </c>
      <c r="I57" s="36" t="n">
        <f>SUMIFS('仓库单元底表'!$N$5:$N$1321,'仓库单元底表'!$A$5:$A$1321,$A57,'仓库单元底表'!$F$5:$F$1321,$C57,'仓库单元底表'!$E$5:$E$1321,$D57)</f>
        <v>207</v>
      </c>
      <c r="J57" s="36" t="n">
        <f>SUMIFS('仓库单元底表'!$P$5:$P$1321,'仓库单元底表'!$A$5:$A$1321,$A57,'仓库单元底表'!$F$5:$F$1321,$C57,'仓库单元底表'!$E$5:$E$1321,$D57)</f>
        <v>4</v>
      </c>
      <c r="K57" s="36" t="n">
        <f>SUMIFS('仓库单元底表'!$Q$5:$Q$1321,'仓库单元底表'!$A$5:$A$1321,$A57,'仓库单元底表'!$F$5:$F$1321,$C57,'仓库单元底表'!$E$5:$E$1321,$D57)</f>
        <v>2</v>
      </c>
      <c r="L57" s="36" t="n">
        <f>SUMIFS('仓库单元底表'!$R$5:$R$1321,'仓库单元底表'!$A$5:$A$1321,$A57,'仓库单元底表'!$F$5:$F$1321,$C57,'仓库单元底表'!$E$5:$E$1321,$D57)</f>
        <v>0</v>
      </c>
      <c r="M57" s="36" t="n">
        <f>SUMIFS('仓库单元底表'!$S$5:$S$1321,'仓库单元底表'!$A$5:$A$1321,$A57,'仓库单元底表'!$F$5:$F$1321,$C57,'仓库单元底表'!$E$5:$E$1321,$D57)</f>
        <v>0</v>
      </c>
      <c r="N57" s="35" t="n">
        <f>IF(E57=0,"",H57/E57)</f>
        <v>1</v>
      </c>
      <c r="O57" s="35" t="n">
        <f>IF(E57=0,"",I57/E57)</f>
        <v>0.9324324324324325</v>
      </c>
      <c r="P57" s="35" t="n">
        <f>IF(SUMIFS('供应商月度明细'!$F$5:$F$155,'供应商月度明细'!$A$5:$A$155,$A57,'供应商月度明细'!$D$5:$D$155,$C57,'供应商月度明细'!$E$5:$E$155,$D57)=0,"",SUMIFS('供应商月度明细'!$H$5:$H$155,'供应商月度明细'!$A$5:$A$155,$A57,'供应商月度明细'!$D$5:$D$155,$C57,'供应商月度明细'!$E$5:$E$155,$D57)/SUMIFS('供应商月度明细'!$F$5:$F$155,'供应商月度明细'!$A$5:$A$155,$A57,'供应商月度明细'!$D$5:$D$155,$C57,'供应商月度明细'!$E$5:$E$155,$D57))</f>
        <v>0.9078947368421053</v>
      </c>
      <c r="Q57" s="35" t="n">
        <f>IF(SUMIFS('供应商月度明细'!$J$5:$J$155,'供应商月度明细'!$A$5:$A$155,$A57,'供应商月度明细'!$D$5:$D$155,$C57,'供应商月度明细'!$E$5:$E$155,$D57)=0,"",SUMIFS('供应商月度明细'!$K$5:$K$155,'供应商月度明细'!$A$5:$A$155,$A57,'供应商月度明细'!$D$5:$D$155,$C57,'供应商月度明细'!$E$5:$E$155,$D57)/SUMIFS('供应商月度明细'!$J$5:$J$155,'供应商月度明细'!$A$5:$A$155,$A57,'供应商月度明细'!$D$5:$D$155,$C57,'供应商月度明细'!$E$5:$E$155,$D57))</f>
        <v>0.9324324324324325</v>
      </c>
    </row>
    <row r="58">
      <c r="A58" s="37" t="str">
        <v>意大利区</v>
      </c>
      <c r="B58" s="37" t="str">
        <v>区域汇总</v>
      </c>
      <c r="C58" s="37" t="str">
        <v>全部工种</v>
      </c>
      <c r="D58" s="37" t="str">
        <v>2026-05</v>
      </c>
      <c r="E58" s="39" t="n">
        <f>SUMIFS('仓库单元底表'!$J$5:$J$1321,'仓库单元底表'!$A$5:$A$1321,$A58,'仓库单元底表'!$E$5:$E$1321,$D58)</f>
        <v>6</v>
      </c>
      <c r="F58" s="39" t="n">
        <f>SUMIFS('仓库单元底表'!$K$5:$K$1321,'仓库单元底表'!$A$5:$A$1321,$A58,'仓库单元底表'!$E$5:$E$1321,$D58)</f>
        <v>6</v>
      </c>
      <c r="G58" s="39" t="n">
        <f>SUMIFS('仓库单元底表'!$L$5:$L$1321,'仓库单元底表'!$A$5:$A$1321,$A58,'仓库单元底表'!$E$5:$E$1321,$D58)</f>
        <v>0</v>
      </c>
      <c r="H58" s="39" t="n">
        <f>SUMIFS('仓库单元底表'!$M$5:$M$1321,'仓库单元底表'!$A$5:$A$1321,$A58,'仓库单元底表'!$E$5:$E$1321,$D58)</f>
        <v>6</v>
      </c>
      <c r="I58" s="39" t="n">
        <f>SUMIFS('仓库单元底表'!$N$5:$N$1321,'仓库单元底表'!$A$5:$A$1321,$A58,'仓库单元底表'!$E$5:$E$1321,$D58)</f>
        <v>0</v>
      </c>
      <c r="J58" s="39" t="n">
        <f>SUMIFS('仓库单元底表'!$P$5:$P$1321,'仓库单元底表'!$A$5:$A$1321,$A58,'仓库单元底表'!$E$5:$E$1321,$D58)</f>
        <v>0</v>
      </c>
      <c r="K58" s="39" t="n">
        <f>SUMIFS('仓库单元底表'!$Q$5:$Q$1321,'仓库单元底表'!$A$5:$A$1321,$A58,'仓库单元底表'!$E$5:$E$1321,$D58)</f>
        <v>0</v>
      </c>
      <c r="L58" s="39" t="n">
        <f>SUMIFS('仓库单元底表'!$R$5:$R$1321,'仓库单元底表'!$A$5:$A$1321,$A58,'仓库单元底表'!$E$5:$E$1321,$D58)</f>
        <v>0</v>
      </c>
      <c r="M58" s="39" t="n">
        <f>SUMIFS('仓库单元底表'!$S$5:$S$1321,'仓库单元底表'!$A$5:$A$1321,$A58,'仓库单元底表'!$E$5:$E$1321,$D58)</f>
        <v>0</v>
      </c>
      <c r="N58" s="38" t="n">
        <f>IF(E58=0,"",H58/E58)</f>
        <v>1</v>
      </c>
      <c r="O58" s="38" t="n">
        <f>IF(E58=0,"",I58/E58)</f>
        <v>0</v>
      </c>
      <c r="P58" s="38" t="n">
        <f>IF(SUMIFS('供应商月度明细'!$F$5:$F$155,'供应商月度明细'!$A$5:$A$155,$A58,'供应商月度明细'!$E$5:$E$155,$D58)=0,"",SUMIFS('供应商月度明细'!$H$5:$H$155,'供应商月度明细'!$A$5:$A$155,$A58,'供应商月度明细'!$E$5:$E$155,$D58)/SUMIFS('供应商月度明细'!$F$5:$F$155,'供应商月度明细'!$A$5:$A$155,$A58,'供应商月度明细'!$E$5:$E$155,$D58))</f>
        <v>0</v>
      </c>
      <c r="Q58" s="38" t="n">
        <f>IF(SUMIFS('供应商月度明细'!$J$5:$J$155,'供应商月度明细'!$A$5:$A$155,$A58,'供应商月度明细'!$E$5:$E$155,$D58)=0,"",SUMIFS('供应商月度明细'!$K$5:$K$155,'供应商月度明细'!$A$5:$A$155,$A58,'供应商月度明细'!$E$5:$E$155,$D58)/SUMIFS('供应商月度明细'!$J$5:$J$155,'供应商月度明细'!$A$5:$A$155,$A58,'供应商月度明细'!$E$5:$E$155,$D58))</f>
        <v>0</v>
      </c>
    </row>
    <row r="59">
      <c r="A59" s="37" t="str">
        <v>意大利区</v>
      </c>
      <c r="B59" s="37" t="str">
        <v>区域汇总</v>
      </c>
      <c r="C59" s="37" t="str">
        <v>全部工种</v>
      </c>
      <c r="D59" s="37" t="str">
        <v>2026-06</v>
      </c>
      <c r="E59" s="39" t="n">
        <f>SUMIFS('仓库单元底表'!$J$5:$J$1321,'仓库单元底表'!$A$5:$A$1321,$A59,'仓库单元底表'!$E$5:$E$1321,$D59)</f>
        <v>222</v>
      </c>
      <c r="F59" s="39" t="n">
        <f>SUMIFS('仓库单元底表'!$K$5:$K$1321,'仓库单元底表'!$A$5:$A$1321,$A59,'仓库单元底表'!$E$5:$E$1321,$D59)</f>
        <v>228</v>
      </c>
      <c r="G59" s="39" t="n">
        <f>SUMIFS('仓库单元底表'!$L$5:$L$1321,'仓库单元底表'!$A$5:$A$1321,$A59,'仓库单元底表'!$E$5:$E$1321,$D59)</f>
        <v>207</v>
      </c>
      <c r="H59" s="39" t="n">
        <f>SUMIFS('仓库单元底表'!$M$5:$M$1321,'仓库单元底表'!$A$5:$A$1321,$A59,'仓库单元底表'!$E$5:$E$1321,$D59)</f>
        <v>222</v>
      </c>
      <c r="I59" s="39" t="n">
        <f>SUMIFS('仓库单元底表'!$N$5:$N$1321,'仓库单元底表'!$A$5:$A$1321,$A59,'仓库单元底表'!$E$5:$E$1321,$D59)</f>
        <v>207</v>
      </c>
      <c r="J59" s="39" t="n">
        <f>SUMIFS('仓库单元底表'!$P$5:$P$1321,'仓库单元底表'!$A$5:$A$1321,$A59,'仓库单元底表'!$E$5:$E$1321,$D59)</f>
        <v>4</v>
      </c>
      <c r="K59" s="39" t="n">
        <f>SUMIFS('仓库单元底表'!$Q$5:$Q$1321,'仓库单元底表'!$A$5:$A$1321,$A59,'仓库单元底表'!$E$5:$E$1321,$D59)</f>
        <v>2</v>
      </c>
      <c r="L59" s="39" t="n">
        <f>SUMIFS('仓库单元底表'!$R$5:$R$1321,'仓库单元底表'!$A$5:$A$1321,$A59,'仓库单元底表'!$E$5:$E$1321,$D59)</f>
        <v>0</v>
      </c>
      <c r="M59" s="39" t="n">
        <f>SUMIFS('仓库单元底表'!$S$5:$S$1321,'仓库单元底表'!$A$5:$A$1321,$A59,'仓库单元底表'!$E$5:$E$1321,$D59)</f>
        <v>0</v>
      </c>
      <c r="N59" s="38" t="n">
        <f>IF(E59=0,"",H59/E59)</f>
        <v>1</v>
      </c>
      <c r="O59" s="38" t="n">
        <f>IF(E59=0,"",I59/E59)</f>
        <v>0.9324324324324325</v>
      </c>
      <c r="P59" s="38" t="n">
        <f>IF(SUMIFS('供应商月度明细'!$F$5:$F$155,'供应商月度明细'!$A$5:$A$155,$A59,'供应商月度明细'!$E$5:$E$155,$D59)=0,"",SUMIFS('供应商月度明细'!$H$5:$H$155,'供应商月度明细'!$A$5:$A$155,$A59,'供应商月度明细'!$E$5:$E$155,$D59)/SUMIFS('供应商月度明细'!$F$5:$F$155,'供应商月度明细'!$A$5:$A$155,$A59,'供应商月度明细'!$E$5:$E$155,$D59))</f>
        <v>0.9078947368421053</v>
      </c>
      <c r="Q59" s="38" t="n">
        <f>IF(SUMIFS('供应商月度明细'!$J$5:$J$155,'供应商月度明细'!$A$5:$A$155,$A59,'供应商月度明细'!$E$5:$E$155,$D59)=0,"",SUMIFS('供应商月度明细'!$K$5:$K$155,'供应商月度明细'!$A$5:$A$155,$A59,'供应商月度明细'!$E$5:$E$155,$D59)/SUMIFS('供应商月度明细'!$J$5:$J$155,'供应商月度明细'!$A$5:$A$155,$A59,'供应商月度明细'!$E$5:$E$155,$D59))</f>
        <v>0.9324324324324325</v>
      </c>
    </row>
    <row r="60">
      <c r="A60" s="40" t="str">
        <v>欧洲总计</v>
      </c>
      <c r="B60" s="40" t="str">
        <v>欧洲汇总</v>
      </c>
      <c r="C60" s="40" t="str">
        <v>操作员</v>
      </c>
      <c r="D60" s="40" t="str">
        <v>2026-04</v>
      </c>
      <c r="E60" s="42" t="n">
        <f>SUMIFS('仓库单元底表'!$J$5:$J$1321,'仓库单元底表'!$F$5:$F$1321,$C60,'仓库单元底表'!$E$5:$E$1321,$D60)</f>
        <v>1137</v>
      </c>
      <c r="F60" s="42" t="n">
        <f>SUMIFS('仓库单元底表'!$K$5:$K$1321,'仓库单元底表'!$F$5:$F$1321,$C60,'仓库单元底表'!$E$5:$E$1321,$D60)</f>
        <v>1256</v>
      </c>
      <c r="G60" s="42" t="n">
        <f>SUMIFS('仓库单元底表'!$L$5:$L$1321,'仓库单元底表'!$F$5:$F$1321,$C60,'仓库单元底表'!$E$5:$E$1321,$D60)</f>
        <v>1090</v>
      </c>
      <c r="H60" s="42" t="n">
        <f>SUMIFS('仓库单元底表'!$M$5:$M$1321,'仓库单元底表'!$F$5:$F$1321,$C60,'仓库单元底表'!$E$5:$E$1321,$D60)</f>
        <v>1093</v>
      </c>
      <c r="I60" s="42" t="n">
        <f>SUMIFS('仓库单元底表'!$N$5:$N$1321,'仓库单元底表'!$F$5:$F$1321,$C60,'仓库单元底表'!$E$5:$E$1321,$D60)</f>
        <v>1012</v>
      </c>
      <c r="J60" s="42" t="n">
        <f>SUMIFS('仓库单元底表'!$P$5:$P$1321,'仓库单元底表'!$F$5:$F$1321,$C60,'仓库单元底表'!$E$5:$E$1321,$D60)</f>
        <v>118</v>
      </c>
      <c r="K60" s="42" t="n">
        <f>SUMIFS('仓库单元底表'!$Q$5:$Q$1321,'仓库单元底表'!$F$5:$F$1321,$C60,'仓库单元底表'!$E$5:$E$1321,$D60)</f>
        <v>45</v>
      </c>
      <c r="L60" s="42" t="n">
        <f>SUMIFS('仓库单元底表'!$R$5:$R$1321,'仓库单元底表'!$F$5:$F$1321,$C60,'仓库单元底表'!$E$5:$E$1321,$D60)</f>
        <v>44</v>
      </c>
      <c r="M60" s="42" t="n">
        <f>SUMIFS('仓库单元底表'!$S$5:$S$1321,'仓库单元底表'!$F$5:$F$1321,$C60,'仓库单元底表'!$E$5:$E$1321,$D60)</f>
        <v>78</v>
      </c>
      <c r="N60" s="41" t="n">
        <f>IF(E60=0,"",H60/E60)</f>
        <v>0.961301671064204</v>
      </c>
      <c r="O60" s="41" t="n">
        <f>IF(E60=0,"",I60/E60)</f>
        <v>0.890061565523307</v>
      </c>
      <c r="P60" s="41" t="n">
        <f>IF(SUMIFS('供应商月度明细'!$F$5:$F$155,'供应商月度明细'!$D$5:$D$155,$C60,'供应商月度明细'!$E$5:$E$155,$D60)=0,"",SUMIFS('供应商月度明细'!$H$5:$H$155,'供应商月度明细'!$D$5:$D$155,$C60,'供应商月度明细'!$E$5:$E$155,$D60)/SUMIFS('供应商月度明细'!$F$5:$F$155,'供应商月度明细'!$D$5:$D$155,$C60,'供应商月度明细'!$E$5:$E$155,$D60))</f>
        <v>0.8678343949044586</v>
      </c>
      <c r="Q60" s="41" t="n">
        <f>IF(SUMIFS('供应商月度明细'!$J$5:$J$155,'供应商月度明细'!$D$5:$D$155,$C60,'供应商月度明细'!$E$5:$E$155,$D60)=0,"",SUMIFS('供应商月度明细'!$K$5:$K$155,'供应商月度明细'!$D$5:$D$155,$C60,'供应商月度明细'!$E$5:$E$155,$D60)/SUMIFS('供应商月度明细'!$J$5:$J$155,'供应商月度明细'!$D$5:$D$155,$C60,'供应商月度明细'!$E$5:$E$155,$D60))</f>
        <v>0.917459812831004</v>
      </c>
    </row>
    <row r="61">
      <c r="A61" s="40" t="str">
        <v>欧洲总计</v>
      </c>
      <c r="B61" s="40" t="str">
        <v>欧洲汇总</v>
      </c>
      <c r="C61" s="40" t="str">
        <v>操作员</v>
      </c>
      <c r="D61" s="40" t="str">
        <v>2026-05</v>
      </c>
      <c r="E61" s="42" t="n">
        <f>SUMIFS('仓库单元底表'!$J$5:$J$1321,'仓库单元底表'!$F$5:$F$1321,$C61,'仓库单元底表'!$E$5:$E$1321,$D61)</f>
        <v>1923</v>
      </c>
      <c r="F61" s="42" t="n">
        <f>SUMIFS('仓库单元底表'!$K$5:$K$1321,'仓库单元底表'!$F$5:$F$1321,$C61,'仓库单元底表'!$E$5:$E$1321,$D61)</f>
        <v>1935</v>
      </c>
      <c r="G61" s="42" t="n">
        <f>SUMIFS('仓库单元底表'!$L$5:$L$1321,'仓库单元底表'!$F$5:$F$1321,$C61,'仓库单元底表'!$E$5:$E$1321,$D61)</f>
        <v>1390</v>
      </c>
      <c r="H61" s="42" t="n">
        <f>SUMIFS('仓库单元底表'!$M$5:$M$1321,'仓库单元底表'!$F$5:$F$1321,$C61,'仓库单元底表'!$E$5:$E$1321,$D61)</f>
        <v>1652</v>
      </c>
      <c r="I61" s="42" t="n">
        <f>SUMIFS('仓库单元底表'!$N$5:$N$1321,'仓库单元底表'!$F$5:$F$1321,$C61,'仓库单元底表'!$E$5:$E$1321,$D61)</f>
        <v>1340</v>
      </c>
      <c r="J61" s="42" t="n">
        <f>SUMIFS('仓库单元底表'!$P$5:$P$1321,'仓库单元底表'!$F$5:$F$1321,$C61,'仓库单元底表'!$E$5:$E$1321,$D61)</f>
        <v>204</v>
      </c>
      <c r="K61" s="42" t="n">
        <f>SUMIFS('仓库单元底表'!$Q$5:$Q$1321,'仓库单元底表'!$F$5:$F$1321,$C61,'仓库单元底表'!$E$5:$E$1321,$D61)</f>
        <v>79</v>
      </c>
      <c r="L61" s="42" t="n">
        <f>SUMIFS('仓库单元底表'!$R$5:$R$1321,'仓库单元底表'!$F$5:$F$1321,$C61,'仓库单元底表'!$E$5:$E$1321,$D61)</f>
        <v>271</v>
      </c>
      <c r="M61" s="42" t="n">
        <f>SUMIFS('仓库单元底表'!$S$5:$S$1321,'仓库单元底表'!$F$5:$F$1321,$C61,'仓库单元底表'!$E$5:$E$1321,$D61)</f>
        <v>50</v>
      </c>
      <c r="N61" s="41" t="n">
        <f>IF(E61=0,"",H61/E61)</f>
        <v>0.859074362974519</v>
      </c>
      <c r="O61" s="41" t="n">
        <f>IF(E61=0,"",I61/E61)</f>
        <v>0.6968278731149246</v>
      </c>
      <c r="P61" s="41" t="n">
        <f>IF(SUMIFS('供应商月度明细'!$F$5:$F$155,'供应商月度明细'!$D$5:$D$155,$C61,'供应商月度明细'!$E$5:$E$155,$D61)=0,"",SUMIFS('供应商月度明细'!$H$5:$H$155,'供应商月度明细'!$D$5:$D$155,$C61,'供应商月度明细'!$E$5:$E$155,$D61)/SUMIFS('供应商月度明细'!$F$5:$F$155,'供应商月度明细'!$D$5:$D$155,$C61,'供应商月度明细'!$E$5:$E$155,$D61))</f>
        <v>0.7183462532299741</v>
      </c>
      <c r="Q61" s="41" t="n">
        <f>IF(SUMIFS('供应商月度明细'!$J$5:$J$155,'供应商月度明细'!$D$5:$D$155,$C61,'供应商月度明细'!$E$5:$E$155,$D61)=0,"",SUMIFS('供应商月度明细'!$K$5:$K$155,'供应商月度明细'!$D$5:$D$155,$C61,'供应商月度明细'!$E$5:$E$155,$D61)/SUMIFS('供应商月度明细'!$J$5:$J$155,'供应商月度明细'!$D$5:$D$155,$C61,'供应商月度明细'!$E$5:$E$155,$D61))</f>
        <v>0.7832104940241637</v>
      </c>
    </row>
    <row r="62">
      <c r="A62" s="40" t="str">
        <v>欧洲总计</v>
      </c>
      <c r="B62" s="40" t="str">
        <v>欧洲汇总</v>
      </c>
      <c r="C62" s="40" t="str">
        <v>操作员</v>
      </c>
      <c r="D62" s="40" t="str">
        <v>2026-06</v>
      </c>
      <c r="E62" s="42" t="n">
        <f>SUMIFS('仓库单元底表'!$J$5:$J$1321,'仓库单元底表'!$F$5:$F$1321,$C62,'仓库单元底表'!$E$5:$E$1321,$D62)</f>
        <v>3466</v>
      </c>
      <c r="F62" s="42" t="n">
        <f>SUMIFS('仓库单元底表'!$K$5:$K$1321,'仓库单元底表'!$F$5:$F$1321,$C62,'仓库单元底表'!$E$5:$E$1321,$D62)</f>
        <v>2755</v>
      </c>
      <c r="G62" s="42" t="n">
        <f>SUMIFS('仓库单元底表'!$L$5:$L$1321,'仓库单元底表'!$F$5:$F$1321,$C62,'仓库单元底表'!$E$5:$E$1321,$D62)</f>
        <v>2048</v>
      </c>
      <c r="H62" s="42" t="n">
        <f>SUMIFS('仓库单元底表'!$M$5:$M$1321,'仓库单元底表'!$F$5:$F$1321,$C62,'仓库单元底表'!$E$5:$E$1321,$D62)</f>
        <v>2451</v>
      </c>
      <c r="I62" s="42" t="n">
        <f>SUMIFS('仓库单元底表'!$N$5:$N$1321,'仓库单元底表'!$F$5:$F$1321,$C62,'仓库单元底表'!$E$5:$E$1321,$D62)</f>
        <v>1892</v>
      </c>
      <c r="J62" s="42" t="n">
        <f>SUMIFS('仓库单元底表'!$P$5:$P$1321,'仓库单元底表'!$F$5:$F$1321,$C62,'仓库单元底表'!$E$5:$E$1321,$D62)</f>
        <v>292</v>
      </c>
      <c r="K62" s="42" t="n">
        <f>SUMIFS('仓库单元底表'!$Q$5:$Q$1321,'仓库单元底表'!$F$5:$F$1321,$C62,'仓库单元底表'!$E$5:$E$1321,$D62)</f>
        <v>12</v>
      </c>
      <c r="L62" s="42" t="n">
        <f>SUMIFS('仓库单元底表'!$R$5:$R$1321,'仓库单元底表'!$F$5:$F$1321,$C62,'仓库单元底表'!$E$5:$E$1321,$D62)</f>
        <v>1015</v>
      </c>
      <c r="M62" s="42" t="n">
        <f>SUMIFS('仓库单元底表'!$S$5:$S$1321,'仓库单元底表'!$F$5:$F$1321,$C62,'仓库单元底表'!$E$5:$E$1321,$D62)</f>
        <v>156</v>
      </c>
      <c r="N62" s="41" t="n">
        <f>IF(E62=0,"",H62/E62)</f>
        <v>0.7071552221581073</v>
      </c>
      <c r="O62" s="41" t="n">
        <f>IF(E62=0,"",I62/E62)</f>
        <v>0.5458742065781881</v>
      </c>
      <c r="P62" s="41" t="n">
        <f>IF(SUMIFS('供应商月度明细'!$F$5:$F$155,'供应商月度明细'!$D$5:$D$155,$C62,'供应商月度明细'!$E$5:$E$155,$D62)=0,"",SUMIFS('供应商月度明细'!$H$5:$H$155,'供应商月度明细'!$D$5:$D$155,$C62,'供应商月度明细'!$E$5:$E$155,$D62)/SUMIFS('供应商月度明细'!$F$5:$F$155,'供应商月度明细'!$D$5:$D$155,$C62,'供应商月度明细'!$E$5:$E$155,$D62))</f>
        <v>0.7433756805807622</v>
      </c>
      <c r="Q62" s="41" t="n">
        <f>IF(SUMIFS('供应商月度明细'!$J$5:$J$155,'供应商月度明细'!$D$5:$D$155,$C62,'供应商月度明细'!$E$5:$E$155,$D62)=0,"",SUMIFS('供应商月度明细'!$K$5:$K$155,'供应商月度明细'!$D$5:$D$155,$C62,'供应商月度明细'!$E$5:$E$155,$D62)/SUMIFS('供应商月度明细'!$J$5:$J$155,'供应商月度明细'!$D$5:$D$155,$C62,'供应商月度明细'!$E$5:$E$155,$D62))</f>
        <v>0.7634150722817404</v>
      </c>
    </row>
    <row r="63">
      <c r="A63" s="40" t="str">
        <v>欧洲总计</v>
      </c>
      <c r="B63" s="40" t="str">
        <v>欧洲汇总</v>
      </c>
      <c r="C63" s="40" t="str">
        <v>叉车司机</v>
      </c>
      <c r="D63" s="40" t="str">
        <v>2026-04</v>
      </c>
      <c r="E63" s="42" t="n">
        <f>SUMIFS('仓库单元底表'!$J$5:$J$1321,'仓库单元底表'!$F$5:$F$1321,$C63,'仓库单元底表'!$E$5:$E$1321,$D63)</f>
        <v>39</v>
      </c>
      <c r="F63" s="42" t="n">
        <f>SUMIFS('仓库单元底表'!$K$5:$K$1321,'仓库单元底表'!$F$5:$F$1321,$C63,'仓库单元底表'!$E$5:$E$1321,$D63)</f>
        <v>32</v>
      </c>
      <c r="G63" s="42" t="n">
        <f>SUMIFS('仓库单元底表'!$L$5:$L$1321,'仓库单元底表'!$F$5:$F$1321,$C63,'仓库单元底表'!$E$5:$E$1321,$D63)</f>
        <v>17</v>
      </c>
      <c r="H63" s="42" t="n">
        <f>SUMIFS('仓库单元底表'!$M$5:$M$1321,'仓库单元底表'!$F$5:$F$1321,$C63,'仓库单元底表'!$E$5:$E$1321,$D63)</f>
        <v>32</v>
      </c>
      <c r="I63" s="42" t="n">
        <f>SUMIFS('仓库单元底表'!$N$5:$N$1321,'仓库单元底表'!$F$5:$F$1321,$C63,'仓库单元底表'!$E$5:$E$1321,$D63)</f>
        <v>17</v>
      </c>
      <c r="J63" s="42" t="n">
        <f>SUMIFS('仓库单元底表'!$P$5:$P$1321,'仓库单元底表'!$F$5:$F$1321,$C63,'仓库单元底表'!$E$5:$E$1321,$D63)</f>
        <v>0</v>
      </c>
      <c r="K63" s="42" t="n">
        <f>SUMIFS('仓库单元底表'!$Q$5:$Q$1321,'仓库单元底表'!$F$5:$F$1321,$C63,'仓库单元底表'!$E$5:$E$1321,$D63)</f>
        <v>0</v>
      </c>
      <c r="L63" s="42" t="n">
        <f>SUMIFS('仓库单元底表'!$R$5:$R$1321,'仓库单元底表'!$F$5:$F$1321,$C63,'仓库单元底表'!$E$5:$E$1321,$D63)</f>
        <v>7</v>
      </c>
      <c r="M63" s="42" t="n">
        <f>SUMIFS('仓库单元底表'!$S$5:$S$1321,'仓库单元底表'!$F$5:$F$1321,$C63,'仓库单元底表'!$E$5:$E$1321,$D63)</f>
        <v>0</v>
      </c>
      <c r="N63" s="41" t="n">
        <f>IF(E63=0,"",H63/E63)</f>
        <v>0.8205128205128205</v>
      </c>
      <c r="O63" s="41" t="n">
        <f>IF(E63=0,"",I63/E63)</f>
        <v>0.4358974358974359</v>
      </c>
      <c r="P63" s="41" t="n">
        <f>IF(SUMIFS('供应商月度明细'!$F$5:$F$155,'供应商月度明细'!$D$5:$D$155,$C63,'供应商月度明细'!$E$5:$E$155,$D63)=0,"",SUMIFS('供应商月度明细'!$H$5:$H$155,'供应商月度明细'!$D$5:$D$155,$C63,'供应商月度明细'!$E$5:$E$155,$D63)/SUMIFS('供应商月度明细'!$F$5:$F$155,'供应商月度明细'!$D$5:$D$155,$C63,'供应商月度明细'!$E$5:$E$155,$D63))</f>
        <v>0.53125</v>
      </c>
      <c r="Q63" s="41" t="n">
        <f>IF(SUMIFS('供应商月度明细'!$J$5:$J$155,'供应商月度明细'!$D$5:$D$155,$C63,'供应商月度明细'!$E$5:$E$155,$D63)=0,"",SUMIFS('供应商月度明细'!$K$5:$K$155,'供应商月度明细'!$D$5:$D$155,$C63,'供应商月度明细'!$E$5:$E$155,$D63)/SUMIFS('供应商月度明细'!$J$5:$J$155,'供应商月度明细'!$D$5:$D$155,$C63,'供应商月度明细'!$E$5:$E$155,$D63))</f>
        <v>0.53125</v>
      </c>
    </row>
    <row r="64">
      <c r="A64" s="40" t="str">
        <v>欧洲总计</v>
      </c>
      <c r="B64" s="40" t="str">
        <v>欧洲汇总</v>
      </c>
      <c r="C64" s="40" t="str">
        <v>叉车司机</v>
      </c>
      <c r="D64" s="40" t="str">
        <v>2026-05</v>
      </c>
      <c r="E64" s="42" t="n">
        <f>SUMIFS('仓库单元底表'!$J$5:$J$1321,'仓库单元底表'!$F$5:$F$1321,$C64,'仓库单元底表'!$E$5:$E$1321,$D64)</f>
        <v>39</v>
      </c>
      <c r="F64" s="42" t="n">
        <f>SUMIFS('仓库单元底表'!$K$5:$K$1321,'仓库单元底表'!$F$5:$F$1321,$C64,'仓库单元底表'!$E$5:$E$1321,$D64)</f>
        <v>38</v>
      </c>
      <c r="G64" s="42" t="n">
        <f>SUMIFS('仓库单元底表'!$L$5:$L$1321,'仓库单元底表'!$F$5:$F$1321,$C64,'仓库单元底表'!$E$5:$E$1321,$D64)</f>
        <v>15</v>
      </c>
      <c r="H64" s="42" t="n">
        <f>SUMIFS('仓库单元底表'!$M$5:$M$1321,'仓库单元底表'!$F$5:$F$1321,$C64,'仓库单元底表'!$E$5:$E$1321,$D64)</f>
        <v>38</v>
      </c>
      <c r="I64" s="42" t="n">
        <f>SUMIFS('仓库单元底表'!$N$5:$N$1321,'仓库单元底表'!$F$5:$F$1321,$C64,'仓库单元底表'!$E$5:$E$1321,$D64)</f>
        <v>15</v>
      </c>
      <c r="J64" s="42" t="n">
        <f>SUMIFS('仓库单元底表'!$P$5:$P$1321,'仓库单元底表'!$F$5:$F$1321,$C64,'仓库单元底表'!$E$5:$E$1321,$D64)</f>
        <v>0</v>
      </c>
      <c r="K64" s="42" t="n">
        <f>SUMIFS('仓库单元底表'!$Q$5:$Q$1321,'仓库单元底表'!$F$5:$F$1321,$C64,'仓库单元底表'!$E$5:$E$1321,$D64)</f>
        <v>0</v>
      </c>
      <c r="L64" s="42" t="n">
        <f>SUMIFS('仓库单元底表'!$R$5:$R$1321,'仓库单元底表'!$F$5:$F$1321,$C64,'仓库单元底表'!$E$5:$E$1321,$D64)</f>
        <v>1</v>
      </c>
      <c r="M64" s="42" t="n">
        <f>SUMIFS('仓库单元底表'!$S$5:$S$1321,'仓库单元底表'!$F$5:$F$1321,$C64,'仓库单元底表'!$E$5:$E$1321,$D64)</f>
        <v>0</v>
      </c>
      <c r="N64" s="41" t="n">
        <f>IF(E64=0,"",H64/E64)</f>
        <v>0.9743589743589743</v>
      </c>
      <c r="O64" s="41" t="n">
        <f>IF(E64=0,"",I64/E64)</f>
        <v>0.38461538461538464</v>
      </c>
      <c r="P64" s="41" t="n">
        <f>IF(SUMIFS('供应商月度明细'!$F$5:$F$155,'供应商月度明细'!$D$5:$D$155,$C64,'供应商月度明细'!$E$5:$E$155,$D64)=0,"",SUMIFS('供应商月度明细'!$H$5:$H$155,'供应商月度明细'!$D$5:$D$155,$C64,'供应商月度明细'!$E$5:$E$155,$D64)/SUMIFS('供应商月度明细'!$F$5:$F$155,'供应商月度明细'!$D$5:$D$155,$C64,'供应商月度明细'!$E$5:$E$155,$D64))</f>
        <v>0.39473684210526316</v>
      </c>
      <c r="Q64" s="41" t="n">
        <f>IF(SUMIFS('供应商月度明细'!$J$5:$J$155,'供应商月度明细'!$D$5:$D$155,$C64,'供应商月度明细'!$E$5:$E$155,$D64)=0,"",SUMIFS('供应商月度明细'!$K$5:$K$155,'供应商月度明细'!$D$5:$D$155,$C64,'供应商月度明细'!$E$5:$E$155,$D64)/SUMIFS('供应商月度明细'!$J$5:$J$155,'供应商月度明细'!$D$5:$D$155,$C64,'供应商月度明细'!$E$5:$E$155,$D64))</f>
        <v>0.39473684210526316</v>
      </c>
    </row>
    <row r="65">
      <c r="A65" s="40" t="str">
        <v>欧洲总计</v>
      </c>
      <c r="B65" s="40" t="str">
        <v>欧洲汇总</v>
      </c>
      <c r="C65" s="40" t="str">
        <v>叉车司机</v>
      </c>
      <c r="D65" s="40" t="str">
        <v>2026-06</v>
      </c>
      <c r="E65" s="42" t="n">
        <f>SUMIFS('仓库单元底表'!$J$5:$J$1321,'仓库单元底表'!$F$5:$F$1321,$C65,'仓库单元底表'!$E$5:$E$1321,$D65)</f>
        <v>107</v>
      </c>
      <c r="F65" s="42" t="n">
        <f>SUMIFS('仓库单元底表'!$K$5:$K$1321,'仓库单元底表'!$F$5:$F$1321,$C65,'仓库单元底表'!$E$5:$E$1321,$D65)</f>
        <v>101</v>
      </c>
      <c r="G65" s="42" t="n">
        <f>SUMIFS('仓库单元底表'!$L$5:$L$1321,'仓库单元底表'!$F$5:$F$1321,$C65,'仓库单元底表'!$E$5:$E$1321,$D65)</f>
        <v>60</v>
      </c>
      <c r="H65" s="42" t="n">
        <f>SUMIFS('仓库单元底表'!$M$5:$M$1321,'仓库单元底表'!$F$5:$F$1321,$C65,'仓库单元底表'!$E$5:$E$1321,$D65)</f>
        <v>101</v>
      </c>
      <c r="I65" s="42" t="n">
        <f>SUMIFS('仓库单元底表'!$N$5:$N$1321,'仓库单元底表'!$F$5:$F$1321,$C65,'仓库单元底表'!$E$5:$E$1321,$D65)</f>
        <v>60</v>
      </c>
      <c r="J65" s="42" t="n">
        <f>SUMIFS('仓库单元底表'!$P$5:$P$1321,'仓库单元底表'!$F$5:$F$1321,$C65,'仓库单元底表'!$E$5:$E$1321,$D65)</f>
        <v>0</v>
      </c>
      <c r="K65" s="42" t="n">
        <f>SUMIFS('仓库单元底表'!$Q$5:$Q$1321,'仓库单元底表'!$F$5:$F$1321,$C65,'仓库单元底表'!$E$5:$E$1321,$D65)</f>
        <v>0</v>
      </c>
      <c r="L65" s="42" t="n">
        <f>SUMIFS('仓库单元底表'!$R$5:$R$1321,'仓库单元底表'!$F$5:$F$1321,$C65,'仓库单元底表'!$E$5:$E$1321,$D65)</f>
        <v>6</v>
      </c>
      <c r="M65" s="42" t="n">
        <f>SUMIFS('仓库单元底表'!$S$5:$S$1321,'仓库单元底表'!$F$5:$F$1321,$C65,'仓库单元底表'!$E$5:$E$1321,$D65)</f>
        <v>0</v>
      </c>
      <c r="N65" s="41" t="n">
        <f>IF(E65=0,"",H65/E65)</f>
        <v>0.9439252336448598</v>
      </c>
      <c r="O65" s="41" t="n">
        <f>IF(E65=0,"",I65/E65)</f>
        <v>0.5607476635514018</v>
      </c>
      <c r="P65" s="41" t="n">
        <f>IF(SUMIFS('供应商月度明细'!$F$5:$F$155,'供应商月度明细'!$D$5:$D$155,$C65,'供应商月度明细'!$E$5:$E$155,$D65)=0,"",SUMIFS('供应商月度明细'!$H$5:$H$155,'供应商月度明细'!$D$5:$D$155,$C65,'供应商月度明细'!$E$5:$E$155,$D65)/SUMIFS('供应商月度明细'!$F$5:$F$155,'供应商月度明细'!$D$5:$D$155,$C65,'供应商月度明细'!$E$5:$E$155,$D65))</f>
        <v>0.594059405940594</v>
      </c>
      <c r="Q65" s="41" t="n">
        <f>IF(SUMIFS('供应商月度明细'!$J$5:$J$155,'供应商月度明细'!$D$5:$D$155,$C65,'供应商月度明细'!$E$5:$E$155,$D65)=0,"",SUMIFS('供应商月度明细'!$K$5:$K$155,'供应商月度明细'!$D$5:$D$155,$C65,'供应商月度明细'!$E$5:$E$155,$D65)/SUMIFS('供应商月度明细'!$J$5:$J$155,'供应商月度明细'!$D$5:$D$155,$C65,'供应商月度明细'!$E$5:$E$155,$D65))</f>
        <v>0.594059405940594</v>
      </c>
    </row>
    <row r="66">
      <c r="A66" s="40" t="str">
        <v>欧洲总计</v>
      </c>
      <c r="B66" s="40" t="str">
        <v>欧洲汇总</v>
      </c>
      <c r="C66" s="40" t="str">
        <v>售后处理员</v>
      </c>
      <c r="D66" s="40" t="str">
        <v>2026-04</v>
      </c>
      <c r="E66" s="42" t="n">
        <f>SUMIFS('仓库单元底表'!$J$5:$J$1321,'仓库单元底表'!$F$5:$F$1321,$C66,'仓库单元底表'!$E$5:$E$1321,$D66)</f>
        <v>6</v>
      </c>
      <c r="F66" s="42" t="n">
        <f>SUMIFS('仓库单元底表'!$K$5:$K$1321,'仓库单元底表'!$F$5:$F$1321,$C66,'仓库单元底表'!$E$5:$E$1321,$D66)</f>
        <v>8</v>
      </c>
      <c r="G66" s="42" t="n">
        <f>SUMIFS('仓库单元底表'!$L$5:$L$1321,'仓库单元底表'!$F$5:$F$1321,$C66,'仓库单元底表'!$E$5:$E$1321,$D66)</f>
        <v>3</v>
      </c>
      <c r="H66" s="42" t="n">
        <f>SUMIFS('仓库单元底表'!$M$5:$M$1321,'仓库单元底表'!$F$5:$F$1321,$C66,'仓库单元底表'!$E$5:$E$1321,$D66)</f>
        <v>6</v>
      </c>
      <c r="I66" s="42" t="n">
        <f>SUMIFS('仓库单元底表'!$N$5:$N$1321,'仓库单元底表'!$F$5:$F$1321,$C66,'仓库单元底表'!$E$5:$E$1321,$D66)</f>
        <v>3</v>
      </c>
      <c r="J66" s="42" t="n">
        <f>SUMIFS('仓库单元底表'!$P$5:$P$1321,'仓库单元底表'!$F$5:$F$1321,$C66,'仓库单元底表'!$E$5:$E$1321,$D66)</f>
        <v>2</v>
      </c>
      <c r="K66" s="42" t="n">
        <f>SUMIFS('仓库单元底表'!$Q$5:$Q$1321,'仓库单元底表'!$F$5:$F$1321,$C66,'仓库单元底表'!$E$5:$E$1321,$D66)</f>
        <v>0</v>
      </c>
      <c r="L66" s="42" t="n">
        <f>SUMIFS('仓库单元底表'!$R$5:$R$1321,'仓库单元底表'!$F$5:$F$1321,$C66,'仓库单元底表'!$E$5:$E$1321,$D66)</f>
        <v>0</v>
      </c>
      <c r="M66" s="42" t="n">
        <f>SUMIFS('仓库单元底表'!$S$5:$S$1321,'仓库单元底表'!$F$5:$F$1321,$C66,'仓库单元底表'!$E$5:$E$1321,$D66)</f>
        <v>0</v>
      </c>
      <c r="N66" s="41" t="n">
        <f>IF(E66=0,"",H66/E66)</f>
        <v>1</v>
      </c>
      <c r="O66" s="41" t="n">
        <f>IF(E66=0,"",I66/E66)</f>
        <v>0.5</v>
      </c>
      <c r="P66" s="41" t="n">
        <f>IF(SUMIFS('供应商月度明细'!$F$5:$F$155,'供应商月度明细'!$D$5:$D$155,$C66,'供应商月度明细'!$E$5:$E$155,$D66)=0,"",SUMIFS('供应商月度明细'!$H$5:$H$155,'供应商月度明细'!$D$5:$D$155,$C66,'供应商月度明细'!$E$5:$E$155,$D66)/SUMIFS('供应商月度明细'!$F$5:$F$155,'供应商月度明细'!$D$5:$D$155,$C66,'供应商月度明细'!$E$5:$E$155,$D66))</f>
        <v>0.375</v>
      </c>
      <c r="Q66" s="41" t="n">
        <f>IF(SUMIFS('供应商月度明细'!$J$5:$J$155,'供应商月度明细'!$D$5:$D$155,$C66,'供应商月度明细'!$E$5:$E$155,$D66)=0,"",SUMIFS('供应商月度明细'!$K$5:$K$155,'供应商月度明细'!$D$5:$D$155,$C66,'供应商月度明细'!$E$5:$E$155,$D66)/SUMIFS('供应商月度明细'!$J$5:$J$155,'供应商月度明细'!$D$5:$D$155,$C66,'供应商月度明细'!$E$5:$E$155,$D66))</f>
        <v>0.3333333333333333</v>
      </c>
    </row>
    <row r="67">
      <c r="A67" s="40" t="str">
        <v>欧洲总计</v>
      </c>
      <c r="B67" s="40" t="str">
        <v>欧洲汇总</v>
      </c>
      <c r="C67" s="40" t="str">
        <v>售后处理员</v>
      </c>
      <c r="D67" s="40" t="str">
        <v>2026-05</v>
      </c>
      <c r="E67" s="42" t="n">
        <f>SUMIFS('仓库单元底表'!$J$5:$J$1321,'仓库单元底表'!$F$5:$F$1321,$C67,'仓库单元底表'!$E$5:$E$1321,$D67)</f>
        <v>22</v>
      </c>
      <c r="F67" s="42" t="n">
        <f>SUMIFS('仓库单元底表'!$K$5:$K$1321,'仓库单元底表'!$F$5:$F$1321,$C67,'仓库单元底表'!$E$5:$E$1321,$D67)</f>
        <v>22</v>
      </c>
      <c r="G67" s="42" t="n">
        <f>SUMIFS('仓库单元底表'!$L$5:$L$1321,'仓库单元底表'!$F$5:$F$1321,$C67,'仓库单元底表'!$E$5:$E$1321,$D67)</f>
        <v>12</v>
      </c>
      <c r="H67" s="42" t="n">
        <f>SUMIFS('仓库单元底表'!$M$5:$M$1321,'仓库单元底表'!$F$5:$F$1321,$C67,'仓库单元底表'!$E$5:$E$1321,$D67)</f>
        <v>18</v>
      </c>
      <c r="I67" s="42" t="n">
        <f>SUMIFS('仓库单元底表'!$N$5:$N$1321,'仓库单元底表'!$F$5:$F$1321,$C67,'仓库单元底表'!$E$5:$E$1321,$D67)</f>
        <v>10</v>
      </c>
      <c r="J67" s="42" t="n">
        <f>SUMIFS('仓库单元底表'!$P$5:$P$1321,'仓库单元底表'!$F$5:$F$1321,$C67,'仓库单元底表'!$E$5:$E$1321,$D67)</f>
        <v>4</v>
      </c>
      <c r="K67" s="42" t="n">
        <f>SUMIFS('仓库单元底表'!$Q$5:$Q$1321,'仓库单元底表'!$F$5:$F$1321,$C67,'仓库单元底表'!$E$5:$E$1321,$D67)</f>
        <v>0</v>
      </c>
      <c r="L67" s="42" t="n">
        <f>SUMIFS('仓库单元底表'!$R$5:$R$1321,'仓库单元底表'!$F$5:$F$1321,$C67,'仓库单元底表'!$E$5:$E$1321,$D67)</f>
        <v>4</v>
      </c>
      <c r="M67" s="42" t="n">
        <f>SUMIFS('仓库单元底表'!$S$5:$S$1321,'仓库单元底表'!$F$5:$F$1321,$C67,'仓库单元底表'!$E$5:$E$1321,$D67)</f>
        <v>2</v>
      </c>
      <c r="N67" s="41" t="n">
        <f>IF(E67=0,"",H67/E67)</f>
        <v>0.8181818181818182</v>
      </c>
      <c r="O67" s="41" t="n">
        <f>IF(E67=0,"",I67/E67)</f>
        <v>0.45454545454545453</v>
      </c>
      <c r="P67" s="41" t="n">
        <f>IF(SUMIFS('供应商月度明细'!$F$5:$F$155,'供应商月度明细'!$D$5:$D$155,$C67,'供应商月度明细'!$E$5:$E$155,$D67)=0,"",SUMIFS('供应商月度明细'!$H$5:$H$155,'供应商月度明细'!$D$5:$D$155,$C67,'供应商月度明细'!$E$5:$E$155,$D67)/SUMIFS('供应商月度明细'!$F$5:$F$155,'供应商月度明细'!$D$5:$D$155,$C67,'供应商月度明细'!$E$5:$E$155,$D67))</f>
        <v>0.5454545454545454</v>
      </c>
      <c r="Q67" s="41" t="n">
        <f>IF(SUMIFS('供应商月度明细'!$J$5:$J$155,'供应商月度明细'!$D$5:$D$155,$C67,'供应商月度明细'!$E$5:$E$155,$D67)=0,"",SUMIFS('供应商月度明细'!$K$5:$K$155,'供应商月度明细'!$D$5:$D$155,$C67,'供应商月度明细'!$E$5:$E$155,$D67)/SUMIFS('供应商月度明细'!$J$5:$J$155,'供应商月度明细'!$D$5:$D$155,$C67,'供应商月度明细'!$E$5:$E$155,$D67))</f>
        <v>0.5555555555555556</v>
      </c>
    </row>
    <row r="68">
      <c r="A68" s="40" t="str">
        <v>欧洲总计</v>
      </c>
      <c r="B68" s="40" t="str">
        <v>欧洲汇总</v>
      </c>
      <c r="C68" s="40" t="str">
        <v>售后处理员</v>
      </c>
      <c r="D68" s="40" t="str">
        <v>2026-06</v>
      </c>
      <c r="E68" s="42" t="n">
        <f>SUMIFS('仓库单元底表'!$J$5:$J$1321,'仓库单元底表'!$F$5:$F$1321,$C68,'仓库单元底表'!$E$5:$E$1321,$D68)</f>
        <v>4</v>
      </c>
      <c r="F68" s="42" t="n">
        <f>SUMIFS('仓库单元底表'!$K$5:$K$1321,'仓库单元底表'!$F$5:$F$1321,$C68,'仓库单元底表'!$E$5:$E$1321,$D68)</f>
        <v>3</v>
      </c>
      <c r="G68" s="42" t="n">
        <f>SUMIFS('仓库单元底表'!$L$5:$L$1321,'仓库单元底表'!$F$5:$F$1321,$C68,'仓库单元底表'!$E$5:$E$1321,$D68)</f>
        <v>2</v>
      </c>
      <c r="H68" s="42" t="n">
        <f>SUMIFS('仓库单元底表'!$M$5:$M$1321,'仓库单元底表'!$F$5:$F$1321,$C68,'仓库单元底表'!$E$5:$E$1321,$D68)</f>
        <v>3</v>
      </c>
      <c r="I68" s="42" t="n">
        <f>SUMIFS('仓库单元底表'!$N$5:$N$1321,'仓库单元底表'!$F$5:$F$1321,$C68,'仓库单元底表'!$E$5:$E$1321,$D68)</f>
        <v>2</v>
      </c>
      <c r="J68" s="42" t="n">
        <f>SUMIFS('仓库单元底表'!$P$5:$P$1321,'仓库单元底表'!$F$5:$F$1321,$C68,'仓库单元底表'!$E$5:$E$1321,$D68)</f>
        <v>0</v>
      </c>
      <c r="K68" s="42" t="n">
        <f>SUMIFS('仓库单元底表'!$Q$5:$Q$1321,'仓库单元底表'!$F$5:$F$1321,$C68,'仓库单元底表'!$E$5:$E$1321,$D68)</f>
        <v>0</v>
      </c>
      <c r="L68" s="42" t="n">
        <f>SUMIFS('仓库单元底表'!$R$5:$R$1321,'仓库单元底表'!$F$5:$F$1321,$C68,'仓库单元底表'!$E$5:$E$1321,$D68)</f>
        <v>1</v>
      </c>
      <c r="M68" s="42" t="n">
        <f>SUMIFS('仓库单元底表'!$S$5:$S$1321,'仓库单元底表'!$F$5:$F$1321,$C68,'仓库单元底表'!$E$5:$E$1321,$D68)</f>
        <v>0</v>
      </c>
      <c r="N68" s="41" t="n">
        <f>IF(E68=0,"",H68/E68)</f>
        <v>0.75</v>
      </c>
      <c r="O68" s="41" t="n">
        <f>IF(E68=0,"",I68/E68)</f>
        <v>0.5</v>
      </c>
      <c r="P68" s="41" t="n">
        <f>IF(SUMIFS('供应商月度明细'!$F$5:$F$155,'供应商月度明细'!$D$5:$D$155,$C68,'供应商月度明细'!$E$5:$E$155,$D68)=0,"",SUMIFS('供应商月度明细'!$H$5:$H$155,'供应商月度明细'!$D$5:$D$155,$C68,'供应商月度明细'!$E$5:$E$155,$D68)/SUMIFS('供应商月度明细'!$F$5:$F$155,'供应商月度明细'!$D$5:$D$155,$C68,'供应商月度明细'!$E$5:$E$155,$D68))</f>
        <v>0.6666666666666666</v>
      </c>
      <c r="Q68" s="41" t="n">
        <f>IF(SUMIFS('供应商月度明细'!$J$5:$J$155,'供应商月度明细'!$D$5:$D$155,$C68,'供应商月度明细'!$E$5:$E$155,$D68)=0,"",SUMIFS('供应商月度明细'!$K$5:$K$155,'供应商月度明细'!$D$5:$D$155,$C68,'供应商月度明细'!$E$5:$E$155,$D68)/SUMIFS('供应商月度明细'!$J$5:$J$155,'供应商月度明细'!$D$5:$D$155,$C68,'供应商月度明细'!$E$5:$E$155,$D68))</f>
        <v>0.6666666666666666</v>
      </c>
    </row>
    <row r="69">
      <c r="A69" s="40" t="str">
        <v>欧洲总计</v>
      </c>
      <c r="B69" s="40" t="str">
        <v>欧洲汇总</v>
      </c>
      <c r="C69" s="40" t="str">
        <v>保洁员</v>
      </c>
      <c r="D69" s="40" t="str">
        <v>2026-04</v>
      </c>
      <c r="E69" s="42" t="n">
        <f>SUMIFS('仓库单元底表'!$J$5:$J$1321,'仓库单元底表'!$F$5:$F$1321,$C69,'仓库单元底表'!$E$5:$E$1321,$D69)</f>
        <v>3</v>
      </c>
      <c r="F69" s="42" t="n">
        <f>SUMIFS('仓库单元底表'!$K$5:$K$1321,'仓库单元底表'!$F$5:$F$1321,$C69,'仓库单元底表'!$E$5:$E$1321,$D69)</f>
        <v>3</v>
      </c>
      <c r="G69" s="42" t="n">
        <f>SUMIFS('仓库单元底表'!$L$5:$L$1321,'仓库单元底表'!$F$5:$F$1321,$C69,'仓库单元底表'!$E$5:$E$1321,$D69)</f>
        <v>2</v>
      </c>
      <c r="H69" s="42" t="n">
        <f>SUMIFS('仓库单元底表'!$M$5:$M$1321,'仓库单元底表'!$F$5:$F$1321,$C69,'仓库单元底表'!$E$5:$E$1321,$D69)</f>
        <v>3</v>
      </c>
      <c r="I69" s="42" t="n">
        <f>SUMIFS('仓库单元底表'!$N$5:$N$1321,'仓库单元底表'!$F$5:$F$1321,$C69,'仓库单元底表'!$E$5:$E$1321,$D69)</f>
        <v>2</v>
      </c>
      <c r="J69" s="42" t="n">
        <f>SUMIFS('仓库单元底表'!$P$5:$P$1321,'仓库单元底表'!$F$5:$F$1321,$C69,'仓库单元底表'!$E$5:$E$1321,$D69)</f>
        <v>0</v>
      </c>
      <c r="K69" s="42" t="n">
        <f>SUMIFS('仓库单元底表'!$Q$5:$Q$1321,'仓库单元底表'!$F$5:$F$1321,$C69,'仓库单元底表'!$E$5:$E$1321,$D69)</f>
        <v>0</v>
      </c>
      <c r="L69" s="42" t="n">
        <f>SUMIFS('仓库单元底表'!$R$5:$R$1321,'仓库单元底表'!$F$5:$F$1321,$C69,'仓库单元底表'!$E$5:$E$1321,$D69)</f>
        <v>0</v>
      </c>
      <c r="M69" s="42" t="n">
        <f>SUMIFS('仓库单元底表'!$S$5:$S$1321,'仓库单元底表'!$F$5:$F$1321,$C69,'仓库单元底表'!$E$5:$E$1321,$D69)</f>
        <v>0</v>
      </c>
      <c r="N69" s="41" t="n">
        <f>IF(E69=0,"",H69/E69)</f>
        <v>1</v>
      </c>
      <c r="O69" s="41" t="n">
        <f>IF(E69=0,"",I69/E69)</f>
        <v>0.6666666666666666</v>
      </c>
      <c r="P69" s="41" t="n">
        <f>IF(SUMIFS('供应商月度明细'!$F$5:$F$155,'供应商月度明细'!$D$5:$D$155,$C69,'供应商月度明细'!$E$5:$E$155,$D69)=0,"",SUMIFS('供应商月度明细'!$H$5:$H$155,'供应商月度明细'!$D$5:$D$155,$C69,'供应商月度明细'!$E$5:$E$155,$D69)/SUMIFS('供应商月度明细'!$F$5:$F$155,'供应商月度明细'!$D$5:$D$155,$C69,'供应商月度明细'!$E$5:$E$155,$D69))</f>
        <v>0.6666666666666666</v>
      </c>
      <c r="Q69" s="41" t="n">
        <f>IF(SUMIFS('供应商月度明细'!$J$5:$J$155,'供应商月度明细'!$D$5:$D$155,$C69,'供应商月度明细'!$E$5:$E$155,$D69)=0,"",SUMIFS('供应商月度明细'!$K$5:$K$155,'供应商月度明细'!$D$5:$D$155,$C69,'供应商月度明细'!$E$5:$E$155,$D69)/SUMIFS('供应商月度明细'!$J$5:$J$155,'供应商月度明细'!$D$5:$D$155,$C69,'供应商月度明细'!$E$5:$E$155,$D69))</f>
        <v>0.6666666666666666</v>
      </c>
    </row>
    <row r="70">
      <c r="A70" s="40" t="str">
        <v>欧洲总计</v>
      </c>
      <c r="B70" s="40" t="str">
        <v>欧洲汇总</v>
      </c>
      <c r="C70" s="40" t="str">
        <v>保洁员</v>
      </c>
      <c r="D70" s="40" t="str">
        <v>2026-05</v>
      </c>
      <c r="E70" s="42" t="n">
        <f>SUMIFS('仓库单元底表'!$J$5:$J$1321,'仓库单元底表'!$F$5:$F$1321,$C70,'仓库单元底表'!$E$5:$E$1321,$D70)</f>
        <v>5</v>
      </c>
      <c r="F70" s="42" t="n">
        <f>SUMIFS('仓库单元底表'!$K$5:$K$1321,'仓库单元底表'!$F$5:$F$1321,$C70,'仓库单元底表'!$E$5:$E$1321,$D70)</f>
        <v>3</v>
      </c>
      <c r="G70" s="42" t="n">
        <f>SUMIFS('仓库单元底表'!$L$5:$L$1321,'仓库单元底表'!$F$5:$F$1321,$C70,'仓库单元底表'!$E$5:$E$1321,$D70)</f>
        <v>3</v>
      </c>
      <c r="H70" s="42" t="n">
        <f>SUMIFS('仓库单元底表'!$M$5:$M$1321,'仓库单元底表'!$F$5:$F$1321,$C70,'仓库单元底表'!$E$5:$E$1321,$D70)</f>
        <v>3</v>
      </c>
      <c r="I70" s="42" t="n">
        <f>SUMIFS('仓库单元底表'!$N$5:$N$1321,'仓库单元底表'!$F$5:$F$1321,$C70,'仓库单元底表'!$E$5:$E$1321,$D70)</f>
        <v>3</v>
      </c>
      <c r="J70" s="42" t="n">
        <f>SUMIFS('仓库单元底表'!$P$5:$P$1321,'仓库单元底表'!$F$5:$F$1321,$C70,'仓库单元底表'!$E$5:$E$1321,$D70)</f>
        <v>0</v>
      </c>
      <c r="K70" s="42" t="n">
        <f>SUMIFS('仓库单元底表'!$Q$5:$Q$1321,'仓库单元底表'!$F$5:$F$1321,$C70,'仓库单元底表'!$E$5:$E$1321,$D70)</f>
        <v>0</v>
      </c>
      <c r="L70" s="42" t="n">
        <f>SUMIFS('仓库单元底表'!$R$5:$R$1321,'仓库单元底表'!$F$5:$F$1321,$C70,'仓库单元底表'!$E$5:$E$1321,$D70)</f>
        <v>2</v>
      </c>
      <c r="M70" s="42" t="n">
        <f>SUMIFS('仓库单元底表'!$S$5:$S$1321,'仓库单元底表'!$F$5:$F$1321,$C70,'仓库单元底表'!$E$5:$E$1321,$D70)</f>
        <v>0</v>
      </c>
      <c r="N70" s="41" t="n">
        <f>IF(E70=0,"",H70/E70)</f>
        <v>0.6</v>
      </c>
      <c r="O70" s="41" t="n">
        <f>IF(E70=0,"",I70/E70)</f>
        <v>0.6</v>
      </c>
      <c r="P70" s="41" t="n">
        <f>IF(SUMIFS('供应商月度明细'!$F$5:$F$155,'供应商月度明细'!$D$5:$D$155,$C70,'供应商月度明细'!$E$5:$E$155,$D70)=0,"",SUMIFS('供应商月度明细'!$H$5:$H$155,'供应商月度明细'!$D$5:$D$155,$C70,'供应商月度明细'!$E$5:$E$155,$D70)/SUMIFS('供应商月度明细'!$F$5:$F$155,'供应商月度明细'!$D$5:$D$155,$C70,'供应商月度明细'!$E$5:$E$155,$D70))</f>
        <v>1</v>
      </c>
      <c r="Q70" s="41" t="n">
        <f>IF(SUMIFS('供应商月度明细'!$J$5:$J$155,'供应商月度明细'!$D$5:$D$155,$C70,'供应商月度明细'!$E$5:$E$155,$D70)=0,"",SUMIFS('供应商月度明细'!$K$5:$K$155,'供应商月度明细'!$D$5:$D$155,$C70,'供应商月度明细'!$E$5:$E$155,$D70)/SUMIFS('供应商月度明细'!$J$5:$J$155,'供应商月度明细'!$D$5:$D$155,$C70,'供应商月度明细'!$E$5:$E$155,$D70))</f>
        <v>1</v>
      </c>
    </row>
    <row r="71">
      <c r="A71" s="40" t="str">
        <v>欧洲总计</v>
      </c>
      <c r="B71" s="40" t="str">
        <v>欧洲汇总</v>
      </c>
      <c r="C71" s="40" t="str">
        <v>保洁员</v>
      </c>
      <c r="D71" s="40" t="str">
        <v>2026-06</v>
      </c>
      <c r="E71" s="42" t="n">
        <f>SUMIFS('仓库单元底表'!$J$5:$J$1321,'仓库单元底表'!$F$5:$F$1321,$C71,'仓库单元底表'!$E$5:$E$1321,$D71)</f>
        <v>6</v>
      </c>
      <c r="F71" s="42" t="n">
        <f>SUMIFS('仓库单元底表'!$K$5:$K$1321,'仓库单元底表'!$F$5:$F$1321,$C71,'仓库单元底表'!$E$5:$E$1321,$D71)</f>
        <v>6</v>
      </c>
      <c r="G71" s="42" t="n">
        <f>SUMIFS('仓库单元底表'!$L$5:$L$1321,'仓库单元底表'!$F$5:$F$1321,$C71,'仓库单元底表'!$E$5:$E$1321,$D71)</f>
        <v>5</v>
      </c>
      <c r="H71" s="42" t="n">
        <f>SUMIFS('仓库单元底表'!$M$5:$M$1321,'仓库单元底表'!$F$5:$F$1321,$C71,'仓库单元底表'!$E$5:$E$1321,$D71)</f>
        <v>5</v>
      </c>
      <c r="I71" s="42" t="n">
        <f>SUMIFS('仓库单元底表'!$N$5:$N$1321,'仓库单元底表'!$F$5:$F$1321,$C71,'仓库单元底表'!$E$5:$E$1321,$D71)</f>
        <v>4</v>
      </c>
      <c r="J71" s="42" t="n">
        <f>SUMIFS('仓库单元底表'!$P$5:$P$1321,'仓库单元底表'!$F$5:$F$1321,$C71,'仓库单元底表'!$E$5:$E$1321,$D71)</f>
        <v>1</v>
      </c>
      <c r="K71" s="42" t="n">
        <f>SUMIFS('仓库单元底表'!$Q$5:$Q$1321,'仓库单元底表'!$F$5:$F$1321,$C71,'仓库单元底表'!$E$5:$E$1321,$D71)</f>
        <v>0</v>
      </c>
      <c r="L71" s="42" t="n">
        <f>SUMIFS('仓库单元底表'!$R$5:$R$1321,'仓库单元底表'!$F$5:$F$1321,$C71,'仓库单元底表'!$E$5:$E$1321,$D71)</f>
        <v>1</v>
      </c>
      <c r="M71" s="42" t="n">
        <f>SUMIFS('仓库单元底表'!$S$5:$S$1321,'仓库单元底表'!$F$5:$F$1321,$C71,'仓库单元底表'!$E$5:$E$1321,$D71)</f>
        <v>1</v>
      </c>
      <c r="N71" s="41" t="n">
        <f>IF(E71=0,"",H71/E71)</f>
        <v>0.8333333333333334</v>
      </c>
      <c r="O71" s="41" t="n">
        <f>IF(E71=0,"",I71/E71)</f>
        <v>0.6666666666666666</v>
      </c>
      <c r="P71" s="41" t="n">
        <f>IF(SUMIFS('供应商月度明细'!$F$5:$F$155,'供应商月度明细'!$D$5:$D$155,$C71,'供应商月度明细'!$E$5:$E$155,$D71)=0,"",SUMIFS('供应商月度明细'!$H$5:$H$155,'供应商月度明细'!$D$5:$D$155,$C71,'供应商月度明细'!$E$5:$E$155,$D71)/SUMIFS('供应商月度明细'!$F$5:$F$155,'供应商月度明细'!$D$5:$D$155,$C71,'供应商月度明细'!$E$5:$E$155,$D71))</f>
        <v>0.8333333333333334</v>
      </c>
      <c r="Q71" s="41" t="n">
        <f>IF(SUMIFS('供应商月度明细'!$J$5:$J$155,'供应商月度明细'!$D$5:$D$155,$C71,'供应商月度明细'!$E$5:$E$155,$D71)=0,"",SUMIFS('供应商月度明细'!$K$5:$K$155,'供应商月度明细'!$D$5:$D$155,$C71,'供应商月度明细'!$E$5:$E$155,$D71)/SUMIFS('供应商月度明细'!$J$5:$J$155,'供应商月度明细'!$D$5:$D$155,$C71,'供应商月度明细'!$E$5:$E$155,$D71))</f>
        <v>0.8</v>
      </c>
    </row>
    <row r="72">
      <c r="A72" s="40" t="str">
        <v>欧洲总计</v>
      </c>
      <c r="B72" s="40" t="str">
        <v>欧洲汇总</v>
      </c>
      <c r="C72" s="40" t="str">
        <v>交运员 3.5T</v>
      </c>
      <c r="D72" s="40" t="str">
        <v>2026-05</v>
      </c>
      <c r="E72" s="42" t="n">
        <f>SUMIFS('仓库单元底表'!$J$5:$J$1321,'仓库单元底表'!$F$5:$F$1321,$C72,'仓库单元底表'!$E$5:$E$1321,$D72)</f>
        <v>4</v>
      </c>
      <c r="F72" s="42" t="n">
        <f>SUMIFS('仓库单元底表'!$K$5:$K$1321,'仓库单元底表'!$F$5:$F$1321,$C72,'仓库单元底表'!$E$5:$E$1321,$D72)</f>
        <v>4</v>
      </c>
      <c r="G72" s="42" t="n">
        <f>SUMIFS('仓库单元底表'!$L$5:$L$1321,'仓库单元底表'!$F$5:$F$1321,$C72,'仓库单元底表'!$E$5:$E$1321,$D72)</f>
        <v>4</v>
      </c>
      <c r="H72" s="42" t="n">
        <f>SUMIFS('仓库单元底表'!$M$5:$M$1321,'仓库单元底表'!$F$5:$F$1321,$C72,'仓库单元底表'!$E$5:$E$1321,$D72)</f>
        <v>4</v>
      </c>
      <c r="I72" s="42" t="n">
        <f>SUMIFS('仓库单元底表'!$N$5:$N$1321,'仓库单元底表'!$F$5:$F$1321,$C72,'仓库单元底表'!$E$5:$E$1321,$D72)</f>
        <v>4</v>
      </c>
      <c r="J72" s="42" t="n">
        <f>SUMIFS('仓库单元底表'!$P$5:$P$1321,'仓库单元底表'!$F$5:$F$1321,$C72,'仓库单元底表'!$E$5:$E$1321,$D72)</f>
        <v>0</v>
      </c>
      <c r="K72" s="42" t="n">
        <f>SUMIFS('仓库单元底表'!$Q$5:$Q$1321,'仓库单元底表'!$F$5:$F$1321,$C72,'仓库单元底表'!$E$5:$E$1321,$D72)</f>
        <v>0</v>
      </c>
      <c r="L72" s="42" t="n">
        <f>SUMIFS('仓库单元底表'!$R$5:$R$1321,'仓库单元底表'!$F$5:$F$1321,$C72,'仓库单元底表'!$E$5:$E$1321,$D72)</f>
        <v>0</v>
      </c>
      <c r="M72" s="42" t="n">
        <f>SUMIFS('仓库单元底表'!$S$5:$S$1321,'仓库单元底表'!$F$5:$F$1321,$C72,'仓库单元底表'!$E$5:$E$1321,$D72)</f>
        <v>0</v>
      </c>
      <c r="N72" s="41" t="n">
        <f>IF(E72=0,"",H72/E72)</f>
        <v>1</v>
      </c>
      <c r="O72" s="41" t="n">
        <f>IF(E72=0,"",I72/E72)</f>
        <v>1</v>
      </c>
      <c r="P72" s="41" t="n">
        <f>IF(SUMIFS('供应商月度明细'!$F$5:$F$155,'供应商月度明细'!$D$5:$D$155,$C72,'供应商月度明细'!$E$5:$E$155,$D72)=0,"",SUMIFS('供应商月度明细'!$H$5:$H$155,'供应商月度明细'!$D$5:$D$155,$C72,'供应商月度明细'!$E$5:$E$155,$D72)/SUMIFS('供应商月度明细'!$F$5:$F$155,'供应商月度明细'!$D$5:$D$155,$C72,'供应商月度明细'!$E$5:$E$155,$D72))</f>
        <v>1</v>
      </c>
      <c r="Q72" s="41" t="n">
        <f>IF(SUMIFS('供应商月度明细'!$J$5:$J$155,'供应商月度明细'!$D$5:$D$155,$C72,'供应商月度明细'!$E$5:$E$155,$D72)=0,"",SUMIFS('供应商月度明细'!$K$5:$K$155,'供应商月度明细'!$D$5:$D$155,$C72,'供应商月度明细'!$E$5:$E$155,$D72)/SUMIFS('供应商月度明细'!$J$5:$J$155,'供应商月度明细'!$D$5:$D$155,$C72,'供应商月度明细'!$E$5:$E$155,$D72))</f>
        <v>1</v>
      </c>
    </row>
    <row r="73">
      <c r="A73" s="40" t="str">
        <v>欧洲总计</v>
      </c>
      <c r="B73" s="40" t="str">
        <v>欧洲汇总</v>
      </c>
      <c r="C73" s="40" t="str">
        <v>交运员 3.5T</v>
      </c>
      <c r="D73" s="40" t="str">
        <v>2026-06</v>
      </c>
      <c r="E73" s="42" t="n">
        <f>SUMIFS('仓库单元底表'!$J$5:$J$1321,'仓库单元底表'!$F$5:$F$1321,$C73,'仓库单元底表'!$E$5:$E$1321,$D73)</f>
        <v>5</v>
      </c>
      <c r="F73" s="42" t="n">
        <f>SUMIFS('仓库单元底表'!$K$5:$K$1321,'仓库单元底表'!$F$5:$F$1321,$C73,'仓库单元底表'!$E$5:$E$1321,$D73)</f>
        <v>5</v>
      </c>
      <c r="G73" s="42" t="n">
        <f>SUMIFS('仓库单元底表'!$L$5:$L$1321,'仓库单元底表'!$F$5:$F$1321,$C73,'仓库单元底表'!$E$5:$E$1321,$D73)</f>
        <v>5</v>
      </c>
      <c r="H73" s="42" t="n">
        <f>SUMIFS('仓库单元底表'!$M$5:$M$1321,'仓库单元底表'!$F$5:$F$1321,$C73,'仓库单元底表'!$E$5:$E$1321,$D73)</f>
        <v>5</v>
      </c>
      <c r="I73" s="42" t="n">
        <f>SUMIFS('仓库单元底表'!$N$5:$N$1321,'仓库单元底表'!$F$5:$F$1321,$C73,'仓库单元底表'!$E$5:$E$1321,$D73)</f>
        <v>5</v>
      </c>
      <c r="J73" s="42" t="n">
        <f>SUMIFS('仓库单元底表'!$P$5:$P$1321,'仓库单元底表'!$F$5:$F$1321,$C73,'仓库单元底表'!$E$5:$E$1321,$D73)</f>
        <v>0</v>
      </c>
      <c r="K73" s="42" t="n">
        <f>SUMIFS('仓库单元底表'!$Q$5:$Q$1321,'仓库单元底表'!$F$5:$F$1321,$C73,'仓库单元底表'!$E$5:$E$1321,$D73)</f>
        <v>0</v>
      </c>
      <c r="L73" s="42" t="n">
        <f>SUMIFS('仓库单元底表'!$R$5:$R$1321,'仓库单元底表'!$F$5:$F$1321,$C73,'仓库单元底表'!$E$5:$E$1321,$D73)</f>
        <v>0</v>
      </c>
      <c r="M73" s="42" t="n">
        <f>SUMIFS('仓库单元底表'!$S$5:$S$1321,'仓库单元底表'!$F$5:$F$1321,$C73,'仓库单元底表'!$E$5:$E$1321,$D73)</f>
        <v>0</v>
      </c>
      <c r="N73" s="41" t="n">
        <f>IF(E73=0,"",H73/E73)</f>
        <v>1</v>
      </c>
      <c r="O73" s="41" t="n">
        <f>IF(E73=0,"",I73/E73)</f>
        <v>1</v>
      </c>
      <c r="P73" s="41" t="n">
        <f>IF(SUMIFS('供应商月度明细'!$F$5:$F$155,'供应商月度明细'!$D$5:$D$155,$C73,'供应商月度明细'!$E$5:$E$155,$D73)=0,"",SUMIFS('供应商月度明细'!$H$5:$H$155,'供应商月度明细'!$D$5:$D$155,$C73,'供应商月度明细'!$E$5:$E$155,$D73)/SUMIFS('供应商月度明细'!$F$5:$F$155,'供应商月度明细'!$D$5:$D$155,$C73,'供应商月度明细'!$E$5:$E$155,$D73))</f>
        <v>1</v>
      </c>
      <c r="Q73" s="41" t="n">
        <f>IF(SUMIFS('供应商月度明细'!$J$5:$J$155,'供应商月度明细'!$D$5:$D$155,$C73,'供应商月度明细'!$E$5:$E$155,$D73)=0,"",SUMIFS('供应商月度明细'!$K$5:$K$155,'供应商月度明细'!$D$5:$D$155,$C73,'供应商月度明细'!$E$5:$E$155,$D73)/SUMIFS('供应商月度明细'!$J$5:$J$155,'供应商月度明细'!$D$5:$D$155,$C73,'供应商月度明细'!$E$5:$E$155,$D73))</f>
        <v>1</v>
      </c>
    </row>
    <row r="74">
      <c r="A74" s="40" t="str">
        <v>欧洲总计</v>
      </c>
      <c r="B74" s="40" t="str">
        <v>欧洲汇总</v>
      </c>
      <c r="C74" s="40" t="str">
        <v>保安</v>
      </c>
      <c r="D74" s="40" t="str">
        <v>2026-04</v>
      </c>
      <c r="E74" s="42" t="n">
        <f>SUMIFS('仓库单元底表'!$J$5:$J$1321,'仓库单元底表'!$F$5:$F$1321,$C74,'仓库单元底表'!$E$5:$E$1321,$D74)</f>
        <v>3</v>
      </c>
      <c r="F74" s="42" t="n">
        <f>SUMIFS('仓库单元底表'!$K$5:$K$1321,'仓库单元底表'!$F$5:$F$1321,$C74,'仓库单元底表'!$E$5:$E$1321,$D74)</f>
        <v>4</v>
      </c>
      <c r="G74" s="42" t="n">
        <f>SUMIFS('仓库单元底表'!$L$5:$L$1321,'仓库单元底表'!$F$5:$F$1321,$C74,'仓库单元底表'!$E$5:$E$1321,$D74)</f>
        <v>3</v>
      </c>
      <c r="H74" s="42" t="n">
        <f>SUMIFS('仓库单元底表'!$M$5:$M$1321,'仓库单元底表'!$F$5:$F$1321,$C74,'仓库单元底表'!$E$5:$E$1321,$D74)</f>
        <v>3</v>
      </c>
      <c r="I74" s="42" t="n">
        <f>SUMIFS('仓库单元底表'!$N$5:$N$1321,'仓库单元底表'!$F$5:$F$1321,$C74,'仓库单元底表'!$E$5:$E$1321,$D74)</f>
        <v>3</v>
      </c>
      <c r="J74" s="42" t="n">
        <f>SUMIFS('仓库单元底表'!$P$5:$P$1321,'仓库单元底表'!$F$5:$F$1321,$C74,'仓库单元底表'!$E$5:$E$1321,$D74)</f>
        <v>1</v>
      </c>
      <c r="K74" s="42" t="n">
        <f>SUMIFS('仓库单元底表'!$Q$5:$Q$1321,'仓库单元底表'!$F$5:$F$1321,$C74,'仓库单元底表'!$E$5:$E$1321,$D74)</f>
        <v>0</v>
      </c>
      <c r="L74" s="42" t="n">
        <f>SUMIFS('仓库单元底表'!$R$5:$R$1321,'仓库单元底表'!$F$5:$F$1321,$C74,'仓库单元底表'!$E$5:$E$1321,$D74)</f>
        <v>0</v>
      </c>
      <c r="M74" s="42" t="n">
        <f>SUMIFS('仓库单元底表'!$S$5:$S$1321,'仓库单元底表'!$F$5:$F$1321,$C74,'仓库单元底表'!$E$5:$E$1321,$D74)</f>
        <v>0</v>
      </c>
      <c r="N74" s="41" t="n">
        <f>IF(E74=0,"",H74/E74)</f>
        <v>1</v>
      </c>
      <c r="O74" s="41" t="n">
        <f>IF(E74=0,"",I74/E74)</f>
        <v>1</v>
      </c>
      <c r="P74" s="41" t="n">
        <f>IF(SUMIFS('供应商月度明细'!$F$5:$F$155,'供应商月度明细'!$D$5:$D$155,$C74,'供应商月度明细'!$E$5:$E$155,$D74)=0,"",SUMIFS('供应商月度明细'!$H$5:$H$155,'供应商月度明细'!$D$5:$D$155,$C74,'供应商月度明细'!$E$5:$E$155,$D74)/SUMIFS('供应商月度明细'!$F$5:$F$155,'供应商月度明细'!$D$5:$D$155,$C74,'供应商月度明细'!$E$5:$E$155,$D74))</f>
        <v>0.75</v>
      </c>
      <c r="Q74" s="41" t="n">
        <f>IF(SUMIFS('供应商月度明细'!$J$5:$J$155,'供应商月度明细'!$D$5:$D$155,$C74,'供应商月度明细'!$E$5:$E$155,$D74)=0,"",SUMIFS('供应商月度明细'!$K$5:$K$155,'供应商月度明细'!$D$5:$D$155,$C74,'供应商月度明细'!$E$5:$E$155,$D74)/SUMIFS('供应商月度明细'!$J$5:$J$155,'供应商月度明细'!$D$5:$D$155,$C74,'供应商月度明细'!$E$5:$E$155,$D74))</f>
        <v>0.8333333333333334</v>
      </c>
    </row>
    <row r="75">
      <c r="A75" s="40" t="str">
        <v>欧洲总计</v>
      </c>
      <c r="B75" s="40" t="str">
        <v>欧洲汇总</v>
      </c>
      <c r="C75" s="40" t="str">
        <v>保安</v>
      </c>
      <c r="D75" s="40" t="str">
        <v>2026-05</v>
      </c>
      <c r="E75" s="42" t="n">
        <f>SUMIFS('仓库单元底表'!$J$5:$J$1321,'仓库单元底表'!$F$5:$F$1321,$C75,'仓库单元底表'!$E$5:$E$1321,$D75)</f>
        <v>3</v>
      </c>
      <c r="F75" s="42" t="n">
        <f>SUMIFS('仓库单元底表'!$K$5:$K$1321,'仓库单元底表'!$F$5:$F$1321,$C75,'仓库单元底表'!$E$5:$E$1321,$D75)</f>
        <v>3</v>
      </c>
      <c r="G75" s="42" t="n">
        <f>SUMIFS('仓库单元底表'!$L$5:$L$1321,'仓库单元底表'!$F$5:$F$1321,$C75,'仓库单元底表'!$E$5:$E$1321,$D75)</f>
        <v>3</v>
      </c>
      <c r="H75" s="42" t="n">
        <f>SUMIFS('仓库单元底表'!$M$5:$M$1321,'仓库单元底表'!$F$5:$F$1321,$C75,'仓库单元底表'!$E$5:$E$1321,$D75)</f>
        <v>3</v>
      </c>
      <c r="I75" s="42" t="n">
        <f>SUMIFS('仓库单元底表'!$N$5:$N$1321,'仓库单元底表'!$F$5:$F$1321,$C75,'仓库单元底表'!$E$5:$E$1321,$D75)</f>
        <v>3</v>
      </c>
      <c r="J75" s="42" t="n">
        <f>SUMIFS('仓库单元底表'!$P$5:$P$1321,'仓库单元底表'!$F$5:$F$1321,$C75,'仓库单元底表'!$E$5:$E$1321,$D75)</f>
        <v>0</v>
      </c>
      <c r="K75" s="42" t="n">
        <f>SUMIFS('仓库单元底表'!$Q$5:$Q$1321,'仓库单元底表'!$F$5:$F$1321,$C75,'仓库单元底表'!$E$5:$E$1321,$D75)</f>
        <v>0</v>
      </c>
      <c r="L75" s="42" t="n">
        <f>SUMIFS('仓库单元底表'!$R$5:$R$1321,'仓库单元底表'!$F$5:$F$1321,$C75,'仓库单元底表'!$E$5:$E$1321,$D75)</f>
        <v>0</v>
      </c>
      <c r="M75" s="42" t="n">
        <f>SUMIFS('仓库单元底表'!$S$5:$S$1321,'仓库单元底表'!$F$5:$F$1321,$C75,'仓库单元底表'!$E$5:$E$1321,$D75)</f>
        <v>0</v>
      </c>
      <c r="N75" s="41" t="n">
        <f>IF(E75=0,"",H75/E75)</f>
        <v>1</v>
      </c>
      <c r="O75" s="41" t="n">
        <f>IF(E75=0,"",I75/E75)</f>
        <v>1</v>
      </c>
      <c r="P75" s="41" t="n">
        <f>IF(SUMIFS('供应商月度明细'!$F$5:$F$155,'供应商月度明细'!$D$5:$D$155,$C75,'供应商月度明细'!$E$5:$E$155,$D75)=0,"",SUMIFS('供应商月度明细'!$H$5:$H$155,'供应商月度明细'!$D$5:$D$155,$C75,'供应商月度明细'!$E$5:$E$155,$D75)/SUMIFS('供应商月度明细'!$F$5:$F$155,'供应商月度明细'!$D$5:$D$155,$C75,'供应商月度明细'!$E$5:$E$155,$D75))</f>
        <v>1</v>
      </c>
      <c r="Q75" s="41" t="n">
        <f>IF(SUMIFS('供应商月度明细'!$J$5:$J$155,'供应商月度明细'!$D$5:$D$155,$C75,'供应商月度明细'!$E$5:$E$155,$D75)=0,"",SUMIFS('供应商月度明细'!$K$5:$K$155,'供应商月度明细'!$D$5:$D$155,$C75,'供应商月度明细'!$E$5:$E$155,$D75)/SUMIFS('供应商月度明细'!$J$5:$J$155,'供应商月度明细'!$D$5:$D$155,$C75,'供应商月度明细'!$E$5:$E$155,$D75))</f>
        <v>1</v>
      </c>
    </row>
    <row r="76">
      <c r="A76" s="40" t="str">
        <v>欧洲总计</v>
      </c>
      <c r="B76" s="40" t="str">
        <v>欧洲汇总</v>
      </c>
      <c r="C76" s="40" t="str">
        <v>交运员Class 1</v>
      </c>
      <c r="D76" s="40" t="str">
        <v>2026-06</v>
      </c>
      <c r="E76" s="42" t="n">
        <f>SUMIFS('仓库单元底表'!$J$5:$J$1321,'仓库单元底表'!$F$5:$F$1321,$C76,'仓库单元底表'!$E$5:$E$1321,$D76)</f>
        <v>1</v>
      </c>
      <c r="F76" s="42" t="n">
        <f>SUMIFS('仓库单元底表'!$K$5:$K$1321,'仓库单元底表'!$F$5:$F$1321,$C76,'仓库单元底表'!$E$5:$E$1321,$D76)</f>
        <v>1</v>
      </c>
      <c r="G76" s="42" t="n">
        <f>SUMIFS('仓库单元底表'!$L$5:$L$1321,'仓库单元底表'!$F$5:$F$1321,$C76,'仓库单元底表'!$E$5:$E$1321,$D76)</f>
        <v>1</v>
      </c>
      <c r="H76" s="42" t="n">
        <f>SUMIFS('仓库单元底表'!$M$5:$M$1321,'仓库单元底表'!$F$5:$F$1321,$C76,'仓库单元底表'!$E$5:$E$1321,$D76)</f>
        <v>1</v>
      </c>
      <c r="I76" s="42" t="n">
        <f>SUMIFS('仓库单元底表'!$N$5:$N$1321,'仓库单元底表'!$F$5:$F$1321,$C76,'仓库单元底表'!$E$5:$E$1321,$D76)</f>
        <v>1</v>
      </c>
      <c r="J76" s="42" t="n">
        <f>SUMIFS('仓库单元底表'!$P$5:$P$1321,'仓库单元底表'!$F$5:$F$1321,$C76,'仓库单元底表'!$E$5:$E$1321,$D76)</f>
        <v>0</v>
      </c>
      <c r="K76" s="42" t="n">
        <f>SUMIFS('仓库单元底表'!$Q$5:$Q$1321,'仓库单元底表'!$F$5:$F$1321,$C76,'仓库单元底表'!$E$5:$E$1321,$D76)</f>
        <v>0</v>
      </c>
      <c r="L76" s="42" t="n">
        <f>SUMIFS('仓库单元底表'!$R$5:$R$1321,'仓库单元底表'!$F$5:$F$1321,$C76,'仓库单元底表'!$E$5:$E$1321,$D76)</f>
        <v>0</v>
      </c>
      <c r="M76" s="42" t="n">
        <f>SUMIFS('仓库单元底表'!$S$5:$S$1321,'仓库单元底表'!$F$5:$F$1321,$C76,'仓库单元底表'!$E$5:$E$1321,$D76)</f>
        <v>0</v>
      </c>
      <c r="N76" s="41" t="n">
        <f>IF(E76=0,"",H76/E76)</f>
        <v>1</v>
      </c>
      <c r="O76" s="41" t="n">
        <f>IF(E76=0,"",I76/E76)</f>
        <v>1</v>
      </c>
      <c r="P76" s="41" t="n">
        <f>IF(SUMIFS('供应商月度明细'!$F$5:$F$155,'供应商月度明细'!$D$5:$D$155,$C76,'供应商月度明细'!$E$5:$E$155,$D76)=0,"",SUMIFS('供应商月度明细'!$H$5:$H$155,'供应商月度明细'!$D$5:$D$155,$C76,'供应商月度明细'!$E$5:$E$155,$D76)/SUMIFS('供应商月度明细'!$F$5:$F$155,'供应商月度明细'!$D$5:$D$155,$C76,'供应商月度明细'!$E$5:$E$155,$D76))</f>
        <v>1</v>
      </c>
      <c r="Q76" s="41" t="n">
        <f>IF(SUMIFS('供应商月度明细'!$J$5:$J$155,'供应商月度明细'!$D$5:$D$155,$C76,'供应商月度明细'!$E$5:$E$155,$D76)=0,"",SUMIFS('供应商月度明细'!$K$5:$K$155,'供应商月度明细'!$D$5:$D$155,$C76,'供应商月度明细'!$E$5:$E$155,$D76)/SUMIFS('供应商月度明细'!$J$5:$J$155,'供应商月度明细'!$D$5:$D$155,$C76,'供应商月度明细'!$E$5:$E$155,$D76))</f>
        <v>1</v>
      </c>
    </row>
    <row r="77">
      <c r="A77" s="43" t="str">
        <v>欧洲总计</v>
      </c>
      <c r="B77" s="43" t="str">
        <v>欧洲汇总</v>
      </c>
      <c r="C77" s="43" t="str">
        <v>全部工种</v>
      </c>
      <c r="D77" s="43" t="str">
        <v>2026-04</v>
      </c>
      <c r="E77" s="45" t="n">
        <f>SUMIFS('仓库单元底表'!$J$5:$J$1321,'仓库单元底表'!$E$5:$E$1321,$D77)</f>
        <v>1188</v>
      </c>
      <c r="F77" s="45" t="n">
        <f>SUMIFS('仓库单元底表'!$K$5:$K$1321,'仓库单元底表'!$E$5:$E$1321,$D77)</f>
        <v>1303</v>
      </c>
      <c r="G77" s="45" t="n">
        <f>SUMIFS('仓库单元底表'!$L$5:$L$1321,'仓库单元底表'!$E$5:$E$1321,$D77)</f>
        <v>1115</v>
      </c>
      <c r="H77" s="45" t="n">
        <f>SUMIFS('仓库单元底表'!$M$5:$M$1321,'仓库单元底表'!$E$5:$E$1321,$D77)</f>
        <v>1137</v>
      </c>
      <c r="I77" s="45" t="n">
        <f>SUMIFS('仓库单元底表'!$N$5:$N$1321,'仓库单元底表'!$E$5:$E$1321,$D77)</f>
        <v>1037</v>
      </c>
      <c r="J77" s="45" t="n">
        <f>SUMIFS('仓库单元底表'!$P$5:$P$1321,'仓库单元底表'!$E$5:$E$1321,$D77)</f>
        <v>121</v>
      </c>
      <c r="K77" s="45" t="n">
        <f>SUMIFS('仓库单元底表'!$Q$5:$Q$1321,'仓库单元底表'!$E$5:$E$1321,$D77)</f>
        <v>45</v>
      </c>
      <c r="L77" s="45" t="n">
        <f>SUMIFS('仓库单元底表'!$R$5:$R$1321,'仓库单元底表'!$E$5:$E$1321,$D77)</f>
        <v>51</v>
      </c>
      <c r="M77" s="45" t="n">
        <f>SUMIFS('仓库单元底表'!$S$5:$S$1321,'仓库单元底表'!$E$5:$E$1321,$D77)</f>
        <v>78</v>
      </c>
      <c r="N77" s="44" t="n">
        <f>IF(E77=0,"",H77/E77)</f>
        <v>0.9570707070707071</v>
      </c>
      <c r="O77" s="44" t="n">
        <f>IF(E77=0,"",I77/E77)</f>
        <v>0.872895622895623</v>
      </c>
      <c r="P77" s="44" t="n">
        <f>IF(SUMIFS('供应商月度明细'!$F$5:$F$155,'供应商月度明细'!$E$5:$E$155,$D77)=0,"",SUMIFS('供应商月度明细'!$H$5:$H$155,'供应商月度明细'!$E$5:$E$155,$D77)/SUMIFS('供应商月度明细'!$F$5:$F$155,'供应商月度明细'!$E$5:$E$155,$D77))</f>
        <v>0.8557175748273216</v>
      </c>
      <c r="Q77" s="44" t="n">
        <f>IF(SUMIFS('供应商月度明细'!$J$5:$J$155,'供应商月度明细'!$E$5:$E$155,$D77)=0,"",SUMIFS('供应商月度明细'!$K$5:$K$155,'供应商月度明细'!$E$5:$E$155,$D77)/SUMIFS('供应商月度明细'!$J$5:$J$155,'供应商月度明细'!$E$5:$E$155,$D77))</f>
        <v>0.9026240768903143</v>
      </c>
    </row>
    <row r="78">
      <c r="A78" s="43" t="str">
        <v>欧洲总计</v>
      </c>
      <c r="B78" s="43" t="str">
        <v>欧洲汇总</v>
      </c>
      <c r="C78" s="43" t="str">
        <v>全部工种</v>
      </c>
      <c r="D78" s="43" t="str">
        <v>2026-05</v>
      </c>
      <c r="E78" s="45" t="n">
        <f>SUMIFS('仓库单元底表'!$J$5:$J$1321,'仓库单元底表'!$E$5:$E$1321,$D78)</f>
        <v>1996</v>
      </c>
      <c r="F78" s="45" t="n">
        <f>SUMIFS('仓库单元底表'!$K$5:$K$1321,'仓库单元底表'!$E$5:$E$1321,$D78)</f>
        <v>2005</v>
      </c>
      <c r="G78" s="45" t="n">
        <f>SUMIFS('仓库单元底表'!$L$5:$L$1321,'仓库单元底表'!$E$5:$E$1321,$D78)</f>
        <v>1427</v>
      </c>
      <c r="H78" s="45" t="n">
        <f>SUMIFS('仓库单元底表'!$M$5:$M$1321,'仓库单元底表'!$E$5:$E$1321,$D78)</f>
        <v>1718</v>
      </c>
      <c r="I78" s="45" t="n">
        <f>SUMIFS('仓库单元底表'!$N$5:$N$1321,'仓库单元底表'!$E$5:$E$1321,$D78)</f>
        <v>1375</v>
      </c>
      <c r="J78" s="45" t="n">
        <f>SUMIFS('仓库单元底表'!$P$5:$P$1321,'仓库单元底表'!$E$5:$E$1321,$D78)</f>
        <v>208</v>
      </c>
      <c r="K78" s="45" t="n">
        <f>SUMIFS('仓库单元底表'!$Q$5:$Q$1321,'仓库单元底表'!$E$5:$E$1321,$D78)</f>
        <v>79</v>
      </c>
      <c r="L78" s="45" t="n">
        <f>SUMIFS('仓库单元底表'!$R$5:$R$1321,'仓库单元底表'!$E$5:$E$1321,$D78)</f>
        <v>278</v>
      </c>
      <c r="M78" s="45" t="n">
        <f>SUMIFS('仓库单元底表'!$S$5:$S$1321,'仓库单元底表'!$E$5:$E$1321,$D78)</f>
        <v>52</v>
      </c>
      <c r="N78" s="44" t="n">
        <f>IF(E78=0,"",H78/E78)</f>
        <v>0.8607214428857716</v>
      </c>
      <c r="O78" s="44" t="n">
        <f>IF(E78=0,"",I78/E78)</f>
        <v>0.688877755511022</v>
      </c>
      <c r="P78" s="44" t="n">
        <f>IF(SUMIFS('供应商月度明细'!$F$5:$F$155,'供应商月度明细'!$E$5:$E$155,$D78)=0,"",SUMIFS('供应商月度明细'!$H$5:$H$155,'供应商月度明细'!$E$5:$E$155,$D78)/SUMIFS('供应商月度明细'!$F$5:$F$155,'供应商月度明细'!$E$5:$E$155,$D78))</f>
        <v>0.7117206982543641</v>
      </c>
      <c r="Q78" s="44" t="n">
        <f>IF(SUMIFS('供应商月度明细'!$J$5:$J$155,'供应商月度明细'!$E$5:$E$155,$D78)=0,"",SUMIFS('供应商月度明细'!$K$5:$K$155,'供应商月度明细'!$E$5:$E$155,$D78)/SUMIFS('供应商月度明细'!$J$5:$J$155,'供应商月度明细'!$E$5:$E$155,$D78))</f>
        <v>0.7734946077578104</v>
      </c>
    </row>
    <row r="79">
      <c r="A79" s="43" t="str">
        <v>欧洲总计</v>
      </c>
      <c r="B79" s="43" t="str">
        <v>欧洲汇总</v>
      </c>
      <c r="C79" s="43" t="str">
        <v>全部工种</v>
      </c>
      <c r="D79" s="43" t="str">
        <v>2026-06</v>
      </c>
      <c r="E79" s="45" t="n">
        <f>SUMIFS('仓库单元底表'!$J$5:$J$1321,'仓库单元底表'!$E$5:$E$1321,$D79)</f>
        <v>3589</v>
      </c>
      <c r="F79" s="45" t="n">
        <f>SUMIFS('仓库单元底表'!$K$5:$K$1321,'仓库单元底表'!$E$5:$E$1321,$D79)</f>
        <v>2871</v>
      </c>
      <c r="G79" s="45" t="n">
        <f>SUMIFS('仓库单元底表'!$L$5:$L$1321,'仓库单元底表'!$E$5:$E$1321,$D79)</f>
        <v>2121</v>
      </c>
      <c r="H79" s="45" t="n">
        <f>SUMIFS('仓库单元底表'!$M$5:$M$1321,'仓库单元底表'!$E$5:$E$1321,$D79)</f>
        <v>2566</v>
      </c>
      <c r="I79" s="45" t="n">
        <f>SUMIFS('仓库单元底表'!$N$5:$N$1321,'仓库单元底表'!$E$5:$E$1321,$D79)</f>
        <v>1964</v>
      </c>
      <c r="J79" s="45" t="n">
        <f>SUMIFS('仓库单元底表'!$P$5:$P$1321,'仓库单元底表'!$E$5:$E$1321,$D79)</f>
        <v>293</v>
      </c>
      <c r="K79" s="45" t="n">
        <f>SUMIFS('仓库单元底表'!$Q$5:$Q$1321,'仓库单元底表'!$E$5:$E$1321,$D79)</f>
        <v>12</v>
      </c>
      <c r="L79" s="45" t="n">
        <f>SUMIFS('仓库单元底表'!$R$5:$R$1321,'仓库单元底表'!$E$5:$E$1321,$D79)</f>
        <v>1023</v>
      </c>
      <c r="M79" s="45" t="n">
        <f>SUMIFS('仓库单元底表'!$S$5:$S$1321,'仓库单元底表'!$E$5:$E$1321,$D79)</f>
        <v>157</v>
      </c>
      <c r="N79" s="44" t="n">
        <f>IF(E79=0,"",H79/E79)</f>
        <v>0.7149623850654778</v>
      </c>
      <c r="O79" s="44" t="n">
        <f>IF(E79=0,"",I79/E79)</f>
        <v>0.5472276400111452</v>
      </c>
      <c r="P79" s="44" t="n">
        <f>IF(SUMIFS('供应商月度明细'!$F$5:$F$155,'供应商月度明细'!$E$5:$E$155,$D79)=0,"",SUMIFS('供应商月度明细'!$H$5:$H$155,'供应商月度明细'!$E$5:$E$155,$D79)/SUMIFS('供应商月度明细'!$F$5:$F$155,'供应商月度明细'!$E$5:$E$155,$D79))</f>
        <v>0.7387669801462905</v>
      </c>
      <c r="Q79" s="44" t="n">
        <f>IF(SUMIFS('供应商月度明细'!$J$5:$J$155,'供应商月度明细'!$E$5:$E$155,$D79)=0,"",SUMIFS('供应商月度明细'!$K$5:$K$155,'供应商月度明细'!$E$5:$E$155,$D79)/SUMIFS('供应商月度明细'!$J$5:$J$155,'供应商月度明细'!$E$5:$E$155,$D79))</f>
        <v>0.7572604607024729</v>
      </c>
    </row>
  </sheetData>
  <mergeCells>
    <mergeCell ref="A1:Q1"/>
    <mergeCell ref="A2:Q2"/>
  </mergeCells>
  <conditionalFormatting sqref="N5:Q79">
    <cfRule type="expression" dxfId="16" priority="1">
      <formula>AND(N5&lt;&gt;"",N5&lt;0.7)</formula>
    </cfRule>
    <cfRule type="expression" dxfId="17" priority="2">
      <formula>AND(N5&lt;&gt;"",N5&gt;=0.7,N5&lt;0.85)</formula>
    </cfRule>
    <cfRule type="expression" dxfId="18" priority="3">
      <formula>AND(N5&lt;&gt;"",N5&gt;=0.85)</formula>
    </cfRule>
  </conditionalFormatting>
  <pageMargins left="0.7" right="0.7" top="0.75" bottom="0.75" header="0.3" footer="0.3"/>
  <tableParts count="1">
    <tablePart xmlns:r="http://schemas.openxmlformats.org/officeDocument/2006/relationships" r:id="Rac6cd7134bae484d"/>
  </tableParts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20" hidden="0" customWidth="1"/>
    <col min="3" max="3" width="12" hidden="0" customWidth="1"/>
    <col min="4" max="4" width="12" hidden="0" customWidth="1"/>
    <col min="5" max="5" width="10" hidden="0" customWidth="1"/>
    <col min="6" max="6" width="14" hidden="0" customWidth="1"/>
    <col min="7" max="7" width="32" hidden="0" customWidth="1"/>
    <col min="8" max="8" width="13" hidden="0" customWidth="1"/>
    <col min="9" max="9" width="38" hidden="0" customWidth="1"/>
    <col min="10" max="10" width="11" hidden="0" customWidth="1"/>
    <col min="11" max="11" width="9" hidden="0" customWidth="1"/>
    <col min="12" max="12" width="11" hidden="0" customWidth="1"/>
    <col min="13" max="13" width="12" hidden="0" customWidth="1"/>
    <col min="14" max="14" width="12" hidden="0" customWidth="1"/>
    <col min="15" max="15" width="12" hidden="0" customWidth="1"/>
    <col min="16" max="16" width="12" hidden="0" customWidth="1"/>
    <col min="17" max="17" width="13" hidden="0" customWidth="1"/>
    <col min="18" max="18" width="13" hidden="0" customWidth="1"/>
    <col min="19" max="19" width="13" hidden="0" customWidth="1"/>
    <col min="20" max="20" width="14" hidden="0" customWidth="1"/>
    <col min="21" max="21" width="14" hidden="0" customWidth="1"/>
    <col min="22" max="22" width="12" hidden="0" customWidth="1"/>
  </cols>
  <sheetData>
    <row r="1" ht="34" customHeight="1">
      <c r="A1" s="4" t="str">
        <v>供应商责任底表：最细单元的实际订单与合理责任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38" customHeight="1">
      <c r="A2" s="8" t="str">
        <v>事实字段保持真实人日；合理责任与校正兑现为按发单占比折算的责任人日等值。所有汇总表均由本页公式链向上聚合。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4" ht="32" customHeight="1">
      <c r="A4" s="14" t="str">
        <v>区域</v>
      </c>
      <c r="B4" s="14" t="str">
        <v>仓库</v>
      </c>
      <c r="C4" s="14" t="str">
        <v>组</v>
      </c>
      <c r="D4" s="14" t="str">
        <v>日期</v>
      </c>
      <c r="E4" s="14" t="str">
        <v>月份</v>
      </c>
      <c r="F4" s="14" t="str">
        <v>工种</v>
      </c>
      <c r="G4" s="14" t="str">
        <v>班次</v>
      </c>
      <c r="H4" s="14" t="str">
        <v>供应商ID</v>
      </c>
      <c r="I4" s="14" t="str">
        <v>供应商名称</v>
      </c>
      <c r="J4" s="14" t="str">
        <v>原始需求</v>
      </c>
      <c r="K4" s="14" t="str">
        <v>补员</v>
      </c>
      <c r="L4" s="14" t="str">
        <v>真实需求</v>
      </c>
      <c r="M4" s="14" t="str">
        <v>单元总发单</v>
      </c>
      <c r="N4" s="14" t="str">
        <v>单元总派遣</v>
      </c>
      <c r="O4" s="14" t="str">
        <v>供应商发单</v>
      </c>
      <c r="P4" s="14" t="str">
        <v>供应商派遣</v>
      </c>
      <c r="Q4" s="14" t="str">
        <v>原始有效兑现</v>
      </c>
      <c r="R4" s="14" t="str">
        <v>责任折算因子</v>
      </c>
      <c r="S4" s="14" t="str">
        <v>合理责任</v>
      </c>
      <c r="T4" s="14" t="str">
        <v>校正有效兑现</v>
      </c>
      <c r="U4" s="14" t="str">
        <v>释放超发责任</v>
      </c>
      <c r="V4" s="14" t="str">
        <v>派遣超订单</v>
      </c>
    </row>
    <row r="5">
      <c r="A5" s="18" t="str">
        <v>德国区</v>
      </c>
      <c r="B5" s="18" t="str">
        <v>杜塞尔多夫10号仓</v>
      </c>
      <c r="C5" s="18" t="str">
        <v>交运组</v>
      </c>
      <c r="D5" s="20" t="n">
        <v>46141</v>
      </c>
      <c r="E5" s="18" t="str">
        <v>2026-04</v>
      </c>
      <c r="F5" s="18" t="str">
        <v>操作员</v>
      </c>
      <c r="G5" s="18" t="str">
        <v>德国区-灵活班次 / DE FLEX</v>
      </c>
      <c r="H5" s="18" t="str">
        <v>S000020</v>
      </c>
      <c r="I5" s="18" t="str">
        <v>HP Personalmanagement</v>
      </c>
      <c r="J5" s="22" t="n">
        <v>6</v>
      </c>
      <c r="K5" s="22" t="n">
        <v>0</v>
      </c>
      <c r="L5" s="22" t="n">
        <f>J5+K5</f>
        <v>6</v>
      </c>
      <c r="M5" s="22" t="n">
        <v>7</v>
      </c>
      <c r="N5" s="22" t="n">
        <v>3</v>
      </c>
      <c r="O5" s="22" t="n">
        <v>1</v>
      </c>
      <c r="P5" s="22" t="n">
        <v>0</v>
      </c>
      <c r="Q5" s="22" t="n">
        <f>MIN(O5,P5)</f>
        <v>0</v>
      </c>
      <c r="R5" s="24" t="n">
        <f>IF(M5=0,0,MIN(1,L5/M5))</f>
        <v>0.8571428571428571</v>
      </c>
      <c r="S5" s="22" t="n">
        <f>O5*R5</f>
        <v>0.8571428571428571</v>
      </c>
      <c r="T5" s="22" t="n">
        <f>MIN(P5,S5)</f>
        <v>0</v>
      </c>
      <c r="U5" s="22" t="n">
        <f>O5-S5</f>
        <v>0.1428571428571429</v>
      </c>
      <c r="V5" s="22" t="n">
        <f>MAX(P5-O5,0)</f>
        <v>0</v>
      </c>
    </row>
    <row r="6">
      <c r="A6" s="19" t="str">
        <v>德国区</v>
      </c>
      <c r="B6" s="19" t="str">
        <v>杜塞尔多夫10号仓</v>
      </c>
      <c r="C6" s="19" t="str">
        <v>交运组</v>
      </c>
      <c r="D6" s="21" t="n">
        <v>46141</v>
      </c>
      <c r="E6" s="19" t="str">
        <v>2026-04</v>
      </c>
      <c r="F6" s="19" t="str">
        <v>操作员</v>
      </c>
      <c r="G6" s="19" t="str">
        <v>德国区-灵活班次 / DE FLEX</v>
      </c>
      <c r="H6" s="19" t="str">
        <v>S000276</v>
      </c>
      <c r="I6" s="19" t="str">
        <v>Go4PrimeJobs GmbH</v>
      </c>
      <c r="J6" s="23" t="n">
        <v>6</v>
      </c>
      <c r="K6" s="23" t="n">
        <v>0</v>
      </c>
      <c r="L6" s="23" t="n">
        <f>J6+K6</f>
        <v>6</v>
      </c>
      <c r="M6" s="23" t="n">
        <v>7</v>
      </c>
      <c r="N6" s="23" t="n">
        <v>3</v>
      </c>
      <c r="O6" s="23" t="n">
        <v>3</v>
      </c>
      <c r="P6" s="23" t="n">
        <v>0</v>
      </c>
      <c r="Q6" s="23" t="n">
        <f>MIN(O6,P6)</f>
        <v>0</v>
      </c>
      <c r="R6" s="25" t="n">
        <f>IF(M6=0,0,MIN(1,L6/M6))</f>
        <v>0.8571428571428571</v>
      </c>
      <c r="S6" s="23" t="n">
        <f>O6*R6</f>
        <v>2.571428571428571</v>
      </c>
      <c r="T6" s="23" t="n">
        <f>MIN(P6,S6)</f>
        <v>0</v>
      </c>
      <c r="U6" s="23" t="n">
        <f>O6-S6</f>
        <v>0.4285714285714288</v>
      </c>
      <c r="V6" s="23" t="n">
        <f>MAX(P6-O6,0)</f>
        <v>0</v>
      </c>
    </row>
    <row r="7">
      <c r="A7" s="19" t="str">
        <v>德国区</v>
      </c>
      <c r="B7" s="19" t="str">
        <v>杜塞尔多夫10号仓</v>
      </c>
      <c r="C7" s="19" t="str">
        <v>交运组</v>
      </c>
      <c r="D7" s="21" t="n">
        <v>46141</v>
      </c>
      <c r="E7" s="19" t="str">
        <v>2026-04</v>
      </c>
      <c r="F7" s="19" t="str">
        <v>操作员</v>
      </c>
      <c r="G7" s="19" t="str">
        <v>德国区-灵活班次 / DE FLEX</v>
      </c>
      <c r="H7" s="19" t="str">
        <v>S000316</v>
      </c>
      <c r="I7" s="19" t="str">
        <v>Nivux Estate e.Kfm</v>
      </c>
      <c r="J7" s="23" t="n">
        <v>6</v>
      </c>
      <c r="K7" s="23" t="n">
        <v>0</v>
      </c>
      <c r="L7" s="23" t="n">
        <f>J7+K7</f>
        <v>6</v>
      </c>
      <c r="M7" s="23" t="n">
        <v>7</v>
      </c>
      <c r="N7" s="23" t="n">
        <v>3</v>
      </c>
      <c r="O7" s="23" t="n">
        <v>3</v>
      </c>
      <c r="P7" s="23" t="n">
        <v>3</v>
      </c>
      <c r="Q7" s="23" t="n">
        <f>MIN(O7,P7)</f>
        <v>3</v>
      </c>
      <c r="R7" s="25" t="n">
        <f>IF(M7=0,0,MIN(1,L7/M7))</f>
        <v>0.8571428571428571</v>
      </c>
      <c r="S7" s="23" t="n">
        <f>O7*R7</f>
        <v>2.571428571428571</v>
      </c>
      <c r="T7" s="23" t="n">
        <f>MIN(P7,S7)</f>
        <v>2.571428571428571</v>
      </c>
      <c r="U7" s="23" t="n">
        <f>O7-S7</f>
        <v>0.4285714285714288</v>
      </c>
      <c r="V7" s="23" t="n">
        <f>MAX(P7-O7,0)</f>
        <v>0</v>
      </c>
    </row>
    <row r="8">
      <c r="A8" s="19" t="str">
        <v>德国区</v>
      </c>
      <c r="B8" s="19" t="str">
        <v>杜塞尔多夫10号仓</v>
      </c>
      <c r="C8" s="19" t="str">
        <v>交运组</v>
      </c>
      <c r="D8" s="21" t="n">
        <v>46142</v>
      </c>
      <c r="E8" s="19" t="str">
        <v>2026-04</v>
      </c>
      <c r="F8" s="19" t="str">
        <v>操作员</v>
      </c>
      <c r="G8" s="19" t="str">
        <v>德国区-灵活班次 / DE FLEX</v>
      </c>
      <c r="H8" s="19" t="str">
        <v>S000020</v>
      </c>
      <c r="I8" s="19" t="str">
        <v>HP Personalmanagement</v>
      </c>
      <c r="J8" s="23" t="n">
        <v>1</v>
      </c>
      <c r="K8" s="23" t="n">
        <v>0</v>
      </c>
      <c r="L8" s="23" t="n">
        <f>J8+K8</f>
        <v>1</v>
      </c>
      <c r="M8" s="23" t="n">
        <v>1</v>
      </c>
      <c r="N8" s="23" t="n">
        <v>0</v>
      </c>
      <c r="O8" s="23" t="n">
        <v>1</v>
      </c>
      <c r="P8" s="23" t="n">
        <v>0</v>
      </c>
      <c r="Q8" s="23" t="n">
        <f>MIN(O8,P8)</f>
        <v>0</v>
      </c>
      <c r="R8" s="25" t="n">
        <f>IF(M8=0,0,MIN(1,L8/M8))</f>
        <v>1</v>
      </c>
      <c r="S8" s="23" t="n">
        <f>O8*R8</f>
        <v>1</v>
      </c>
      <c r="T8" s="23" t="n">
        <f>MIN(P8,S8)</f>
        <v>0</v>
      </c>
      <c r="U8" s="23" t="n">
        <f>O8-S8</f>
        <v>0</v>
      </c>
      <c r="V8" s="23" t="n">
        <f>MAX(P8-O8,0)</f>
        <v>0</v>
      </c>
    </row>
    <row r="9">
      <c r="A9" s="19" t="str">
        <v>德国区</v>
      </c>
      <c r="B9" s="19" t="str">
        <v>杜塞尔多夫10号仓</v>
      </c>
      <c r="C9" s="19" t="str">
        <v>交运组</v>
      </c>
      <c r="D9" s="21" t="n">
        <v>46147</v>
      </c>
      <c r="E9" s="19" t="str">
        <v>2026-05</v>
      </c>
      <c r="F9" s="19" t="str">
        <v>操作员</v>
      </c>
      <c r="G9" s="19" t="str">
        <v>德国区-灵活班次 / DE FLEX</v>
      </c>
      <c r="H9" s="19" t="str">
        <v>S000276</v>
      </c>
      <c r="I9" s="19" t="str">
        <v>Go4PrimeJobs GmbH</v>
      </c>
      <c r="J9" s="23" t="n">
        <v>2</v>
      </c>
      <c r="K9" s="23" t="n">
        <v>0</v>
      </c>
      <c r="L9" s="23" t="n">
        <f>J9+K9</f>
        <v>2</v>
      </c>
      <c r="M9" s="23" t="n">
        <v>3</v>
      </c>
      <c r="N9" s="23" t="n">
        <v>3</v>
      </c>
      <c r="O9" s="23" t="n">
        <v>3</v>
      </c>
      <c r="P9" s="23" t="n">
        <v>3</v>
      </c>
      <c r="Q9" s="23" t="n">
        <f>MIN(O9,P9)</f>
        <v>3</v>
      </c>
      <c r="R9" s="25" t="n">
        <f>IF(M9=0,0,MIN(1,L9/M9))</f>
        <v>0.6666666666666666</v>
      </c>
      <c r="S9" s="23" t="n">
        <f>O9*R9</f>
        <v>2</v>
      </c>
      <c r="T9" s="23" t="n">
        <f>MIN(P9,S9)</f>
        <v>2</v>
      </c>
      <c r="U9" s="23" t="n">
        <f>O9-S9</f>
        <v>1</v>
      </c>
      <c r="V9" s="23" t="n">
        <f>MAX(P9-O9,0)</f>
        <v>0</v>
      </c>
    </row>
    <row r="10">
      <c r="A10" s="19" t="str">
        <v>德国区</v>
      </c>
      <c r="B10" s="19" t="str">
        <v>杜塞尔多夫10号仓</v>
      </c>
      <c r="C10" s="19" t="str">
        <v>交运组</v>
      </c>
      <c r="D10" s="21" t="n">
        <v>46148</v>
      </c>
      <c r="E10" s="19" t="str">
        <v>2026-05</v>
      </c>
      <c r="F10" s="19" t="str">
        <v>操作员</v>
      </c>
      <c r="G10" s="19" t="str">
        <v>德国区-灵活班次 / DE FLEX</v>
      </c>
      <c r="H10" s="19" t="str">
        <v>S000276</v>
      </c>
      <c r="I10" s="19" t="str">
        <v>Go4PrimeJobs GmbH</v>
      </c>
      <c r="J10" s="23" t="n">
        <v>2</v>
      </c>
      <c r="K10" s="23" t="n">
        <v>0</v>
      </c>
      <c r="L10" s="23" t="n">
        <f>J10+K10</f>
        <v>2</v>
      </c>
      <c r="M10" s="23" t="n">
        <v>3</v>
      </c>
      <c r="N10" s="23" t="n">
        <v>2</v>
      </c>
      <c r="O10" s="23" t="n">
        <v>3</v>
      </c>
      <c r="P10" s="23" t="n">
        <v>2</v>
      </c>
      <c r="Q10" s="23" t="n">
        <f>MIN(O10,P10)</f>
        <v>2</v>
      </c>
      <c r="R10" s="25" t="n">
        <f>IF(M10=0,0,MIN(1,L10/M10))</f>
        <v>0.6666666666666666</v>
      </c>
      <c r="S10" s="23" t="n">
        <f>O10*R10</f>
        <v>2</v>
      </c>
      <c r="T10" s="23" t="n">
        <f>MIN(P10,S10)</f>
        <v>2</v>
      </c>
      <c r="U10" s="23" t="n">
        <f>O10-S10</f>
        <v>1</v>
      </c>
      <c r="V10" s="23" t="n">
        <f>MAX(P10-O10,0)</f>
        <v>0</v>
      </c>
    </row>
    <row r="11">
      <c r="A11" s="19" t="str">
        <v>德国区</v>
      </c>
      <c r="B11" s="19" t="str">
        <v>杜塞尔多夫10号仓</v>
      </c>
      <c r="C11" s="19" t="str">
        <v>交运组</v>
      </c>
      <c r="D11" s="21" t="n">
        <v>46149</v>
      </c>
      <c r="E11" s="19" t="str">
        <v>2026-05</v>
      </c>
      <c r="F11" s="19" t="str">
        <v>操作员</v>
      </c>
      <c r="G11" s="19" t="str">
        <v>德国区-灵活班次 / DE FLEX</v>
      </c>
      <c r="H11" s="19" t="str">
        <v>S000020</v>
      </c>
      <c r="I11" s="19" t="str">
        <v>HP Personalmanagement</v>
      </c>
      <c r="J11" s="23" t="n">
        <v>2</v>
      </c>
      <c r="K11" s="23" t="n">
        <v>0</v>
      </c>
      <c r="L11" s="23" t="n">
        <f>J11+K11</f>
        <v>2</v>
      </c>
      <c r="M11" s="23" t="n">
        <v>3</v>
      </c>
      <c r="N11" s="23" t="n">
        <v>3</v>
      </c>
      <c r="O11" s="23" t="n">
        <v>3</v>
      </c>
      <c r="P11" s="23" t="n">
        <v>3</v>
      </c>
      <c r="Q11" s="23" t="n">
        <f>MIN(O11,P11)</f>
        <v>3</v>
      </c>
      <c r="R11" s="25" t="n">
        <f>IF(M11=0,0,MIN(1,L11/M11))</f>
        <v>0.6666666666666666</v>
      </c>
      <c r="S11" s="23" t="n">
        <f>O11*R11</f>
        <v>2</v>
      </c>
      <c r="T11" s="23" t="n">
        <f>MIN(P11,S11)</f>
        <v>2</v>
      </c>
      <c r="U11" s="23" t="n">
        <f>O11-S11</f>
        <v>1</v>
      </c>
      <c r="V11" s="23" t="n">
        <f>MAX(P11-O11,0)</f>
        <v>0</v>
      </c>
    </row>
    <row r="12">
      <c r="A12" s="19" t="str">
        <v>德国区</v>
      </c>
      <c r="B12" s="19" t="str">
        <v>杜塞尔多夫10号仓</v>
      </c>
      <c r="C12" s="19" t="str">
        <v>交运组</v>
      </c>
      <c r="D12" s="21" t="n">
        <v>46150</v>
      </c>
      <c r="E12" s="19" t="str">
        <v>2026-05</v>
      </c>
      <c r="F12" s="19" t="str">
        <v>操作员</v>
      </c>
      <c r="G12" s="19" t="str">
        <v>德国区-灵活班次 / DE FLEX</v>
      </c>
      <c r="H12" s="19" t="str">
        <v>S000191</v>
      </c>
      <c r="I12" s="19" t="str">
        <v>TimePartner Personalmanagement GmbH</v>
      </c>
      <c r="J12" s="23" t="n">
        <v>2</v>
      </c>
      <c r="K12" s="23" t="n">
        <v>0</v>
      </c>
      <c r="L12" s="23" t="n">
        <f>J12+K12</f>
        <v>2</v>
      </c>
      <c r="M12" s="23" t="n">
        <v>4</v>
      </c>
      <c r="N12" s="23" t="n">
        <v>2</v>
      </c>
      <c r="O12" s="23" t="n">
        <v>2</v>
      </c>
      <c r="P12" s="23" t="n">
        <v>2</v>
      </c>
      <c r="Q12" s="23" t="n">
        <f>MIN(O12,P12)</f>
        <v>2</v>
      </c>
      <c r="R12" s="25" t="n">
        <f>IF(M12=0,0,MIN(1,L12/M12))</f>
        <v>0.5</v>
      </c>
      <c r="S12" s="23" t="n">
        <f>O12*R12</f>
        <v>1</v>
      </c>
      <c r="T12" s="23" t="n">
        <f>MIN(P12,S12)</f>
        <v>1</v>
      </c>
      <c r="U12" s="23" t="n">
        <f>O12-S12</f>
        <v>1</v>
      </c>
      <c r="V12" s="23" t="n">
        <f>MAX(P12-O12,0)</f>
        <v>0</v>
      </c>
    </row>
    <row r="13">
      <c r="A13" s="19" t="str">
        <v>德国区</v>
      </c>
      <c r="B13" s="19" t="str">
        <v>杜塞尔多夫10号仓</v>
      </c>
      <c r="C13" s="19" t="str">
        <v>交运组</v>
      </c>
      <c r="D13" s="21" t="n">
        <v>46150</v>
      </c>
      <c r="E13" s="19" t="str">
        <v>2026-05</v>
      </c>
      <c r="F13" s="19" t="str">
        <v>操作员</v>
      </c>
      <c r="G13" s="19" t="str">
        <v>德国区-灵活班次 / DE FLEX</v>
      </c>
      <c r="H13" s="19" t="str">
        <v>S000276</v>
      </c>
      <c r="I13" s="19" t="str">
        <v>Go4PrimeJobs GmbH</v>
      </c>
      <c r="J13" s="23" t="n">
        <v>2</v>
      </c>
      <c r="K13" s="23" t="n">
        <v>0</v>
      </c>
      <c r="L13" s="23" t="n">
        <f>J13+K13</f>
        <v>2</v>
      </c>
      <c r="M13" s="23" t="n">
        <v>4</v>
      </c>
      <c r="N13" s="23" t="n">
        <v>2</v>
      </c>
      <c r="O13" s="23" t="n">
        <v>2</v>
      </c>
      <c r="P13" s="23" t="n">
        <v>0</v>
      </c>
      <c r="Q13" s="23" t="n">
        <f>MIN(O13,P13)</f>
        <v>0</v>
      </c>
      <c r="R13" s="25" t="n">
        <f>IF(M13=0,0,MIN(1,L13/M13))</f>
        <v>0.5</v>
      </c>
      <c r="S13" s="23" t="n">
        <f>O13*R13</f>
        <v>1</v>
      </c>
      <c r="T13" s="23" t="n">
        <f>MIN(P13,S13)</f>
        <v>0</v>
      </c>
      <c r="U13" s="23" t="n">
        <f>O13-S13</f>
        <v>1</v>
      </c>
      <c r="V13" s="23" t="n">
        <f>MAX(P13-O13,0)</f>
        <v>0</v>
      </c>
    </row>
    <row r="14">
      <c r="A14" s="19" t="str">
        <v>德国区</v>
      </c>
      <c r="B14" s="19" t="str">
        <v>杜塞尔多夫10号仓</v>
      </c>
      <c r="C14" s="19" t="str">
        <v>交运组</v>
      </c>
      <c r="D14" s="21" t="n">
        <v>46169</v>
      </c>
      <c r="E14" s="19" t="str">
        <v>2026-05</v>
      </c>
      <c r="F14" s="19" t="str">
        <v>操作员</v>
      </c>
      <c r="G14" s="19" t="str">
        <v>德国区-灵活班次 / DE FLEX</v>
      </c>
      <c r="H14" s="19" t="str">
        <v>S000191</v>
      </c>
      <c r="I14" s="19" t="str">
        <v>TimePartner Personalmanagement GmbH</v>
      </c>
      <c r="J14" s="23" t="n">
        <v>2</v>
      </c>
      <c r="K14" s="23" t="n">
        <v>0</v>
      </c>
      <c r="L14" s="23" t="n">
        <f>J14+K14</f>
        <v>2</v>
      </c>
      <c r="M14" s="23" t="n">
        <v>3</v>
      </c>
      <c r="N14" s="23" t="n">
        <v>2</v>
      </c>
      <c r="O14" s="23" t="n">
        <v>1</v>
      </c>
      <c r="P14" s="23" t="n">
        <v>0</v>
      </c>
      <c r="Q14" s="23" t="n">
        <f>MIN(O14,P14)</f>
        <v>0</v>
      </c>
      <c r="R14" s="25" t="n">
        <f>IF(M14=0,0,MIN(1,L14/M14))</f>
        <v>0.6666666666666666</v>
      </c>
      <c r="S14" s="23" t="n">
        <f>O14*R14</f>
        <v>0.6666666666666666</v>
      </c>
      <c r="T14" s="23" t="n">
        <f>MIN(P14,S14)</f>
        <v>0</v>
      </c>
      <c r="U14" s="23" t="n">
        <f>O14-S14</f>
        <v>0.33333333333333337</v>
      </c>
      <c r="V14" s="23" t="n">
        <f>MAX(P14-O14,0)</f>
        <v>0</v>
      </c>
    </row>
    <row r="15">
      <c r="A15" s="19" t="str">
        <v>德国区</v>
      </c>
      <c r="B15" s="19" t="str">
        <v>杜塞尔多夫10号仓</v>
      </c>
      <c r="C15" s="19" t="str">
        <v>交运组</v>
      </c>
      <c r="D15" s="21" t="n">
        <v>46169</v>
      </c>
      <c r="E15" s="19" t="str">
        <v>2026-05</v>
      </c>
      <c r="F15" s="19" t="str">
        <v>操作员</v>
      </c>
      <c r="G15" s="19" t="str">
        <v>德国区-灵活班次 / DE FLEX</v>
      </c>
      <c r="H15" s="19" t="str">
        <v>S000279</v>
      </c>
      <c r="I15" s="19" t="str">
        <v>Armz GmbH</v>
      </c>
      <c r="J15" s="23" t="n">
        <v>2</v>
      </c>
      <c r="K15" s="23" t="n">
        <v>0</v>
      </c>
      <c r="L15" s="23" t="n">
        <f>J15+K15</f>
        <v>2</v>
      </c>
      <c r="M15" s="23" t="n">
        <v>3</v>
      </c>
      <c r="N15" s="23" t="n">
        <v>2</v>
      </c>
      <c r="O15" s="23" t="n">
        <v>2</v>
      </c>
      <c r="P15" s="23" t="n">
        <v>2</v>
      </c>
      <c r="Q15" s="23" t="n">
        <f>MIN(O15,P15)</f>
        <v>2</v>
      </c>
      <c r="R15" s="25" t="n">
        <f>IF(M15=0,0,MIN(1,L15/M15))</f>
        <v>0.6666666666666666</v>
      </c>
      <c r="S15" s="23" t="n">
        <f>O15*R15</f>
        <v>1.3333333333333333</v>
      </c>
      <c r="T15" s="23" t="n">
        <f>MIN(P15,S15)</f>
        <v>1.3333333333333333</v>
      </c>
      <c r="U15" s="23" t="n">
        <f>O15-S15</f>
        <v>0.6666666666666667</v>
      </c>
      <c r="V15" s="23" t="n">
        <f>MAX(P15-O15,0)</f>
        <v>0</v>
      </c>
    </row>
    <row r="16">
      <c r="A16" s="19" t="str">
        <v>德国区</v>
      </c>
      <c r="B16" s="19" t="str">
        <v>杜塞尔多夫10号仓</v>
      </c>
      <c r="C16" s="19" t="str">
        <v>交运组</v>
      </c>
      <c r="D16" s="21" t="n">
        <v>46170</v>
      </c>
      <c r="E16" s="19" t="str">
        <v>2026-05</v>
      </c>
      <c r="F16" s="19" t="str">
        <v>操作员</v>
      </c>
      <c r="G16" s="19" t="str">
        <v>德国区-灵活班次 / DE FLEX</v>
      </c>
      <c r="H16" s="19" t="str">
        <v>S000191</v>
      </c>
      <c r="I16" s="19" t="str">
        <v>TimePartner Personalmanagement GmbH</v>
      </c>
      <c r="J16" s="23" t="n">
        <v>2</v>
      </c>
      <c r="K16" s="23" t="n">
        <v>0</v>
      </c>
      <c r="L16" s="23" t="n">
        <f>J16+K16</f>
        <v>2</v>
      </c>
      <c r="M16" s="23" t="n">
        <v>3</v>
      </c>
      <c r="N16" s="23" t="n">
        <v>1</v>
      </c>
      <c r="O16" s="23" t="n">
        <v>1</v>
      </c>
      <c r="P16" s="23" t="n">
        <v>0</v>
      </c>
      <c r="Q16" s="23" t="n">
        <f>MIN(O16,P16)</f>
        <v>0</v>
      </c>
      <c r="R16" s="25" t="n">
        <f>IF(M16=0,0,MIN(1,L16/M16))</f>
        <v>0.6666666666666666</v>
      </c>
      <c r="S16" s="23" t="n">
        <f>O16*R16</f>
        <v>0.6666666666666666</v>
      </c>
      <c r="T16" s="23" t="n">
        <f>MIN(P16,S16)</f>
        <v>0</v>
      </c>
      <c r="U16" s="23" t="n">
        <f>O16-S16</f>
        <v>0.33333333333333337</v>
      </c>
      <c r="V16" s="23" t="n">
        <f>MAX(P16-O16,0)</f>
        <v>0</v>
      </c>
    </row>
    <row r="17">
      <c r="A17" s="19" t="str">
        <v>德国区</v>
      </c>
      <c r="B17" s="19" t="str">
        <v>杜塞尔多夫10号仓</v>
      </c>
      <c r="C17" s="19" t="str">
        <v>交运组</v>
      </c>
      <c r="D17" s="21" t="n">
        <v>46170</v>
      </c>
      <c r="E17" s="19" t="str">
        <v>2026-05</v>
      </c>
      <c r="F17" s="19" t="str">
        <v>操作员</v>
      </c>
      <c r="G17" s="19" t="str">
        <v>德国区-灵活班次 / DE FLEX</v>
      </c>
      <c r="H17" s="19" t="str">
        <v>S000279</v>
      </c>
      <c r="I17" s="19" t="str">
        <v>Armz GmbH</v>
      </c>
      <c r="J17" s="23" t="n">
        <v>2</v>
      </c>
      <c r="K17" s="23" t="n">
        <v>0</v>
      </c>
      <c r="L17" s="23" t="n">
        <f>J17+K17</f>
        <v>2</v>
      </c>
      <c r="M17" s="23" t="n">
        <v>3</v>
      </c>
      <c r="N17" s="23" t="n">
        <v>1</v>
      </c>
      <c r="O17" s="23" t="n">
        <v>2</v>
      </c>
      <c r="P17" s="23" t="n">
        <v>1</v>
      </c>
      <c r="Q17" s="23" t="n">
        <f>MIN(O17,P17)</f>
        <v>1</v>
      </c>
      <c r="R17" s="25" t="n">
        <f>IF(M17=0,0,MIN(1,L17/M17))</f>
        <v>0.6666666666666666</v>
      </c>
      <c r="S17" s="23" t="n">
        <f>O17*R17</f>
        <v>1.3333333333333333</v>
      </c>
      <c r="T17" s="23" t="n">
        <f>MIN(P17,S17)</f>
        <v>1</v>
      </c>
      <c r="U17" s="23" t="n">
        <f>O17-S17</f>
        <v>0.6666666666666667</v>
      </c>
      <c r="V17" s="23" t="n">
        <f>MAX(P17-O17,0)</f>
        <v>0</v>
      </c>
    </row>
    <row r="18">
      <c r="A18" s="19" t="str">
        <v>德国区</v>
      </c>
      <c r="B18" s="19" t="str">
        <v>杜塞尔多夫10号仓</v>
      </c>
      <c r="C18" s="19" t="str">
        <v>交运组</v>
      </c>
      <c r="D18" s="21" t="n">
        <v>46171</v>
      </c>
      <c r="E18" s="19" t="str">
        <v>2026-05</v>
      </c>
      <c r="F18" s="19" t="str">
        <v>操作员</v>
      </c>
      <c r="G18" s="19" t="str">
        <v>德国区-灵活班次 / DE FLEX</v>
      </c>
      <c r="H18" s="19" t="str">
        <v>S000020</v>
      </c>
      <c r="I18" s="19" t="str">
        <v>HP Personalmanagement</v>
      </c>
      <c r="J18" s="23" t="n">
        <v>4</v>
      </c>
      <c r="K18" s="23" t="n">
        <v>0</v>
      </c>
      <c r="L18" s="23" t="n">
        <f>J18+K18</f>
        <v>4</v>
      </c>
      <c r="M18" s="23" t="n">
        <v>5</v>
      </c>
      <c r="N18" s="23" t="n">
        <v>5</v>
      </c>
      <c r="O18" s="23" t="n">
        <v>1</v>
      </c>
      <c r="P18" s="23" t="n">
        <v>1</v>
      </c>
      <c r="Q18" s="23" t="n">
        <f>MIN(O18,P18)</f>
        <v>1</v>
      </c>
      <c r="R18" s="25" t="n">
        <f>IF(M18=0,0,MIN(1,L18/M18))</f>
        <v>0.8</v>
      </c>
      <c r="S18" s="23" t="n">
        <f>O18*R18</f>
        <v>0.8</v>
      </c>
      <c r="T18" s="23" t="n">
        <f>MIN(P18,S18)</f>
        <v>0.8</v>
      </c>
      <c r="U18" s="23" t="n">
        <f>O18-S18</f>
        <v>0.19999999999999996</v>
      </c>
      <c r="V18" s="23" t="n">
        <f>MAX(P18-O18,0)</f>
        <v>0</v>
      </c>
    </row>
    <row r="19">
      <c r="A19" s="19" t="str">
        <v>德国区</v>
      </c>
      <c r="B19" s="19" t="str">
        <v>杜塞尔多夫10号仓</v>
      </c>
      <c r="C19" s="19" t="str">
        <v>交运组</v>
      </c>
      <c r="D19" s="21" t="n">
        <v>46171</v>
      </c>
      <c r="E19" s="19" t="str">
        <v>2026-05</v>
      </c>
      <c r="F19" s="19" t="str">
        <v>操作员</v>
      </c>
      <c r="G19" s="19" t="str">
        <v>德国区-灵活班次 / DE FLEX</v>
      </c>
      <c r="H19" s="19" t="str">
        <v>S000279</v>
      </c>
      <c r="I19" s="19" t="str">
        <v>Armz GmbH</v>
      </c>
      <c r="J19" s="23" t="n">
        <v>4</v>
      </c>
      <c r="K19" s="23" t="n">
        <v>0</v>
      </c>
      <c r="L19" s="23" t="n">
        <f>J19+K19</f>
        <v>4</v>
      </c>
      <c r="M19" s="23" t="n">
        <v>5</v>
      </c>
      <c r="N19" s="23" t="n">
        <v>5</v>
      </c>
      <c r="O19" s="23" t="n">
        <v>4</v>
      </c>
      <c r="P19" s="23" t="n">
        <v>4</v>
      </c>
      <c r="Q19" s="23" t="n">
        <f>MIN(O19,P19)</f>
        <v>4</v>
      </c>
      <c r="R19" s="25" t="n">
        <f>IF(M19=0,0,MIN(1,L19/M19))</f>
        <v>0.8</v>
      </c>
      <c r="S19" s="23" t="n">
        <f>O19*R19</f>
        <v>3.2</v>
      </c>
      <c r="T19" s="23" t="n">
        <f>MIN(P19,S19)</f>
        <v>3.2</v>
      </c>
      <c r="U19" s="23" t="n">
        <f>O19-S19</f>
        <v>0.7999999999999998</v>
      </c>
      <c r="V19" s="23" t="n">
        <f>MAX(P19-O19,0)</f>
        <v>0</v>
      </c>
    </row>
    <row r="20">
      <c r="A20" s="19" t="str">
        <v>德国区</v>
      </c>
      <c r="B20" s="19" t="str">
        <v>杜塞尔多夫10号仓</v>
      </c>
      <c r="C20" s="19" t="str">
        <v>交运组</v>
      </c>
      <c r="D20" s="21" t="n">
        <v>46189</v>
      </c>
      <c r="E20" s="19" t="str">
        <v>2026-06</v>
      </c>
      <c r="F20" s="19" t="str">
        <v>操作员</v>
      </c>
      <c r="G20" s="19" t="str">
        <v>德国区-灵活班次 / DE FLEX</v>
      </c>
      <c r="H20" s="19" t="str">
        <v>S000020</v>
      </c>
      <c r="I20" s="19" t="str">
        <v>HP Personalmanagement</v>
      </c>
      <c r="J20" s="23" t="n">
        <v>4</v>
      </c>
      <c r="K20" s="23" t="n">
        <v>0</v>
      </c>
      <c r="L20" s="23" t="n">
        <f>J20+K20</f>
        <v>4</v>
      </c>
      <c r="M20" s="23" t="n">
        <v>6</v>
      </c>
      <c r="N20" s="23" t="n">
        <v>4</v>
      </c>
      <c r="O20" s="23" t="n">
        <v>2</v>
      </c>
      <c r="P20" s="23" t="n">
        <v>0</v>
      </c>
      <c r="Q20" s="23" t="n">
        <f>MIN(O20,P20)</f>
        <v>0</v>
      </c>
      <c r="R20" s="25" t="n">
        <f>IF(M20=0,0,MIN(1,L20/M20))</f>
        <v>0.6666666666666666</v>
      </c>
      <c r="S20" s="23" t="n">
        <f>O20*R20</f>
        <v>1.3333333333333333</v>
      </c>
      <c r="T20" s="23" t="n">
        <f>MIN(P20,S20)</f>
        <v>0</v>
      </c>
      <c r="U20" s="23" t="n">
        <f>O20-S20</f>
        <v>0.6666666666666667</v>
      </c>
      <c r="V20" s="23" t="n">
        <f>MAX(P20-O20,0)</f>
        <v>0</v>
      </c>
    </row>
    <row r="21">
      <c r="A21" s="19" t="str">
        <v>德国区</v>
      </c>
      <c r="B21" s="19" t="str">
        <v>杜塞尔多夫10号仓</v>
      </c>
      <c r="C21" s="19" t="str">
        <v>交运组</v>
      </c>
      <c r="D21" s="21" t="n">
        <v>46189</v>
      </c>
      <c r="E21" s="19" t="str">
        <v>2026-06</v>
      </c>
      <c r="F21" s="19" t="str">
        <v>操作员</v>
      </c>
      <c r="G21" s="19" t="str">
        <v>德国区-灵活班次 / DE FLEX</v>
      </c>
      <c r="H21" s="19" t="str">
        <v>S000110</v>
      </c>
      <c r="I21" s="19" t="str">
        <v>Koetter Personal Service SE Co. KG</v>
      </c>
      <c r="J21" s="23" t="n">
        <v>4</v>
      </c>
      <c r="K21" s="23" t="n">
        <v>0</v>
      </c>
      <c r="L21" s="23" t="n">
        <f>J21+K21</f>
        <v>4</v>
      </c>
      <c r="M21" s="23" t="n">
        <v>6</v>
      </c>
      <c r="N21" s="23" t="n">
        <v>4</v>
      </c>
      <c r="O21" s="23" t="n">
        <v>4</v>
      </c>
      <c r="P21" s="23" t="n">
        <v>4</v>
      </c>
      <c r="Q21" s="23" t="n">
        <f>MIN(O21,P21)</f>
        <v>4</v>
      </c>
      <c r="R21" s="25" t="n">
        <f>IF(M21=0,0,MIN(1,L21/M21))</f>
        <v>0.6666666666666666</v>
      </c>
      <c r="S21" s="23" t="n">
        <f>O21*R21</f>
        <v>2.6666666666666665</v>
      </c>
      <c r="T21" s="23" t="n">
        <f>MIN(P21,S21)</f>
        <v>2.6666666666666665</v>
      </c>
      <c r="U21" s="23" t="n">
        <f>O21-S21</f>
        <v>1.3333333333333335</v>
      </c>
      <c r="V21" s="23" t="n">
        <f>MAX(P21-O21,0)</f>
        <v>0</v>
      </c>
    </row>
    <row r="22">
      <c r="A22" s="19" t="str">
        <v>德国区</v>
      </c>
      <c r="B22" s="19" t="str">
        <v>杜塞尔多夫10号仓</v>
      </c>
      <c r="C22" s="19" t="str">
        <v>交运组</v>
      </c>
      <c r="D22" s="21" t="n">
        <v>46190</v>
      </c>
      <c r="E22" s="19" t="str">
        <v>2026-06</v>
      </c>
      <c r="F22" s="19" t="str">
        <v>操作员</v>
      </c>
      <c r="G22" s="19" t="str">
        <v>德国区-灵活班次 / DE FLEX</v>
      </c>
      <c r="H22" s="19" t="str">
        <v>S000276</v>
      </c>
      <c r="I22" s="19" t="str">
        <v>Go4PrimeJobs GmbH</v>
      </c>
      <c r="J22" s="23" t="n">
        <v>4</v>
      </c>
      <c r="K22" s="23" t="n">
        <v>0</v>
      </c>
      <c r="L22" s="23" t="n">
        <f>J22+K22</f>
        <v>4</v>
      </c>
      <c r="M22" s="23" t="n">
        <v>4</v>
      </c>
      <c r="N22" s="23" t="n">
        <v>4</v>
      </c>
      <c r="O22" s="23" t="n">
        <v>4</v>
      </c>
      <c r="P22" s="23" t="n">
        <v>4</v>
      </c>
      <c r="Q22" s="23" t="n">
        <f>MIN(O22,P22)</f>
        <v>4</v>
      </c>
      <c r="R22" s="25" t="n">
        <f>IF(M22=0,0,MIN(1,L22/M22))</f>
        <v>1</v>
      </c>
      <c r="S22" s="23" t="n">
        <f>O22*R22</f>
        <v>4</v>
      </c>
      <c r="T22" s="23" t="n">
        <f>MIN(P22,S22)</f>
        <v>4</v>
      </c>
      <c r="U22" s="23" t="n">
        <f>O22-S22</f>
        <v>0</v>
      </c>
      <c r="V22" s="23" t="n">
        <f>MAX(P22-O22,0)</f>
        <v>0</v>
      </c>
    </row>
    <row r="23">
      <c r="A23" s="19" t="str">
        <v>德国区</v>
      </c>
      <c r="B23" s="19" t="str">
        <v>杜塞尔多夫10号仓</v>
      </c>
      <c r="C23" s="19" t="str">
        <v>交运组</v>
      </c>
      <c r="D23" s="21" t="n">
        <v>46191</v>
      </c>
      <c r="E23" s="19" t="str">
        <v>2026-06</v>
      </c>
      <c r="F23" s="19" t="str">
        <v>操作员</v>
      </c>
      <c r="G23" s="19" t="str">
        <v>德国区-灵活班次 / DE FLEX</v>
      </c>
      <c r="H23" s="19" t="str">
        <v>S000191</v>
      </c>
      <c r="I23" s="19" t="str">
        <v>TimePartner Personalmanagement GmbH</v>
      </c>
      <c r="J23" s="23" t="n">
        <v>2</v>
      </c>
      <c r="K23" s="23" t="n">
        <v>0</v>
      </c>
      <c r="L23" s="23" t="n">
        <f>J23+K23</f>
        <v>2</v>
      </c>
      <c r="M23" s="23" t="n">
        <v>2</v>
      </c>
      <c r="N23" s="23" t="n">
        <v>2</v>
      </c>
      <c r="O23" s="23" t="n">
        <v>2</v>
      </c>
      <c r="P23" s="23" t="n">
        <v>2</v>
      </c>
      <c r="Q23" s="23" t="n">
        <f>MIN(O23,P23)</f>
        <v>2</v>
      </c>
      <c r="R23" s="25" t="n">
        <f>IF(M23=0,0,MIN(1,L23/M23))</f>
        <v>1</v>
      </c>
      <c r="S23" s="23" t="n">
        <f>O23*R23</f>
        <v>2</v>
      </c>
      <c r="T23" s="23" t="n">
        <f>MIN(P23,S23)</f>
        <v>2</v>
      </c>
      <c r="U23" s="23" t="n">
        <f>O23-S23</f>
        <v>0</v>
      </c>
      <c r="V23" s="23" t="n">
        <f>MAX(P23-O23,0)</f>
        <v>0</v>
      </c>
    </row>
    <row r="24">
      <c r="A24" s="19" t="str">
        <v>德国区</v>
      </c>
      <c r="B24" s="19" t="str">
        <v>杜塞尔多夫10号仓</v>
      </c>
      <c r="C24" s="19" t="str">
        <v>交运组</v>
      </c>
      <c r="D24" s="21" t="n">
        <v>46192</v>
      </c>
      <c r="E24" s="19" t="str">
        <v>2026-06</v>
      </c>
      <c r="F24" s="19" t="str">
        <v>操作员</v>
      </c>
      <c r="G24" s="19" t="str">
        <v>德国区10仓8点班次</v>
      </c>
      <c r="H24" s="19" t="str">
        <v>S000279</v>
      </c>
      <c r="I24" s="19" t="str">
        <v>Armz GmbH</v>
      </c>
      <c r="J24" s="23" t="n">
        <v>5</v>
      </c>
      <c r="K24" s="23" t="n">
        <v>0</v>
      </c>
      <c r="L24" s="23" t="n">
        <f>J24+K24</f>
        <v>5</v>
      </c>
      <c r="M24" s="23" t="n">
        <v>6</v>
      </c>
      <c r="N24" s="23" t="n">
        <v>3</v>
      </c>
      <c r="O24" s="23" t="n">
        <v>3</v>
      </c>
      <c r="P24" s="23" t="n">
        <v>0</v>
      </c>
      <c r="Q24" s="23" t="n">
        <f>MIN(O24,P24)</f>
        <v>0</v>
      </c>
      <c r="R24" s="25" t="n">
        <f>IF(M24=0,0,MIN(1,L24/M24))</f>
        <v>0.8333333333333334</v>
      </c>
      <c r="S24" s="23" t="n">
        <f>O24*R24</f>
        <v>2.5</v>
      </c>
      <c r="T24" s="23" t="n">
        <f>MIN(P24,S24)</f>
        <v>0</v>
      </c>
      <c r="U24" s="23" t="n">
        <f>O24-S24</f>
        <v>0.5</v>
      </c>
      <c r="V24" s="23" t="n">
        <f>MAX(P24-O24,0)</f>
        <v>0</v>
      </c>
    </row>
    <row r="25">
      <c r="A25" s="19" t="str">
        <v>德国区</v>
      </c>
      <c r="B25" s="19" t="str">
        <v>杜塞尔多夫10号仓</v>
      </c>
      <c r="C25" s="19" t="str">
        <v>交运组</v>
      </c>
      <c r="D25" s="21" t="n">
        <v>46192</v>
      </c>
      <c r="E25" s="19" t="str">
        <v>2026-06</v>
      </c>
      <c r="F25" s="19" t="str">
        <v>操作员</v>
      </c>
      <c r="G25" s="19" t="str">
        <v>德国区10仓8点班次</v>
      </c>
      <c r="H25" s="19" t="str">
        <v>S000316</v>
      </c>
      <c r="I25" s="19" t="str">
        <v>Nivux Estate e.Kfm</v>
      </c>
      <c r="J25" s="23" t="n">
        <v>5</v>
      </c>
      <c r="K25" s="23" t="n">
        <v>0</v>
      </c>
      <c r="L25" s="23" t="n">
        <f>J25+K25</f>
        <v>5</v>
      </c>
      <c r="M25" s="23" t="n">
        <v>6</v>
      </c>
      <c r="N25" s="23" t="n">
        <v>3</v>
      </c>
      <c r="O25" s="23" t="n">
        <v>3</v>
      </c>
      <c r="P25" s="23" t="n">
        <v>3</v>
      </c>
      <c r="Q25" s="23" t="n">
        <f>MIN(O25,P25)</f>
        <v>3</v>
      </c>
      <c r="R25" s="25" t="n">
        <f>IF(M25=0,0,MIN(1,L25/M25))</f>
        <v>0.8333333333333334</v>
      </c>
      <c r="S25" s="23" t="n">
        <f>O25*R25</f>
        <v>2.5</v>
      </c>
      <c r="T25" s="23" t="n">
        <f>MIN(P25,S25)</f>
        <v>2.5</v>
      </c>
      <c r="U25" s="23" t="n">
        <f>O25-S25</f>
        <v>0.5</v>
      </c>
      <c r="V25" s="23" t="n">
        <f>MAX(P25-O25,0)</f>
        <v>0</v>
      </c>
    </row>
    <row r="26">
      <c r="A26" s="19" t="str">
        <v>德国区</v>
      </c>
      <c r="B26" s="19" t="str">
        <v>杜塞尔多夫10号仓</v>
      </c>
      <c r="C26" s="19" t="str">
        <v>交运组</v>
      </c>
      <c r="D26" s="21" t="n">
        <v>46192</v>
      </c>
      <c r="E26" s="19" t="str">
        <v>2026-06</v>
      </c>
      <c r="F26" s="19" t="str">
        <v>操作员</v>
      </c>
      <c r="G26" s="19" t="str">
        <v>德国区7点班次</v>
      </c>
      <c r="H26" s="19" t="str">
        <v>S000279</v>
      </c>
      <c r="I26" s="19" t="str">
        <v>Armz GmbH</v>
      </c>
      <c r="J26" s="23" t="n">
        <v>3</v>
      </c>
      <c r="K26" s="23" t="n">
        <v>0</v>
      </c>
      <c r="L26" s="23" t="n">
        <f>J26+K26</f>
        <v>3</v>
      </c>
      <c r="M26" s="23" t="n">
        <v>4</v>
      </c>
      <c r="N26" s="23" t="n">
        <v>2</v>
      </c>
      <c r="O26" s="23" t="n">
        <v>2</v>
      </c>
      <c r="P26" s="23" t="n">
        <v>0</v>
      </c>
      <c r="Q26" s="23" t="n">
        <f>MIN(O26,P26)</f>
        <v>0</v>
      </c>
      <c r="R26" s="25" t="n">
        <f>IF(M26=0,0,MIN(1,L26/M26))</f>
        <v>0.75</v>
      </c>
      <c r="S26" s="23" t="n">
        <f>O26*R26</f>
        <v>1.5</v>
      </c>
      <c r="T26" s="23" t="n">
        <f>MIN(P26,S26)</f>
        <v>0</v>
      </c>
      <c r="U26" s="23" t="n">
        <f>O26-S26</f>
        <v>0.5</v>
      </c>
      <c r="V26" s="23" t="n">
        <f>MAX(P26-O26,0)</f>
        <v>0</v>
      </c>
    </row>
    <row r="27">
      <c r="A27" s="19" t="str">
        <v>德国区</v>
      </c>
      <c r="B27" s="19" t="str">
        <v>杜塞尔多夫10号仓</v>
      </c>
      <c r="C27" s="19" t="str">
        <v>交运组</v>
      </c>
      <c r="D27" s="21" t="n">
        <v>46192</v>
      </c>
      <c r="E27" s="19" t="str">
        <v>2026-06</v>
      </c>
      <c r="F27" s="19" t="str">
        <v>操作员</v>
      </c>
      <c r="G27" s="19" t="str">
        <v>德国区7点班次</v>
      </c>
      <c r="H27" s="19" t="str">
        <v>S000316</v>
      </c>
      <c r="I27" s="19" t="str">
        <v>Nivux Estate e.Kfm</v>
      </c>
      <c r="J27" s="23" t="n">
        <v>3</v>
      </c>
      <c r="K27" s="23" t="n">
        <v>0</v>
      </c>
      <c r="L27" s="23" t="n">
        <f>J27+K27</f>
        <v>3</v>
      </c>
      <c r="M27" s="23" t="n">
        <v>4</v>
      </c>
      <c r="N27" s="23" t="n">
        <v>2</v>
      </c>
      <c r="O27" s="23" t="n">
        <v>2</v>
      </c>
      <c r="P27" s="23" t="n">
        <v>2</v>
      </c>
      <c r="Q27" s="23" t="n">
        <f>MIN(O27,P27)</f>
        <v>2</v>
      </c>
      <c r="R27" s="25" t="n">
        <f>IF(M27=0,0,MIN(1,L27/M27))</f>
        <v>0.75</v>
      </c>
      <c r="S27" s="23" t="n">
        <f>O27*R27</f>
        <v>1.5</v>
      </c>
      <c r="T27" s="23" t="n">
        <f>MIN(P27,S27)</f>
        <v>1.5</v>
      </c>
      <c r="U27" s="23" t="n">
        <f>O27-S27</f>
        <v>0.5</v>
      </c>
      <c r="V27" s="23" t="n">
        <f>MAX(P27-O27,0)</f>
        <v>0</v>
      </c>
    </row>
    <row r="28">
      <c r="A28" s="19" t="str">
        <v>德国区</v>
      </c>
      <c r="B28" s="19" t="str">
        <v>杜塞尔多夫10号仓</v>
      </c>
      <c r="C28" s="19" t="str">
        <v>交运组</v>
      </c>
      <c r="D28" s="21" t="n">
        <v>46196</v>
      </c>
      <c r="E28" s="19" t="str">
        <v>2026-06</v>
      </c>
      <c r="F28" s="19" t="str">
        <v>操作员</v>
      </c>
      <c r="G28" s="19" t="str">
        <v>德国区-灵活班次 / DE FLEX</v>
      </c>
      <c r="H28" s="19" t="str">
        <v>S000276</v>
      </c>
      <c r="I28" s="19" t="str">
        <v>Go4PrimeJobs GmbH</v>
      </c>
      <c r="J28" s="23" t="n">
        <v>10</v>
      </c>
      <c r="K28" s="23" t="n">
        <v>0</v>
      </c>
      <c r="L28" s="23" t="n">
        <f>J28+K28</f>
        <v>10</v>
      </c>
      <c r="M28" s="23" t="n">
        <v>6</v>
      </c>
      <c r="N28" s="23" t="n">
        <v>6</v>
      </c>
      <c r="O28" s="23" t="n">
        <v>3</v>
      </c>
      <c r="P28" s="23" t="n">
        <v>3</v>
      </c>
      <c r="Q28" s="23" t="n">
        <f>MIN(O28,P28)</f>
        <v>3</v>
      </c>
      <c r="R28" s="25" t="n">
        <f>IF(M28=0,0,MIN(1,L28/M28))</f>
        <v>1</v>
      </c>
      <c r="S28" s="23" t="n">
        <f>O28*R28</f>
        <v>3</v>
      </c>
      <c r="T28" s="23" t="n">
        <f>MIN(P28,S28)</f>
        <v>3</v>
      </c>
      <c r="U28" s="23" t="n">
        <f>O28-S28</f>
        <v>0</v>
      </c>
      <c r="V28" s="23" t="n">
        <f>MAX(P28-O28,0)</f>
        <v>0</v>
      </c>
    </row>
    <row r="29">
      <c r="A29" s="19" t="str">
        <v>德国区</v>
      </c>
      <c r="B29" s="19" t="str">
        <v>杜塞尔多夫10号仓</v>
      </c>
      <c r="C29" s="19" t="str">
        <v>交运组</v>
      </c>
      <c r="D29" s="21" t="n">
        <v>46196</v>
      </c>
      <c r="E29" s="19" t="str">
        <v>2026-06</v>
      </c>
      <c r="F29" s="19" t="str">
        <v>操作员</v>
      </c>
      <c r="G29" s="19" t="str">
        <v>德国区-灵活班次 / DE FLEX</v>
      </c>
      <c r="H29" s="19" t="str">
        <v>S000279</v>
      </c>
      <c r="I29" s="19" t="str">
        <v>Armz GmbH</v>
      </c>
      <c r="J29" s="23" t="n">
        <v>10</v>
      </c>
      <c r="K29" s="23" t="n">
        <v>0</v>
      </c>
      <c r="L29" s="23" t="n">
        <f>J29+K29</f>
        <v>10</v>
      </c>
      <c r="M29" s="23" t="n">
        <v>6</v>
      </c>
      <c r="N29" s="23" t="n">
        <v>6</v>
      </c>
      <c r="O29" s="23" t="n">
        <v>3</v>
      </c>
      <c r="P29" s="23" t="n">
        <v>3</v>
      </c>
      <c r="Q29" s="23" t="n">
        <f>MIN(O29,P29)</f>
        <v>3</v>
      </c>
      <c r="R29" s="25" t="n">
        <f>IF(M29=0,0,MIN(1,L29/M29))</f>
        <v>1</v>
      </c>
      <c r="S29" s="23" t="n">
        <f>O29*R29</f>
        <v>3</v>
      </c>
      <c r="T29" s="23" t="n">
        <f>MIN(P29,S29)</f>
        <v>3</v>
      </c>
      <c r="U29" s="23" t="n">
        <f>O29-S29</f>
        <v>0</v>
      </c>
      <c r="V29" s="23" t="n">
        <f>MAX(P29-O29,0)</f>
        <v>0</v>
      </c>
    </row>
    <row r="30">
      <c r="A30" s="19" t="str">
        <v>德国区</v>
      </c>
      <c r="B30" s="19" t="str">
        <v>杜塞尔多夫10号仓</v>
      </c>
      <c r="C30" s="19" t="str">
        <v>交运组</v>
      </c>
      <c r="D30" s="21" t="n">
        <v>46197</v>
      </c>
      <c r="E30" s="19" t="str">
        <v>2026-06</v>
      </c>
      <c r="F30" s="19" t="str">
        <v>操作员</v>
      </c>
      <c r="G30" s="19" t="str">
        <v>德国区-灵活班次 / DE FLEX</v>
      </c>
      <c r="H30" s="19" t="str">
        <v>S000020</v>
      </c>
      <c r="I30" s="19" t="str">
        <v>HP Personalmanagement</v>
      </c>
      <c r="J30" s="23" t="n">
        <v>5</v>
      </c>
      <c r="K30" s="23" t="n">
        <v>0</v>
      </c>
      <c r="L30" s="23" t="n">
        <f>J30+K30</f>
        <v>5</v>
      </c>
      <c r="M30" s="23" t="n">
        <v>6</v>
      </c>
      <c r="N30" s="23" t="n">
        <v>4</v>
      </c>
      <c r="O30" s="23" t="n">
        <v>4</v>
      </c>
      <c r="P30" s="23" t="n">
        <v>4</v>
      </c>
      <c r="Q30" s="23" t="n">
        <f>MIN(O30,P30)</f>
        <v>4</v>
      </c>
      <c r="R30" s="25" t="n">
        <f>IF(M30=0,0,MIN(1,L30/M30))</f>
        <v>0.8333333333333334</v>
      </c>
      <c r="S30" s="23" t="n">
        <f>O30*R30</f>
        <v>3.3333333333333335</v>
      </c>
      <c r="T30" s="23" t="n">
        <f>MIN(P30,S30)</f>
        <v>3.3333333333333335</v>
      </c>
      <c r="U30" s="23" t="n">
        <f>O30-S30</f>
        <v>0.6666666666666665</v>
      </c>
      <c r="V30" s="23" t="n">
        <f>MAX(P30-O30,0)</f>
        <v>0</v>
      </c>
    </row>
    <row r="31">
      <c r="A31" s="19" t="str">
        <v>德国区</v>
      </c>
      <c r="B31" s="19" t="str">
        <v>杜塞尔多夫10号仓</v>
      </c>
      <c r="C31" s="19" t="str">
        <v>交运组</v>
      </c>
      <c r="D31" s="21" t="n">
        <v>46197</v>
      </c>
      <c r="E31" s="19" t="str">
        <v>2026-06</v>
      </c>
      <c r="F31" s="19" t="str">
        <v>操作员</v>
      </c>
      <c r="G31" s="19" t="str">
        <v>德国区-灵活班次 / DE FLEX</v>
      </c>
      <c r="H31" s="19" t="str">
        <v>S000276</v>
      </c>
      <c r="I31" s="19" t="str">
        <v>Go4PrimeJobs GmbH</v>
      </c>
      <c r="J31" s="23" t="n">
        <v>5</v>
      </c>
      <c r="K31" s="23" t="n">
        <v>0</v>
      </c>
      <c r="L31" s="23" t="n">
        <f>J31+K31</f>
        <v>5</v>
      </c>
      <c r="M31" s="23" t="n">
        <v>6</v>
      </c>
      <c r="N31" s="23" t="n">
        <v>4</v>
      </c>
      <c r="O31" s="23" t="n">
        <v>2</v>
      </c>
      <c r="P31" s="23" t="n">
        <v>0</v>
      </c>
      <c r="Q31" s="23" t="n">
        <f>MIN(O31,P31)</f>
        <v>0</v>
      </c>
      <c r="R31" s="25" t="n">
        <f>IF(M31=0,0,MIN(1,L31/M31))</f>
        <v>0.8333333333333334</v>
      </c>
      <c r="S31" s="23" t="n">
        <f>O31*R31</f>
        <v>1.6666666666666667</v>
      </c>
      <c r="T31" s="23" t="n">
        <f>MIN(P31,S31)</f>
        <v>0</v>
      </c>
      <c r="U31" s="23" t="n">
        <f>O31-S31</f>
        <v>0.33333333333333326</v>
      </c>
      <c r="V31" s="23" t="n">
        <f>MAX(P31-O31,0)</f>
        <v>0</v>
      </c>
    </row>
    <row r="32">
      <c r="A32" s="19" t="str">
        <v>德国区</v>
      </c>
      <c r="B32" s="19" t="str">
        <v>杜塞尔多夫10号仓</v>
      </c>
      <c r="C32" s="19" t="str">
        <v>交运组</v>
      </c>
      <c r="D32" s="21" t="n">
        <v>46197</v>
      </c>
      <c r="E32" s="19" t="str">
        <v>2026-06</v>
      </c>
      <c r="F32" s="19" t="str">
        <v>操作员</v>
      </c>
      <c r="G32" s="19" t="str">
        <v>德国区7点班次</v>
      </c>
      <c r="H32" s="19" t="str">
        <v>S000191</v>
      </c>
      <c r="I32" s="19" t="str">
        <v>TimePartner Personalmanagement GmbH</v>
      </c>
      <c r="J32" s="23" t="n">
        <v>5</v>
      </c>
      <c r="K32" s="23" t="n">
        <v>0</v>
      </c>
      <c r="L32" s="23" t="n">
        <f>J32+K32</f>
        <v>5</v>
      </c>
      <c r="M32" s="23" t="n">
        <v>5</v>
      </c>
      <c r="N32" s="23" t="n">
        <v>5</v>
      </c>
      <c r="O32" s="23" t="n">
        <v>5</v>
      </c>
      <c r="P32" s="23" t="n">
        <v>5</v>
      </c>
      <c r="Q32" s="23" t="n">
        <f>MIN(O32,P32)</f>
        <v>5</v>
      </c>
      <c r="R32" s="25" t="n">
        <f>IF(M32=0,0,MIN(1,L32/M32))</f>
        <v>1</v>
      </c>
      <c r="S32" s="23" t="n">
        <f>O32*R32</f>
        <v>5</v>
      </c>
      <c r="T32" s="23" t="n">
        <f>MIN(P32,S32)</f>
        <v>5</v>
      </c>
      <c r="U32" s="23" t="n">
        <f>O32-S32</f>
        <v>0</v>
      </c>
      <c r="V32" s="23" t="n">
        <f>MAX(P32-O32,0)</f>
        <v>0</v>
      </c>
    </row>
    <row r="33">
      <c r="A33" s="19" t="str">
        <v>德国区</v>
      </c>
      <c r="B33" s="19" t="str">
        <v>杜塞尔多夫10号仓</v>
      </c>
      <c r="C33" s="19" t="str">
        <v>交运组</v>
      </c>
      <c r="D33" s="21" t="n">
        <v>46198</v>
      </c>
      <c r="E33" s="19" t="str">
        <v>2026-06</v>
      </c>
      <c r="F33" s="19" t="str">
        <v>操作员</v>
      </c>
      <c r="G33" s="19" t="str">
        <v>德国区7点班次</v>
      </c>
      <c r="H33" s="19" t="str">
        <v>S000316</v>
      </c>
      <c r="I33" s="19" t="str">
        <v>Nivux Estate e.Kfm</v>
      </c>
      <c r="J33" s="23" t="n">
        <v>3</v>
      </c>
      <c r="K33" s="23" t="n">
        <v>0</v>
      </c>
      <c r="L33" s="23" t="n">
        <f>J33+K33</f>
        <v>3</v>
      </c>
      <c r="M33" s="23" t="n">
        <v>3</v>
      </c>
      <c r="N33" s="23" t="n">
        <v>3</v>
      </c>
      <c r="O33" s="23" t="n">
        <v>3</v>
      </c>
      <c r="P33" s="23" t="n">
        <v>3</v>
      </c>
      <c r="Q33" s="23" t="n">
        <f>MIN(O33,P33)</f>
        <v>3</v>
      </c>
      <c r="R33" s="25" t="n">
        <f>IF(M33=0,0,MIN(1,L33/M33))</f>
        <v>1</v>
      </c>
      <c r="S33" s="23" t="n">
        <f>O33*R33</f>
        <v>3</v>
      </c>
      <c r="T33" s="23" t="n">
        <f>MIN(P33,S33)</f>
        <v>3</v>
      </c>
      <c r="U33" s="23" t="n">
        <f>O33-S33</f>
        <v>0</v>
      </c>
      <c r="V33" s="23" t="n">
        <f>MAX(P33-O33,0)</f>
        <v>0</v>
      </c>
    </row>
    <row r="34">
      <c r="A34" s="19" t="str">
        <v>德国区</v>
      </c>
      <c r="B34" s="19" t="str">
        <v>杜塞尔多夫10号仓</v>
      </c>
      <c r="C34" s="19" t="str">
        <v>交运组</v>
      </c>
      <c r="D34" s="21" t="n">
        <v>46199</v>
      </c>
      <c r="E34" s="19" t="str">
        <v>2026-06</v>
      </c>
      <c r="F34" s="19" t="str">
        <v>操作员</v>
      </c>
      <c r="G34" s="19" t="str">
        <v>德国区-灵活班次 / DE FLEX</v>
      </c>
      <c r="H34" s="19" t="str">
        <v>S000191</v>
      </c>
      <c r="I34" s="19" t="str">
        <v>TimePartner Personalmanagement GmbH</v>
      </c>
      <c r="J34" s="23" t="n">
        <v>5</v>
      </c>
      <c r="K34" s="23" t="n">
        <v>0</v>
      </c>
      <c r="L34" s="23" t="n">
        <f>J34+K34</f>
        <v>5</v>
      </c>
      <c r="M34" s="23" t="n">
        <v>5</v>
      </c>
      <c r="N34" s="23" t="n">
        <v>2</v>
      </c>
      <c r="O34" s="23" t="n">
        <v>2</v>
      </c>
      <c r="P34" s="23" t="n">
        <v>0</v>
      </c>
      <c r="Q34" s="23" t="n">
        <f>MIN(O34,P34)</f>
        <v>0</v>
      </c>
      <c r="R34" s="25" t="n">
        <f>IF(M34=0,0,MIN(1,L34/M34))</f>
        <v>1</v>
      </c>
      <c r="S34" s="23" t="n">
        <f>O34*R34</f>
        <v>2</v>
      </c>
      <c r="T34" s="23" t="n">
        <f>MIN(P34,S34)</f>
        <v>0</v>
      </c>
      <c r="U34" s="23" t="n">
        <f>O34-S34</f>
        <v>0</v>
      </c>
      <c r="V34" s="23" t="n">
        <f>MAX(P34-O34,0)</f>
        <v>0</v>
      </c>
    </row>
    <row r="35">
      <c r="A35" s="19" t="str">
        <v>德国区</v>
      </c>
      <c r="B35" s="19" t="str">
        <v>杜塞尔多夫10号仓</v>
      </c>
      <c r="C35" s="19" t="str">
        <v>交运组</v>
      </c>
      <c r="D35" s="21" t="n">
        <v>46199</v>
      </c>
      <c r="E35" s="19" t="str">
        <v>2026-06</v>
      </c>
      <c r="F35" s="19" t="str">
        <v>操作员</v>
      </c>
      <c r="G35" s="19" t="str">
        <v>德国区-灵活班次 / DE FLEX</v>
      </c>
      <c r="H35" s="19" t="str">
        <v>S000276</v>
      </c>
      <c r="I35" s="19" t="str">
        <v>Go4PrimeJobs GmbH</v>
      </c>
      <c r="J35" s="23" t="n">
        <v>5</v>
      </c>
      <c r="K35" s="23" t="n">
        <v>0</v>
      </c>
      <c r="L35" s="23" t="n">
        <f>J35+K35</f>
        <v>5</v>
      </c>
      <c r="M35" s="23" t="n">
        <v>5</v>
      </c>
      <c r="N35" s="23" t="n">
        <v>2</v>
      </c>
      <c r="O35" s="23" t="n">
        <v>1</v>
      </c>
      <c r="P35" s="23" t="n">
        <v>0</v>
      </c>
      <c r="Q35" s="23" t="n">
        <f>MIN(O35,P35)</f>
        <v>0</v>
      </c>
      <c r="R35" s="25" t="n">
        <f>IF(M35=0,0,MIN(1,L35/M35))</f>
        <v>1</v>
      </c>
      <c r="S35" s="23" t="n">
        <f>O35*R35</f>
        <v>1</v>
      </c>
      <c r="T35" s="23" t="n">
        <f>MIN(P35,S35)</f>
        <v>0</v>
      </c>
      <c r="U35" s="23" t="n">
        <f>O35-S35</f>
        <v>0</v>
      </c>
      <c r="V35" s="23" t="n">
        <f>MAX(P35-O35,0)</f>
        <v>0</v>
      </c>
    </row>
    <row r="36">
      <c r="A36" s="19" t="str">
        <v>德国区</v>
      </c>
      <c r="B36" s="19" t="str">
        <v>杜塞尔多夫10号仓</v>
      </c>
      <c r="C36" s="19" t="str">
        <v>交运组</v>
      </c>
      <c r="D36" s="21" t="n">
        <v>46199</v>
      </c>
      <c r="E36" s="19" t="str">
        <v>2026-06</v>
      </c>
      <c r="F36" s="19" t="str">
        <v>操作员</v>
      </c>
      <c r="G36" s="19" t="str">
        <v>德国区-灵活班次 / DE FLEX</v>
      </c>
      <c r="H36" s="19" t="str">
        <v>S000316</v>
      </c>
      <c r="I36" s="19" t="str">
        <v>Nivux Estate e.Kfm</v>
      </c>
      <c r="J36" s="23" t="n">
        <v>5</v>
      </c>
      <c r="K36" s="23" t="n">
        <v>0</v>
      </c>
      <c r="L36" s="23" t="n">
        <f>J36+K36</f>
        <v>5</v>
      </c>
      <c r="M36" s="23" t="n">
        <v>5</v>
      </c>
      <c r="N36" s="23" t="n">
        <v>2</v>
      </c>
      <c r="O36" s="23" t="n">
        <v>2</v>
      </c>
      <c r="P36" s="23" t="n">
        <v>2</v>
      </c>
      <c r="Q36" s="23" t="n">
        <f>MIN(O36,P36)</f>
        <v>2</v>
      </c>
      <c r="R36" s="25" t="n">
        <f>IF(M36=0,0,MIN(1,L36/M36))</f>
        <v>1</v>
      </c>
      <c r="S36" s="23" t="n">
        <f>O36*R36</f>
        <v>2</v>
      </c>
      <c r="T36" s="23" t="n">
        <f>MIN(P36,S36)</f>
        <v>2</v>
      </c>
      <c r="U36" s="23" t="n">
        <f>O36-S36</f>
        <v>0</v>
      </c>
      <c r="V36" s="23" t="n">
        <f>MAX(P36-O36,0)</f>
        <v>0</v>
      </c>
    </row>
    <row r="37">
      <c r="A37" s="19" t="str">
        <v>德国区</v>
      </c>
      <c r="B37" s="19" t="str">
        <v>杜塞尔多夫10号仓</v>
      </c>
      <c r="C37" s="19" t="str">
        <v>交运组</v>
      </c>
      <c r="D37" s="21" t="n">
        <v>46199</v>
      </c>
      <c r="E37" s="19" t="str">
        <v>2026-06</v>
      </c>
      <c r="F37" s="19" t="str">
        <v>操作员</v>
      </c>
      <c r="G37" s="19" t="str">
        <v>德国区7点班次</v>
      </c>
      <c r="H37" s="19" t="str">
        <v>S000316</v>
      </c>
      <c r="I37" s="19" t="str">
        <v>Nivux Estate e.Kfm</v>
      </c>
      <c r="J37" s="23" t="n">
        <v>3</v>
      </c>
      <c r="K37" s="23" t="n">
        <v>0</v>
      </c>
      <c r="L37" s="23" t="n">
        <f>J37+K37</f>
        <v>3</v>
      </c>
      <c r="M37" s="23" t="n">
        <v>3</v>
      </c>
      <c r="N37" s="23" t="n">
        <v>3</v>
      </c>
      <c r="O37" s="23" t="n">
        <v>3</v>
      </c>
      <c r="P37" s="23" t="n">
        <v>3</v>
      </c>
      <c r="Q37" s="23" t="n">
        <f>MIN(O37,P37)</f>
        <v>3</v>
      </c>
      <c r="R37" s="25" t="n">
        <f>IF(M37=0,0,MIN(1,L37/M37))</f>
        <v>1</v>
      </c>
      <c r="S37" s="23" t="n">
        <f>O37*R37</f>
        <v>3</v>
      </c>
      <c r="T37" s="23" t="n">
        <f>MIN(P37,S37)</f>
        <v>3</v>
      </c>
      <c r="U37" s="23" t="n">
        <f>O37-S37</f>
        <v>0</v>
      </c>
      <c r="V37" s="23" t="n">
        <f>MAX(P37-O37,0)</f>
        <v>0</v>
      </c>
    </row>
    <row r="38">
      <c r="A38" s="19" t="str">
        <v>德国区</v>
      </c>
      <c r="B38" s="19" t="str">
        <v>杜塞尔多夫10号仓</v>
      </c>
      <c r="C38" s="19" t="str">
        <v>入库组</v>
      </c>
      <c r="D38" s="21" t="n">
        <v>46135</v>
      </c>
      <c r="E38" s="19" t="str">
        <v>2026-04</v>
      </c>
      <c r="F38" s="19" t="str">
        <v>操作员</v>
      </c>
      <c r="G38" s="19" t="str">
        <v>德国区-灵活班次 / DE FLEX</v>
      </c>
      <c r="H38" s="19" t="str">
        <v>S000316</v>
      </c>
      <c r="I38" s="19" t="str">
        <v>Nivux Estate e.Kfm</v>
      </c>
      <c r="J38" s="23" t="n">
        <v>2</v>
      </c>
      <c r="K38" s="23" t="n">
        <v>0</v>
      </c>
      <c r="L38" s="23" t="n">
        <f>J38+K38</f>
        <v>2</v>
      </c>
      <c r="M38" s="23" t="n">
        <v>2</v>
      </c>
      <c r="N38" s="23" t="n">
        <v>2</v>
      </c>
      <c r="O38" s="23" t="n">
        <v>2</v>
      </c>
      <c r="P38" s="23" t="n">
        <v>2</v>
      </c>
      <c r="Q38" s="23" t="n">
        <f>MIN(O38,P38)</f>
        <v>2</v>
      </c>
      <c r="R38" s="25" t="n">
        <f>IF(M38=0,0,MIN(1,L38/M38))</f>
        <v>1</v>
      </c>
      <c r="S38" s="23" t="n">
        <f>O38*R38</f>
        <v>2</v>
      </c>
      <c r="T38" s="23" t="n">
        <f>MIN(P38,S38)</f>
        <v>2</v>
      </c>
      <c r="U38" s="23" t="n">
        <f>O38-S38</f>
        <v>0</v>
      </c>
      <c r="V38" s="23" t="n">
        <f>MAX(P38-O38,0)</f>
        <v>0</v>
      </c>
    </row>
    <row r="39">
      <c r="A39" s="19" t="str">
        <v>德国区</v>
      </c>
      <c r="B39" s="19" t="str">
        <v>杜塞尔多夫10号仓</v>
      </c>
      <c r="C39" s="19" t="str">
        <v>入库组</v>
      </c>
      <c r="D39" s="21" t="n">
        <v>46136</v>
      </c>
      <c r="E39" s="19" t="str">
        <v>2026-04</v>
      </c>
      <c r="F39" s="19" t="str">
        <v>操作员</v>
      </c>
      <c r="G39" s="19" t="str">
        <v>德国区-灵活班次 / DE FLEX</v>
      </c>
      <c r="H39" s="19" t="str">
        <v>S000316</v>
      </c>
      <c r="I39" s="19" t="str">
        <v>Nivux Estate e.Kfm</v>
      </c>
      <c r="J39" s="23" t="n">
        <v>2</v>
      </c>
      <c r="K39" s="23" t="n">
        <v>0</v>
      </c>
      <c r="L39" s="23" t="n">
        <f>J39+K39</f>
        <v>2</v>
      </c>
      <c r="M39" s="23" t="n">
        <v>2</v>
      </c>
      <c r="N39" s="23" t="n">
        <v>2</v>
      </c>
      <c r="O39" s="23" t="n">
        <v>2</v>
      </c>
      <c r="P39" s="23" t="n">
        <v>2</v>
      </c>
      <c r="Q39" s="23" t="n">
        <f>MIN(O39,P39)</f>
        <v>2</v>
      </c>
      <c r="R39" s="25" t="n">
        <f>IF(M39=0,0,MIN(1,L39/M39))</f>
        <v>1</v>
      </c>
      <c r="S39" s="23" t="n">
        <f>O39*R39</f>
        <v>2</v>
      </c>
      <c r="T39" s="23" t="n">
        <f>MIN(P39,S39)</f>
        <v>2</v>
      </c>
      <c r="U39" s="23" t="n">
        <f>O39-S39</f>
        <v>0</v>
      </c>
      <c r="V39" s="23" t="n">
        <f>MAX(P39-O39,0)</f>
        <v>0</v>
      </c>
    </row>
    <row r="40">
      <c r="A40" s="19" t="str">
        <v>德国区</v>
      </c>
      <c r="B40" s="19" t="str">
        <v>杜塞尔多夫10号仓</v>
      </c>
      <c r="C40" s="19" t="str">
        <v>入库组</v>
      </c>
      <c r="D40" s="21" t="n">
        <v>46157</v>
      </c>
      <c r="E40" s="19" t="str">
        <v>2026-05</v>
      </c>
      <c r="F40" s="19" t="str">
        <v>操作员</v>
      </c>
      <c r="G40" s="19" t="str">
        <v>德国区-灵活班次 / DE FLEX</v>
      </c>
      <c r="H40" s="19" t="str">
        <v>S000327</v>
      </c>
      <c r="I40" s="19" t="str">
        <v>Gohar GmbH</v>
      </c>
      <c r="J40" s="23" t="n">
        <v>1</v>
      </c>
      <c r="K40" s="23" t="n">
        <v>0</v>
      </c>
      <c r="L40" s="23" t="n">
        <f>J40+K40</f>
        <v>1</v>
      </c>
      <c r="M40" s="23" t="n">
        <v>1</v>
      </c>
      <c r="N40" s="23" t="n">
        <v>1</v>
      </c>
      <c r="O40" s="23" t="n">
        <v>1</v>
      </c>
      <c r="P40" s="23" t="n">
        <v>1</v>
      </c>
      <c r="Q40" s="23" t="n">
        <f>MIN(O40,P40)</f>
        <v>1</v>
      </c>
      <c r="R40" s="25" t="n">
        <f>IF(M40=0,0,MIN(1,L40/M40))</f>
        <v>1</v>
      </c>
      <c r="S40" s="23" t="n">
        <f>O40*R40</f>
        <v>1</v>
      </c>
      <c r="T40" s="23" t="n">
        <f>MIN(P40,S40)</f>
        <v>1</v>
      </c>
      <c r="U40" s="23" t="n">
        <f>O40-S40</f>
        <v>0</v>
      </c>
      <c r="V40" s="23" t="n">
        <f>MAX(P40-O40,0)</f>
        <v>0</v>
      </c>
    </row>
    <row r="41">
      <c r="A41" s="19" t="str">
        <v>德国区</v>
      </c>
      <c r="B41" s="19" t="str">
        <v>杜塞尔多夫10号仓</v>
      </c>
      <c r="C41" s="19" t="str">
        <v>入库组</v>
      </c>
      <c r="D41" s="21" t="n">
        <v>46160</v>
      </c>
      <c r="E41" s="19" t="str">
        <v>2026-05</v>
      </c>
      <c r="F41" s="19" t="str">
        <v>操作员</v>
      </c>
      <c r="G41" s="19" t="str">
        <v>德国区-灵活班次 / DE FLEX</v>
      </c>
      <c r="H41" s="19" t="str">
        <v>S000086</v>
      </c>
      <c r="I41" s="19" t="str">
        <v>Topjob Zeitarbeit GmbH</v>
      </c>
      <c r="J41" s="23" t="n">
        <v>1</v>
      </c>
      <c r="K41" s="23" t="n">
        <v>0</v>
      </c>
      <c r="L41" s="23" t="n">
        <f>J41+K41</f>
        <v>1</v>
      </c>
      <c r="M41" s="23" t="n">
        <v>2</v>
      </c>
      <c r="N41" s="23" t="n">
        <v>1</v>
      </c>
      <c r="O41" s="23" t="n">
        <v>1</v>
      </c>
      <c r="P41" s="23" t="n">
        <v>1</v>
      </c>
      <c r="Q41" s="23" t="n">
        <f>MIN(O41,P41)</f>
        <v>1</v>
      </c>
      <c r="R41" s="25" t="n">
        <f>IF(M41=0,0,MIN(1,L41/M41))</f>
        <v>0.5</v>
      </c>
      <c r="S41" s="23" t="n">
        <f>O41*R41</f>
        <v>0.5</v>
      </c>
      <c r="T41" s="23" t="n">
        <f>MIN(P41,S41)</f>
        <v>0.5</v>
      </c>
      <c r="U41" s="23" t="n">
        <f>O41-S41</f>
        <v>0.5</v>
      </c>
      <c r="V41" s="23" t="n">
        <f>MAX(P41-O41,0)</f>
        <v>0</v>
      </c>
    </row>
    <row r="42">
      <c r="A42" s="19" t="str">
        <v>德国区</v>
      </c>
      <c r="B42" s="19" t="str">
        <v>杜塞尔多夫10号仓</v>
      </c>
      <c r="C42" s="19" t="str">
        <v>入库组</v>
      </c>
      <c r="D42" s="21" t="n">
        <v>46160</v>
      </c>
      <c r="E42" s="19" t="str">
        <v>2026-05</v>
      </c>
      <c r="F42" s="19" t="str">
        <v>操作员</v>
      </c>
      <c r="G42" s="19" t="str">
        <v>德国区-灵活班次 / DE FLEX</v>
      </c>
      <c r="H42" s="19" t="str">
        <v>S000276</v>
      </c>
      <c r="I42" s="19" t="str">
        <v>Go4PrimeJobs GmbH</v>
      </c>
      <c r="J42" s="23" t="n">
        <v>1</v>
      </c>
      <c r="K42" s="23" t="n">
        <v>0</v>
      </c>
      <c r="L42" s="23" t="n">
        <f>J42+K42</f>
        <v>1</v>
      </c>
      <c r="M42" s="23" t="n">
        <v>2</v>
      </c>
      <c r="N42" s="23" t="n">
        <v>1</v>
      </c>
      <c r="O42" s="23" t="n">
        <v>1</v>
      </c>
      <c r="P42" s="23" t="n">
        <v>0</v>
      </c>
      <c r="Q42" s="23" t="n">
        <f>MIN(O42,P42)</f>
        <v>0</v>
      </c>
      <c r="R42" s="25" t="n">
        <f>IF(M42=0,0,MIN(1,L42/M42))</f>
        <v>0.5</v>
      </c>
      <c r="S42" s="23" t="n">
        <f>O42*R42</f>
        <v>0.5</v>
      </c>
      <c r="T42" s="23" t="n">
        <f>MIN(P42,S42)</f>
        <v>0</v>
      </c>
      <c r="U42" s="23" t="n">
        <f>O42-S42</f>
        <v>0.5</v>
      </c>
      <c r="V42" s="23" t="n">
        <f>MAX(P42-O42,0)</f>
        <v>0</v>
      </c>
    </row>
    <row r="43">
      <c r="A43" s="19" t="str">
        <v>德国区</v>
      </c>
      <c r="B43" s="19" t="str">
        <v>杜塞尔多夫10号仓</v>
      </c>
      <c r="C43" s="19" t="str">
        <v>入库组</v>
      </c>
      <c r="D43" s="21" t="n">
        <v>46175</v>
      </c>
      <c r="E43" s="19" t="str">
        <v>2026-06</v>
      </c>
      <c r="F43" s="19" t="str">
        <v>操作员</v>
      </c>
      <c r="G43" s="19" t="str">
        <v>德国区-灵活班次 / DE FLEX</v>
      </c>
      <c r="H43" s="19" t="str">
        <v>S000191</v>
      </c>
      <c r="I43" s="19" t="str">
        <v>TimePartner Personalmanagement GmbH</v>
      </c>
      <c r="J43" s="23" t="n">
        <v>2</v>
      </c>
      <c r="K43" s="23" t="n">
        <v>3</v>
      </c>
      <c r="L43" s="23" t="n">
        <f>J43+K43</f>
        <v>5</v>
      </c>
      <c r="M43" s="23" t="n">
        <v>3</v>
      </c>
      <c r="N43" s="23" t="n">
        <v>3</v>
      </c>
      <c r="O43" s="23" t="n">
        <v>1</v>
      </c>
      <c r="P43" s="23" t="n">
        <v>1</v>
      </c>
      <c r="Q43" s="23" t="n">
        <f>MIN(O43,P43)</f>
        <v>1</v>
      </c>
      <c r="R43" s="25" t="n">
        <f>IF(M43=0,0,MIN(1,L43/M43))</f>
        <v>1</v>
      </c>
      <c r="S43" s="23" t="n">
        <f>O43*R43</f>
        <v>1</v>
      </c>
      <c r="T43" s="23" t="n">
        <f>MIN(P43,S43)</f>
        <v>1</v>
      </c>
      <c r="U43" s="23" t="n">
        <f>O43-S43</f>
        <v>0</v>
      </c>
      <c r="V43" s="23" t="n">
        <f>MAX(P43-O43,0)</f>
        <v>0</v>
      </c>
    </row>
    <row r="44">
      <c r="A44" s="19" t="str">
        <v>德国区</v>
      </c>
      <c r="B44" s="19" t="str">
        <v>杜塞尔多夫10号仓</v>
      </c>
      <c r="C44" s="19" t="str">
        <v>入库组</v>
      </c>
      <c r="D44" s="21" t="n">
        <v>46175</v>
      </c>
      <c r="E44" s="19" t="str">
        <v>2026-06</v>
      </c>
      <c r="F44" s="19" t="str">
        <v>操作员</v>
      </c>
      <c r="G44" s="19" t="str">
        <v>德国区-灵活班次 / DE FLEX</v>
      </c>
      <c r="H44" s="19" t="str">
        <v>S000279</v>
      </c>
      <c r="I44" s="19" t="str">
        <v>Armz GmbH</v>
      </c>
      <c r="J44" s="23" t="n">
        <v>2</v>
      </c>
      <c r="K44" s="23" t="n">
        <v>3</v>
      </c>
      <c r="L44" s="23" t="n">
        <f>J44+K44</f>
        <v>5</v>
      </c>
      <c r="M44" s="23" t="n">
        <v>3</v>
      </c>
      <c r="N44" s="23" t="n">
        <v>3</v>
      </c>
      <c r="O44" s="23" t="n">
        <v>2</v>
      </c>
      <c r="P44" s="23" t="n">
        <v>2</v>
      </c>
      <c r="Q44" s="23" t="n">
        <f>MIN(O44,P44)</f>
        <v>2</v>
      </c>
      <c r="R44" s="25" t="n">
        <f>IF(M44=0,0,MIN(1,L44/M44))</f>
        <v>1</v>
      </c>
      <c r="S44" s="23" t="n">
        <f>O44*R44</f>
        <v>2</v>
      </c>
      <c r="T44" s="23" t="n">
        <f>MIN(P44,S44)</f>
        <v>2</v>
      </c>
      <c r="U44" s="23" t="n">
        <f>O44-S44</f>
        <v>0</v>
      </c>
      <c r="V44" s="23" t="n">
        <f>MAX(P44-O44,0)</f>
        <v>0</v>
      </c>
    </row>
    <row r="45">
      <c r="A45" s="19" t="str">
        <v>德国区</v>
      </c>
      <c r="B45" s="19" t="str">
        <v>杜塞尔多夫10号仓</v>
      </c>
      <c r="C45" s="19" t="str">
        <v>包装组</v>
      </c>
      <c r="D45" s="21" t="n">
        <v>46139</v>
      </c>
      <c r="E45" s="19" t="str">
        <v>2026-04</v>
      </c>
      <c r="F45" s="19" t="str">
        <v>操作员</v>
      </c>
      <c r="G45" s="19" t="str">
        <v>德国区-灵活班次 / DE FLEX</v>
      </c>
      <c r="H45" s="19" t="str">
        <v>S000279</v>
      </c>
      <c r="I45" s="19" t="str">
        <v>Armz GmbH</v>
      </c>
      <c r="J45" s="23" t="n">
        <v>2</v>
      </c>
      <c r="K45" s="23" t="n">
        <v>0</v>
      </c>
      <c r="L45" s="23" t="n">
        <f>J45+K45</f>
        <v>2</v>
      </c>
      <c r="M45" s="23" t="n">
        <v>2</v>
      </c>
      <c r="N45" s="23" t="n">
        <v>2</v>
      </c>
      <c r="O45" s="23" t="n">
        <v>2</v>
      </c>
      <c r="P45" s="23" t="n">
        <v>2</v>
      </c>
      <c r="Q45" s="23" t="n">
        <f>MIN(O45,P45)</f>
        <v>2</v>
      </c>
      <c r="R45" s="25" t="n">
        <f>IF(M45=0,0,MIN(1,L45/M45))</f>
        <v>1</v>
      </c>
      <c r="S45" s="23" t="n">
        <f>O45*R45</f>
        <v>2</v>
      </c>
      <c r="T45" s="23" t="n">
        <f>MIN(P45,S45)</f>
        <v>2</v>
      </c>
      <c r="U45" s="23" t="n">
        <f>O45-S45</f>
        <v>0</v>
      </c>
      <c r="V45" s="23" t="n">
        <f>MAX(P45-O45,0)</f>
        <v>0</v>
      </c>
    </row>
    <row r="46">
      <c r="A46" s="19" t="str">
        <v>德国区</v>
      </c>
      <c r="B46" s="19" t="str">
        <v>杜塞尔多夫10号仓</v>
      </c>
      <c r="C46" s="19" t="str">
        <v>包装组</v>
      </c>
      <c r="D46" s="21" t="n">
        <v>46142</v>
      </c>
      <c r="E46" s="19" t="str">
        <v>2026-04</v>
      </c>
      <c r="F46" s="19" t="str">
        <v>操作员</v>
      </c>
      <c r="G46" s="19" t="str">
        <v>德国区-灵活班次 / DE FLEX</v>
      </c>
      <c r="H46" s="19" t="str">
        <v>S000261</v>
      </c>
      <c r="I46" s="19" t="str">
        <v>ProQuality GmbH</v>
      </c>
      <c r="J46" s="23" t="n">
        <v>2</v>
      </c>
      <c r="K46" s="23" t="n">
        <v>0</v>
      </c>
      <c r="L46" s="23" t="n">
        <f>J46+K46</f>
        <v>2</v>
      </c>
      <c r="M46" s="23" t="n">
        <v>2</v>
      </c>
      <c r="N46" s="23" t="n">
        <v>2</v>
      </c>
      <c r="O46" s="23" t="n">
        <v>2</v>
      </c>
      <c r="P46" s="23" t="n">
        <v>2</v>
      </c>
      <c r="Q46" s="23" t="n">
        <f>MIN(O46,P46)</f>
        <v>2</v>
      </c>
      <c r="R46" s="25" t="n">
        <f>IF(M46=0,0,MIN(1,L46/M46))</f>
        <v>1</v>
      </c>
      <c r="S46" s="23" t="n">
        <f>O46*R46</f>
        <v>2</v>
      </c>
      <c r="T46" s="23" t="n">
        <f>MIN(P46,S46)</f>
        <v>2</v>
      </c>
      <c r="U46" s="23" t="n">
        <f>O46-S46</f>
        <v>0</v>
      </c>
      <c r="V46" s="23" t="n">
        <f>MAX(P46-O46,0)</f>
        <v>0</v>
      </c>
    </row>
    <row r="47">
      <c r="A47" s="19" t="str">
        <v>德国区</v>
      </c>
      <c r="B47" s="19" t="str">
        <v>杜塞尔多夫10号仓</v>
      </c>
      <c r="C47" s="19" t="str">
        <v>理货组</v>
      </c>
      <c r="D47" s="21" t="n">
        <v>46160</v>
      </c>
      <c r="E47" s="19" t="str">
        <v>2026-05</v>
      </c>
      <c r="F47" s="19" t="str">
        <v>保洁员</v>
      </c>
      <c r="G47" s="19" t="str">
        <v>德国区-灵活班次 / DE FLEX</v>
      </c>
      <c r="H47" s="19" t="str">
        <v>S000276</v>
      </c>
      <c r="I47" s="19" t="str">
        <v>Go4PrimeJobs GmbH</v>
      </c>
      <c r="J47" s="23" t="n">
        <v>1</v>
      </c>
      <c r="K47" s="23" t="n">
        <v>0</v>
      </c>
      <c r="L47" s="23" t="n">
        <f>J47+K47</f>
        <v>1</v>
      </c>
      <c r="M47" s="23" t="n">
        <v>1</v>
      </c>
      <c r="N47" s="23" t="n">
        <v>1</v>
      </c>
      <c r="O47" s="23" t="n">
        <v>1</v>
      </c>
      <c r="P47" s="23" t="n">
        <v>1</v>
      </c>
      <c r="Q47" s="23" t="n">
        <f>MIN(O47,P47)</f>
        <v>1</v>
      </c>
      <c r="R47" s="25" t="n">
        <f>IF(M47=0,0,MIN(1,L47/M47))</f>
        <v>1</v>
      </c>
      <c r="S47" s="23" t="n">
        <f>O47*R47</f>
        <v>1</v>
      </c>
      <c r="T47" s="23" t="n">
        <f>MIN(P47,S47)</f>
        <v>1</v>
      </c>
      <c r="U47" s="23" t="n">
        <f>O47-S47</f>
        <v>0</v>
      </c>
      <c r="V47" s="23" t="n">
        <f>MAX(P47-O47,0)</f>
        <v>0</v>
      </c>
    </row>
    <row r="48">
      <c r="A48" s="19" t="str">
        <v>德国区</v>
      </c>
      <c r="B48" s="19" t="str">
        <v>杜塞尔多夫10号仓</v>
      </c>
      <c r="C48" s="19" t="str">
        <v>理货组</v>
      </c>
      <c r="D48" s="21" t="n">
        <v>46169</v>
      </c>
      <c r="E48" s="19" t="str">
        <v>2026-05</v>
      </c>
      <c r="F48" s="19" t="str">
        <v>保洁员</v>
      </c>
      <c r="G48" s="19" t="str">
        <v>德国区-灵活班次 / DE FLEX</v>
      </c>
      <c r="H48" s="19" t="str">
        <v>S000276</v>
      </c>
      <c r="I48" s="19" t="str">
        <v>Go4PrimeJobs GmbH</v>
      </c>
      <c r="J48" s="23" t="n">
        <v>1</v>
      </c>
      <c r="K48" s="23" t="n">
        <v>0</v>
      </c>
      <c r="L48" s="23" t="n">
        <f>J48+K48</f>
        <v>1</v>
      </c>
      <c r="M48" s="23" t="n">
        <v>1</v>
      </c>
      <c r="N48" s="23" t="n">
        <v>1</v>
      </c>
      <c r="O48" s="23" t="n">
        <v>1</v>
      </c>
      <c r="P48" s="23" t="n">
        <v>1</v>
      </c>
      <c r="Q48" s="23" t="n">
        <f>MIN(O48,P48)</f>
        <v>1</v>
      </c>
      <c r="R48" s="25" t="n">
        <f>IF(M48=0,0,MIN(1,L48/M48))</f>
        <v>1</v>
      </c>
      <c r="S48" s="23" t="n">
        <f>O48*R48</f>
        <v>1</v>
      </c>
      <c r="T48" s="23" t="n">
        <f>MIN(P48,S48)</f>
        <v>1</v>
      </c>
      <c r="U48" s="23" t="n">
        <f>O48-S48</f>
        <v>0</v>
      </c>
      <c r="V48" s="23" t="n">
        <f>MAX(P48-O48,0)</f>
        <v>0</v>
      </c>
    </row>
    <row r="49">
      <c r="A49" s="19" t="str">
        <v>德国区</v>
      </c>
      <c r="B49" s="19" t="str">
        <v>杜塞尔多夫11号仓</v>
      </c>
      <c r="C49" s="19" t="str">
        <v>交运组</v>
      </c>
      <c r="D49" s="21" t="n">
        <v>46136</v>
      </c>
      <c r="E49" s="19" t="str">
        <v>2026-04</v>
      </c>
      <c r="F49" s="19" t="str">
        <v>操作员</v>
      </c>
      <c r="G49" s="19" t="str">
        <v>德国区-灵活班次 / DE FLEX</v>
      </c>
      <c r="H49" s="19" t="str">
        <v>S000279</v>
      </c>
      <c r="I49" s="19" t="str">
        <v>Armz GmbH</v>
      </c>
      <c r="J49" s="23" t="n">
        <v>1</v>
      </c>
      <c r="K49" s="23" t="n">
        <v>0</v>
      </c>
      <c r="L49" s="23" t="n">
        <f>J49+K49</f>
        <v>1</v>
      </c>
      <c r="M49" s="23" t="n">
        <v>1</v>
      </c>
      <c r="N49" s="23" t="n">
        <v>1</v>
      </c>
      <c r="O49" s="23" t="n">
        <v>1</v>
      </c>
      <c r="P49" s="23" t="n">
        <v>1</v>
      </c>
      <c r="Q49" s="23" t="n">
        <f>MIN(O49,P49)</f>
        <v>1</v>
      </c>
      <c r="R49" s="25" t="n">
        <f>IF(M49=0,0,MIN(1,L49/M49))</f>
        <v>1</v>
      </c>
      <c r="S49" s="23" t="n">
        <f>O49*R49</f>
        <v>1</v>
      </c>
      <c r="T49" s="23" t="n">
        <f>MIN(P49,S49)</f>
        <v>1</v>
      </c>
      <c r="U49" s="23" t="n">
        <f>O49-S49</f>
        <v>0</v>
      </c>
      <c r="V49" s="23" t="n">
        <f>MAX(P49-O49,0)</f>
        <v>0</v>
      </c>
    </row>
    <row r="50">
      <c r="A50" s="19" t="str">
        <v>德国区</v>
      </c>
      <c r="B50" s="19" t="str">
        <v>杜塞尔多夫11号仓</v>
      </c>
      <c r="C50" s="19" t="str">
        <v>交运组</v>
      </c>
      <c r="D50" s="21" t="n">
        <v>46139</v>
      </c>
      <c r="E50" s="19" t="str">
        <v>2026-04</v>
      </c>
      <c r="F50" s="19" t="str">
        <v>操作员</v>
      </c>
      <c r="G50" s="19" t="str">
        <v>德国区-灵活班次 / DE FLEX</v>
      </c>
      <c r="H50" s="19" t="str">
        <v>S000276</v>
      </c>
      <c r="I50" s="19" t="str">
        <v>Go4PrimeJobs GmbH</v>
      </c>
      <c r="J50" s="23" t="n">
        <v>4</v>
      </c>
      <c r="K50" s="23" t="n">
        <v>0</v>
      </c>
      <c r="L50" s="23" t="n">
        <f>J50+K50</f>
        <v>4</v>
      </c>
      <c r="M50" s="23" t="n">
        <v>4</v>
      </c>
      <c r="N50" s="23" t="n">
        <v>4</v>
      </c>
      <c r="O50" s="23" t="n">
        <v>4</v>
      </c>
      <c r="P50" s="23" t="n">
        <v>4</v>
      </c>
      <c r="Q50" s="23" t="n">
        <f>MIN(O50,P50)</f>
        <v>4</v>
      </c>
      <c r="R50" s="25" t="n">
        <f>IF(M50=0,0,MIN(1,L50/M50))</f>
        <v>1</v>
      </c>
      <c r="S50" s="23" t="n">
        <f>O50*R50</f>
        <v>4</v>
      </c>
      <c r="T50" s="23" t="n">
        <f>MIN(P50,S50)</f>
        <v>4</v>
      </c>
      <c r="U50" s="23" t="n">
        <f>O50-S50</f>
        <v>0</v>
      </c>
      <c r="V50" s="23" t="n">
        <f>MAX(P50-O50,0)</f>
        <v>0</v>
      </c>
    </row>
    <row r="51">
      <c r="A51" s="19" t="str">
        <v>德国区</v>
      </c>
      <c r="B51" s="19" t="str">
        <v>杜塞尔多夫11号仓</v>
      </c>
      <c r="C51" s="19" t="str">
        <v>交运组</v>
      </c>
      <c r="D51" s="21" t="n">
        <v>46141</v>
      </c>
      <c r="E51" s="19" t="str">
        <v>2026-04</v>
      </c>
      <c r="F51" s="19" t="str">
        <v>操作员</v>
      </c>
      <c r="G51" s="19" t="str">
        <v>德国区-灵活班次 / DE FLEX</v>
      </c>
      <c r="H51" s="19" t="str">
        <v>S000020</v>
      </c>
      <c r="I51" s="19" t="str">
        <v>HP Personalmanagement</v>
      </c>
      <c r="J51" s="23" t="n">
        <v>2</v>
      </c>
      <c r="K51" s="23" t="n">
        <v>0</v>
      </c>
      <c r="L51" s="23" t="n">
        <f>J51+K51</f>
        <v>2</v>
      </c>
      <c r="M51" s="23" t="n">
        <v>2</v>
      </c>
      <c r="N51" s="23" t="n">
        <v>1</v>
      </c>
      <c r="O51" s="23" t="n">
        <v>1</v>
      </c>
      <c r="P51" s="23" t="n">
        <v>0</v>
      </c>
      <c r="Q51" s="23" t="n">
        <f>MIN(O51,P51)</f>
        <v>0</v>
      </c>
      <c r="R51" s="25" t="n">
        <f>IF(M51=0,0,MIN(1,L51/M51))</f>
        <v>1</v>
      </c>
      <c r="S51" s="23" t="n">
        <f>O51*R51</f>
        <v>1</v>
      </c>
      <c r="T51" s="23" t="n">
        <f>MIN(P51,S51)</f>
        <v>0</v>
      </c>
      <c r="U51" s="23" t="n">
        <f>O51-S51</f>
        <v>0</v>
      </c>
      <c r="V51" s="23" t="n">
        <f>MAX(P51-O51,0)</f>
        <v>0</v>
      </c>
    </row>
    <row r="52">
      <c r="A52" s="19" t="str">
        <v>德国区</v>
      </c>
      <c r="B52" s="19" t="str">
        <v>杜塞尔多夫11号仓</v>
      </c>
      <c r="C52" s="19" t="str">
        <v>交运组</v>
      </c>
      <c r="D52" s="21" t="n">
        <v>46141</v>
      </c>
      <c r="E52" s="19" t="str">
        <v>2026-04</v>
      </c>
      <c r="F52" s="19" t="str">
        <v>操作员</v>
      </c>
      <c r="G52" s="19" t="str">
        <v>德国区-灵活班次 / DE FLEX</v>
      </c>
      <c r="H52" s="19" t="str">
        <v>S000279</v>
      </c>
      <c r="I52" s="19" t="str">
        <v>Armz GmbH</v>
      </c>
      <c r="J52" s="23" t="n">
        <v>2</v>
      </c>
      <c r="K52" s="23" t="n">
        <v>0</v>
      </c>
      <c r="L52" s="23" t="n">
        <f>J52+K52</f>
        <v>2</v>
      </c>
      <c r="M52" s="23" t="n">
        <v>2</v>
      </c>
      <c r="N52" s="23" t="n">
        <v>1</v>
      </c>
      <c r="O52" s="23" t="n">
        <v>1</v>
      </c>
      <c r="P52" s="23" t="n">
        <v>1</v>
      </c>
      <c r="Q52" s="23" t="n">
        <f>MIN(O52,P52)</f>
        <v>1</v>
      </c>
      <c r="R52" s="25" t="n">
        <f>IF(M52=0,0,MIN(1,L52/M52))</f>
        <v>1</v>
      </c>
      <c r="S52" s="23" t="n">
        <f>O52*R52</f>
        <v>1</v>
      </c>
      <c r="T52" s="23" t="n">
        <f>MIN(P52,S52)</f>
        <v>1</v>
      </c>
      <c r="U52" s="23" t="n">
        <f>O52-S52</f>
        <v>0</v>
      </c>
      <c r="V52" s="23" t="n">
        <f>MAX(P52-O52,0)</f>
        <v>0</v>
      </c>
    </row>
    <row r="53">
      <c r="A53" s="19" t="str">
        <v>德国区</v>
      </c>
      <c r="B53" s="19" t="str">
        <v>杜塞尔多夫11号仓</v>
      </c>
      <c r="C53" s="19" t="str">
        <v>交运组</v>
      </c>
      <c r="D53" s="21" t="n">
        <v>46148</v>
      </c>
      <c r="E53" s="19" t="str">
        <v>2026-05</v>
      </c>
      <c r="F53" s="19" t="str">
        <v>操作员</v>
      </c>
      <c r="G53" s="19" t="str">
        <v>德国区-灵活班次 / DE FLEX</v>
      </c>
      <c r="H53" s="19" t="str">
        <v>S000279</v>
      </c>
      <c r="I53" s="19" t="str">
        <v>Armz GmbH</v>
      </c>
      <c r="J53" s="23" t="n">
        <v>3</v>
      </c>
      <c r="K53" s="23" t="n">
        <v>0</v>
      </c>
      <c r="L53" s="23" t="n">
        <f>J53+K53</f>
        <v>3</v>
      </c>
      <c r="M53" s="23" t="n">
        <v>3</v>
      </c>
      <c r="N53" s="23" t="n">
        <v>3</v>
      </c>
      <c r="O53" s="23" t="n">
        <v>3</v>
      </c>
      <c r="P53" s="23" t="n">
        <v>3</v>
      </c>
      <c r="Q53" s="23" t="n">
        <f>MIN(O53,P53)</f>
        <v>3</v>
      </c>
      <c r="R53" s="25" t="n">
        <f>IF(M53=0,0,MIN(1,L53/M53))</f>
        <v>1</v>
      </c>
      <c r="S53" s="23" t="n">
        <f>O53*R53</f>
        <v>3</v>
      </c>
      <c r="T53" s="23" t="n">
        <f>MIN(P53,S53)</f>
        <v>3</v>
      </c>
      <c r="U53" s="23" t="n">
        <f>O53-S53</f>
        <v>0</v>
      </c>
      <c r="V53" s="23" t="n">
        <f>MAX(P53-O53,0)</f>
        <v>0</v>
      </c>
    </row>
    <row r="54">
      <c r="A54" s="19" t="str">
        <v>德国区</v>
      </c>
      <c r="B54" s="19" t="str">
        <v>杜塞尔多夫11号仓</v>
      </c>
      <c r="C54" s="19" t="str">
        <v>交运组</v>
      </c>
      <c r="D54" s="21" t="n">
        <v>46149</v>
      </c>
      <c r="E54" s="19" t="str">
        <v>2026-05</v>
      </c>
      <c r="F54" s="19" t="str">
        <v>操作员</v>
      </c>
      <c r="G54" s="19" t="str">
        <v>德国区-灵活班次 / DE FLEX</v>
      </c>
      <c r="H54" s="19" t="str">
        <v>S000279</v>
      </c>
      <c r="I54" s="19" t="str">
        <v>Armz GmbH</v>
      </c>
      <c r="J54" s="23" t="n">
        <v>3</v>
      </c>
      <c r="K54" s="23" t="n">
        <v>0</v>
      </c>
      <c r="L54" s="23" t="n">
        <f>J54+K54</f>
        <v>3</v>
      </c>
      <c r="M54" s="23" t="n">
        <v>3</v>
      </c>
      <c r="N54" s="23" t="n">
        <v>3</v>
      </c>
      <c r="O54" s="23" t="n">
        <v>3</v>
      </c>
      <c r="P54" s="23" t="n">
        <v>3</v>
      </c>
      <c r="Q54" s="23" t="n">
        <f>MIN(O54,P54)</f>
        <v>3</v>
      </c>
      <c r="R54" s="25" t="n">
        <f>IF(M54=0,0,MIN(1,L54/M54))</f>
        <v>1</v>
      </c>
      <c r="S54" s="23" t="n">
        <f>O54*R54</f>
        <v>3</v>
      </c>
      <c r="T54" s="23" t="n">
        <f>MIN(P54,S54)</f>
        <v>3</v>
      </c>
      <c r="U54" s="23" t="n">
        <f>O54-S54</f>
        <v>0</v>
      </c>
      <c r="V54" s="23" t="n">
        <f>MAX(P54-O54,0)</f>
        <v>0</v>
      </c>
    </row>
    <row r="55">
      <c r="A55" s="19" t="str">
        <v>德国区</v>
      </c>
      <c r="B55" s="19" t="str">
        <v>杜塞尔多夫11号仓</v>
      </c>
      <c r="C55" s="19" t="str">
        <v>交运组</v>
      </c>
      <c r="D55" s="21" t="n">
        <v>46161</v>
      </c>
      <c r="E55" s="19" t="str">
        <v>2026-05</v>
      </c>
      <c r="F55" s="19" t="str">
        <v>操作员</v>
      </c>
      <c r="G55" s="19" t="str">
        <v>德国区-灵活班次 / DE FLEX</v>
      </c>
      <c r="H55" s="19" t="str">
        <v>S000279</v>
      </c>
      <c r="I55" s="19" t="str">
        <v>Armz GmbH</v>
      </c>
      <c r="J55" s="23" t="n">
        <v>2</v>
      </c>
      <c r="K55" s="23" t="n">
        <v>0</v>
      </c>
      <c r="L55" s="23" t="n">
        <f>J55+K55</f>
        <v>2</v>
      </c>
      <c r="M55" s="23" t="n">
        <v>2</v>
      </c>
      <c r="N55" s="23" t="n">
        <v>2</v>
      </c>
      <c r="O55" s="23" t="n">
        <v>2</v>
      </c>
      <c r="P55" s="23" t="n">
        <v>2</v>
      </c>
      <c r="Q55" s="23" t="n">
        <f>MIN(O55,P55)</f>
        <v>2</v>
      </c>
      <c r="R55" s="25" t="n">
        <f>IF(M55=0,0,MIN(1,L55/M55))</f>
        <v>1</v>
      </c>
      <c r="S55" s="23" t="n">
        <f>O55*R55</f>
        <v>2</v>
      </c>
      <c r="T55" s="23" t="n">
        <f>MIN(P55,S55)</f>
        <v>2</v>
      </c>
      <c r="U55" s="23" t="n">
        <f>O55-S55</f>
        <v>0</v>
      </c>
      <c r="V55" s="23" t="n">
        <f>MAX(P55-O55,0)</f>
        <v>0</v>
      </c>
    </row>
    <row r="56">
      <c r="A56" s="19" t="str">
        <v>德国区</v>
      </c>
      <c r="B56" s="19" t="str">
        <v>杜塞尔多夫11号仓</v>
      </c>
      <c r="C56" s="19" t="str">
        <v>交运组</v>
      </c>
      <c r="D56" s="21" t="n">
        <v>46165</v>
      </c>
      <c r="E56" s="19" t="str">
        <v>2026-05</v>
      </c>
      <c r="F56" s="19" t="str">
        <v>操作员</v>
      </c>
      <c r="G56" s="19" t="str">
        <v>德国区-灵活班次 / DE FLEX</v>
      </c>
      <c r="H56" s="19" t="str">
        <v>S000327</v>
      </c>
      <c r="I56" s="19" t="str">
        <v>Gohar GmbH</v>
      </c>
      <c r="J56" s="23" t="n">
        <v>3</v>
      </c>
      <c r="K56" s="23" t="n">
        <v>0</v>
      </c>
      <c r="L56" s="23" t="n">
        <f>J56+K56</f>
        <v>3</v>
      </c>
      <c r="M56" s="23" t="n">
        <v>3</v>
      </c>
      <c r="N56" s="23" t="n">
        <v>3</v>
      </c>
      <c r="O56" s="23" t="n">
        <v>3</v>
      </c>
      <c r="P56" s="23" t="n">
        <v>3</v>
      </c>
      <c r="Q56" s="23" t="n">
        <f>MIN(O56,P56)</f>
        <v>3</v>
      </c>
      <c r="R56" s="25" t="n">
        <f>IF(M56=0,0,MIN(1,L56/M56))</f>
        <v>1</v>
      </c>
      <c r="S56" s="23" t="n">
        <f>O56*R56</f>
        <v>3</v>
      </c>
      <c r="T56" s="23" t="n">
        <f>MIN(P56,S56)</f>
        <v>3</v>
      </c>
      <c r="U56" s="23" t="n">
        <f>O56-S56</f>
        <v>0</v>
      </c>
      <c r="V56" s="23" t="n">
        <f>MAX(P56-O56,0)</f>
        <v>0</v>
      </c>
    </row>
    <row r="57">
      <c r="A57" s="19" t="str">
        <v>德国区</v>
      </c>
      <c r="B57" s="19" t="str">
        <v>杜塞尔多夫11号仓</v>
      </c>
      <c r="C57" s="19" t="str">
        <v>交运组</v>
      </c>
      <c r="D57" s="21" t="n">
        <v>46169</v>
      </c>
      <c r="E57" s="19" t="str">
        <v>2026-05</v>
      </c>
      <c r="F57" s="19" t="str">
        <v>操作员</v>
      </c>
      <c r="G57" s="19" t="str">
        <v>德国区-灵活班次 / DE FLEX</v>
      </c>
      <c r="H57" s="19" t="str">
        <v>S000279</v>
      </c>
      <c r="I57" s="19" t="str">
        <v>Armz GmbH</v>
      </c>
      <c r="J57" s="23" t="n">
        <v>3</v>
      </c>
      <c r="K57" s="23" t="n">
        <v>0</v>
      </c>
      <c r="L57" s="23" t="n">
        <f>J57+K57</f>
        <v>3</v>
      </c>
      <c r="M57" s="23" t="n">
        <v>3</v>
      </c>
      <c r="N57" s="23" t="n">
        <v>3</v>
      </c>
      <c r="O57" s="23" t="n">
        <v>3</v>
      </c>
      <c r="P57" s="23" t="n">
        <v>3</v>
      </c>
      <c r="Q57" s="23" t="n">
        <f>MIN(O57,P57)</f>
        <v>3</v>
      </c>
      <c r="R57" s="25" t="n">
        <f>IF(M57=0,0,MIN(1,L57/M57))</f>
        <v>1</v>
      </c>
      <c r="S57" s="23" t="n">
        <f>O57*R57</f>
        <v>3</v>
      </c>
      <c r="T57" s="23" t="n">
        <f>MIN(P57,S57)</f>
        <v>3</v>
      </c>
      <c r="U57" s="23" t="n">
        <f>O57-S57</f>
        <v>0</v>
      </c>
      <c r="V57" s="23" t="n">
        <f>MAX(P57-O57,0)</f>
        <v>0</v>
      </c>
    </row>
    <row r="58">
      <c r="A58" s="19" t="str">
        <v>德国区</v>
      </c>
      <c r="B58" s="19" t="str">
        <v>杜塞尔多夫11号仓</v>
      </c>
      <c r="C58" s="19" t="str">
        <v>交运组</v>
      </c>
      <c r="D58" s="21" t="n">
        <v>46171</v>
      </c>
      <c r="E58" s="19" t="str">
        <v>2026-05</v>
      </c>
      <c r="F58" s="19" t="str">
        <v>操作员</v>
      </c>
      <c r="G58" s="19" t="str">
        <v>德国区-灵活班次 / DE FLEX</v>
      </c>
      <c r="H58" s="19" t="str">
        <v>S000279</v>
      </c>
      <c r="I58" s="19" t="str">
        <v>Armz GmbH</v>
      </c>
      <c r="J58" s="23" t="n">
        <v>3</v>
      </c>
      <c r="K58" s="23" t="n">
        <v>0</v>
      </c>
      <c r="L58" s="23" t="n">
        <f>J58+K58</f>
        <v>3</v>
      </c>
      <c r="M58" s="23" t="n">
        <v>3</v>
      </c>
      <c r="N58" s="23" t="n">
        <v>3</v>
      </c>
      <c r="O58" s="23" t="n">
        <v>3</v>
      </c>
      <c r="P58" s="23" t="n">
        <v>3</v>
      </c>
      <c r="Q58" s="23" t="n">
        <f>MIN(O58,P58)</f>
        <v>3</v>
      </c>
      <c r="R58" s="25" t="n">
        <f>IF(M58=0,0,MIN(1,L58/M58))</f>
        <v>1</v>
      </c>
      <c r="S58" s="23" t="n">
        <f>O58*R58</f>
        <v>3</v>
      </c>
      <c r="T58" s="23" t="n">
        <f>MIN(P58,S58)</f>
        <v>3</v>
      </c>
      <c r="U58" s="23" t="n">
        <f>O58-S58</f>
        <v>0</v>
      </c>
      <c r="V58" s="23" t="n">
        <f>MAX(P58-O58,0)</f>
        <v>0</v>
      </c>
    </row>
    <row r="59">
      <c r="A59" s="19" t="str">
        <v>德国区</v>
      </c>
      <c r="B59" s="19" t="str">
        <v>杜塞尔多夫11号仓</v>
      </c>
      <c r="C59" s="19" t="str">
        <v>交运组</v>
      </c>
      <c r="D59" s="21" t="n">
        <v>46175</v>
      </c>
      <c r="E59" s="19" t="str">
        <v>2026-06</v>
      </c>
      <c r="F59" s="19" t="str">
        <v>操作员</v>
      </c>
      <c r="G59" s="19" t="str">
        <v>德国区-灵活班次 / DE FLEX</v>
      </c>
      <c r="H59" s="19" t="str">
        <v>S000276</v>
      </c>
      <c r="I59" s="19" t="str">
        <v>Go4PrimeJobs GmbH</v>
      </c>
      <c r="J59" s="23" t="n">
        <v>4</v>
      </c>
      <c r="K59" s="23" t="n">
        <v>0</v>
      </c>
      <c r="L59" s="23" t="n">
        <f>J59+K59</f>
        <v>4</v>
      </c>
      <c r="M59" s="23" t="n">
        <v>4</v>
      </c>
      <c r="N59" s="23" t="n">
        <v>4</v>
      </c>
      <c r="O59" s="23" t="n">
        <v>1</v>
      </c>
      <c r="P59" s="23" t="n">
        <v>1</v>
      </c>
      <c r="Q59" s="23" t="n">
        <f>MIN(O59,P59)</f>
        <v>1</v>
      </c>
      <c r="R59" s="25" t="n">
        <f>IF(M59=0,0,MIN(1,L59/M59))</f>
        <v>1</v>
      </c>
      <c r="S59" s="23" t="n">
        <f>O59*R59</f>
        <v>1</v>
      </c>
      <c r="T59" s="23" t="n">
        <f>MIN(P59,S59)</f>
        <v>1</v>
      </c>
      <c r="U59" s="23" t="n">
        <f>O59-S59</f>
        <v>0</v>
      </c>
      <c r="V59" s="23" t="n">
        <f>MAX(P59-O59,0)</f>
        <v>0</v>
      </c>
    </row>
    <row r="60">
      <c r="A60" s="19" t="str">
        <v>德国区</v>
      </c>
      <c r="B60" s="19" t="str">
        <v>杜塞尔多夫11号仓</v>
      </c>
      <c r="C60" s="19" t="str">
        <v>交运组</v>
      </c>
      <c r="D60" s="21" t="n">
        <v>46175</v>
      </c>
      <c r="E60" s="19" t="str">
        <v>2026-06</v>
      </c>
      <c r="F60" s="19" t="str">
        <v>操作员</v>
      </c>
      <c r="G60" s="19" t="str">
        <v>德国区-灵活班次 / DE FLEX</v>
      </c>
      <c r="H60" s="19" t="str">
        <v>S000279</v>
      </c>
      <c r="I60" s="19" t="str">
        <v>Armz GmbH</v>
      </c>
      <c r="J60" s="23" t="n">
        <v>4</v>
      </c>
      <c r="K60" s="23" t="n">
        <v>0</v>
      </c>
      <c r="L60" s="23" t="n">
        <f>J60+K60</f>
        <v>4</v>
      </c>
      <c r="M60" s="23" t="n">
        <v>4</v>
      </c>
      <c r="N60" s="23" t="n">
        <v>4</v>
      </c>
      <c r="O60" s="23" t="n">
        <v>3</v>
      </c>
      <c r="P60" s="23" t="n">
        <v>3</v>
      </c>
      <c r="Q60" s="23" t="n">
        <f>MIN(O60,P60)</f>
        <v>3</v>
      </c>
      <c r="R60" s="25" t="n">
        <f>IF(M60=0,0,MIN(1,L60/M60))</f>
        <v>1</v>
      </c>
      <c r="S60" s="23" t="n">
        <f>O60*R60</f>
        <v>3</v>
      </c>
      <c r="T60" s="23" t="n">
        <f>MIN(P60,S60)</f>
        <v>3</v>
      </c>
      <c r="U60" s="23" t="n">
        <f>O60-S60</f>
        <v>0</v>
      </c>
      <c r="V60" s="23" t="n">
        <f>MAX(P60-O60,0)</f>
        <v>0</v>
      </c>
    </row>
    <row r="61">
      <c r="A61" s="19" t="str">
        <v>德国区</v>
      </c>
      <c r="B61" s="19" t="str">
        <v>杜塞尔多夫11号仓</v>
      </c>
      <c r="C61" s="19" t="str">
        <v>交运组</v>
      </c>
      <c r="D61" s="21" t="n">
        <v>46176</v>
      </c>
      <c r="E61" s="19" t="str">
        <v>2026-06</v>
      </c>
      <c r="F61" s="19" t="str">
        <v>操作员</v>
      </c>
      <c r="G61" s="19" t="str">
        <v>德国区-灵活班次 / DE FLEX</v>
      </c>
      <c r="H61" s="19" t="str">
        <v>S000276</v>
      </c>
      <c r="I61" s="19" t="str">
        <v>Go4PrimeJobs GmbH</v>
      </c>
      <c r="J61" s="23" t="n">
        <v>5</v>
      </c>
      <c r="K61" s="23" t="n">
        <v>0</v>
      </c>
      <c r="L61" s="23" t="n">
        <f>J61+K61</f>
        <v>5</v>
      </c>
      <c r="M61" s="23" t="n">
        <v>6</v>
      </c>
      <c r="N61" s="23" t="n">
        <v>2</v>
      </c>
      <c r="O61" s="23" t="n">
        <v>2</v>
      </c>
      <c r="P61" s="23" t="n">
        <v>0</v>
      </c>
      <c r="Q61" s="23" t="n">
        <f>MIN(O61,P61)</f>
        <v>0</v>
      </c>
      <c r="R61" s="25" t="n">
        <f>IF(M61=0,0,MIN(1,L61/M61))</f>
        <v>0.8333333333333334</v>
      </c>
      <c r="S61" s="23" t="n">
        <f>O61*R61</f>
        <v>1.6666666666666667</v>
      </c>
      <c r="T61" s="23" t="n">
        <f>MIN(P61,S61)</f>
        <v>0</v>
      </c>
      <c r="U61" s="23" t="n">
        <f>O61-S61</f>
        <v>0.33333333333333326</v>
      </c>
      <c r="V61" s="23" t="n">
        <f>MAX(P61-O61,0)</f>
        <v>0</v>
      </c>
    </row>
    <row r="62">
      <c r="A62" s="19" t="str">
        <v>德国区</v>
      </c>
      <c r="B62" s="19" t="str">
        <v>杜塞尔多夫11号仓</v>
      </c>
      <c r="C62" s="19" t="str">
        <v>交运组</v>
      </c>
      <c r="D62" s="21" t="n">
        <v>46176</v>
      </c>
      <c r="E62" s="19" t="str">
        <v>2026-06</v>
      </c>
      <c r="F62" s="19" t="str">
        <v>操作员</v>
      </c>
      <c r="G62" s="19" t="str">
        <v>德国区-灵活班次 / DE FLEX</v>
      </c>
      <c r="H62" s="19" t="str">
        <v>S000279</v>
      </c>
      <c r="I62" s="19" t="str">
        <v>Armz GmbH</v>
      </c>
      <c r="J62" s="23" t="n">
        <v>5</v>
      </c>
      <c r="K62" s="23" t="n">
        <v>0</v>
      </c>
      <c r="L62" s="23" t="n">
        <f>J62+K62</f>
        <v>5</v>
      </c>
      <c r="M62" s="23" t="n">
        <v>6</v>
      </c>
      <c r="N62" s="23" t="n">
        <v>2</v>
      </c>
      <c r="O62" s="23" t="n">
        <v>2</v>
      </c>
      <c r="P62" s="23" t="n">
        <v>0</v>
      </c>
      <c r="Q62" s="23" t="n">
        <f>MIN(O62,P62)</f>
        <v>0</v>
      </c>
      <c r="R62" s="25" t="n">
        <f>IF(M62=0,0,MIN(1,L62/M62))</f>
        <v>0.8333333333333334</v>
      </c>
      <c r="S62" s="23" t="n">
        <f>O62*R62</f>
        <v>1.6666666666666667</v>
      </c>
      <c r="T62" s="23" t="n">
        <f>MIN(P62,S62)</f>
        <v>0</v>
      </c>
      <c r="U62" s="23" t="n">
        <f>O62-S62</f>
        <v>0.33333333333333326</v>
      </c>
      <c r="V62" s="23" t="n">
        <f>MAX(P62-O62,0)</f>
        <v>0</v>
      </c>
    </row>
    <row r="63">
      <c r="A63" s="19" t="str">
        <v>德国区</v>
      </c>
      <c r="B63" s="19" t="str">
        <v>杜塞尔多夫11号仓</v>
      </c>
      <c r="C63" s="19" t="str">
        <v>交运组</v>
      </c>
      <c r="D63" s="21" t="n">
        <v>46176</v>
      </c>
      <c r="E63" s="19" t="str">
        <v>2026-06</v>
      </c>
      <c r="F63" s="19" t="str">
        <v>操作员</v>
      </c>
      <c r="G63" s="19" t="str">
        <v>德国区-灵活班次 / DE FLEX</v>
      </c>
      <c r="H63" s="19" t="str">
        <v>S000316</v>
      </c>
      <c r="I63" s="19" t="str">
        <v>Nivux Estate e.Kfm</v>
      </c>
      <c r="J63" s="23" t="n">
        <v>5</v>
      </c>
      <c r="K63" s="23" t="n">
        <v>0</v>
      </c>
      <c r="L63" s="23" t="n">
        <f>J63+K63</f>
        <v>5</v>
      </c>
      <c r="M63" s="23" t="n">
        <v>6</v>
      </c>
      <c r="N63" s="23" t="n">
        <v>2</v>
      </c>
      <c r="O63" s="23" t="n">
        <v>2</v>
      </c>
      <c r="P63" s="23" t="n">
        <v>2</v>
      </c>
      <c r="Q63" s="23" t="n">
        <f>MIN(O63,P63)</f>
        <v>2</v>
      </c>
      <c r="R63" s="25" t="n">
        <f>IF(M63=0,0,MIN(1,L63/M63))</f>
        <v>0.8333333333333334</v>
      </c>
      <c r="S63" s="23" t="n">
        <f>O63*R63</f>
        <v>1.6666666666666667</v>
      </c>
      <c r="T63" s="23" t="n">
        <f>MIN(P63,S63)</f>
        <v>1.6666666666666667</v>
      </c>
      <c r="U63" s="23" t="n">
        <f>O63-S63</f>
        <v>0.33333333333333326</v>
      </c>
      <c r="V63" s="23" t="n">
        <f>MAX(P63-O63,0)</f>
        <v>0</v>
      </c>
    </row>
    <row r="64">
      <c r="A64" s="19" t="str">
        <v>德国区</v>
      </c>
      <c r="B64" s="19" t="str">
        <v>杜塞尔多夫11号仓</v>
      </c>
      <c r="C64" s="19" t="str">
        <v>交运组</v>
      </c>
      <c r="D64" s="21" t="n">
        <v>46178</v>
      </c>
      <c r="E64" s="19" t="str">
        <v>2026-06</v>
      </c>
      <c r="F64" s="19" t="str">
        <v>操作员</v>
      </c>
      <c r="G64" s="19" t="str">
        <v>德国区-灵活班次 / DE FLEX</v>
      </c>
      <c r="H64" s="19" t="str">
        <v>S000279</v>
      </c>
      <c r="I64" s="19" t="str">
        <v>Armz GmbH</v>
      </c>
      <c r="J64" s="23" t="n">
        <v>6</v>
      </c>
      <c r="K64" s="23" t="n">
        <v>0</v>
      </c>
      <c r="L64" s="23" t="n">
        <f>J64+K64</f>
        <v>6</v>
      </c>
      <c r="M64" s="23" t="n">
        <v>6</v>
      </c>
      <c r="N64" s="23" t="n">
        <v>5</v>
      </c>
      <c r="O64" s="23" t="n">
        <v>3</v>
      </c>
      <c r="P64" s="23" t="n">
        <v>2</v>
      </c>
      <c r="Q64" s="23" t="n">
        <f>MIN(O64,P64)</f>
        <v>2</v>
      </c>
      <c r="R64" s="25" t="n">
        <f>IF(M64=0,0,MIN(1,L64/M64))</f>
        <v>1</v>
      </c>
      <c r="S64" s="23" t="n">
        <f>O64*R64</f>
        <v>3</v>
      </c>
      <c r="T64" s="23" t="n">
        <f>MIN(P64,S64)</f>
        <v>2</v>
      </c>
      <c r="U64" s="23" t="n">
        <f>O64-S64</f>
        <v>0</v>
      </c>
      <c r="V64" s="23" t="n">
        <f>MAX(P64-O64,0)</f>
        <v>0</v>
      </c>
    </row>
    <row r="65">
      <c r="A65" s="19" t="str">
        <v>德国区</v>
      </c>
      <c r="B65" s="19" t="str">
        <v>杜塞尔多夫11号仓</v>
      </c>
      <c r="C65" s="19" t="str">
        <v>交运组</v>
      </c>
      <c r="D65" s="21" t="n">
        <v>46178</v>
      </c>
      <c r="E65" s="19" t="str">
        <v>2026-06</v>
      </c>
      <c r="F65" s="19" t="str">
        <v>操作员</v>
      </c>
      <c r="G65" s="19" t="str">
        <v>德国区-灵活班次 / DE FLEX</v>
      </c>
      <c r="H65" s="19" t="str">
        <v>S000327</v>
      </c>
      <c r="I65" s="19" t="str">
        <v>Gohar GmbH</v>
      </c>
      <c r="J65" s="23" t="n">
        <v>6</v>
      </c>
      <c r="K65" s="23" t="n">
        <v>0</v>
      </c>
      <c r="L65" s="23" t="n">
        <f>J65+K65</f>
        <v>6</v>
      </c>
      <c r="M65" s="23" t="n">
        <v>6</v>
      </c>
      <c r="N65" s="23" t="n">
        <v>5</v>
      </c>
      <c r="O65" s="23" t="n">
        <v>3</v>
      </c>
      <c r="P65" s="23" t="n">
        <v>3</v>
      </c>
      <c r="Q65" s="23" t="n">
        <f>MIN(O65,P65)</f>
        <v>3</v>
      </c>
      <c r="R65" s="25" t="n">
        <f>IF(M65=0,0,MIN(1,L65/M65))</f>
        <v>1</v>
      </c>
      <c r="S65" s="23" t="n">
        <f>O65*R65</f>
        <v>3</v>
      </c>
      <c r="T65" s="23" t="n">
        <f>MIN(P65,S65)</f>
        <v>3</v>
      </c>
      <c r="U65" s="23" t="n">
        <f>O65-S65</f>
        <v>0</v>
      </c>
      <c r="V65" s="23" t="n">
        <f>MAX(P65-O65,0)</f>
        <v>0</v>
      </c>
    </row>
    <row r="66">
      <c r="A66" s="19" t="str">
        <v>德国区</v>
      </c>
      <c r="B66" s="19" t="str">
        <v>杜塞尔多夫11号仓</v>
      </c>
      <c r="C66" s="19" t="str">
        <v>交运组</v>
      </c>
      <c r="D66" s="21" t="n">
        <v>46183</v>
      </c>
      <c r="E66" s="19" t="str">
        <v>2026-06</v>
      </c>
      <c r="F66" s="19" t="str">
        <v>操作员</v>
      </c>
      <c r="G66" s="19" t="str">
        <v>德国区-灵活班次 / DE FLEX</v>
      </c>
      <c r="H66" s="19" t="str">
        <v>S000276</v>
      </c>
      <c r="I66" s="19" t="str">
        <v>Go4PrimeJobs GmbH</v>
      </c>
      <c r="J66" s="23" t="n">
        <v>6</v>
      </c>
      <c r="K66" s="23" t="n">
        <v>0</v>
      </c>
      <c r="L66" s="23" t="n">
        <f>J66+K66</f>
        <v>6</v>
      </c>
      <c r="M66" s="23" t="n">
        <v>6</v>
      </c>
      <c r="N66" s="23" t="n">
        <v>1</v>
      </c>
      <c r="O66" s="23" t="n">
        <v>3</v>
      </c>
      <c r="P66" s="23" t="n">
        <v>0</v>
      </c>
      <c r="Q66" s="23" t="n">
        <f>MIN(O66,P66)</f>
        <v>0</v>
      </c>
      <c r="R66" s="25" t="n">
        <f>IF(M66=0,0,MIN(1,L66/M66))</f>
        <v>1</v>
      </c>
      <c r="S66" s="23" t="n">
        <f>O66*R66</f>
        <v>3</v>
      </c>
      <c r="T66" s="23" t="n">
        <f>MIN(P66,S66)</f>
        <v>0</v>
      </c>
      <c r="U66" s="23" t="n">
        <f>O66-S66</f>
        <v>0</v>
      </c>
      <c r="V66" s="23" t="n">
        <f>MAX(P66-O66,0)</f>
        <v>0</v>
      </c>
    </row>
    <row r="67">
      <c r="A67" s="19" t="str">
        <v>德国区</v>
      </c>
      <c r="B67" s="19" t="str">
        <v>杜塞尔多夫11号仓</v>
      </c>
      <c r="C67" s="19" t="str">
        <v>交运组</v>
      </c>
      <c r="D67" s="21" t="n">
        <v>46183</v>
      </c>
      <c r="E67" s="19" t="str">
        <v>2026-06</v>
      </c>
      <c r="F67" s="19" t="str">
        <v>操作员</v>
      </c>
      <c r="G67" s="19" t="str">
        <v>德国区-灵活班次 / DE FLEX</v>
      </c>
      <c r="H67" s="19" t="str">
        <v>S000279</v>
      </c>
      <c r="I67" s="19" t="str">
        <v>Armz GmbH</v>
      </c>
      <c r="J67" s="23" t="n">
        <v>6</v>
      </c>
      <c r="K67" s="23" t="n">
        <v>0</v>
      </c>
      <c r="L67" s="23" t="n">
        <f>J67+K67</f>
        <v>6</v>
      </c>
      <c r="M67" s="23" t="n">
        <v>6</v>
      </c>
      <c r="N67" s="23" t="n">
        <v>1</v>
      </c>
      <c r="O67" s="23" t="n">
        <v>2</v>
      </c>
      <c r="P67" s="23" t="n">
        <v>0</v>
      </c>
      <c r="Q67" s="23" t="n">
        <f>MIN(O67,P67)</f>
        <v>0</v>
      </c>
      <c r="R67" s="25" t="n">
        <f>IF(M67=0,0,MIN(1,L67/M67))</f>
        <v>1</v>
      </c>
      <c r="S67" s="23" t="n">
        <f>O67*R67</f>
        <v>2</v>
      </c>
      <c r="T67" s="23" t="n">
        <f>MIN(P67,S67)</f>
        <v>0</v>
      </c>
      <c r="U67" s="23" t="n">
        <f>O67-S67</f>
        <v>0</v>
      </c>
      <c r="V67" s="23" t="n">
        <f>MAX(P67-O67,0)</f>
        <v>0</v>
      </c>
    </row>
    <row r="68">
      <c r="A68" s="19" t="str">
        <v>德国区</v>
      </c>
      <c r="B68" s="19" t="str">
        <v>杜塞尔多夫11号仓</v>
      </c>
      <c r="C68" s="19" t="str">
        <v>交运组</v>
      </c>
      <c r="D68" s="21" t="n">
        <v>46183</v>
      </c>
      <c r="E68" s="19" t="str">
        <v>2026-06</v>
      </c>
      <c r="F68" s="19" t="str">
        <v>操作员</v>
      </c>
      <c r="G68" s="19" t="str">
        <v>德国区-灵活班次 / DE FLEX</v>
      </c>
      <c r="H68" s="19" t="str">
        <v>S000327</v>
      </c>
      <c r="I68" s="19" t="str">
        <v>Gohar GmbH</v>
      </c>
      <c r="J68" s="23" t="n">
        <v>6</v>
      </c>
      <c r="K68" s="23" t="n">
        <v>0</v>
      </c>
      <c r="L68" s="23" t="n">
        <f>J68+K68</f>
        <v>6</v>
      </c>
      <c r="M68" s="23" t="n">
        <v>6</v>
      </c>
      <c r="N68" s="23" t="n">
        <v>1</v>
      </c>
      <c r="O68" s="23" t="n">
        <v>1</v>
      </c>
      <c r="P68" s="23" t="n">
        <v>1</v>
      </c>
      <c r="Q68" s="23" t="n">
        <f>MIN(O68,P68)</f>
        <v>1</v>
      </c>
      <c r="R68" s="25" t="n">
        <f>IF(M68=0,0,MIN(1,L68/M68))</f>
        <v>1</v>
      </c>
      <c r="S68" s="23" t="n">
        <f>O68*R68</f>
        <v>1</v>
      </c>
      <c r="T68" s="23" t="n">
        <f>MIN(P68,S68)</f>
        <v>1</v>
      </c>
      <c r="U68" s="23" t="n">
        <f>O68-S68</f>
        <v>0</v>
      </c>
      <c r="V68" s="23" t="n">
        <f>MAX(P68-O68,0)</f>
        <v>0</v>
      </c>
    </row>
    <row r="69">
      <c r="A69" s="19" t="str">
        <v>德国区</v>
      </c>
      <c r="B69" s="19" t="str">
        <v>杜塞尔多夫11号仓</v>
      </c>
      <c r="C69" s="19" t="str">
        <v>交运组</v>
      </c>
      <c r="D69" s="21" t="n">
        <v>46184</v>
      </c>
      <c r="E69" s="19" t="str">
        <v>2026-06</v>
      </c>
      <c r="F69" s="19" t="str">
        <v>操作员</v>
      </c>
      <c r="G69" s="19" t="str">
        <v>德国区-灵活班次 / DE FLEX</v>
      </c>
      <c r="H69" s="19" t="str">
        <v>S000316</v>
      </c>
      <c r="I69" s="19" t="str">
        <v>Nivux Estate e.Kfm</v>
      </c>
      <c r="J69" s="23" t="n">
        <v>3</v>
      </c>
      <c r="K69" s="23" t="n">
        <v>0</v>
      </c>
      <c r="L69" s="23" t="n">
        <f>J69+K69</f>
        <v>3</v>
      </c>
      <c r="M69" s="23" t="n">
        <v>3</v>
      </c>
      <c r="N69" s="23" t="n">
        <v>3</v>
      </c>
      <c r="O69" s="23" t="n">
        <v>3</v>
      </c>
      <c r="P69" s="23" t="n">
        <v>3</v>
      </c>
      <c r="Q69" s="23" t="n">
        <f>MIN(O69,P69)</f>
        <v>3</v>
      </c>
      <c r="R69" s="25" t="n">
        <f>IF(M69=0,0,MIN(1,L69/M69))</f>
        <v>1</v>
      </c>
      <c r="S69" s="23" t="n">
        <f>O69*R69</f>
        <v>3</v>
      </c>
      <c r="T69" s="23" t="n">
        <f>MIN(P69,S69)</f>
        <v>3</v>
      </c>
      <c r="U69" s="23" t="n">
        <f>O69-S69</f>
        <v>0</v>
      </c>
      <c r="V69" s="23" t="n">
        <f>MAX(P69-O69,0)</f>
        <v>0</v>
      </c>
    </row>
    <row r="70">
      <c r="A70" s="19" t="str">
        <v>德国区</v>
      </c>
      <c r="B70" s="19" t="str">
        <v>杜塞尔多夫11号仓</v>
      </c>
      <c r="C70" s="19" t="str">
        <v>交运组</v>
      </c>
      <c r="D70" s="21" t="n">
        <v>46185</v>
      </c>
      <c r="E70" s="19" t="str">
        <v>2026-06</v>
      </c>
      <c r="F70" s="19" t="str">
        <v>操作员</v>
      </c>
      <c r="G70" s="19" t="str">
        <v>德国区-灵活班次 / DE FLEX</v>
      </c>
      <c r="H70" s="19" t="str">
        <v>S000020</v>
      </c>
      <c r="I70" s="19" t="str">
        <v>HP Personalmanagement</v>
      </c>
      <c r="J70" s="23" t="n">
        <v>2</v>
      </c>
      <c r="K70" s="23" t="n">
        <v>0</v>
      </c>
      <c r="L70" s="23" t="n">
        <f>J70+K70</f>
        <v>2</v>
      </c>
      <c r="M70" s="23" t="n">
        <v>2</v>
      </c>
      <c r="N70" s="23" t="n">
        <v>0</v>
      </c>
      <c r="O70" s="23" t="n">
        <v>2</v>
      </c>
      <c r="P70" s="23" t="n">
        <v>0</v>
      </c>
      <c r="Q70" s="23" t="n">
        <f>MIN(O70,P70)</f>
        <v>0</v>
      </c>
      <c r="R70" s="25" t="n">
        <f>IF(M70=0,0,MIN(1,L70/M70))</f>
        <v>1</v>
      </c>
      <c r="S70" s="23" t="n">
        <f>O70*R70</f>
        <v>2</v>
      </c>
      <c r="T70" s="23" t="n">
        <f>MIN(P70,S70)</f>
        <v>0</v>
      </c>
      <c r="U70" s="23" t="n">
        <f>O70-S70</f>
        <v>0</v>
      </c>
      <c r="V70" s="23" t="n">
        <f>MAX(P70-O70,0)</f>
        <v>0</v>
      </c>
    </row>
    <row r="71">
      <c r="A71" s="19" t="str">
        <v>德国区</v>
      </c>
      <c r="B71" s="19" t="str">
        <v>杜塞尔多夫11号仓</v>
      </c>
      <c r="C71" s="19" t="str">
        <v>交运组</v>
      </c>
      <c r="D71" s="21" t="n">
        <v>46188</v>
      </c>
      <c r="E71" s="19" t="str">
        <v>2026-06</v>
      </c>
      <c r="F71" s="19" t="str">
        <v>操作员</v>
      </c>
      <c r="G71" s="19" t="str">
        <v>德国区-灵活班次 / DE FLEX</v>
      </c>
      <c r="H71" s="19" t="str">
        <v>S000279</v>
      </c>
      <c r="I71" s="19" t="str">
        <v>Armz GmbH</v>
      </c>
      <c r="J71" s="23" t="n">
        <v>2</v>
      </c>
      <c r="K71" s="23" t="n">
        <v>0</v>
      </c>
      <c r="L71" s="23" t="n">
        <f>J71+K71</f>
        <v>2</v>
      </c>
      <c r="M71" s="23" t="n">
        <v>3</v>
      </c>
      <c r="N71" s="23" t="n">
        <v>3</v>
      </c>
      <c r="O71" s="23" t="n">
        <v>3</v>
      </c>
      <c r="P71" s="23" t="n">
        <v>3</v>
      </c>
      <c r="Q71" s="23" t="n">
        <f>MIN(O71,P71)</f>
        <v>3</v>
      </c>
      <c r="R71" s="25" t="n">
        <f>IF(M71=0,0,MIN(1,L71/M71))</f>
        <v>0.6666666666666666</v>
      </c>
      <c r="S71" s="23" t="n">
        <f>O71*R71</f>
        <v>2</v>
      </c>
      <c r="T71" s="23" t="n">
        <f>MIN(P71,S71)</f>
        <v>2</v>
      </c>
      <c r="U71" s="23" t="n">
        <f>O71-S71</f>
        <v>1</v>
      </c>
      <c r="V71" s="23" t="n">
        <f>MAX(P71-O71,0)</f>
        <v>0</v>
      </c>
    </row>
    <row r="72">
      <c r="A72" s="19" t="str">
        <v>德国区</v>
      </c>
      <c r="B72" s="19" t="str">
        <v>杜塞尔多夫11号仓</v>
      </c>
      <c r="C72" s="19" t="str">
        <v>交运组</v>
      </c>
      <c r="D72" s="21" t="n">
        <v>46189</v>
      </c>
      <c r="E72" s="19" t="str">
        <v>2026-06</v>
      </c>
      <c r="F72" s="19" t="str">
        <v>操作员</v>
      </c>
      <c r="G72" s="19" t="str">
        <v>德国区-灵活班次 / DE FLEX</v>
      </c>
      <c r="H72" s="19" t="str">
        <v>S000191</v>
      </c>
      <c r="I72" s="19" t="str">
        <v>TimePartner Personalmanagement GmbH</v>
      </c>
      <c r="J72" s="23" t="n">
        <v>2</v>
      </c>
      <c r="K72" s="23" t="n">
        <v>0</v>
      </c>
      <c r="L72" s="23" t="n">
        <f>J72+K72</f>
        <v>2</v>
      </c>
      <c r="M72" s="23" t="n">
        <v>5</v>
      </c>
      <c r="N72" s="23" t="n">
        <v>5</v>
      </c>
      <c r="O72" s="23" t="n">
        <v>5</v>
      </c>
      <c r="P72" s="23" t="n">
        <v>5</v>
      </c>
      <c r="Q72" s="23" t="n">
        <f>MIN(O72,P72)</f>
        <v>5</v>
      </c>
      <c r="R72" s="25" t="n">
        <f>IF(M72=0,0,MIN(1,L72/M72))</f>
        <v>0.4</v>
      </c>
      <c r="S72" s="23" t="n">
        <f>O72*R72</f>
        <v>2</v>
      </c>
      <c r="T72" s="23" t="n">
        <f>MIN(P72,S72)</f>
        <v>2</v>
      </c>
      <c r="U72" s="23" t="n">
        <f>O72-S72</f>
        <v>3</v>
      </c>
      <c r="V72" s="23" t="n">
        <f>MAX(P72-O72,0)</f>
        <v>0</v>
      </c>
    </row>
    <row r="73">
      <c r="A73" s="19" t="str">
        <v>德国区</v>
      </c>
      <c r="B73" s="19" t="str">
        <v>杜塞尔多夫11号仓</v>
      </c>
      <c r="C73" s="19" t="str">
        <v>交运组</v>
      </c>
      <c r="D73" s="21" t="n">
        <v>46190</v>
      </c>
      <c r="E73" s="19" t="str">
        <v>2026-06</v>
      </c>
      <c r="F73" s="19" t="str">
        <v>操作员</v>
      </c>
      <c r="G73" s="19" t="str">
        <v>德国区-灵活班次 / DE FLEX</v>
      </c>
      <c r="H73" s="19" t="str">
        <v>S000191</v>
      </c>
      <c r="I73" s="19" t="str">
        <v>TimePartner Personalmanagement GmbH</v>
      </c>
      <c r="J73" s="23" t="n">
        <v>2</v>
      </c>
      <c r="K73" s="23" t="n">
        <v>0</v>
      </c>
      <c r="L73" s="23" t="n">
        <f>J73+K73</f>
        <v>2</v>
      </c>
      <c r="M73" s="23" t="n">
        <v>3</v>
      </c>
      <c r="N73" s="23" t="n">
        <v>3</v>
      </c>
      <c r="O73" s="23" t="n">
        <v>3</v>
      </c>
      <c r="P73" s="23" t="n">
        <v>3</v>
      </c>
      <c r="Q73" s="23" t="n">
        <f>MIN(O73,P73)</f>
        <v>3</v>
      </c>
      <c r="R73" s="25" t="n">
        <f>IF(M73=0,0,MIN(1,L73/M73))</f>
        <v>0.6666666666666666</v>
      </c>
      <c r="S73" s="23" t="n">
        <f>O73*R73</f>
        <v>2</v>
      </c>
      <c r="T73" s="23" t="n">
        <f>MIN(P73,S73)</f>
        <v>2</v>
      </c>
      <c r="U73" s="23" t="n">
        <f>O73-S73</f>
        <v>1</v>
      </c>
      <c r="V73" s="23" t="n">
        <f>MAX(P73-O73,0)</f>
        <v>0</v>
      </c>
    </row>
    <row r="74">
      <c r="A74" s="19" t="str">
        <v>德国区</v>
      </c>
      <c r="B74" s="19" t="str">
        <v>杜塞尔多夫11号仓</v>
      </c>
      <c r="C74" s="19" t="str">
        <v>交运组</v>
      </c>
      <c r="D74" s="21" t="n">
        <v>46191</v>
      </c>
      <c r="E74" s="19" t="str">
        <v>2026-06</v>
      </c>
      <c r="F74" s="19" t="str">
        <v>操作员</v>
      </c>
      <c r="G74" s="19" t="str">
        <v>德国区-灵活班次 / DE FLEX</v>
      </c>
      <c r="H74" s="19" t="str">
        <v>S000191</v>
      </c>
      <c r="I74" s="19" t="str">
        <v>TimePartner Personalmanagement GmbH</v>
      </c>
      <c r="J74" s="23" t="n">
        <v>2</v>
      </c>
      <c r="K74" s="23" t="n">
        <v>0</v>
      </c>
      <c r="L74" s="23" t="n">
        <f>J74+K74</f>
        <v>2</v>
      </c>
      <c r="M74" s="23" t="n">
        <v>4</v>
      </c>
      <c r="N74" s="23" t="n">
        <v>4</v>
      </c>
      <c r="O74" s="23" t="n">
        <v>4</v>
      </c>
      <c r="P74" s="23" t="n">
        <v>4</v>
      </c>
      <c r="Q74" s="23" t="n">
        <f>MIN(O74,P74)</f>
        <v>4</v>
      </c>
      <c r="R74" s="25" t="n">
        <f>IF(M74=0,0,MIN(1,L74/M74))</f>
        <v>0.5</v>
      </c>
      <c r="S74" s="23" t="n">
        <f>O74*R74</f>
        <v>2</v>
      </c>
      <c r="T74" s="23" t="n">
        <f>MIN(P74,S74)</f>
        <v>2</v>
      </c>
      <c r="U74" s="23" t="n">
        <f>O74-S74</f>
        <v>2</v>
      </c>
      <c r="V74" s="23" t="n">
        <f>MAX(P74-O74,0)</f>
        <v>0</v>
      </c>
    </row>
    <row r="75">
      <c r="A75" s="19" t="str">
        <v>德国区</v>
      </c>
      <c r="B75" s="19" t="str">
        <v>杜塞尔多夫11号仓</v>
      </c>
      <c r="C75" s="19" t="str">
        <v>交运组</v>
      </c>
      <c r="D75" s="21" t="n">
        <v>46199</v>
      </c>
      <c r="E75" s="19" t="str">
        <v>2026-06</v>
      </c>
      <c r="F75" s="19" t="str">
        <v>操作员</v>
      </c>
      <c r="G75" s="19" t="str">
        <v>德国区-灵活班次 / DE FLEX</v>
      </c>
      <c r="H75" s="19" t="str">
        <v>S000276</v>
      </c>
      <c r="I75" s="19" t="str">
        <v>Go4PrimeJobs GmbH</v>
      </c>
      <c r="J75" s="23" t="n">
        <v>2</v>
      </c>
      <c r="K75" s="23" t="n">
        <v>0</v>
      </c>
      <c r="L75" s="23" t="n">
        <f>J75+K75</f>
        <v>2</v>
      </c>
      <c r="M75" s="23" t="n">
        <v>5</v>
      </c>
      <c r="N75" s="23" t="n">
        <v>5</v>
      </c>
      <c r="O75" s="23" t="n">
        <v>5</v>
      </c>
      <c r="P75" s="23" t="n">
        <v>5</v>
      </c>
      <c r="Q75" s="23" t="n">
        <f>MIN(O75,P75)</f>
        <v>5</v>
      </c>
      <c r="R75" s="25" t="n">
        <f>IF(M75=0,0,MIN(1,L75/M75))</f>
        <v>0.4</v>
      </c>
      <c r="S75" s="23" t="n">
        <f>O75*R75</f>
        <v>2</v>
      </c>
      <c r="T75" s="23" t="n">
        <f>MIN(P75,S75)</f>
        <v>2</v>
      </c>
      <c r="U75" s="23" t="n">
        <f>O75-S75</f>
        <v>3</v>
      </c>
      <c r="V75" s="23" t="n">
        <f>MAX(P75-O75,0)</f>
        <v>0</v>
      </c>
    </row>
    <row r="76">
      <c r="A76" s="19" t="str">
        <v>德国区</v>
      </c>
      <c r="B76" s="19" t="str">
        <v>杜塞尔多夫11号仓</v>
      </c>
      <c r="C76" s="19" t="str">
        <v>交运组</v>
      </c>
      <c r="D76" s="21" t="n">
        <v>46202</v>
      </c>
      <c r="E76" s="19" t="str">
        <v>2026-06</v>
      </c>
      <c r="F76" s="19" t="str">
        <v>操作员</v>
      </c>
      <c r="G76" s="19" t="str">
        <v>德国区-灵活班次 / DE FLEX</v>
      </c>
      <c r="H76" s="19" t="str">
        <v>S000276</v>
      </c>
      <c r="I76" s="19" t="str">
        <v>Go4PrimeJobs GmbH</v>
      </c>
      <c r="J76" s="23" t="n">
        <v>5</v>
      </c>
      <c r="K76" s="23" t="n">
        <v>0</v>
      </c>
      <c r="L76" s="23" t="n">
        <f>J76+K76</f>
        <v>5</v>
      </c>
      <c r="M76" s="23" t="n">
        <v>5</v>
      </c>
      <c r="N76" s="23" t="n">
        <v>4</v>
      </c>
      <c r="O76" s="23" t="n">
        <v>5</v>
      </c>
      <c r="P76" s="23" t="n">
        <v>4</v>
      </c>
      <c r="Q76" s="23" t="n">
        <f>MIN(O76,P76)</f>
        <v>4</v>
      </c>
      <c r="R76" s="25" t="n">
        <f>IF(M76=0,0,MIN(1,L76/M76))</f>
        <v>1</v>
      </c>
      <c r="S76" s="23" t="n">
        <f>O76*R76</f>
        <v>5</v>
      </c>
      <c r="T76" s="23" t="n">
        <f>MIN(P76,S76)</f>
        <v>4</v>
      </c>
      <c r="U76" s="23" t="n">
        <f>O76-S76</f>
        <v>0</v>
      </c>
      <c r="V76" s="23" t="n">
        <f>MAX(P76-O76,0)</f>
        <v>0</v>
      </c>
    </row>
    <row r="77">
      <c r="A77" s="19" t="str">
        <v>德国区</v>
      </c>
      <c r="B77" s="19" t="str">
        <v>杜塞尔多夫11号仓</v>
      </c>
      <c r="C77" s="19" t="str">
        <v>交运组</v>
      </c>
      <c r="D77" s="21" t="n">
        <v>46203</v>
      </c>
      <c r="E77" s="19" t="str">
        <v>2026-06</v>
      </c>
      <c r="F77" s="19" t="str">
        <v>操作员</v>
      </c>
      <c r="G77" s="19" t="str">
        <v>德国区-灵活班次 / DE FLEX</v>
      </c>
      <c r="H77" s="19" t="str">
        <v>S000276</v>
      </c>
      <c r="I77" s="19" t="str">
        <v>Go4PrimeJobs GmbH</v>
      </c>
      <c r="J77" s="23" t="n">
        <v>5</v>
      </c>
      <c r="K77" s="23" t="n">
        <v>0</v>
      </c>
      <c r="L77" s="23" t="n">
        <f>J77+K77</f>
        <v>5</v>
      </c>
      <c r="M77" s="23" t="n">
        <v>5</v>
      </c>
      <c r="N77" s="23" t="n">
        <v>4</v>
      </c>
      <c r="O77" s="23" t="n">
        <v>5</v>
      </c>
      <c r="P77" s="23" t="n">
        <v>4</v>
      </c>
      <c r="Q77" s="23" t="n">
        <f>MIN(O77,P77)</f>
        <v>4</v>
      </c>
      <c r="R77" s="25" t="n">
        <f>IF(M77=0,0,MIN(1,L77/M77))</f>
        <v>1</v>
      </c>
      <c r="S77" s="23" t="n">
        <f>O77*R77</f>
        <v>5</v>
      </c>
      <c r="T77" s="23" t="n">
        <f>MIN(P77,S77)</f>
        <v>4</v>
      </c>
      <c r="U77" s="23" t="n">
        <f>O77-S77</f>
        <v>0</v>
      </c>
      <c r="V77" s="23" t="n">
        <f>MAX(P77-O77,0)</f>
        <v>0</v>
      </c>
    </row>
    <row r="78">
      <c r="A78" s="19" t="str">
        <v>德国区</v>
      </c>
      <c r="B78" s="19" t="str">
        <v>杜塞尔多夫11号仓</v>
      </c>
      <c r="C78" s="19" t="str">
        <v>入库组</v>
      </c>
      <c r="D78" s="21" t="n">
        <v>46135</v>
      </c>
      <c r="E78" s="19" t="str">
        <v>2026-04</v>
      </c>
      <c r="F78" s="19" t="str">
        <v>操作员</v>
      </c>
      <c r="G78" s="19" t="str">
        <v>德国区-灵活班次 / DE FLEX</v>
      </c>
      <c r="H78" s="19" t="str">
        <v>S000276</v>
      </c>
      <c r="I78" s="19" t="str">
        <v>Go4PrimeJobs GmbH</v>
      </c>
      <c r="J78" s="23" t="n">
        <v>1</v>
      </c>
      <c r="K78" s="23" t="n">
        <v>0</v>
      </c>
      <c r="L78" s="23" t="n">
        <f>J78+K78</f>
        <v>1</v>
      </c>
      <c r="M78" s="23" t="n">
        <v>1</v>
      </c>
      <c r="N78" s="23" t="n">
        <v>1</v>
      </c>
      <c r="O78" s="23" t="n">
        <v>1</v>
      </c>
      <c r="P78" s="23" t="n">
        <v>1</v>
      </c>
      <c r="Q78" s="23" t="n">
        <f>MIN(O78,P78)</f>
        <v>1</v>
      </c>
      <c r="R78" s="25" t="n">
        <f>IF(M78=0,0,MIN(1,L78/M78))</f>
        <v>1</v>
      </c>
      <c r="S78" s="23" t="n">
        <f>O78*R78</f>
        <v>1</v>
      </c>
      <c r="T78" s="23" t="n">
        <f>MIN(P78,S78)</f>
        <v>1</v>
      </c>
      <c r="U78" s="23" t="n">
        <f>O78-S78</f>
        <v>0</v>
      </c>
      <c r="V78" s="23" t="n">
        <f>MAX(P78-O78,0)</f>
        <v>0</v>
      </c>
    </row>
    <row r="79">
      <c r="A79" s="19" t="str">
        <v>德国区</v>
      </c>
      <c r="B79" s="19" t="str">
        <v>杜塞尔多夫11号仓</v>
      </c>
      <c r="C79" s="19" t="str">
        <v>入库组</v>
      </c>
      <c r="D79" s="21" t="n">
        <v>46160</v>
      </c>
      <c r="E79" s="19" t="str">
        <v>2026-05</v>
      </c>
      <c r="F79" s="19" t="str">
        <v>操作员</v>
      </c>
      <c r="G79" s="19" t="str">
        <v>德国区-灵活班次 / DE FLEX</v>
      </c>
      <c r="H79" s="19" t="str">
        <v>S000276</v>
      </c>
      <c r="I79" s="19" t="str">
        <v>Go4PrimeJobs GmbH</v>
      </c>
      <c r="J79" s="23" t="n">
        <v>1</v>
      </c>
      <c r="K79" s="23" t="n">
        <v>0</v>
      </c>
      <c r="L79" s="23" t="n">
        <f>J79+K79</f>
        <v>1</v>
      </c>
      <c r="M79" s="23" t="n">
        <v>1</v>
      </c>
      <c r="N79" s="23" t="n">
        <v>1</v>
      </c>
      <c r="O79" s="23" t="n">
        <v>1</v>
      </c>
      <c r="P79" s="23" t="n">
        <v>1</v>
      </c>
      <c r="Q79" s="23" t="n">
        <f>MIN(O79,P79)</f>
        <v>1</v>
      </c>
      <c r="R79" s="25" t="n">
        <f>IF(M79=0,0,MIN(1,L79/M79))</f>
        <v>1</v>
      </c>
      <c r="S79" s="23" t="n">
        <f>O79*R79</f>
        <v>1</v>
      </c>
      <c r="T79" s="23" t="n">
        <f>MIN(P79,S79)</f>
        <v>1</v>
      </c>
      <c r="U79" s="23" t="n">
        <f>O79-S79</f>
        <v>0</v>
      </c>
      <c r="V79" s="23" t="n">
        <f>MAX(P79-O79,0)</f>
        <v>0</v>
      </c>
    </row>
    <row r="80">
      <c r="A80" s="19" t="str">
        <v>德国区</v>
      </c>
      <c r="B80" s="19" t="str">
        <v>杜塞尔多夫11号仓</v>
      </c>
      <c r="C80" s="19" t="str">
        <v>入库组</v>
      </c>
      <c r="D80" s="21" t="n">
        <v>46162</v>
      </c>
      <c r="E80" s="19" t="str">
        <v>2026-05</v>
      </c>
      <c r="F80" s="19" t="str">
        <v>操作员</v>
      </c>
      <c r="G80" s="19" t="str">
        <v>德国区-灵活班次 / DE FLEX</v>
      </c>
      <c r="H80" s="19" t="str">
        <v>S000276</v>
      </c>
      <c r="I80" s="19" t="str">
        <v>Go4PrimeJobs GmbH</v>
      </c>
      <c r="J80" s="23" t="n">
        <v>1</v>
      </c>
      <c r="K80" s="23" t="n">
        <v>0</v>
      </c>
      <c r="L80" s="23" t="n">
        <f>J80+K80</f>
        <v>1</v>
      </c>
      <c r="M80" s="23" t="n">
        <v>1</v>
      </c>
      <c r="N80" s="23" t="n">
        <v>1</v>
      </c>
      <c r="O80" s="23" t="n">
        <v>1</v>
      </c>
      <c r="P80" s="23" t="n">
        <v>1</v>
      </c>
      <c r="Q80" s="23" t="n">
        <f>MIN(O80,P80)</f>
        <v>1</v>
      </c>
      <c r="R80" s="25" t="n">
        <f>IF(M80=0,0,MIN(1,L80/M80))</f>
        <v>1</v>
      </c>
      <c r="S80" s="23" t="n">
        <f>O80*R80</f>
        <v>1</v>
      </c>
      <c r="T80" s="23" t="n">
        <f>MIN(P80,S80)</f>
        <v>1</v>
      </c>
      <c r="U80" s="23" t="n">
        <f>O80-S80</f>
        <v>0</v>
      </c>
      <c r="V80" s="23" t="n">
        <f>MAX(P80-O80,0)</f>
        <v>0</v>
      </c>
    </row>
    <row r="81">
      <c r="A81" s="19" t="str">
        <v>德国区</v>
      </c>
      <c r="B81" s="19" t="str">
        <v>杜塞尔多夫11号仓</v>
      </c>
      <c r="C81" s="19" t="str">
        <v>入库组</v>
      </c>
      <c r="D81" s="21" t="n">
        <v>46170</v>
      </c>
      <c r="E81" s="19" t="str">
        <v>2026-05</v>
      </c>
      <c r="F81" s="19" t="str">
        <v>操作员</v>
      </c>
      <c r="G81" s="19" t="str">
        <v>德国区-灵活班次 / DE FLEX</v>
      </c>
      <c r="H81" s="19" t="str">
        <v>S000316</v>
      </c>
      <c r="I81" s="19" t="str">
        <v>Nivux Estate e.Kfm</v>
      </c>
      <c r="J81" s="23" t="n">
        <v>1</v>
      </c>
      <c r="K81" s="23" t="n">
        <v>0</v>
      </c>
      <c r="L81" s="23" t="n">
        <f>J81+K81</f>
        <v>1</v>
      </c>
      <c r="M81" s="23" t="n">
        <v>1</v>
      </c>
      <c r="N81" s="23" t="n">
        <v>1</v>
      </c>
      <c r="O81" s="23" t="n">
        <v>1</v>
      </c>
      <c r="P81" s="23" t="n">
        <v>1</v>
      </c>
      <c r="Q81" s="23" t="n">
        <f>MIN(O81,P81)</f>
        <v>1</v>
      </c>
      <c r="R81" s="25" t="n">
        <f>IF(M81=0,0,MIN(1,L81/M81))</f>
        <v>1</v>
      </c>
      <c r="S81" s="23" t="n">
        <f>O81*R81</f>
        <v>1</v>
      </c>
      <c r="T81" s="23" t="n">
        <f>MIN(P81,S81)</f>
        <v>1</v>
      </c>
      <c r="U81" s="23" t="n">
        <f>O81-S81</f>
        <v>0</v>
      </c>
      <c r="V81" s="23" t="n">
        <f>MAX(P81-O81,0)</f>
        <v>0</v>
      </c>
    </row>
    <row r="82">
      <c r="A82" s="19" t="str">
        <v>德国区</v>
      </c>
      <c r="B82" s="19" t="str">
        <v>杜塞尔多夫11号仓</v>
      </c>
      <c r="C82" s="19" t="str">
        <v>入库组</v>
      </c>
      <c r="D82" s="21" t="n">
        <v>46171</v>
      </c>
      <c r="E82" s="19" t="str">
        <v>2026-05</v>
      </c>
      <c r="F82" s="19" t="str">
        <v>操作员</v>
      </c>
      <c r="G82" s="19" t="str">
        <v>德国区-灵活班次 / DE FLEX</v>
      </c>
      <c r="H82" s="19" t="str">
        <v>S000327</v>
      </c>
      <c r="I82" s="19" t="str">
        <v>Gohar GmbH</v>
      </c>
      <c r="J82" s="23" t="n">
        <v>4</v>
      </c>
      <c r="K82" s="23" t="n">
        <v>0</v>
      </c>
      <c r="L82" s="23" t="n">
        <f>J82+K82</f>
        <v>4</v>
      </c>
      <c r="M82" s="23" t="n">
        <v>4</v>
      </c>
      <c r="N82" s="23" t="n">
        <v>4</v>
      </c>
      <c r="O82" s="23" t="n">
        <v>4</v>
      </c>
      <c r="P82" s="23" t="n">
        <v>4</v>
      </c>
      <c r="Q82" s="23" t="n">
        <f>MIN(O82,P82)</f>
        <v>4</v>
      </c>
      <c r="R82" s="25" t="n">
        <f>IF(M82=0,0,MIN(1,L82/M82))</f>
        <v>1</v>
      </c>
      <c r="S82" s="23" t="n">
        <f>O82*R82</f>
        <v>4</v>
      </c>
      <c r="T82" s="23" t="n">
        <f>MIN(P82,S82)</f>
        <v>4</v>
      </c>
      <c r="U82" s="23" t="n">
        <f>O82-S82</f>
        <v>0</v>
      </c>
      <c r="V82" s="23" t="n">
        <f>MAX(P82-O82,0)</f>
        <v>0</v>
      </c>
    </row>
    <row r="83">
      <c r="A83" s="19" t="str">
        <v>德国区</v>
      </c>
      <c r="B83" s="19" t="str">
        <v>杜塞尔多夫11号仓</v>
      </c>
      <c r="C83" s="19" t="str">
        <v>入库组</v>
      </c>
      <c r="D83" s="21" t="n">
        <v>46175</v>
      </c>
      <c r="E83" s="19" t="str">
        <v>2026-06</v>
      </c>
      <c r="F83" s="19" t="str">
        <v>操作员</v>
      </c>
      <c r="G83" s="19" t="str">
        <v>德国区-灵活班次 / DE FLEX</v>
      </c>
      <c r="H83" s="19" t="str">
        <v>S000276</v>
      </c>
      <c r="I83" s="19" t="str">
        <v>Go4PrimeJobs GmbH</v>
      </c>
      <c r="J83" s="23" t="n">
        <v>3</v>
      </c>
      <c r="K83" s="23" t="n">
        <v>0</v>
      </c>
      <c r="L83" s="23" t="n">
        <f>J83+K83</f>
        <v>3</v>
      </c>
      <c r="M83" s="23" t="n">
        <v>3</v>
      </c>
      <c r="N83" s="23" t="n">
        <v>3</v>
      </c>
      <c r="O83" s="23" t="n">
        <v>3</v>
      </c>
      <c r="P83" s="23" t="n">
        <v>3</v>
      </c>
      <c r="Q83" s="23" t="n">
        <f>MIN(O83,P83)</f>
        <v>3</v>
      </c>
      <c r="R83" s="25" t="n">
        <f>IF(M83=0,0,MIN(1,L83/M83))</f>
        <v>1</v>
      </c>
      <c r="S83" s="23" t="n">
        <f>O83*R83</f>
        <v>3</v>
      </c>
      <c r="T83" s="23" t="n">
        <f>MIN(P83,S83)</f>
        <v>3</v>
      </c>
      <c r="U83" s="23" t="n">
        <f>O83-S83</f>
        <v>0</v>
      </c>
      <c r="V83" s="23" t="n">
        <f>MAX(P83-O83,0)</f>
        <v>0</v>
      </c>
    </row>
    <row r="84">
      <c r="A84" s="19" t="str">
        <v>德国区</v>
      </c>
      <c r="B84" s="19" t="str">
        <v>杜塞尔多夫11号仓</v>
      </c>
      <c r="C84" s="19" t="str">
        <v>入库组</v>
      </c>
      <c r="D84" s="21" t="n">
        <v>46182</v>
      </c>
      <c r="E84" s="19" t="str">
        <v>2026-06</v>
      </c>
      <c r="F84" s="19" t="str">
        <v>操作员</v>
      </c>
      <c r="G84" s="19" t="str">
        <v>德国区-灵活班次 / DE FLEX</v>
      </c>
      <c r="H84" s="19" t="str">
        <v>S000327</v>
      </c>
      <c r="I84" s="19" t="str">
        <v>Gohar GmbH</v>
      </c>
      <c r="J84" s="23" t="n">
        <v>4</v>
      </c>
      <c r="K84" s="23" t="n">
        <v>0</v>
      </c>
      <c r="L84" s="23" t="n">
        <f>J84+K84</f>
        <v>4</v>
      </c>
      <c r="M84" s="23" t="n">
        <v>4</v>
      </c>
      <c r="N84" s="23" t="n">
        <v>4</v>
      </c>
      <c r="O84" s="23" t="n">
        <v>4</v>
      </c>
      <c r="P84" s="23" t="n">
        <v>4</v>
      </c>
      <c r="Q84" s="23" t="n">
        <f>MIN(O84,P84)</f>
        <v>4</v>
      </c>
      <c r="R84" s="25" t="n">
        <f>IF(M84=0,0,MIN(1,L84/M84))</f>
        <v>1</v>
      </c>
      <c r="S84" s="23" t="n">
        <f>O84*R84</f>
        <v>4</v>
      </c>
      <c r="T84" s="23" t="n">
        <f>MIN(P84,S84)</f>
        <v>4</v>
      </c>
      <c r="U84" s="23" t="n">
        <f>O84-S84</f>
        <v>0</v>
      </c>
      <c r="V84" s="23" t="n">
        <f>MAX(P84-O84,0)</f>
        <v>0</v>
      </c>
    </row>
    <row r="85">
      <c r="A85" s="19" t="str">
        <v>德国区</v>
      </c>
      <c r="B85" s="19" t="str">
        <v>杜塞尔多夫11号仓</v>
      </c>
      <c r="C85" s="19" t="str">
        <v>入库组</v>
      </c>
      <c r="D85" s="21" t="n">
        <v>46189</v>
      </c>
      <c r="E85" s="19" t="str">
        <v>2026-06</v>
      </c>
      <c r="F85" s="19" t="str">
        <v>操作员</v>
      </c>
      <c r="G85" s="19" t="str">
        <v>德国区-灵活班次 / DE FLEX</v>
      </c>
      <c r="H85" s="19" t="str">
        <v>S000276</v>
      </c>
      <c r="I85" s="19" t="str">
        <v>Go4PrimeJobs GmbH</v>
      </c>
      <c r="J85" s="23" t="n">
        <v>3</v>
      </c>
      <c r="K85" s="23" t="n">
        <v>0</v>
      </c>
      <c r="L85" s="23" t="n">
        <f>J85+K85</f>
        <v>3</v>
      </c>
      <c r="M85" s="23" t="n">
        <v>5</v>
      </c>
      <c r="N85" s="23" t="n">
        <v>5</v>
      </c>
      <c r="O85" s="23" t="n">
        <v>5</v>
      </c>
      <c r="P85" s="23" t="n">
        <v>5</v>
      </c>
      <c r="Q85" s="23" t="n">
        <f>MIN(O85,P85)</f>
        <v>5</v>
      </c>
      <c r="R85" s="25" t="n">
        <f>IF(M85=0,0,MIN(1,L85/M85))</f>
        <v>0.6</v>
      </c>
      <c r="S85" s="23" t="n">
        <f>O85*R85</f>
        <v>3</v>
      </c>
      <c r="T85" s="23" t="n">
        <f>MIN(P85,S85)</f>
        <v>3</v>
      </c>
      <c r="U85" s="23" t="n">
        <f>O85-S85</f>
        <v>2</v>
      </c>
      <c r="V85" s="23" t="n">
        <f>MAX(P85-O85,0)</f>
        <v>0</v>
      </c>
    </row>
    <row r="86">
      <c r="A86" s="19" t="str">
        <v>德国区</v>
      </c>
      <c r="B86" s="19" t="str">
        <v>杜塞尔多夫11号仓</v>
      </c>
      <c r="C86" s="19" t="str">
        <v>入库组</v>
      </c>
      <c r="D86" s="21" t="n">
        <v>46190</v>
      </c>
      <c r="E86" s="19" t="str">
        <v>2026-06</v>
      </c>
      <c r="F86" s="19" t="str">
        <v>操作员</v>
      </c>
      <c r="G86" s="19" t="str">
        <v>德国区-灵活班次 / DE FLEX</v>
      </c>
      <c r="H86" s="19" t="str">
        <v>S000279</v>
      </c>
      <c r="I86" s="19" t="str">
        <v>Armz GmbH</v>
      </c>
      <c r="J86" s="23" t="n">
        <v>3</v>
      </c>
      <c r="K86" s="23" t="n">
        <v>0</v>
      </c>
      <c r="L86" s="23" t="n">
        <f>J86+K86</f>
        <v>3</v>
      </c>
      <c r="M86" s="23" t="n">
        <v>3</v>
      </c>
      <c r="N86" s="23" t="n">
        <v>2</v>
      </c>
      <c r="O86" s="23" t="n">
        <v>3</v>
      </c>
      <c r="P86" s="23" t="n">
        <v>2</v>
      </c>
      <c r="Q86" s="23" t="n">
        <f>MIN(O86,P86)</f>
        <v>2</v>
      </c>
      <c r="R86" s="25" t="n">
        <f>IF(M86=0,0,MIN(1,L86/M86))</f>
        <v>1</v>
      </c>
      <c r="S86" s="23" t="n">
        <f>O86*R86</f>
        <v>3</v>
      </c>
      <c r="T86" s="23" t="n">
        <f>MIN(P86,S86)</f>
        <v>2</v>
      </c>
      <c r="U86" s="23" t="n">
        <f>O86-S86</f>
        <v>0</v>
      </c>
      <c r="V86" s="23" t="n">
        <f>MAX(P86-O86,0)</f>
        <v>0</v>
      </c>
    </row>
    <row r="87">
      <c r="A87" s="19" t="str">
        <v>德国区</v>
      </c>
      <c r="B87" s="19" t="str">
        <v>杜塞尔多夫11号仓</v>
      </c>
      <c r="C87" s="19" t="str">
        <v>入库组</v>
      </c>
      <c r="D87" s="21" t="n">
        <v>46191</v>
      </c>
      <c r="E87" s="19" t="str">
        <v>2026-06</v>
      </c>
      <c r="F87" s="19" t="str">
        <v>操作员</v>
      </c>
      <c r="G87" s="19" t="str">
        <v>德国区-灵活班次 / DE FLEX</v>
      </c>
      <c r="H87" s="19" t="str">
        <v>S000276</v>
      </c>
      <c r="I87" s="19" t="str">
        <v>Go4PrimeJobs GmbH</v>
      </c>
      <c r="J87" s="23" t="n">
        <v>3</v>
      </c>
      <c r="K87" s="23" t="n">
        <v>0</v>
      </c>
      <c r="L87" s="23" t="n">
        <f>J87+K87</f>
        <v>3</v>
      </c>
      <c r="M87" s="23" t="n">
        <v>1</v>
      </c>
      <c r="N87" s="23" t="n">
        <v>1</v>
      </c>
      <c r="O87" s="23" t="n">
        <v>1</v>
      </c>
      <c r="P87" s="23" t="n">
        <v>1</v>
      </c>
      <c r="Q87" s="23" t="n">
        <f>MIN(O87,P87)</f>
        <v>1</v>
      </c>
      <c r="R87" s="25" t="n">
        <f>IF(M87=0,0,MIN(1,L87/M87))</f>
        <v>1</v>
      </c>
      <c r="S87" s="23" t="n">
        <f>O87*R87</f>
        <v>1</v>
      </c>
      <c r="T87" s="23" t="n">
        <f>MIN(P87,S87)</f>
        <v>1</v>
      </c>
      <c r="U87" s="23" t="n">
        <f>O87-S87</f>
        <v>0</v>
      </c>
      <c r="V87" s="23" t="n">
        <f>MAX(P87-O87,0)</f>
        <v>0</v>
      </c>
    </row>
    <row r="88">
      <c r="A88" s="19" t="str">
        <v>德国区</v>
      </c>
      <c r="B88" s="19" t="str">
        <v>杜塞尔多夫11号仓</v>
      </c>
      <c r="C88" s="19" t="str">
        <v>售后组</v>
      </c>
      <c r="D88" s="21" t="n">
        <v>46146</v>
      </c>
      <c r="E88" s="19" t="str">
        <v>2026-05</v>
      </c>
      <c r="F88" s="19" t="str">
        <v>操作员</v>
      </c>
      <c r="G88" s="19" t="str">
        <v>德国区-灵活班次 / DE FLEX</v>
      </c>
      <c r="H88" s="19" t="str">
        <v>S000327</v>
      </c>
      <c r="I88" s="19" t="str">
        <v>Gohar GmbH</v>
      </c>
      <c r="J88" s="23" t="n">
        <v>1</v>
      </c>
      <c r="K88" s="23" t="n">
        <v>0</v>
      </c>
      <c r="L88" s="23" t="n">
        <f>J88+K88</f>
        <v>1</v>
      </c>
      <c r="M88" s="23" t="n">
        <v>1</v>
      </c>
      <c r="N88" s="23" t="n">
        <v>0</v>
      </c>
      <c r="O88" s="23" t="n">
        <v>1</v>
      </c>
      <c r="P88" s="23" t="n">
        <v>0</v>
      </c>
      <c r="Q88" s="23" t="n">
        <f>MIN(O88,P88)</f>
        <v>0</v>
      </c>
      <c r="R88" s="25" t="n">
        <f>IF(M88=0,0,MIN(1,L88/M88))</f>
        <v>1</v>
      </c>
      <c r="S88" s="23" t="n">
        <f>O88*R88</f>
        <v>1</v>
      </c>
      <c r="T88" s="23" t="n">
        <f>MIN(P88,S88)</f>
        <v>0</v>
      </c>
      <c r="U88" s="23" t="n">
        <f>O88-S88</f>
        <v>0</v>
      </c>
      <c r="V88" s="23" t="n">
        <f>MAX(P88-O88,0)</f>
        <v>0</v>
      </c>
    </row>
    <row r="89">
      <c r="A89" s="19" t="str">
        <v>德国区</v>
      </c>
      <c r="B89" s="19" t="str">
        <v>杜塞尔多夫11号仓</v>
      </c>
      <c r="C89" s="19" t="str">
        <v>拣货组</v>
      </c>
      <c r="D89" s="21" t="n">
        <v>46190</v>
      </c>
      <c r="E89" s="19" t="str">
        <v>2026-06</v>
      </c>
      <c r="F89" s="19" t="str">
        <v>操作员</v>
      </c>
      <c r="G89" s="19" t="str">
        <v>德国区-灵活班次 / DE FLEX</v>
      </c>
      <c r="H89" s="19" t="str">
        <v>S000276</v>
      </c>
      <c r="I89" s="19" t="str">
        <v>Go4PrimeJobs GmbH</v>
      </c>
      <c r="J89" s="23" t="n">
        <v>3</v>
      </c>
      <c r="K89" s="23" t="n">
        <v>0</v>
      </c>
      <c r="L89" s="23" t="n">
        <f>J89+K89</f>
        <v>3</v>
      </c>
      <c r="M89" s="23" t="n">
        <v>3</v>
      </c>
      <c r="N89" s="23" t="n">
        <v>3</v>
      </c>
      <c r="O89" s="23" t="n">
        <v>3</v>
      </c>
      <c r="P89" s="23" t="n">
        <v>3</v>
      </c>
      <c r="Q89" s="23" t="n">
        <f>MIN(O89,P89)</f>
        <v>3</v>
      </c>
      <c r="R89" s="25" t="n">
        <f>IF(M89=0,0,MIN(1,L89/M89))</f>
        <v>1</v>
      </c>
      <c r="S89" s="23" t="n">
        <f>O89*R89</f>
        <v>3</v>
      </c>
      <c r="T89" s="23" t="n">
        <f>MIN(P89,S89)</f>
        <v>3</v>
      </c>
      <c r="U89" s="23" t="n">
        <f>O89-S89</f>
        <v>0</v>
      </c>
      <c r="V89" s="23" t="n">
        <f>MAX(P89-O89,0)</f>
        <v>0</v>
      </c>
    </row>
    <row r="90">
      <c r="A90" s="19" t="str">
        <v>德国区</v>
      </c>
      <c r="B90" s="19" t="str">
        <v>杜塞尔多夫12号仓</v>
      </c>
      <c r="C90" s="19" t="str">
        <v>交运组</v>
      </c>
      <c r="D90" s="21" t="n">
        <v>46132</v>
      </c>
      <c r="E90" s="19" t="str">
        <v>2026-04</v>
      </c>
      <c r="F90" s="19" t="str">
        <v>操作员</v>
      </c>
      <c r="G90" s="19" t="str">
        <v>德国区-灵活班次 / DE FLEX</v>
      </c>
      <c r="H90" s="19" t="str">
        <v>S000316</v>
      </c>
      <c r="I90" s="19" t="str">
        <v>Nivux Estate e.Kfm</v>
      </c>
      <c r="J90" s="23" t="n">
        <v>0</v>
      </c>
      <c r="K90" s="23" t="n">
        <v>0</v>
      </c>
      <c r="L90" s="23" t="n">
        <f>J90+K90</f>
        <v>0</v>
      </c>
      <c r="M90" s="23" t="n">
        <v>2</v>
      </c>
      <c r="N90" s="23" t="n">
        <v>2</v>
      </c>
      <c r="O90" s="23" t="n">
        <v>2</v>
      </c>
      <c r="P90" s="23" t="n">
        <v>2</v>
      </c>
      <c r="Q90" s="23" t="n">
        <f>MIN(O90,P90)</f>
        <v>2</v>
      </c>
      <c r="R90" s="25" t="n">
        <f>IF(M90=0,0,MIN(1,L90/M90))</f>
        <v>0</v>
      </c>
      <c r="S90" s="23" t="n">
        <f>O90*R90</f>
        <v>0</v>
      </c>
      <c r="T90" s="23" t="n">
        <f>MIN(P90,S90)</f>
        <v>0</v>
      </c>
      <c r="U90" s="23" t="n">
        <f>O90-S90</f>
        <v>2</v>
      </c>
      <c r="V90" s="23" t="n">
        <f>MAX(P90-O90,0)</f>
        <v>0</v>
      </c>
    </row>
    <row r="91">
      <c r="A91" s="19" t="str">
        <v>德国区</v>
      </c>
      <c r="B91" s="19" t="str">
        <v>杜塞尔多夫12号仓</v>
      </c>
      <c r="C91" s="19" t="str">
        <v>交运组</v>
      </c>
      <c r="D91" s="21" t="n">
        <v>46134</v>
      </c>
      <c r="E91" s="19" t="str">
        <v>2026-04</v>
      </c>
      <c r="F91" s="19" t="str">
        <v>操作员</v>
      </c>
      <c r="G91" s="19" t="str">
        <v>德国区-灵活班次 / DE FLEX</v>
      </c>
      <c r="H91" s="19" t="str">
        <v>S000316</v>
      </c>
      <c r="I91" s="19" t="str">
        <v>Nivux Estate e.Kfm</v>
      </c>
      <c r="J91" s="23" t="n">
        <v>2</v>
      </c>
      <c r="K91" s="23" t="n">
        <v>0</v>
      </c>
      <c r="L91" s="23" t="n">
        <f>J91+K91</f>
        <v>2</v>
      </c>
      <c r="M91" s="23" t="n">
        <v>2</v>
      </c>
      <c r="N91" s="23" t="n">
        <v>2</v>
      </c>
      <c r="O91" s="23" t="n">
        <v>2</v>
      </c>
      <c r="P91" s="23" t="n">
        <v>2</v>
      </c>
      <c r="Q91" s="23" t="n">
        <f>MIN(O91,P91)</f>
        <v>2</v>
      </c>
      <c r="R91" s="25" t="n">
        <f>IF(M91=0,0,MIN(1,L91/M91))</f>
        <v>1</v>
      </c>
      <c r="S91" s="23" t="n">
        <f>O91*R91</f>
        <v>2</v>
      </c>
      <c r="T91" s="23" t="n">
        <f>MIN(P91,S91)</f>
        <v>2</v>
      </c>
      <c r="U91" s="23" t="n">
        <f>O91-S91</f>
        <v>0</v>
      </c>
      <c r="V91" s="23" t="n">
        <f>MAX(P91-O91,0)</f>
        <v>0</v>
      </c>
    </row>
    <row r="92">
      <c r="A92" s="19" t="str">
        <v>德国区</v>
      </c>
      <c r="B92" s="19" t="str">
        <v>杜塞尔多夫12号仓</v>
      </c>
      <c r="C92" s="19" t="str">
        <v>交运组</v>
      </c>
      <c r="D92" s="21" t="n">
        <v>46160</v>
      </c>
      <c r="E92" s="19" t="str">
        <v>2026-05</v>
      </c>
      <c r="F92" s="19" t="str">
        <v>操作员</v>
      </c>
      <c r="G92" s="19" t="str">
        <v>德国区-灵活班次 / DE FLEX</v>
      </c>
      <c r="H92" s="19" t="str">
        <v>S000316</v>
      </c>
      <c r="I92" s="19" t="str">
        <v>Nivux Estate e.Kfm</v>
      </c>
      <c r="J92" s="23" t="n">
        <v>3</v>
      </c>
      <c r="K92" s="23" t="n">
        <v>0</v>
      </c>
      <c r="L92" s="23" t="n">
        <f>J92+K92</f>
        <v>3</v>
      </c>
      <c r="M92" s="23" t="n">
        <v>3</v>
      </c>
      <c r="N92" s="23" t="n">
        <v>3</v>
      </c>
      <c r="O92" s="23" t="n">
        <v>3</v>
      </c>
      <c r="P92" s="23" t="n">
        <v>3</v>
      </c>
      <c r="Q92" s="23" t="n">
        <f>MIN(O92,P92)</f>
        <v>3</v>
      </c>
      <c r="R92" s="25" t="n">
        <f>IF(M92=0,0,MIN(1,L92/M92))</f>
        <v>1</v>
      </c>
      <c r="S92" s="23" t="n">
        <f>O92*R92</f>
        <v>3</v>
      </c>
      <c r="T92" s="23" t="n">
        <f>MIN(P92,S92)</f>
        <v>3</v>
      </c>
      <c r="U92" s="23" t="n">
        <f>O92-S92</f>
        <v>0</v>
      </c>
      <c r="V92" s="23" t="n">
        <f>MAX(P92-O92,0)</f>
        <v>0</v>
      </c>
    </row>
    <row r="93">
      <c r="A93" s="19" t="str">
        <v>德国区</v>
      </c>
      <c r="B93" s="19" t="str">
        <v>杜塞尔多夫12号仓</v>
      </c>
      <c r="C93" s="19" t="str">
        <v>交运组</v>
      </c>
      <c r="D93" s="21" t="n">
        <v>46161</v>
      </c>
      <c r="E93" s="19" t="str">
        <v>2026-05</v>
      </c>
      <c r="F93" s="19" t="str">
        <v>操作员</v>
      </c>
      <c r="G93" s="19" t="str">
        <v>德国区-灵活班次 / DE FLEX</v>
      </c>
      <c r="H93" s="19" t="str">
        <v>S000316</v>
      </c>
      <c r="I93" s="19" t="str">
        <v>Nivux Estate e.Kfm</v>
      </c>
      <c r="J93" s="23" t="n">
        <v>3</v>
      </c>
      <c r="K93" s="23" t="n">
        <v>0</v>
      </c>
      <c r="L93" s="23" t="n">
        <f>J93+K93</f>
        <v>3</v>
      </c>
      <c r="M93" s="23" t="n">
        <v>3</v>
      </c>
      <c r="N93" s="23" t="n">
        <v>3</v>
      </c>
      <c r="O93" s="23" t="n">
        <v>3</v>
      </c>
      <c r="P93" s="23" t="n">
        <v>3</v>
      </c>
      <c r="Q93" s="23" t="n">
        <f>MIN(O93,P93)</f>
        <v>3</v>
      </c>
      <c r="R93" s="25" t="n">
        <f>IF(M93=0,0,MIN(1,L93/M93))</f>
        <v>1</v>
      </c>
      <c r="S93" s="23" t="n">
        <f>O93*R93</f>
        <v>3</v>
      </c>
      <c r="T93" s="23" t="n">
        <f>MIN(P93,S93)</f>
        <v>3</v>
      </c>
      <c r="U93" s="23" t="n">
        <f>O93-S93</f>
        <v>0</v>
      </c>
      <c r="V93" s="23" t="n">
        <f>MAX(P93-O93,0)</f>
        <v>0</v>
      </c>
    </row>
    <row r="94">
      <c r="A94" s="19" t="str">
        <v>德国区</v>
      </c>
      <c r="B94" s="19" t="str">
        <v>杜塞尔多夫12号仓</v>
      </c>
      <c r="C94" s="19" t="str">
        <v>交运组</v>
      </c>
      <c r="D94" s="21" t="n">
        <v>46168</v>
      </c>
      <c r="E94" s="19" t="str">
        <v>2026-05</v>
      </c>
      <c r="F94" s="19" t="str">
        <v>操作员</v>
      </c>
      <c r="G94" s="19" t="str">
        <v>德国区-灵活班次 / DE FLEX</v>
      </c>
      <c r="H94" s="19" t="str">
        <v>S000316</v>
      </c>
      <c r="I94" s="19" t="str">
        <v>Nivux Estate e.Kfm</v>
      </c>
      <c r="J94" s="23" t="n">
        <v>2</v>
      </c>
      <c r="K94" s="23" t="n">
        <v>0</v>
      </c>
      <c r="L94" s="23" t="n">
        <f>J94+K94</f>
        <v>2</v>
      </c>
      <c r="M94" s="23" t="n">
        <v>2</v>
      </c>
      <c r="N94" s="23" t="n">
        <v>2</v>
      </c>
      <c r="O94" s="23" t="n">
        <v>2</v>
      </c>
      <c r="P94" s="23" t="n">
        <v>2</v>
      </c>
      <c r="Q94" s="23" t="n">
        <f>MIN(O94,P94)</f>
        <v>2</v>
      </c>
      <c r="R94" s="25" t="n">
        <f>IF(M94=0,0,MIN(1,L94/M94))</f>
        <v>1</v>
      </c>
      <c r="S94" s="23" t="n">
        <f>O94*R94</f>
        <v>2</v>
      </c>
      <c r="T94" s="23" t="n">
        <f>MIN(P94,S94)</f>
        <v>2</v>
      </c>
      <c r="U94" s="23" t="n">
        <f>O94-S94</f>
        <v>0</v>
      </c>
      <c r="V94" s="23" t="n">
        <f>MAX(P94-O94,0)</f>
        <v>0</v>
      </c>
    </row>
    <row r="95">
      <c r="A95" s="19" t="str">
        <v>德国区</v>
      </c>
      <c r="B95" s="19" t="str">
        <v>杜塞尔多夫12号仓</v>
      </c>
      <c r="C95" s="19" t="str">
        <v>交运组</v>
      </c>
      <c r="D95" s="21" t="n">
        <v>46169</v>
      </c>
      <c r="E95" s="19" t="str">
        <v>2026-05</v>
      </c>
      <c r="F95" s="19" t="str">
        <v>操作员</v>
      </c>
      <c r="G95" s="19" t="str">
        <v>德国区-灵活班次 / DE FLEX</v>
      </c>
      <c r="H95" s="19" t="str">
        <v>S000316</v>
      </c>
      <c r="I95" s="19" t="str">
        <v>Nivux Estate e.Kfm</v>
      </c>
      <c r="J95" s="23" t="n">
        <v>2</v>
      </c>
      <c r="K95" s="23" t="n">
        <v>0</v>
      </c>
      <c r="L95" s="23" t="n">
        <f>J95+K95</f>
        <v>2</v>
      </c>
      <c r="M95" s="23" t="n">
        <v>2</v>
      </c>
      <c r="N95" s="23" t="n">
        <v>2</v>
      </c>
      <c r="O95" s="23" t="n">
        <v>2</v>
      </c>
      <c r="P95" s="23" t="n">
        <v>2</v>
      </c>
      <c r="Q95" s="23" t="n">
        <f>MIN(O95,P95)</f>
        <v>2</v>
      </c>
      <c r="R95" s="25" t="n">
        <f>IF(M95=0,0,MIN(1,L95/M95))</f>
        <v>1</v>
      </c>
      <c r="S95" s="23" t="n">
        <f>O95*R95</f>
        <v>2</v>
      </c>
      <c r="T95" s="23" t="n">
        <f>MIN(P95,S95)</f>
        <v>2</v>
      </c>
      <c r="U95" s="23" t="n">
        <f>O95-S95</f>
        <v>0</v>
      </c>
      <c r="V95" s="23" t="n">
        <f>MAX(P95-O95,0)</f>
        <v>0</v>
      </c>
    </row>
    <row r="96">
      <c r="A96" s="19" t="str">
        <v>德国区</v>
      </c>
      <c r="B96" s="19" t="str">
        <v>杜塞尔多夫12号仓</v>
      </c>
      <c r="C96" s="19" t="str">
        <v>入库组</v>
      </c>
      <c r="D96" s="21" t="n">
        <v>46181</v>
      </c>
      <c r="E96" s="19" t="str">
        <v>2026-06</v>
      </c>
      <c r="F96" s="19" t="str">
        <v>操作员</v>
      </c>
      <c r="G96" s="19" t="str">
        <v>德国区8:30班次（12仓）</v>
      </c>
      <c r="H96" s="19" t="str">
        <v>S000261</v>
      </c>
      <c r="I96" s="19" t="str">
        <v>ProQuality GmbH</v>
      </c>
      <c r="J96" s="23" t="n">
        <v>3</v>
      </c>
      <c r="K96" s="23" t="n">
        <v>0</v>
      </c>
      <c r="L96" s="23" t="n">
        <f>J96+K96</f>
        <v>3</v>
      </c>
      <c r="M96" s="23" t="n">
        <v>4</v>
      </c>
      <c r="N96" s="23" t="n">
        <v>4</v>
      </c>
      <c r="O96" s="23" t="n">
        <v>1</v>
      </c>
      <c r="P96" s="23" t="n">
        <v>1</v>
      </c>
      <c r="Q96" s="23" t="n">
        <f>MIN(O96,P96)</f>
        <v>1</v>
      </c>
      <c r="R96" s="25" t="n">
        <f>IF(M96=0,0,MIN(1,L96/M96))</f>
        <v>0.75</v>
      </c>
      <c r="S96" s="23" t="n">
        <f>O96*R96</f>
        <v>0.75</v>
      </c>
      <c r="T96" s="23" t="n">
        <f>MIN(P96,S96)</f>
        <v>0.75</v>
      </c>
      <c r="U96" s="23" t="n">
        <f>O96-S96</f>
        <v>0.25</v>
      </c>
      <c r="V96" s="23" t="n">
        <f>MAX(P96-O96,0)</f>
        <v>0</v>
      </c>
    </row>
    <row r="97">
      <c r="A97" s="19" t="str">
        <v>德国区</v>
      </c>
      <c r="B97" s="19" t="str">
        <v>杜塞尔多夫12号仓</v>
      </c>
      <c r="C97" s="19" t="str">
        <v>入库组</v>
      </c>
      <c r="D97" s="21" t="n">
        <v>46181</v>
      </c>
      <c r="E97" s="19" t="str">
        <v>2026-06</v>
      </c>
      <c r="F97" s="19" t="str">
        <v>操作员</v>
      </c>
      <c r="G97" s="19" t="str">
        <v>德国区8:30班次（12仓）</v>
      </c>
      <c r="H97" s="19" t="str">
        <v>S000316</v>
      </c>
      <c r="I97" s="19" t="str">
        <v>Nivux Estate e.Kfm</v>
      </c>
      <c r="J97" s="23" t="n">
        <v>3</v>
      </c>
      <c r="K97" s="23" t="n">
        <v>0</v>
      </c>
      <c r="L97" s="23" t="n">
        <f>J97+K97</f>
        <v>3</v>
      </c>
      <c r="M97" s="23" t="n">
        <v>4</v>
      </c>
      <c r="N97" s="23" t="n">
        <v>4</v>
      </c>
      <c r="O97" s="23" t="n">
        <v>1</v>
      </c>
      <c r="P97" s="23" t="n">
        <v>1</v>
      </c>
      <c r="Q97" s="23" t="n">
        <f>MIN(O97,P97)</f>
        <v>1</v>
      </c>
      <c r="R97" s="25" t="n">
        <f>IF(M97=0,0,MIN(1,L97/M97))</f>
        <v>0.75</v>
      </c>
      <c r="S97" s="23" t="n">
        <f>O97*R97</f>
        <v>0.75</v>
      </c>
      <c r="T97" s="23" t="n">
        <f>MIN(P97,S97)</f>
        <v>0.75</v>
      </c>
      <c r="U97" s="23" t="n">
        <f>O97-S97</f>
        <v>0.25</v>
      </c>
      <c r="V97" s="23" t="n">
        <f>MAX(P97-O97,0)</f>
        <v>0</v>
      </c>
    </row>
    <row r="98">
      <c r="A98" s="19" t="str">
        <v>德国区</v>
      </c>
      <c r="B98" s="19" t="str">
        <v>杜塞尔多夫12号仓</v>
      </c>
      <c r="C98" s="19" t="str">
        <v>入库组</v>
      </c>
      <c r="D98" s="21" t="n">
        <v>46181</v>
      </c>
      <c r="E98" s="19" t="str">
        <v>2026-06</v>
      </c>
      <c r="F98" s="19" t="str">
        <v>操作员</v>
      </c>
      <c r="G98" s="19" t="str">
        <v>德国区8:30班次（12仓）</v>
      </c>
      <c r="H98" s="19" t="str">
        <v>S000327</v>
      </c>
      <c r="I98" s="19" t="str">
        <v>Gohar GmbH</v>
      </c>
      <c r="J98" s="23" t="n">
        <v>3</v>
      </c>
      <c r="K98" s="23" t="n">
        <v>0</v>
      </c>
      <c r="L98" s="23" t="n">
        <f>J98+K98</f>
        <v>3</v>
      </c>
      <c r="M98" s="23" t="n">
        <v>4</v>
      </c>
      <c r="N98" s="23" t="n">
        <v>4</v>
      </c>
      <c r="O98" s="23" t="n">
        <v>2</v>
      </c>
      <c r="P98" s="23" t="n">
        <v>2</v>
      </c>
      <c r="Q98" s="23" t="n">
        <f>MIN(O98,P98)</f>
        <v>2</v>
      </c>
      <c r="R98" s="25" t="n">
        <f>IF(M98=0,0,MIN(1,L98/M98))</f>
        <v>0.75</v>
      </c>
      <c r="S98" s="23" t="n">
        <f>O98*R98</f>
        <v>1.5</v>
      </c>
      <c r="T98" s="23" t="n">
        <f>MIN(P98,S98)</f>
        <v>1.5</v>
      </c>
      <c r="U98" s="23" t="n">
        <f>O98-S98</f>
        <v>0.5</v>
      </c>
      <c r="V98" s="23" t="n">
        <f>MAX(P98-O98,0)</f>
        <v>0</v>
      </c>
    </row>
    <row r="99">
      <c r="A99" s="19" t="str">
        <v>德国区</v>
      </c>
      <c r="B99" s="19" t="str">
        <v>杜塞尔多夫12号仓</v>
      </c>
      <c r="C99" s="19" t="str">
        <v>入库组</v>
      </c>
      <c r="D99" s="21" t="n">
        <v>46182</v>
      </c>
      <c r="E99" s="19" t="str">
        <v>2026-06</v>
      </c>
      <c r="F99" s="19" t="str">
        <v>操作员</v>
      </c>
      <c r="G99" s="19" t="str">
        <v>德国区8:30班次（12仓）</v>
      </c>
      <c r="H99" s="19" t="str">
        <v>S000261</v>
      </c>
      <c r="I99" s="19" t="str">
        <v>ProQuality GmbH</v>
      </c>
      <c r="J99" s="23" t="n">
        <v>3</v>
      </c>
      <c r="K99" s="23" t="n">
        <v>0</v>
      </c>
      <c r="L99" s="23" t="n">
        <f>J99+K99</f>
        <v>3</v>
      </c>
      <c r="M99" s="23" t="n">
        <v>4</v>
      </c>
      <c r="N99" s="23" t="n">
        <v>4</v>
      </c>
      <c r="O99" s="23" t="n">
        <v>1</v>
      </c>
      <c r="P99" s="23" t="n">
        <v>1</v>
      </c>
      <c r="Q99" s="23" t="n">
        <f>MIN(O99,P99)</f>
        <v>1</v>
      </c>
      <c r="R99" s="25" t="n">
        <f>IF(M99=0,0,MIN(1,L99/M99))</f>
        <v>0.75</v>
      </c>
      <c r="S99" s="23" t="n">
        <f>O99*R99</f>
        <v>0.75</v>
      </c>
      <c r="T99" s="23" t="n">
        <f>MIN(P99,S99)</f>
        <v>0.75</v>
      </c>
      <c r="U99" s="23" t="n">
        <f>O99-S99</f>
        <v>0.25</v>
      </c>
      <c r="V99" s="23" t="n">
        <f>MAX(P99-O99,0)</f>
        <v>0</v>
      </c>
    </row>
    <row r="100">
      <c r="A100" s="19" t="str">
        <v>德国区</v>
      </c>
      <c r="B100" s="19" t="str">
        <v>杜塞尔多夫12号仓</v>
      </c>
      <c r="C100" s="19" t="str">
        <v>入库组</v>
      </c>
      <c r="D100" s="21" t="n">
        <v>46182</v>
      </c>
      <c r="E100" s="19" t="str">
        <v>2026-06</v>
      </c>
      <c r="F100" s="19" t="str">
        <v>操作员</v>
      </c>
      <c r="G100" s="19" t="str">
        <v>德国区8:30班次（12仓）</v>
      </c>
      <c r="H100" s="19" t="str">
        <v>S000316</v>
      </c>
      <c r="I100" s="19" t="str">
        <v>Nivux Estate e.Kfm</v>
      </c>
      <c r="J100" s="23" t="n">
        <v>3</v>
      </c>
      <c r="K100" s="23" t="n">
        <v>0</v>
      </c>
      <c r="L100" s="23" t="n">
        <f>J100+K100</f>
        <v>3</v>
      </c>
      <c r="M100" s="23" t="n">
        <v>4</v>
      </c>
      <c r="N100" s="23" t="n">
        <v>4</v>
      </c>
      <c r="O100" s="23" t="n">
        <v>1</v>
      </c>
      <c r="P100" s="23" t="n">
        <v>1</v>
      </c>
      <c r="Q100" s="23" t="n">
        <f>MIN(O100,P100)</f>
        <v>1</v>
      </c>
      <c r="R100" s="25" t="n">
        <f>IF(M100=0,0,MIN(1,L100/M100))</f>
        <v>0.75</v>
      </c>
      <c r="S100" s="23" t="n">
        <f>O100*R100</f>
        <v>0.75</v>
      </c>
      <c r="T100" s="23" t="n">
        <f>MIN(P100,S100)</f>
        <v>0.75</v>
      </c>
      <c r="U100" s="23" t="n">
        <f>O100-S100</f>
        <v>0.25</v>
      </c>
      <c r="V100" s="23" t="n">
        <f>MAX(P100-O100,0)</f>
        <v>0</v>
      </c>
    </row>
    <row r="101">
      <c r="A101" s="19" t="str">
        <v>德国区</v>
      </c>
      <c r="B101" s="19" t="str">
        <v>杜塞尔多夫12号仓</v>
      </c>
      <c r="C101" s="19" t="str">
        <v>入库组</v>
      </c>
      <c r="D101" s="21" t="n">
        <v>46182</v>
      </c>
      <c r="E101" s="19" t="str">
        <v>2026-06</v>
      </c>
      <c r="F101" s="19" t="str">
        <v>操作员</v>
      </c>
      <c r="G101" s="19" t="str">
        <v>德国区8:30班次（12仓）</v>
      </c>
      <c r="H101" s="19" t="str">
        <v>S000327</v>
      </c>
      <c r="I101" s="19" t="str">
        <v>Gohar GmbH</v>
      </c>
      <c r="J101" s="23" t="n">
        <v>3</v>
      </c>
      <c r="K101" s="23" t="n">
        <v>0</v>
      </c>
      <c r="L101" s="23" t="n">
        <f>J101+K101</f>
        <v>3</v>
      </c>
      <c r="M101" s="23" t="n">
        <v>4</v>
      </c>
      <c r="N101" s="23" t="n">
        <v>4</v>
      </c>
      <c r="O101" s="23" t="n">
        <v>2</v>
      </c>
      <c r="P101" s="23" t="n">
        <v>2</v>
      </c>
      <c r="Q101" s="23" t="n">
        <f>MIN(O101,P101)</f>
        <v>2</v>
      </c>
      <c r="R101" s="25" t="n">
        <f>IF(M101=0,0,MIN(1,L101/M101))</f>
        <v>0.75</v>
      </c>
      <c r="S101" s="23" t="n">
        <f>O101*R101</f>
        <v>1.5</v>
      </c>
      <c r="T101" s="23" t="n">
        <f>MIN(P101,S101)</f>
        <v>1.5</v>
      </c>
      <c r="U101" s="23" t="n">
        <f>O101-S101</f>
        <v>0.5</v>
      </c>
      <c r="V101" s="23" t="n">
        <f>MAX(P101-O101,0)</f>
        <v>0</v>
      </c>
    </row>
    <row r="102">
      <c r="A102" s="19" t="str">
        <v>德国区</v>
      </c>
      <c r="B102" s="19" t="str">
        <v>杜塞尔多夫12号仓</v>
      </c>
      <c r="C102" s="19" t="str">
        <v>包装组</v>
      </c>
      <c r="D102" s="21" t="n">
        <v>46133</v>
      </c>
      <c r="E102" s="19" t="str">
        <v>2026-04</v>
      </c>
      <c r="F102" s="19" t="str">
        <v>操作员</v>
      </c>
      <c r="G102" s="19" t="str">
        <v>德国区-灵活班次 / DE FLEX</v>
      </c>
      <c r="H102" s="19" t="str">
        <v>S000327</v>
      </c>
      <c r="I102" s="19" t="str">
        <v>Gohar GmbH</v>
      </c>
      <c r="J102" s="23" t="n">
        <v>1</v>
      </c>
      <c r="K102" s="23" t="n">
        <v>0</v>
      </c>
      <c r="L102" s="23" t="n">
        <f>J102+K102</f>
        <v>1</v>
      </c>
      <c r="M102" s="23" t="n">
        <v>1</v>
      </c>
      <c r="N102" s="23" t="n">
        <v>1</v>
      </c>
      <c r="O102" s="23" t="n">
        <v>1</v>
      </c>
      <c r="P102" s="23" t="n">
        <v>1</v>
      </c>
      <c r="Q102" s="23" t="n">
        <f>MIN(O102,P102)</f>
        <v>1</v>
      </c>
      <c r="R102" s="25" t="n">
        <f>IF(M102=0,0,MIN(1,L102/M102))</f>
        <v>1</v>
      </c>
      <c r="S102" s="23" t="n">
        <f>O102*R102</f>
        <v>1</v>
      </c>
      <c r="T102" s="23" t="n">
        <f>MIN(P102,S102)</f>
        <v>1</v>
      </c>
      <c r="U102" s="23" t="n">
        <f>O102-S102</f>
        <v>0</v>
      </c>
      <c r="V102" s="23" t="n">
        <f>MAX(P102-O102,0)</f>
        <v>0</v>
      </c>
    </row>
    <row r="103">
      <c r="A103" s="19" t="str">
        <v>德国区</v>
      </c>
      <c r="B103" s="19" t="str">
        <v>杜塞尔多夫12号仓</v>
      </c>
      <c r="C103" s="19" t="str">
        <v>包装组</v>
      </c>
      <c r="D103" s="21" t="n">
        <v>46182</v>
      </c>
      <c r="E103" s="19" t="str">
        <v>2026-06</v>
      </c>
      <c r="F103" s="19" t="str">
        <v>操作员</v>
      </c>
      <c r="G103" s="19" t="str">
        <v>德国区-灵活班次 / DE FLEX</v>
      </c>
      <c r="H103" s="19" t="str">
        <v>S000279</v>
      </c>
      <c r="I103" s="19" t="str">
        <v>Armz GmbH</v>
      </c>
      <c r="J103" s="23" t="n">
        <v>1</v>
      </c>
      <c r="K103" s="23" t="n">
        <v>0</v>
      </c>
      <c r="L103" s="23" t="n">
        <f>J103+K103</f>
        <v>1</v>
      </c>
      <c r="M103" s="23" t="n">
        <v>1</v>
      </c>
      <c r="N103" s="23" t="n">
        <v>1</v>
      </c>
      <c r="O103" s="23" t="n">
        <v>1</v>
      </c>
      <c r="P103" s="23" t="n">
        <v>1</v>
      </c>
      <c r="Q103" s="23" t="n">
        <f>MIN(O103,P103)</f>
        <v>1</v>
      </c>
      <c r="R103" s="25" t="n">
        <f>IF(M103=0,0,MIN(1,L103/M103))</f>
        <v>1</v>
      </c>
      <c r="S103" s="23" t="n">
        <f>O103*R103</f>
        <v>1</v>
      </c>
      <c r="T103" s="23" t="n">
        <f>MIN(P103,S103)</f>
        <v>1</v>
      </c>
      <c r="U103" s="23" t="n">
        <f>O103-S103</f>
        <v>0</v>
      </c>
      <c r="V103" s="23" t="n">
        <f>MAX(P103-O103,0)</f>
        <v>0</v>
      </c>
    </row>
    <row r="104">
      <c r="A104" s="19" t="str">
        <v>德国区</v>
      </c>
      <c r="B104" s="19" t="str">
        <v>杜塞尔多夫12号仓</v>
      </c>
      <c r="C104" s="19" t="str">
        <v>售后组</v>
      </c>
      <c r="D104" s="21" t="n">
        <v>46161</v>
      </c>
      <c r="E104" s="19" t="str">
        <v>2026-05</v>
      </c>
      <c r="F104" s="19" t="str">
        <v>售后处理员</v>
      </c>
      <c r="G104" s="19" t="str">
        <v>德国区-灵活班次 / DE FLEX</v>
      </c>
      <c r="H104" s="19" t="str">
        <v>S000316</v>
      </c>
      <c r="I104" s="19" t="str">
        <v>Nivux Estate e.Kfm</v>
      </c>
      <c r="J104" s="23" t="n">
        <v>3</v>
      </c>
      <c r="K104" s="23" t="n">
        <v>0</v>
      </c>
      <c r="L104" s="23" t="n">
        <f>J104+K104</f>
        <v>3</v>
      </c>
      <c r="M104" s="23" t="n">
        <v>6</v>
      </c>
      <c r="N104" s="23" t="n">
        <v>5</v>
      </c>
      <c r="O104" s="23" t="n">
        <v>6</v>
      </c>
      <c r="P104" s="23" t="n">
        <v>5</v>
      </c>
      <c r="Q104" s="23" t="n">
        <f>MIN(O104,P104)</f>
        <v>5</v>
      </c>
      <c r="R104" s="25" t="n">
        <f>IF(M104=0,0,MIN(1,L104/M104))</f>
        <v>0.5</v>
      </c>
      <c r="S104" s="23" t="n">
        <f>O104*R104</f>
        <v>3</v>
      </c>
      <c r="T104" s="23" t="n">
        <f>MIN(P104,S104)</f>
        <v>3</v>
      </c>
      <c r="U104" s="23" t="n">
        <f>O104-S104</f>
        <v>3</v>
      </c>
      <c r="V104" s="23" t="n">
        <f>MAX(P104-O104,0)</f>
        <v>0</v>
      </c>
    </row>
    <row r="105">
      <c r="A105" s="19" t="str">
        <v>德国区</v>
      </c>
      <c r="B105" s="19" t="str">
        <v>杜塞尔多夫12号仓</v>
      </c>
      <c r="C105" s="19" t="str">
        <v>售后组</v>
      </c>
      <c r="D105" s="21" t="n">
        <v>46174</v>
      </c>
      <c r="E105" s="19" t="str">
        <v>2026-06</v>
      </c>
      <c r="F105" s="19" t="str">
        <v>操作员</v>
      </c>
      <c r="G105" s="19" t="str">
        <v>德国区-灵活班次 / DE FLEX</v>
      </c>
      <c r="H105" s="19" t="str">
        <v>S000261</v>
      </c>
      <c r="I105" s="19" t="str">
        <v>ProQuality GmbH</v>
      </c>
      <c r="J105" s="23" t="n">
        <v>2</v>
      </c>
      <c r="K105" s="23" t="n">
        <v>0</v>
      </c>
      <c r="L105" s="23" t="n">
        <f>J105+K105</f>
        <v>2</v>
      </c>
      <c r="M105" s="23" t="n">
        <v>2</v>
      </c>
      <c r="N105" s="23" t="n">
        <v>2</v>
      </c>
      <c r="O105" s="23" t="n">
        <v>2</v>
      </c>
      <c r="P105" s="23" t="n">
        <v>2</v>
      </c>
      <c r="Q105" s="23" t="n">
        <f>MIN(O105,P105)</f>
        <v>2</v>
      </c>
      <c r="R105" s="25" t="n">
        <f>IF(M105=0,0,MIN(1,L105/M105))</f>
        <v>1</v>
      </c>
      <c r="S105" s="23" t="n">
        <f>O105*R105</f>
        <v>2</v>
      </c>
      <c r="T105" s="23" t="n">
        <f>MIN(P105,S105)</f>
        <v>2</v>
      </c>
      <c r="U105" s="23" t="n">
        <f>O105-S105</f>
        <v>0</v>
      </c>
      <c r="V105" s="23" t="n">
        <f>MAX(P105-O105,0)</f>
        <v>0</v>
      </c>
    </row>
    <row r="106">
      <c r="A106" s="19" t="str">
        <v>德国区</v>
      </c>
      <c r="B106" s="19" t="str">
        <v>杜塞尔多夫12号仓</v>
      </c>
      <c r="C106" s="19" t="str">
        <v>大疆组</v>
      </c>
      <c r="D106" s="21" t="n">
        <v>46141</v>
      </c>
      <c r="E106" s="19" t="str">
        <v>2026-04</v>
      </c>
      <c r="F106" s="19" t="str">
        <v>操作员</v>
      </c>
      <c r="G106" s="19" t="str">
        <v>德国区-灵活班次 / DE FLEX</v>
      </c>
      <c r="H106" s="19" t="str">
        <v>S000261</v>
      </c>
      <c r="I106" s="19" t="str">
        <v>ProQuality GmbH</v>
      </c>
      <c r="J106" s="23" t="n">
        <v>1</v>
      </c>
      <c r="K106" s="23" t="n">
        <v>0</v>
      </c>
      <c r="L106" s="23" t="n">
        <f>J106+K106</f>
        <v>1</v>
      </c>
      <c r="M106" s="23" t="n">
        <v>1</v>
      </c>
      <c r="N106" s="23" t="n">
        <v>0</v>
      </c>
      <c r="O106" s="23" t="n">
        <v>1</v>
      </c>
      <c r="P106" s="23" t="n">
        <v>0</v>
      </c>
      <c r="Q106" s="23" t="n">
        <f>MIN(O106,P106)</f>
        <v>0</v>
      </c>
      <c r="R106" s="25" t="n">
        <f>IF(M106=0,0,MIN(1,L106/M106))</f>
        <v>1</v>
      </c>
      <c r="S106" s="23" t="n">
        <f>O106*R106</f>
        <v>1</v>
      </c>
      <c r="T106" s="23" t="n">
        <f>MIN(P106,S106)</f>
        <v>0</v>
      </c>
      <c r="U106" s="23" t="n">
        <f>O106-S106</f>
        <v>0</v>
      </c>
      <c r="V106" s="23" t="n">
        <f>MAX(P106-O106,0)</f>
        <v>0</v>
      </c>
    </row>
    <row r="107">
      <c r="A107" s="19" t="str">
        <v>德国区</v>
      </c>
      <c r="B107" s="19" t="str">
        <v>杜塞尔多夫12号仓</v>
      </c>
      <c r="C107" s="19" t="str">
        <v>大疆组</v>
      </c>
      <c r="D107" s="21" t="n">
        <v>46142</v>
      </c>
      <c r="E107" s="19" t="str">
        <v>2026-04</v>
      </c>
      <c r="F107" s="19" t="str">
        <v>操作员</v>
      </c>
      <c r="G107" s="19" t="str">
        <v>德国区-灵活班次 / DE FLEX</v>
      </c>
      <c r="H107" s="19" t="str">
        <v>S000261</v>
      </c>
      <c r="I107" s="19" t="str">
        <v>ProQuality GmbH</v>
      </c>
      <c r="J107" s="23" t="n">
        <v>1</v>
      </c>
      <c r="K107" s="23" t="n">
        <v>0</v>
      </c>
      <c r="L107" s="23" t="n">
        <f>J107+K107</f>
        <v>1</v>
      </c>
      <c r="M107" s="23" t="n">
        <v>1</v>
      </c>
      <c r="N107" s="23" t="n">
        <v>1</v>
      </c>
      <c r="O107" s="23" t="n">
        <v>1</v>
      </c>
      <c r="P107" s="23" t="n">
        <v>1</v>
      </c>
      <c r="Q107" s="23" t="n">
        <f>MIN(O107,P107)</f>
        <v>1</v>
      </c>
      <c r="R107" s="25" t="n">
        <f>IF(M107=0,0,MIN(1,L107/M107))</f>
        <v>1</v>
      </c>
      <c r="S107" s="23" t="n">
        <f>O107*R107</f>
        <v>1</v>
      </c>
      <c r="T107" s="23" t="n">
        <f>MIN(P107,S107)</f>
        <v>1</v>
      </c>
      <c r="U107" s="23" t="n">
        <f>O107-S107</f>
        <v>0</v>
      </c>
      <c r="V107" s="23" t="n">
        <f>MAX(P107-O107,0)</f>
        <v>0</v>
      </c>
    </row>
    <row r="108">
      <c r="A108" s="19" t="str">
        <v>德国区</v>
      </c>
      <c r="B108" s="19" t="str">
        <v>杜塞尔多夫12号仓</v>
      </c>
      <c r="C108" s="19" t="str">
        <v>大疆组</v>
      </c>
      <c r="D108" s="21" t="n">
        <v>46182</v>
      </c>
      <c r="E108" s="19" t="str">
        <v>2026-06</v>
      </c>
      <c r="F108" s="19" t="str">
        <v>操作员</v>
      </c>
      <c r="G108" s="19" t="str">
        <v>德国区8:30班次（12仓）</v>
      </c>
      <c r="H108" s="19" t="str">
        <v>S000261</v>
      </c>
      <c r="I108" s="19" t="str">
        <v>ProQuality GmbH</v>
      </c>
      <c r="J108" s="23" t="n">
        <v>1</v>
      </c>
      <c r="K108" s="23" t="n">
        <v>0</v>
      </c>
      <c r="L108" s="23" t="n">
        <f>J108+K108</f>
        <v>1</v>
      </c>
      <c r="M108" s="23" t="n">
        <v>1</v>
      </c>
      <c r="N108" s="23" t="n">
        <v>1</v>
      </c>
      <c r="O108" s="23" t="n">
        <v>1</v>
      </c>
      <c r="P108" s="23" t="n">
        <v>1</v>
      </c>
      <c r="Q108" s="23" t="n">
        <f>MIN(O108,P108)</f>
        <v>1</v>
      </c>
      <c r="R108" s="25" t="n">
        <f>IF(M108=0,0,MIN(1,L108/M108))</f>
        <v>1</v>
      </c>
      <c r="S108" s="23" t="n">
        <f>O108*R108</f>
        <v>1</v>
      </c>
      <c r="T108" s="23" t="n">
        <f>MIN(P108,S108)</f>
        <v>1</v>
      </c>
      <c r="U108" s="23" t="n">
        <f>O108-S108</f>
        <v>0</v>
      </c>
      <c r="V108" s="23" t="n">
        <f>MAX(P108-O108,0)</f>
        <v>0</v>
      </c>
    </row>
    <row r="109">
      <c r="A109" s="19" t="str">
        <v>德国区</v>
      </c>
      <c r="B109" s="19" t="str">
        <v>杜塞尔多夫12号仓</v>
      </c>
      <c r="C109" s="19" t="str">
        <v>大疆组</v>
      </c>
      <c r="D109" s="21" t="n">
        <v>46183</v>
      </c>
      <c r="E109" s="19" t="str">
        <v>2026-06</v>
      </c>
      <c r="F109" s="19" t="str">
        <v>操作员</v>
      </c>
      <c r="G109" s="19" t="str">
        <v>德国区8:30班次（12仓）</v>
      </c>
      <c r="H109" s="19" t="str">
        <v>S000261</v>
      </c>
      <c r="I109" s="19" t="str">
        <v>ProQuality GmbH</v>
      </c>
      <c r="J109" s="23" t="n">
        <v>1</v>
      </c>
      <c r="K109" s="23" t="n">
        <v>0</v>
      </c>
      <c r="L109" s="23" t="n">
        <f>J109+K109</f>
        <v>1</v>
      </c>
      <c r="M109" s="23" t="n">
        <v>1</v>
      </c>
      <c r="N109" s="23" t="n">
        <v>1</v>
      </c>
      <c r="O109" s="23" t="n">
        <v>1</v>
      </c>
      <c r="P109" s="23" t="n">
        <v>1</v>
      </c>
      <c r="Q109" s="23" t="n">
        <f>MIN(O109,P109)</f>
        <v>1</v>
      </c>
      <c r="R109" s="25" t="n">
        <f>IF(M109=0,0,MIN(1,L109/M109))</f>
        <v>1</v>
      </c>
      <c r="S109" s="23" t="n">
        <f>O109*R109</f>
        <v>1</v>
      </c>
      <c r="T109" s="23" t="n">
        <f>MIN(P109,S109)</f>
        <v>1</v>
      </c>
      <c r="U109" s="23" t="n">
        <f>O109-S109</f>
        <v>0</v>
      </c>
      <c r="V109" s="23" t="n">
        <f>MAX(P109-O109,0)</f>
        <v>0</v>
      </c>
    </row>
    <row r="110">
      <c r="A110" s="19" t="str">
        <v>德国区</v>
      </c>
      <c r="B110" s="19" t="str">
        <v>杜塞尔多夫12号仓</v>
      </c>
      <c r="C110" s="19" t="str">
        <v>大疆组</v>
      </c>
      <c r="D110" s="21" t="n">
        <v>46189</v>
      </c>
      <c r="E110" s="19" t="str">
        <v>2026-06</v>
      </c>
      <c r="F110" s="19" t="str">
        <v>操作员</v>
      </c>
      <c r="G110" s="19" t="str">
        <v>德国区8:30班次（12仓）</v>
      </c>
      <c r="H110" s="19" t="str">
        <v>S000110</v>
      </c>
      <c r="I110" s="19" t="str">
        <v>Koetter Personal Service SE Co. KG</v>
      </c>
      <c r="J110" s="23" t="n">
        <v>1</v>
      </c>
      <c r="K110" s="23" t="n">
        <v>0</v>
      </c>
      <c r="L110" s="23" t="n">
        <f>J110+K110</f>
        <v>1</v>
      </c>
      <c r="M110" s="23" t="n">
        <v>1</v>
      </c>
      <c r="N110" s="23" t="n">
        <v>1</v>
      </c>
      <c r="O110" s="23" t="n">
        <v>1</v>
      </c>
      <c r="P110" s="23" t="n">
        <v>1</v>
      </c>
      <c r="Q110" s="23" t="n">
        <f>MIN(O110,P110)</f>
        <v>1</v>
      </c>
      <c r="R110" s="25" t="n">
        <f>IF(M110=0,0,MIN(1,L110/M110))</f>
        <v>1</v>
      </c>
      <c r="S110" s="23" t="n">
        <f>O110*R110</f>
        <v>1</v>
      </c>
      <c r="T110" s="23" t="n">
        <f>MIN(P110,S110)</f>
        <v>1</v>
      </c>
      <c r="U110" s="23" t="n">
        <f>O110-S110</f>
        <v>0</v>
      </c>
      <c r="V110" s="23" t="n">
        <f>MAX(P110-O110,0)</f>
        <v>0</v>
      </c>
    </row>
    <row r="111">
      <c r="A111" s="19" t="str">
        <v>德国区</v>
      </c>
      <c r="B111" s="19" t="str">
        <v>杜塞尔多夫12号仓</v>
      </c>
      <c r="C111" s="19" t="str">
        <v>大疆组</v>
      </c>
      <c r="D111" s="21" t="n">
        <v>46190</v>
      </c>
      <c r="E111" s="19" t="str">
        <v>2026-06</v>
      </c>
      <c r="F111" s="19" t="str">
        <v>操作员</v>
      </c>
      <c r="G111" s="19" t="str">
        <v>德国区8:30班次（12仓）</v>
      </c>
      <c r="H111" s="19" t="str">
        <v>S000110</v>
      </c>
      <c r="I111" s="19" t="str">
        <v>Koetter Personal Service SE Co. KG</v>
      </c>
      <c r="J111" s="23" t="n">
        <v>1</v>
      </c>
      <c r="K111" s="23" t="n">
        <v>0</v>
      </c>
      <c r="L111" s="23" t="n">
        <f>J111+K111</f>
        <v>1</v>
      </c>
      <c r="M111" s="23" t="n">
        <v>1</v>
      </c>
      <c r="N111" s="23" t="n">
        <v>1</v>
      </c>
      <c r="O111" s="23" t="n">
        <v>1</v>
      </c>
      <c r="P111" s="23" t="n">
        <v>1</v>
      </c>
      <c r="Q111" s="23" t="n">
        <f>MIN(O111,P111)</f>
        <v>1</v>
      </c>
      <c r="R111" s="25" t="n">
        <f>IF(M111=0,0,MIN(1,L111/M111))</f>
        <v>1</v>
      </c>
      <c r="S111" s="23" t="n">
        <f>O111*R111</f>
        <v>1</v>
      </c>
      <c r="T111" s="23" t="n">
        <f>MIN(P111,S111)</f>
        <v>1</v>
      </c>
      <c r="U111" s="23" t="n">
        <f>O111-S111</f>
        <v>0</v>
      </c>
      <c r="V111" s="23" t="n">
        <f>MAX(P111-O111,0)</f>
        <v>0</v>
      </c>
    </row>
    <row r="112">
      <c r="A112" s="19" t="str">
        <v>德国区</v>
      </c>
      <c r="B112" s="19" t="str">
        <v>杜塞尔多夫12号仓</v>
      </c>
      <c r="C112" s="19" t="str">
        <v>大疆组</v>
      </c>
      <c r="D112" s="21" t="n">
        <v>46196</v>
      </c>
      <c r="E112" s="19" t="str">
        <v>2026-06</v>
      </c>
      <c r="F112" s="19" t="str">
        <v>操作员</v>
      </c>
      <c r="G112" s="19" t="str">
        <v>德国区8:30班次（12仓）</v>
      </c>
      <c r="H112" s="19" t="str">
        <v>S000261</v>
      </c>
      <c r="I112" s="19" t="str">
        <v>ProQuality GmbH</v>
      </c>
      <c r="J112" s="23" t="n">
        <v>1</v>
      </c>
      <c r="K112" s="23" t="n">
        <v>0</v>
      </c>
      <c r="L112" s="23" t="n">
        <f>J112+K112</f>
        <v>1</v>
      </c>
      <c r="M112" s="23" t="n">
        <v>1</v>
      </c>
      <c r="N112" s="23" t="n">
        <v>1</v>
      </c>
      <c r="O112" s="23" t="n">
        <v>1</v>
      </c>
      <c r="P112" s="23" t="n">
        <v>1</v>
      </c>
      <c r="Q112" s="23" t="n">
        <f>MIN(O112,P112)</f>
        <v>1</v>
      </c>
      <c r="R112" s="25" t="n">
        <f>IF(M112=0,0,MIN(1,L112/M112))</f>
        <v>1</v>
      </c>
      <c r="S112" s="23" t="n">
        <f>O112*R112</f>
        <v>1</v>
      </c>
      <c r="T112" s="23" t="n">
        <f>MIN(P112,S112)</f>
        <v>1</v>
      </c>
      <c r="U112" s="23" t="n">
        <f>O112-S112</f>
        <v>0</v>
      </c>
      <c r="V112" s="23" t="n">
        <f>MAX(P112-O112,0)</f>
        <v>0</v>
      </c>
    </row>
    <row r="113">
      <c r="A113" s="19" t="str">
        <v>德国区</v>
      </c>
      <c r="B113" s="19" t="str">
        <v>杜塞尔多夫12号仓</v>
      </c>
      <c r="C113" s="19" t="str">
        <v>大疆组</v>
      </c>
      <c r="D113" s="21" t="n">
        <v>46197</v>
      </c>
      <c r="E113" s="19" t="str">
        <v>2026-06</v>
      </c>
      <c r="F113" s="19" t="str">
        <v>操作员</v>
      </c>
      <c r="G113" s="19" t="str">
        <v>德国区8:30班次（12仓）</v>
      </c>
      <c r="H113" s="19" t="str">
        <v>S000261</v>
      </c>
      <c r="I113" s="19" t="str">
        <v>ProQuality GmbH</v>
      </c>
      <c r="J113" s="23" t="n">
        <v>1</v>
      </c>
      <c r="K113" s="23" t="n">
        <v>0</v>
      </c>
      <c r="L113" s="23" t="n">
        <f>J113+K113</f>
        <v>1</v>
      </c>
      <c r="M113" s="23" t="n">
        <v>1</v>
      </c>
      <c r="N113" s="23" t="n">
        <v>1</v>
      </c>
      <c r="O113" s="23" t="n">
        <v>1</v>
      </c>
      <c r="P113" s="23" t="n">
        <v>1</v>
      </c>
      <c r="Q113" s="23" t="n">
        <f>MIN(O113,P113)</f>
        <v>1</v>
      </c>
      <c r="R113" s="25" t="n">
        <f>IF(M113=0,0,MIN(1,L113/M113))</f>
        <v>1</v>
      </c>
      <c r="S113" s="23" t="n">
        <f>O113*R113</f>
        <v>1</v>
      </c>
      <c r="T113" s="23" t="n">
        <f>MIN(P113,S113)</f>
        <v>1</v>
      </c>
      <c r="U113" s="23" t="n">
        <f>O113-S113</f>
        <v>0</v>
      </c>
      <c r="V113" s="23" t="n">
        <f>MAX(P113-O113,0)</f>
        <v>0</v>
      </c>
    </row>
    <row r="114">
      <c r="A114" s="19" t="str">
        <v>德国区</v>
      </c>
      <c r="B114" s="19" t="str">
        <v>杜塞尔多夫12号仓</v>
      </c>
      <c r="C114" s="19" t="str">
        <v>拓竹组</v>
      </c>
      <c r="D114" s="21" t="n">
        <v>46146</v>
      </c>
      <c r="E114" s="19" t="str">
        <v>2026-05</v>
      </c>
      <c r="F114" s="19" t="str">
        <v>操作员</v>
      </c>
      <c r="G114" s="19" t="str">
        <v>德国区-灵活班次 / DE FLEX</v>
      </c>
      <c r="H114" s="19" t="str">
        <v>S000086</v>
      </c>
      <c r="I114" s="19" t="str">
        <v>Topjob Zeitarbeit GmbH</v>
      </c>
      <c r="J114" s="23" t="n">
        <v>2</v>
      </c>
      <c r="K114" s="23" t="n">
        <v>0</v>
      </c>
      <c r="L114" s="23" t="n">
        <f>J114+K114</f>
        <v>2</v>
      </c>
      <c r="M114" s="23" t="n">
        <v>2</v>
      </c>
      <c r="N114" s="23" t="n">
        <v>2</v>
      </c>
      <c r="O114" s="23" t="n">
        <v>1</v>
      </c>
      <c r="P114" s="23" t="n">
        <v>1</v>
      </c>
      <c r="Q114" s="23" t="n">
        <f>MIN(O114,P114)</f>
        <v>1</v>
      </c>
      <c r="R114" s="25" t="n">
        <f>IF(M114=0,0,MIN(1,L114/M114))</f>
        <v>1</v>
      </c>
      <c r="S114" s="23" t="n">
        <f>O114*R114</f>
        <v>1</v>
      </c>
      <c r="T114" s="23" t="n">
        <f>MIN(P114,S114)</f>
        <v>1</v>
      </c>
      <c r="U114" s="23" t="n">
        <f>O114-S114</f>
        <v>0</v>
      </c>
      <c r="V114" s="23" t="n">
        <f>MAX(P114-O114,0)</f>
        <v>0</v>
      </c>
    </row>
    <row r="115">
      <c r="A115" s="19" t="str">
        <v>德国区</v>
      </c>
      <c r="B115" s="19" t="str">
        <v>杜塞尔多夫12号仓</v>
      </c>
      <c r="C115" s="19" t="str">
        <v>拓竹组</v>
      </c>
      <c r="D115" s="21" t="n">
        <v>46146</v>
      </c>
      <c r="E115" s="19" t="str">
        <v>2026-05</v>
      </c>
      <c r="F115" s="19" t="str">
        <v>操作员</v>
      </c>
      <c r="G115" s="19" t="str">
        <v>德国区-灵活班次 / DE FLEX</v>
      </c>
      <c r="H115" s="19" t="str">
        <v>S000327</v>
      </c>
      <c r="I115" s="19" t="str">
        <v>Gohar GmbH</v>
      </c>
      <c r="J115" s="23" t="n">
        <v>2</v>
      </c>
      <c r="K115" s="23" t="n">
        <v>0</v>
      </c>
      <c r="L115" s="23" t="n">
        <f>J115+K115</f>
        <v>2</v>
      </c>
      <c r="M115" s="23" t="n">
        <v>2</v>
      </c>
      <c r="N115" s="23" t="n">
        <v>2</v>
      </c>
      <c r="O115" s="23" t="n">
        <v>1</v>
      </c>
      <c r="P115" s="23" t="n">
        <v>1</v>
      </c>
      <c r="Q115" s="23" t="n">
        <f>MIN(O115,P115)</f>
        <v>1</v>
      </c>
      <c r="R115" s="25" t="n">
        <f>IF(M115=0,0,MIN(1,L115/M115))</f>
        <v>1</v>
      </c>
      <c r="S115" s="23" t="n">
        <f>O115*R115</f>
        <v>1</v>
      </c>
      <c r="T115" s="23" t="n">
        <f>MIN(P115,S115)</f>
        <v>1</v>
      </c>
      <c r="U115" s="23" t="n">
        <f>O115-S115</f>
        <v>0</v>
      </c>
      <c r="V115" s="23" t="n">
        <f>MAX(P115-O115,0)</f>
        <v>0</v>
      </c>
    </row>
    <row r="116">
      <c r="A116" s="19" t="str">
        <v>德国区</v>
      </c>
      <c r="B116" s="19" t="str">
        <v>杜塞尔多夫12号仓</v>
      </c>
      <c r="C116" s="19" t="str">
        <v>拓竹组</v>
      </c>
      <c r="D116" s="21" t="n">
        <v>46160</v>
      </c>
      <c r="E116" s="19" t="str">
        <v>2026-05</v>
      </c>
      <c r="F116" s="19" t="str">
        <v>操作员</v>
      </c>
      <c r="G116" s="19" t="str">
        <v>德国区-灵活班次 / DE FLEX</v>
      </c>
      <c r="H116" s="19" t="str">
        <v>S000327</v>
      </c>
      <c r="I116" s="19" t="str">
        <v>Gohar GmbH</v>
      </c>
      <c r="J116" s="23" t="n">
        <v>5</v>
      </c>
      <c r="K116" s="23" t="n">
        <v>0</v>
      </c>
      <c r="L116" s="23" t="n">
        <f>J116+K116</f>
        <v>5</v>
      </c>
      <c r="M116" s="23" t="n">
        <v>6</v>
      </c>
      <c r="N116" s="23" t="n">
        <v>6</v>
      </c>
      <c r="O116" s="23" t="n">
        <v>6</v>
      </c>
      <c r="P116" s="23" t="n">
        <v>6</v>
      </c>
      <c r="Q116" s="23" t="n">
        <f>MIN(O116,P116)</f>
        <v>6</v>
      </c>
      <c r="R116" s="25" t="n">
        <f>IF(M116=0,0,MIN(1,L116/M116))</f>
        <v>0.8333333333333334</v>
      </c>
      <c r="S116" s="23" t="n">
        <f>O116*R116</f>
        <v>5</v>
      </c>
      <c r="T116" s="23" t="n">
        <f>MIN(P116,S116)</f>
        <v>5</v>
      </c>
      <c r="U116" s="23" t="n">
        <f>O116-S116</f>
        <v>1</v>
      </c>
      <c r="V116" s="23" t="n">
        <f>MAX(P116-O116,0)</f>
        <v>0</v>
      </c>
    </row>
    <row r="117">
      <c r="A117" s="19" t="str">
        <v>德国区</v>
      </c>
      <c r="B117" s="19" t="str">
        <v>杜塞尔多夫12号仓</v>
      </c>
      <c r="C117" s="19" t="str">
        <v>拓竹组</v>
      </c>
      <c r="D117" s="21" t="n">
        <v>46161</v>
      </c>
      <c r="E117" s="19" t="str">
        <v>2026-05</v>
      </c>
      <c r="F117" s="19" t="str">
        <v>操作员</v>
      </c>
      <c r="G117" s="19" t="str">
        <v>德国区-灵活班次 / DE FLEX</v>
      </c>
      <c r="H117" s="19" t="str">
        <v>S000327</v>
      </c>
      <c r="I117" s="19" t="str">
        <v>Gohar GmbH</v>
      </c>
      <c r="J117" s="23" t="n">
        <v>5</v>
      </c>
      <c r="K117" s="23" t="n">
        <v>0</v>
      </c>
      <c r="L117" s="23" t="n">
        <f>J117+K117</f>
        <v>5</v>
      </c>
      <c r="M117" s="23" t="n">
        <v>6</v>
      </c>
      <c r="N117" s="23" t="n">
        <v>6</v>
      </c>
      <c r="O117" s="23" t="n">
        <v>6</v>
      </c>
      <c r="P117" s="23" t="n">
        <v>6</v>
      </c>
      <c r="Q117" s="23" t="n">
        <f>MIN(O117,P117)</f>
        <v>6</v>
      </c>
      <c r="R117" s="25" t="n">
        <f>IF(M117=0,0,MIN(1,L117/M117))</f>
        <v>0.8333333333333334</v>
      </c>
      <c r="S117" s="23" t="n">
        <f>O117*R117</f>
        <v>5</v>
      </c>
      <c r="T117" s="23" t="n">
        <f>MIN(P117,S117)</f>
        <v>5</v>
      </c>
      <c r="U117" s="23" t="n">
        <f>O117-S117</f>
        <v>1</v>
      </c>
      <c r="V117" s="23" t="n">
        <f>MAX(P117-O117,0)</f>
        <v>0</v>
      </c>
    </row>
    <row r="118">
      <c r="A118" s="19" t="str">
        <v>德国区</v>
      </c>
      <c r="B118" s="19" t="str">
        <v>杜塞尔多夫12号仓</v>
      </c>
      <c r="C118" s="19" t="str">
        <v>拓竹组</v>
      </c>
      <c r="D118" s="21" t="n">
        <v>46162</v>
      </c>
      <c r="E118" s="19" t="str">
        <v>2026-05</v>
      </c>
      <c r="F118" s="19" t="str">
        <v>操作员</v>
      </c>
      <c r="G118" s="19" t="str">
        <v>德国区-灵活班次 / DE FLEX</v>
      </c>
      <c r="H118" s="19" t="str">
        <v>S000327</v>
      </c>
      <c r="I118" s="19" t="str">
        <v>Gohar GmbH</v>
      </c>
      <c r="J118" s="23" t="n">
        <v>5</v>
      </c>
      <c r="K118" s="23" t="n">
        <v>0</v>
      </c>
      <c r="L118" s="23" t="n">
        <f>J118+K118</f>
        <v>5</v>
      </c>
      <c r="M118" s="23" t="n">
        <v>5</v>
      </c>
      <c r="N118" s="23" t="n">
        <v>5</v>
      </c>
      <c r="O118" s="23" t="n">
        <v>5</v>
      </c>
      <c r="P118" s="23" t="n">
        <v>5</v>
      </c>
      <c r="Q118" s="23" t="n">
        <f>MIN(O118,P118)</f>
        <v>5</v>
      </c>
      <c r="R118" s="25" t="n">
        <f>IF(M118=0,0,MIN(1,L118/M118))</f>
        <v>1</v>
      </c>
      <c r="S118" s="23" t="n">
        <f>O118*R118</f>
        <v>5</v>
      </c>
      <c r="T118" s="23" t="n">
        <f>MIN(P118,S118)</f>
        <v>5</v>
      </c>
      <c r="U118" s="23" t="n">
        <f>O118-S118</f>
        <v>0</v>
      </c>
      <c r="V118" s="23" t="n">
        <f>MAX(P118-O118,0)</f>
        <v>0</v>
      </c>
    </row>
    <row r="119">
      <c r="A119" s="19" t="str">
        <v>德国区</v>
      </c>
      <c r="B119" s="19" t="str">
        <v>杜塞尔多夫12号仓</v>
      </c>
      <c r="C119" s="19" t="str">
        <v>拓竹组</v>
      </c>
      <c r="D119" s="21" t="n">
        <v>46163</v>
      </c>
      <c r="E119" s="19" t="str">
        <v>2026-05</v>
      </c>
      <c r="F119" s="19" t="str">
        <v>操作员</v>
      </c>
      <c r="G119" s="19" t="str">
        <v>德国区-灵活班次 / DE FLEX</v>
      </c>
      <c r="H119" s="19" t="str">
        <v>S000327</v>
      </c>
      <c r="I119" s="19" t="str">
        <v>Gohar GmbH</v>
      </c>
      <c r="J119" s="23" t="n">
        <v>5</v>
      </c>
      <c r="K119" s="23" t="n">
        <v>0</v>
      </c>
      <c r="L119" s="23" t="n">
        <f>J119+K119</f>
        <v>5</v>
      </c>
      <c r="M119" s="23" t="n">
        <v>5</v>
      </c>
      <c r="N119" s="23" t="n">
        <v>5</v>
      </c>
      <c r="O119" s="23" t="n">
        <v>5</v>
      </c>
      <c r="P119" s="23" t="n">
        <v>5</v>
      </c>
      <c r="Q119" s="23" t="n">
        <f>MIN(O119,P119)</f>
        <v>5</v>
      </c>
      <c r="R119" s="25" t="n">
        <f>IF(M119=0,0,MIN(1,L119/M119))</f>
        <v>1</v>
      </c>
      <c r="S119" s="23" t="n">
        <f>O119*R119</f>
        <v>5</v>
      </c>
      <c r="T119" s="23" t="n">
        <f>MIN(P119,S119)</f>
        <v>5</v>
      </c>
      <c r="U119" s="23" t="n">
        <f>O119-S119</f>
        <v>0</v>
      </c>
      <c r="V119" s="23" t="n">
        <f>MAX(P119-O119,0)</f>
        <v>0</v>
      </c>
    </row>
    <row r="120">
      <c r="A120" s="19" t="str">
        <v>德国区</v>
      </c>
      <c r="B120" s="19" t="str">
        <v>杜塞尔多夫12号仓</v>
      </c>
      <c r="C120" s="19" t="str">
        <v>拓竹组</v>
      </c>
      <c r="D120" s="21" t="n">
        <v>46164</v>
      </c>
      <c r="E120" s="19" t="str">
        <v>2026-05</v>
      </c>
      <c r="F120" s="19" t="str">
        <v>操作员</v>
      </c>
      <c r="G120" s="19" t="str">
        <v>德国区-灵活班次 / DE FLEX</v>
      </c>
      <c r="H120" s="19" t="str">
        <v>S000327</v>
      </c>
      <c r="I120" s="19" t="str">
        <v>Gohar GmbH</v>
      </c>
      <c r="J120" s="23" t="n">
        <v>5</v>
      </c>
      <c r="K120" s="23" t="n">
        <v>0</v>
      </c>
      <c r="L120" s="23" t="n">
        <f>J120+K120</f>
        <v>5</v>
      </c>
      <c r="M120" s="23" t="n">
        <v>5</v>
      </c>
      <c r="N120" s="23" t="n">
        <v>5</v>
      </c>
      <c r="O120" s="23" t="n">
        <v>5</v>
      </c>
      <c r="P120" s="23" t="n">
        <v>5</v>
      </c>
      <c r="Q120" s="23" t="n">
        <f>MIN(O120,P120)</f>
        <v>5</v>
      </c>
      <c r="R120" s="25" t="n">
        <f>IF(M120=0,0,MIN(1,L120/M120))</f>
        <v>1</v>
      </c>
      <c r="S120" s="23" t="n">
        <f>O120*R120</f>
        <v>5</v>
      </c>
      <c r="T120" s="23" t="n">
        <f>MIN(P120,S120)</f>
        <v>5</v>
      </c>
      <c r="U120" s="23" t="n">
        <f>O120-S120</f>
        <v>0</v>
      </c>
      <c r="V120" s="23" t="n">
        <f>MAX(P120-O120,0)</f>
        <v>0</v>
      </c>
    </row>
    <row r="121">
      <c r="A121" s="19" t="str">
        <v>德国区</v>
      </c>
      <c r="B121" s="19" t="str">
        <v>杜塞尔多夫12号仓</v>
      </c>
      <c r="C121" s="19" t="str">
        <v>拓竹组</v>
      </c>
      <c r="D121" s="21" t="n">
        <v>46169</v>
      </c>
      <c r="E121" s="19" t="str">
        <v>2026-05</v>
      </c>
      <c r="F121" s="19" t="str">
        <v>操作员</v>
      </c>
      <c r="G121" s="19" t="str">
        <v>德国区-灵活班次 / DE FLEX</v>
      </c>
      <c r="H121" s="19" t="str">
        <v>S000316</v>
      </c>
      <c r="I121" s="19" t="str">
        <v>Nivux Estate e.Kfm</v>
      </c>
      <c r="J121" s="23" t="n">
        <v>8</v>
      </c>
      <c r="K121" s="23" t="n">
        <v>0</v>
      </c>
      <c r="L121" s="23" t="n">
        <f>J121+K121</f>
        <v>8</v>
      </c>
      <c r="M121" s="23" t="n">
        <v>13</v>
      </c>
      <c r="N121" s="23" t="n">
        <v>13</v>
      </c>
      <c r="O121" s="23" t="n">
        <v>5</v>
      </c>
      <c r="P121" s="23" t="n">
        <v>5</v>
      </c>
      <c r="Q121" s="23" t="n">
        <f>MIN(O121,P121)</f>
        <v>5</v>
      </c>
      <c r="R121" s="25" t="n">
        <f>IF(M121=0,0,MIN(1,L121/M121))</f>
        <v>0.6153846153846154</v>
      </c>
      <c r="S121" s="23" t="n">
        <f>O121*R121</f>
        <v>3.076923076923077</v>
      </c>
      <c r="T121" s="23" t="n">
        <f>MIN(P121,S121)</f>
        <v>3.076923076923077</v>
      </c>
      <c r="U121" s="23" t="n">
        <f>O121-S121</f>
        <v>1.923076923076923</v>
      </c>
      <c r="V121" s="23" t="n">
        <f>MAX(P121-O121,0)</f>
        <v>0</v>
      </c>
    </row>
    <row r="122">
      <c r="A122" s="19" t="str">
        <v>德国区</v>
      </c>
      <c r="B122" s="19" t="str">
        <v>杜塞尔多夫12号仓</v>
      </c>
      <c r="C122" s="19" t="str">
        <v>拓竹组</v>
      </c>
      <c r="D122" s="21" t="n">
        <v>46169</v>
      </c>
      <c r="E122" s="19" t="str">
        <v>2026-05</v>
      </c>
      <c r="F122" s="19" t="str">
        <v>操作员</v>
      </c>
      <c r="G122" s="19" t="str">
        <v>德国区-灵活班次 / DE FLEX</v>
      </c>
      <c r="H122" s="19" t="str">
        <v>S000327</v>
      </c>
      <c r="I122" s="19" t="str">
        <v>Gohar GmbH</v>
      </c>
      <c r="J122" s="23" t="n">
        <v>8</v>
      </c>
      <c r="K122" s="23" t="n">
        <v>0</v>
      </c>
      <c r="L122" s="23" t="n">
        <f>J122+K122</f>
        <v>8</v>
      </c>
      <c r="M122" s="23" t="n">
        <v>13</v>
      </c>
      <c r="N122" s="23" t="n">
        <v>13</v>
      </c>
      <c r="O122" s="23" t="n">
        <v>8</v>
      </c>
      <c r="P122" s="23" t="n">
        <v>8</v>
      </c>
      <c r="Q122" s="23" t="n">
        <f>MIN(O122,P122)</f>
        <v>8</v>
      </c>
      <c r="R122" s="25" t="n">
        <f>IF(M122=0,0,MIN(1,L122/M122))</f>
        <v>0.6153846153846154</v>
      </c>
      <c r="S122" s="23" t="n">
        <f>O122*R122</f>
        <v>4.923076923076923</v>
      </c>
      <c r="T122" s="23" t="n">
        <f>MIN(P122,S122)</f>
        <v>4.923076923076923</v>
      </c>
      <c r="U122" s="23" t="n">
        <f>O122-S122</f>
        <v>3.0769230769230766</v>
      </c>
      <c r="V122" s="23" t="n">
        <f>MAX(P122-O122,0)</f>
        <v>0</v>
      </c>
    </row>
    <row r="123">
      <c r="A123" s="19" t="str">
        <v>德国区</v>
      </c>
      <c r="B123" s="19" t="str">
        <v>杜塞尔多夫12号仓</v>
      </c>
      <c r="C123" s="19" t="str">
        <v>拓竹组</v>
      </c>
      <c r="D123" s="21" t="n">
        <v>46170</v>
      </c>
      <c r="E123" s="19" t="str">
        <v>2026-05</v>
      </c>
      <c r="F123" s="19" t="str">
        <v>操作员</v>
      </c>
      <c r="G123" s="19" t="str">
        <v>德国区-灵活班次 / DE FLEX</v>
      </c>
      <c r="H123" s="19" t="str">
        <v>S000261</v>
      </c>
      <c r="I123" s="19" t="str">
        <v>ProQuality GmbH</v>
      </c>
      <c r="J123" s="23" t="n">
        <v>8</v>
      </c>
      <c r="K123" s="23" t="n">
        <v>0</v>
      </c>
      <c r="L123" s="23" t="n">
        <f>J123+K123</f>
        <v>8</v>
      </c>
      <c r="M123" s="23" t="n">
        <v>13</v>
      </c>
      <c r="N123" s="23" t="n">
        <v>13</v>
      </c>
      <c r="O123" s="23" t="n">
        <v>8</v>
      </c>
      <c r="P123" s="23" t="n">
        <v>8</v>
      </c>
      <c r="Q123" s="23" t="n">
        <f>MIN(O123,P123)</f>
        <v>8</v>
      </c>
      <c r="R123" s="25" t="n">
        <f>IF(M123=0,0,MIN(1,L123/M123))</f>
        <v>0.6153846153846154</v>
      </c>
      <c r="S123" s="23" t="n">
        <f>O123*R123</f>
        <v>4.923076923076923</v>
      </c>
      <c r="T123" s="23" t="n">
        <f>MIN(P123,S123)</f>
        <v>4.923076923076923</v>
      </c>
      <c r="U123" s="23" t="n">
        <f>O123-S123</f>
        <v>3.0769230769230766</v>
      </c>
      <c r="V123" s="23" t="n">
        <f>MAX(P123-O123,0)</f>
        <v>0</v>
      </c>
    </row>
    <row r="124">
      <c r="A124" s="19" t="str">
        <v>德国区</v>
      </c>
      <c r="B124" s="19" t="str">
        <v>杜塞尔多夫12号仓</v>
      </c>
      <c r="C124" s="19" t="str">
        <v>拓竹组</v>
      </c>
      <c r="D124" s="21" t="n">
        <v>46170</v>
      </c>
      <c r="E124" s="19" t="str">
        <v>2026-05</v>
      </c>
      <c r="F124" s="19" t="str">
        <v>操作员</v>
      </c>
      <c r="G124" s="19" t="str">
        <v>德国区-灵活班次 / DE FLEX</v>
      </c>
      <c r="H124" s="19" t="str">
        <v>S000327</v>
      </c>
      <c r="I124" s="19" t="str">
        <v>Gohar GmbH</v>
      </c>
      <c r="J124" s="23" t="n">
        <v>8</v>
      </c>
      <c r="K124" s="23" t="n">
        <v>0</v>
      </c>
      <c r="L124" s="23" t="n">
        <f>J124+K124</f>
        <v>8</v>
      </c>
      <c r="M124" s="23" t="n">
        <v>13</v>
      </c>
      <c r="N124" s="23" t="n">
        <v>13</v>
      </c>
      <c r="O124" s="23" t="n">
        <v>5</v>
      </c>
      <c r="P124" s="23" t="n">
        <v>5</v>
      </c>
      <c r="Q124" s="23" t="n">
        <f>MIN(O124,P124)</f>
        <v>5</v>
      </c>
      <c r="R124" s="25" t="n">
        <f>IF(M124=0,0,MIN(1,L124/M124))</f>
        <v>0.6153846153846154</v>
      </c>
      <c r="S124" s="23" t="n">
        <f>O124*R124</f>
        <v>3.076923076923077</v>
      </c>
      <c r="T124" s="23" t="n">
        <f>MIN(P124,S124)</f>
        <v>3.076923076923077</v>
      </c>
      <c r="U124" s="23" t="n">
        <f>O124-S124</f>
        <v>1.923076923076923</v>
      </c>
      <c r="V124" s="23" t="n">
        <f>MAX(P124-O124,0)</f>
        <v>0</v>
      </c>
    </row>
    <row r="125">
      <c r="A125" s="19" t="str">
        <v>德国区</v>
      </c>
      <c r="B125" s="19" t="str">
        <v>杜塞尔多夫12号仓</v>
      </c>
      <c r="C125" s="19" t="str">
        <v>拓竹组</v>
      </c>
      <c r="D125" s="21" t="n">
        <v>46171</v>
      </c>
      <c r="E125" s="19" t="str">
        <v>2026-05</v>
      </c>
      <c r="F125" s="19" t="str">
        <v>操作员</v>
      </c>
      <c r="G125" s="19" t="str">
        <v>德国区-灵活班次 / DE FLEX</v>
      </c>
      <c r="H125" s="19" t="str">
        <v>S000261</v>
      </c>
      <c r="I125" s="19" t="str">
        <v>ProQuality GmbH</v>
      </c>
      <c r="J125" s="23" t="n">
        <v>9</v>
      </c>
      <c r="K125" s="23" t="n">
        <v>0</v>
      </c>
      <c r="L125" s="23" t="n">
        <f>J125+K125</f>
        <v>9</v>
      </c>
      <c r="M125" s="23" t="n">
        <v>15</v>
      </c>
      <c r="N125" s="23" t="n">
        <v>15</v>
      </c>
      <c r="O125" s="23" t="n">
        <v>5</v>
      </c>
      <c r="P125" s="23" t="n">
        <v>5</v>
      </c>
      <c r="Q125" s="23" t="n">
        <f>MIN(O125,P125)</f>
        <v>5</v>
      </c>
      <c r="R125" s="25" t="n">
        <f>IF(M125=0,0,MIN(1,L125/M125))</f>
        <v>0.6</v>
      </c>
      <c r="S125" s="23" t="n">
        <f>O125*R125</f>
        <v>3</v>
      </c>
      <c r="T125" s="23" t="n">
        <f>MIN(P125,S125)</f>
        <v>3</v>
      </c>
      <c r="U125" s="23" t="n">
        <f>O125-S125</f>
        <v>2</v>
      </c>
      <c r="V125" s="23" t="n">
        <f>MAX(P125-O125,0)</f>
        <v>0</v>
      </c>
    </row>
    <row r="126">
      <c r="A126" s="19" t="str">
        <v>德国区</v>
      </c>
      <c r="B126" s="19" t="str">
        <v>杜塞尔多夫12号仓</v>
      </c>
      <c r="C126" s="19" t="str">
        <v>拓竹组</v>
      </c>
      <c r="D126" s="21" t="n">
        <v>46171</v>
      </c>
      <c r="E126" s="19" t="str">
        <v>2026-05</v>
      </c>
      <c r="F126" s="19" t="str">
        <v>操作员</v>
      </c>
      <c r="G126" s="19" t="str">
        <v>德国区-灵活班次 / DE FLEX</v>
      </c>
      <c r="H126" s="19" t="str">
        <v>S000316</v>
      </c>
      <c r="I126" s="19" t="str">
        <v>Nivux Estate e.Kfm</v>
      </c>
      <c r="J126" s="23" t="n">
        <v>9</v>
      </c>
      <c r="K126" s="23" t="n">
        <v>0</v>
      </c>
      <c r="L126" s="23" t="n">
        <f>J126+K126</f>
        <v>9</v>
      </c>
      <c r="M126" s="23" t="n">
        <v>15</v>
      </c>
      <c r="N126" s="23" t="n">
        <v>15</v>
      </c>
      <c r="O126" s="23" t="n">
        <v>5</v>
      </c>
      <c r="P126" s="23" t="n">
        <v>5</v>
      </c>
      <c r="Q126" s="23" t="n">
        <f>MIN(O126,P126)</f>
        <v>5</v>
      </c>
      <c r="R126" s="25" t="n">
        <f>IF(M126=0,0,MIN(1,L126/M126))</f>
        <v>0.6</v>
      </c>
      <c r="S126" s="23" t="n">
        <f>O126*R126</f>
        <v>3</v>
      </c>
      <c r="T126" s="23" t="n">
        <f>MIN(P126,S126)</f>
        <v>3</v>
      </c>
      <c r="U126" s="23" t="n">
        <f>O126-S126</f>
        <v>2</v>
      </c>
      <c r="V126" s="23" t="n">
        <f>MAX(P126-O126,0)</f>
        <v>0</v>
      </c>
    </row>
    <row r="127">
      <c r="A127" s="19" t="str">
        <v>德国区</v>
      </c>
      <c r="B127" s="19" t="str">
        <v>杜塞尔多夫12号仓</v>
      </c>
      <c r="C127" s="19" t="str">
        <v>拓竹组</v>
      </c>
      <c r="D127" s="21" t="n">
        <v>46171</v>
      </c>
      <c r="E127" s="19" t="str">
        <v>2026-05</v>
      </c>
      <c r="F127" s="19" t="str">
        <v>操作员</v>
      </c>
      <c r="G127" s="19" t="str">
        <v>德国区-灵活班次 / DE FLEX</v>
      </c>
      <c r="H127" s="19" t="str">
        <v>S000327</v>
      </c>
      <c r="I127" s="19" t="str">
        <v>Gohar GmbH</v>
      </c>
      <c r="J127" s="23" t="n">
        <v>9</v>
      </c>
      <c r="K127" s="23" t="n">
        <v>0</v>
      </c>
      <c r="L127" s="23" t="n">
        <f>J127+K127</f>
        <v>9</v>
      </c>
      <c r="M127" s="23" t="n">
        <v>15</v>
      </c>
      <c r="N127" s="23" t="n">
        <v>15</v>
      </c>
      <c r="O127" s="23" t="n">
        <v>5</v>
      </c>
      <c r="P127" s="23" t="n">
        <v>5</v>
      </c>
      <c r="Q127" s="23" t="n">
        <f>MIN(O127,P127)</f>
        <v>5</v>
      </c>
      <c r="R127" s="25" t="n">
        <f>IF(M127=0,0,MIN(1,L127/M127))</f>
        <v>0.6</v>
      </c>
      <c r="S127" s="23" t="n">
        <f>O127*R127</f>
        <v>3</v>
      </c>
      <c r="T127" s="23" t="n">
        <f>MIN(P127,S127)</f>
        <v>3</v>
      </c>
      <c r="U127" s="23" t="n">
        <f>O127-S127</f>
        <v>2</v>
      </c>
      <c r="V127" s="23" t="n">
        <f>MAX(P127-O127,0)</f>
        <v>0</v>
      </c>
    </row>
    <row r="128">
      <c r="A128" s="19" t="str">
        <v>德国区</v>
      </c>
      <c r="B128" s="19" t="str">
        <v>杜塞尔多夫12号仓</v>
      </c>
      <c r="C128" s="19" t="str">
        <v>拓竹组</v>
      </c>
      <c r="D128" s="21" t="n">
        <v>46181</v>
      </c>
      <c r="E128" s="19" t="str">
        <v>2026-06</v>
      </c>
      <c r="F128" s="19" t="str">
        <v>操作员</v>
      </c>
      <c r="G128" s="19" t="str">
        <v>德国区-灵活班次 / DE FLEX</v>
      </c>
      <c r="H128" s="19" t="str">
        <v>S000261</v>
      </c>
      <c r="I128" s="19" t="str">
        <v>ProQuality GmbH</v>
      </c>
      <c r="J128" s="23" t="n">
        <v>5</v>
      </c>
      <c r="K128" s="23" t="n">
        <v>0</v>
      </c>
      <c r="L128" s="23" t="n">
        <f>J128+K128</f>
        <v>5</v>
      </c>
      <c r="M128" s="23" t="n">
        <v>5</v>
      </c>
      <c r="N128" s="23" t="n">
        <v>5</v>
      </c>
      <c r="O128" s="23" t="n">
        <v>5</v>
      </c>
      <c r="P128" s="23" t="n">
        <v>5</v>
      </c>
      <c r="Q128" s="23" t="n">
        <f>MIN(O128,P128)</f>
        <v>5</v>
      </c>
      <c r="R128" s="25" t="n">
        <f>IF(M128=0,0,MIN(1,L128/M128))</f>
        <v>1</v>
      </c>
      <c r="S128" s="23" t="n">
        <f>O128*R128</f>
        <v>5</v>
      </c>
      <c r="T128" s="23" t="n">
        <f>MIN(P128,S128)</f>
        <v>5</v>
      </c>
      <c r="U128" s="23" t="n">
        <f>O128-S128</f>
        <v>0</v>
      </c>
      <c r="V128" s="23" t="n">
        <f>MAX(P128-O128,0)</f>
        <v>0</v>
      </c>
    </row>
    <row r="129">
      <c r="A129" s="19" t="str">
        <v>德国区</v>
      </c>
      <c r="B129" s="19" t="str">
        <v>杜塞尔多夫12号仓</v>
      </c>
      <c r="C129" s="19" t="str">
        <v>拓竹组</v>
      </c>
      <c r="D129" s="21" t="n">
        <v>46182</v>
      </c>
      <c r="E129" s="19" t="str">
        <v>2026-06</v>
      </c>
      <c r="F129" s="19" t="str">
        <v>操作员</v>
      </c>
      <c r="G129" s="19" t="str">
        <v>德国区-灵活班次 / DE FLEX</v>
      </c>
      <c r="H129" s="19" t="str">
        <v>S000261</v>
      </c>
      <c r="I129" s="19" t="str">
        <v>ProQuality GmbH</v>
      </c>
      <c r="J129" s="23" t="n">
        <v>5</v>
      </c>
      <c r="K129" s="23" t="n">
        <v>0</v>
      </c>
      <c r="L129" s="23" t="n">
        <f>J129+K129</f>
        <v>5</v>
      </c>
      <c r="M129" s="23" t="n">
        <v>5</v>
      </c>
      <c r="N129" s="23" t="n">
        <v>5</v>
      </c>
      <c r="O129" s="23" t="n">
        <v>5</v>
      </c>
      <c r="P129" s="23" t="n">
        <v>5</v>
      </c>
      <c r="Q129" s="23" t="n">
        <f>MIN(O129,P129)</f>
        <v>5</v>
      </c>
      <c r="R129" s="25" t="n">
        <f>IF(M129=0,0,MIN(1,L129/M129))</f>
        <v>1</v>
      </c>
      <c r="S129" s="23" t="n">
        <f>O129*R129</f>
        <v>5</v>
      </c>
      <c r="T129" s="23" t="n">
        <f>MIN(P129,S129)</f>
        <v>5</v>
      </c>
      <c r="U129" s="23" t="n">
        <f>O129-S129</f>
        <v>0</v>
      </c>
      <c r="V129" s="23" t="n">
        <f>MAX(P129-O129,0)</f>
        <v>0</v>
      </c>
    </row>
    <row r="130">
      <c r="A130" s="19" t="str">
        <v>德国区</v>
      </c>
      <c r="B130" s="19" t="str">
        <v>杜塞尔多夫12号仓</v>
      </c>
      <c r="C130" s="19" t="str">
        <v>拓竹组</v>
      </c>
      <c r="D130" s="21" t="n">
        <v>46188</v>
      </c>
      <c r="E130" s="19" t="str">
        <v>2026-06</v>
      </c>
      <c r="F130" s="19" t="str">
        <v>操作员</v>
      </c>
      <c r="G130" s="19" t="str">
        <v>拓竹大促2:00班次</v>
      </c>
      <c r="H130" s="19" t="str">
        <v>S000110</v>
      </c>
      <c r="I130" s="19" t="str">
        <v>Koetter Personal Service SE Co. KG</v>
      </c>
      <c r="J130" s="23" t="n">
        <v>10</v>
      </c>
      <c r="K130" s="23" t="n">
        <v>0</v>
      </c>
      <c r="L130" s="23" t="n">
        <f>J130+K130</f>
        <v>10</v>
      </c>
      <c r="M130" s="23" t="n">
        <v>20</v>
      </c>
      <c r="N130" s="23" t="n">
        <v>20</v>
      </c>
      <c r="O130" s="23" t="n">
        <v>5</v>
      </c>
      <c r="P130" s="23" t="n">
        <v>5</v>
      </c>
      <c r="Q130" s="23" t="n">
        <f>MIN(O130,P130)</f>
        <v>5</v>
      </c>
      <c r="R130" s="25" t="n">
        <f>IF(M130=0,0,MIN(1,L130/M130))</f>
        <v>0.5</v>
      </c>
      <c r="S130" s="23" t="n">
        <f>O130*R130</f>
        <v>2.5</v>
      </c>
      <c r="T130" s="23" t="n">
        <f>MIN(P130,S130)</f>
        <v>2.5</v>
      </c>
      <c r="U130" s="23" t="n">
        <f>O130-S130</f>
        <v>2.5</v>
      </c>
      <c r="V130" s="23" t="n">
        <f>MAX(P130-O130,0)</f>
        <v>0</v>
      </c>
    </row>
    <row r="131">
      <c r="A131" s="19" t="str">
        <v>德国区</v>
      </c>
      <c r="B131" s="19" t="str">
        <v>杜塞尔多夫12号仓</v>
      </c>
      <c r="C131" s="19" t="str">
        <v>拓竹组</v>
      </c>
      <c r="D131" s="21" t="n">
        <v>46188</v>
      </c>
      <c r="E131" s="19" t="str">
        <v>2026-06</v>
      </c>
      <c r="F131" s="19" t="str">
        <v>操作员</v>
      </c>
      <c r="G131" s="19" t="str">
        <v>拓竹大促2:00班次</v>
      </c>
      <c r="H131" s="19" t="str">
        <v>S000261</v>
      </c>
      <c r="I131" s="19" t="str">
        <v>ProQuality GmbH</v>
      </c>
      <c r="J131" s="23" t="n">
        <v>10</v>
      </c>
      <c r="K131" s="23" t="n">
        <v>0</v>
      </c>
      <c r="L131" s="23" t="n">
        <f>J131+K131</f>
        <v>10</v>
      </c>
      <c r="M131" s="23" t="n">
        <v>20</v>
      </c>
      <c r="N131" s="23" t="n">
        <v>20</v>
      </c>
      <c r="O131" s="23" t="n">
        <v>5</v>
      </c>
      <c r="P131" s="23" t="n">
        <v>5</v>
      </c>
      <c r="Q131" s="23" t="n">
        <f>MIN(O131,P131)</f>
        <v>5</v>
      </c>
      <c r="R131" s="25" t="n">
        <f>IF(M131=0,0,MIN(1,L131/M131))</f>
        <v>0.5</v>
      </c>
      <c r="S131" s="23" t="n">
        <f>O131*R131</f>
        <v>2.5</v>
      </c>
      <c r="T131" s="23" t="n">
        <f>MIN(P131,S131)</f>
        <v>2.5</v>
      </c>
      <c r="U131" s="23" t="n">
        <f>O131-S131</f>
        <v>2.5</v>
      </c>
      <c r="V131" s="23" t="n">
        <f>MAX(P131-O131,0)</f>
        <v>0</v>
      </c>
    </row>
    <row r="132">
      <c r="A132" s="19" t="str">
        <v>德国区</v>
      </c>
      <c r="B132" s="19" t="str">
        <v>杜塞尔多夫12号仓</v>
      </c>
      <c r="C132" s="19" t="str">
        <v>拓竹组</v>
      </c>
      <c r="D132" s="21" t="n">
        <v>46188</v>
      </c>
      <c r="E132" s="19" t="str">
        <v>2026-06</v>
      </c>
      <c r="F132" s="19" t="str">
        <v>操作员</v>
      </c>
      <c r="G132" s="19" t="str">
        <v>拓竹大促2:00班次</v>
      </c>
      <c r="H132" s="19" t="str">
        <v>S000316</v>
      </c>
      <c r="I132" s="19" t="str">
        <v>Nivux Estate e.Kfm</v>
      </c>
      <c r="J132" s="23" t="n">
        <v>10</v>
      </c>
      <c r="K132" s="23" t="n">
        <v>0</v>
      </c>
      <c r="L132" s="23" t="n">
        <f>J132+K132</f>
        <v>10</v>
      </c>
      <c r="M132" s="23" t="n">
        <v>20</v>
      </c>
      <c r="N132" s="23" t="n">
        <v>20</v>
      </c>
      <c r="O132" s="23" t="n">
        <v>10</v>
      </c>
      <c r="P132" s="23" t="n">
        <v>10</v>
      </c>
      <c r="Q132" s="23" t="n">
        <f>MIN(O132,P132)</f>
        <v>10</v>
      </c>
      <c r="R132" s="25" t="n">
        <f>IF(M132=0,0,MIN(1,L132/M132))</f>
        <v>0.5</v>
      </c>
      <c r="S132" s="23" t="n">
        <f>O132*R132</f>
        <v>5</v>
      </c>
      <c r="T132" s="23" t="n">
        <f>MIN(P132,S132)</f>
        <v>5</v>
      </c>
      <c r="U132" s="23" t="n">
        <f>O132-S132</f>
        <v>5</v>
      </c>
      <c r="V132" s="23" t="n">
        <f>MAX(P132-O132,0)</f>
        <v>0</v>
      </c>
    </row>
    <row r="133">
      <c r="A133" s="19" t="str">
        <v>德国区</v>
      </c>
      <c r="B133" s="19" t="str">
        <v>杜塞尔多夫12号仓</v>
      </c>
      <c r="C133" s="19" t="str">
        <v>拓竹组</v>
      </c>
      <c r="D133" s="21" t="n">
        <v>46189</v>
      </c>
      <c r="E133" s="19" t="str">
        <v>2026-06</v>
      </c>
      <c r="F133" s="19" t="str">
        <v>操作员</v>
      </c>
      <c r="G133" s="19" t="str">
        <v>德国区-灵活班次 / DE FLEX</v>
      </c>
      <c r="H133" s="19" t="str">
        <v>S000327</v>
      </c>
      <c r="I133" s="19" t="str">
        <v>Gohar GmbH</v>
      </c>
      <c r="J133" s="23" t="n">
        <v>3</v>
      </c>
      <c r="K133" s="23" t="n">
        <v>0</v>
      </c>
      <c r="L133" s="23" t="n">
        <f>J133+K133</f>
        <v>3</v>
      </c>
      <c r="M133" s="23" t="n">
        <v>3</v>
      </c>
      <c r="N133" s="23" t="n">
        <v>3</v>
      </c>
      <c r="O133" s="23" t="n">
        <v>3</v>
      </c>
      <c r="P133" s="23" t="n">
        <v>3</v>
      </c>
      <c r="Q133" s="23" t="n">
        <f>MIN(O133,P133)</f>
        <v>3</v>
      </c>
      <c r="R133" s="25" t="n">
        <f>IF(M133=0,0,MIN(1,L133/M133))</f>
        <v>1</v>
      </c>
      <c r="S133" s="23" t="n">
        <f>O133*R133</f>
        <v>3</v>
      </c>
      <c r="T133" s="23" t="n">
        <f>MIN(P133,S133)</f>
        <v>3</v>
      </c>
      <c r="U133" s="23" t="n">
        <f>O133-S133</f>
        <v>0</v>
      </c>
      <c r="V133" s="23" t="n">
        <f>MAX(P133-O133,0)</f>
        <v>0</v>
      </c>
    </row>
    <row r="134">
      <c r="A134" s="19" t="str">
        <v>德国区</v>
      </c>
      <c r="B134" s="19" t="str">
        <v>杜塞尔多夫12号仓</v>
      </c>
      <c r="C134" s="19" t="str">
        <v>拓竹组</v>
      </c>
      <c r="D134" s="21" t="n">
        <v>46189</v>
      </c>
      <c r="E134" s="19" t="str">
        <v>2026-06</v>
      </c>
      <c r="F134" s="19" t="str">
        <v>操作员</v>
      </c>
      <c r="G134" s="19" t="str">
        <v>拓竹大促12:30班次</v>
      </c>
      <c r="H134" s="19" t="str">
        <v>S000086</v>
      </c>
      <c r="I134" s="19" t="str">
        <v>Topjob Zeitarbeit GmbH</v>
      </c>
      <c r="J134" s="23" t="n">
        <v>10</v>
      </c>
      <c r="K134" s="23" t="n">
        <v>0</v>
      </c>
      <c r="L134" s="23" t="n">
        <f>J134+K134</f>
        <v>10</v>
      </c>
      <c r="M134" s="23" t="n">
        <v>15</v>
      </c>
      <c r="N134" s="23" t="n">
        <v>13</v>
      </c>
      <c r="O134" s="23" t="n">
        <v>10</v>
      </c>
      <c r="P134" s="23" t="n">
        <v>10</v>
      </c>
      <c r="Q134" s="23" t="n">
        <f>MIN(O134,P134)</f>
        <v>10</v>
      </c>
      <c r="R134" s="25" t="n">
        <f>IF(M134=0,0,MIN(1,L134/M134))</f>
        <v>0.6666666666666666</v>
      </c>
      <c r="S134" s="23" t="n">
        <f>O134*R134</f>
        <v>6.666666666666666</v>
      </c>
      <c r="T134" s="23" t="n">
        <f>MIN(P134,S134)</f>
        <v>6.666666666666666</v>
      </c>
      <c r="U134" s="23" t="n">
        <f>O134-S134</f>
        <v>3.333333333333334</v>
      </c>
      <c r="V134" s="23" t="n">
        <f>MAX(P134-O134,0)</f>
        <v>0</v>
      </c>
    </row>
    <row r="135">
      <c r="A135" s="19" t="str">
        <v>德国区</v>
      </c>
      <c r="B135" s="19" t="str">
        <v>杜塞尔多夫12号仓</v>
      </c>
      <c r="C135" s="19" t="str">
        <v>拓竹组</v>
      </c>
      <c r="D135" s="21" t="n">
        <v>46189</v>
      </c>
      <c r="E135" s="19" t="str">
        <v>2026-06</v>
      </c>
      <c r="F135" s="19" t="str">
        <v>操作员</v>
      </c>
      <c r="G135" s="19" t="str">
        <v>拓竹大促12:30班次</v>
      </c>
      <c r="H135" s="19" t="str">
        <v>S000279</v>
      </c>
      <c r="I135" s="19" t="str">
        <v>Armz GmbH</v>
      </c>
      <c r="J135" s="23" t="n">
        <v>10</v>
      </c>
      <c r="K135" s="23" t="n">
        <v>0</v>
      </c>
      <c r="L135" s="23" t="n">
        <f>J135+K135</f>
        <v>10</v>
      </c>
      <c r="M135" s="23" t="n">
        <v>15</v>
      </c>
      <c r="N135" s="23" t="n">
        <v>13</v>
      </c>
      <c r="O135" s="23" t="n">
        <v>5</v>
      </c>
      <c r="P135" s="23" t="n">
        <v>3</v>
      </c>
      <c r="Q135" s="23" t="n">
        <f>MIN(O135,P135)</f>
        <v>3</v>
      </c>
      <c r="R135" s="25" t="n">
        <f>IF(M135=0,0,MIN(1,L135/M135))</f>
        <v>0.6666666666666666</v>
      </c>
      <c r="S135" s="23" t="n">
        <f>O135*R135</f>
        <v>3.333333333333333</v>
      </c>
      <c r="T135" s="23" t="n">
        <f>MIN(P135,S135)</f>
        <v>3</v>
      </c>
      <c r="U135" s="23" t="n">
        <f>O135-S135</f>
        <v>1.666666666666667</v>
      </c>
      <c r="V135" s="23" t="n">
        <f>MAX(P135-O135,0)</f>
        <v>0</v>
      </c>
    </row>
    <row r="136">
      <c r="A136" s="19" t="str">
        <v>德国区</v>
      </c>
      <c r="B136" s="19" t="str">
        <v>杜塞尔多夫12号仓</v>
      </c>
      <c r="C136" s="19" t="str">
        <v>拓竹组</v>
      </c>
      <c r="D136" s="21" t="n">
        <v>46190</v>
      </c>
      <c r="E136" s="19" t="str">
        <v>2026-06</v>
      </c>
      <c r="F136" s="19" t="str">
        <v>操作员</v>
      </c>
      <c r="G136" s="19" t="str">
        <v>拓竹大促2:00班次</v>
      </c>
      <c r="H136" s="19" t="str">
        <v>S000191</v>
      </c>
      <c r="I136" s="19" t="str">
        <v>TimePartner Personalmanagement GmbH</v>
      </c>
      <c r="J136" s="23" t="n">
        <v>10</v>
      </c>
      <c r="K136" s="23" t="n">
        <v>0</v>
      </c>
      <c r="L136" s="23" t="n">
        <f>J136+K136</f>
        <v>10</v>
      </c>
      <c r="M136" s="23" t="n">
        <v>15</v>
      </c>
      <c r="N136" s="23" t="n">
        <v>15</v>
      </c>
      <c r="O136" s="23" t="n">
        <v>5</v>
      </c>
      <c r="P136" s="23" t="n">
        <v>5</v>
      </c>
      <c r="Q136" s="23" t="n">
        <f>MIN(O136,P136)</f>
        <v>5</v>
      </c>
      <c r="R136" s="25" t="n">
        <f>IF(M136=0,0,MIN(1,L136/M136))</f>
        <v>0.6666666666666666</v>
      </c>
      <c r="S136" s="23" t="n">
        <f>O136*R136</f>
        <v>3.333333333333333</v>
      </c>
      <c r="T136" s="23" t="n">
        <f>MIN(P136,S136)</f>
        <v>3.333333333333333</v>
      </c>
      <c r="U136" s="23" t="n">
        <f>O136-S136</f>
        <v>1.666666666666667</v>
      </c>
      <c r="V136" s="23" t="n">
        <f>MAX(P136-O136,0)</f>
        <v>0</v>
      </c>
    </row>
    <row r="137">
      <c r="A137" s="19" t="str">
        <v>德国区</v>
      </c>
      <c r="B137" s="19" t="str">
        <v>杜塞尔多夫12号仓</v>
      </c>
      <c r="C137" s="19" t="str">
        <v>拓竹组</v>
      </c>
      <c r="D137" s="21" t="n">
        <v>46190</v>
      </c>
      <c r="E137" s="19" t="str">
        <v>2026-06</v>
      </c>
      <c r="F137" s="19" t="str">
        <v>操作员</v>
      </c>
      <c r="G137" s="19" t="str">
        <v>拓竹大促2:00班次</v>
      </c>
      <c r="H137" s="19" t="str">
        <v>S000261</v>
      </c>
      <c r="I137" s="19" t="str">
        <v>ProQuality GmbH</v>
      </c>
      <c r="J137" s="23" t="n">
        <v>10</v>
      </c>
      <c r="K137" s="23" t="n">
        <v>0</v>
      </c>
      <c r="L137" s="23" t="n">
        <f>J137+K137</f>
        <v>10</v>
      </c>
      <c r="M137" s="23" t="n">
        <v>15</v>
      </c>
      <c r="N137" s="23" t="n">
        <v>15</v>
      </c>
      <c r="O137" s="23" t="n">
        <v>5</v>
      </c>
      <c r="P137" s="23" t="n">
        <v>5</v>
      </c>
      <c r="Q137" s="23" t="n">
        <f>MIN(O137,P137)</f>
        <v>5</v>
      </c>
      <c r="R137" s="25" t="n">
        <f>IF(M137=0,0,MIN(1,L137/M137))</f>
        <v>0.6666666666666666</v>
      </c>
      <c r="S137" s="23" t="n">
        <f>O137*R137</f>
        <v>3.333333333333333</v>
      </c>
      <c r="T137" s="23" t="n">
        <f>MIN(P137,S137)</f>
        <v>3.333333333333333</v>
      </c>
      <c r="U137" s="23" t="n">
        <f>O137-S137</f>
        <v>1.666666666666667</v>
      </c>
      <c r="V137" s="23" t="n">
        <f>MAX(P137-O137,0)</f>
        <v>0</v>
      </c>
    </row>
    <row r="138">
      <c r="A138" s="19" t="str">
        <v>德国区</v>
      </c>
      <c r="B138" s="19" t="str">
        <v>杜塞尔多夫12号仓</v>
      </c>
      <c r="C138" s="19" t="str">
        <v>拓竹组</v>
      </c>
      <c r="D138" s="21" t="n">
        <v>46190</v>
      </c>
      <c r="E138" s="19" t="str">
        <v>2026-06</v>
      </c>
      <c r="F138" s="19" t="str">
        <v>操作员</v>
      </c>
      <c r="G138" s="19" t="str">
        <v>拓竹大促2:00班次</v>
      </c>
      <c r="H138" s="19" t="str">
        <v>S000279</v>
      </c>
      <c r="I138" s="19" t="str">
        <v>Armz GmbH</v>
      </c>
      <c r="J138" s="23" t="n">
        <v>10</v>
      </c>
      <c r="K138" s="23" t="n">
        <v>0</v>
      </c>
      <c r="L138" s="23" t="n">
        <f>J138+K138</f>
        <v>10</v>
      </c>
      <c r="M138" s="23" t="n">
        <v>15</v>
      </c>
      <c r="N138" s="23" t="n">
        <v>15</v>
      </c>
      <c r="O138" s="23" t="n">
        <v>5</v>
      </c>
      <c r="P138" s="23" t="n">
        <v>5</v>
      </c>
      <c r="Q138" s="23" t="n">
        <f>MIN(O138,P138)</f>
        <v>5</v>
      </c>
      <c r="R138" s="25" t="n">
        <f>IF(M138=0,0,MIN(1,L138/M138))</f>
        <v>0.6666666666666666</v>
      </c>
      <c r="S138" s="23" t="n">
        <f>O138*R138</f>
        <v>3.333333333333333</v>
      </c>
      <c r="T138" s="23" t="n">
        <f>MIN(P138,S138)</f>
        <v>3.333333333333333</v>
      </c>
      <c r="U138" s="23" t="n">
        <f>O138-S138</f>
        <v>1.666666666666667</v>
      </c>
      <c r="V138" s="23" t="n">
        <f>MAX(P138-O138,0)</f>
        <v>0</v>
      </c>
    </row>
    <row r="139">
      <c r="A139" s="19" t="str">
        <v>德国区</v>
      </c>
      <c r="B139" s="19" t="str">
        <v>杜塞尔多夫12号仓</v>
      </c>
      <c r="C139" s="19" t="str">
        <v>拓竹组</v>
      </c>
      <c r="D139" s="21" t="n">
        <v>46196</v>
      </c>
      <c r="E139" s="19" t="str">
        <v>2026-06</v>
      </c>
      <c r="F139" s="19" t="str">
        <v>操作员</v>
      </c>
      <c r="G139" s="19" t="str">
        <v>德国区-灵活班次 / DE FLEX</v>
      </c>
      <c r="H139" s="19" t="str">
        <v>S000110</v>
      </c>
      <c r="I139" s="19" t="str">
        <v>Koetter Personal Service SE Co. KG</v>
      </c>
      <c r="J139" s="23" t="n">
        <v>5</v>
      </c>
      <c r="K139" s="23" t="n">
        <v>0</v>
      </c>
      <c r="L139" s="23" t="n">
        <f>J139+K139</f>
        <v>5</v>
      </c>
      <c r="M139" s="23" t="n">
        <v>5</v>
      </c>
      <c r="N139" s="23" t="n">
        <v>5</v>
      </c>
      <c r="O139" s="23" t="n">
        <v>5</v>
      </c>
      <c r="P139" s="23" t="n">
        <v>5</v>
      </c>
      <c r="Q139" s="23" t="n">
        <f>MIN(O139,P139)</f>
        <v>5</v>
      </c>
      <c r="R139" s="25" t="n">
        <f>IF(M139=0,0,MIN(1,L139/M139))</f>
        <v>1</v>
      </c>
      <c r="S139" s="23" t="n">
        <f>O139*R139</f>
        <v>5</v>
      </c>
      <c r="T139" s="23" t="n">
        <f>MIN(P139,S139)</f>
        <v>5</v>
      </c>
      <c r="U139" s="23" t="n">
        <f>O139-S139</f>
        <v>0</v>
      </c>
      <c r="V139" s="23" t="n">
        <f>MAX(P139-O139,0)</f>
        <v>0</v>
      </c>
    </row>
    <row r="140">
      <c r="A140" s="19" t="str">
        <v>德国区</v>
      </c>
      <c r="B140" s="19" t="str">
        <v>杜塞尔多夫12号仓</v>
      </c>
      <c r="C140" s="19" t="str">
        <v>拓竹组</v>
      </c>
      <c r="D140" s="21" t="n">
        <v>46197</v>
      </c>
      <c r="E140" s="19" t="str">
        <v>2026-06</v>
      </c>
      <c r="F140" s="19" t="str">
        <v>操作员</v>
      </c>
      <c r="G140" s="19" t="str">
        <v>德国区-灵活班次 / DE FLEX</v>
      </c>
      <c r="H140" s="19" t="str">
        <v>S000110</v>
      </c>
      <c r="I140" s="19" t="str">
        <v>Koetter Personal Service SE Co. KG</v>
      </c>
      <c r="J140" s="23" t="n">
        <v>5</v>
      </c>
      <c r="K140" s="23" t="n">
        <v>0</v>
      </c>
      <c r="L140" s="23" t="n">
        <f>J140+K140</f>
        <v>5</v>
      </c>
      <c r="M140" s="23" t="n">
        <v>5</v>
      </c>
      <c r="N140" s="23" t="n">
        <v>5</v>
      </c>
      <c r="O140" s="23" t="n">
        <v>5</v>
      </c>
      <c r="P140" s="23" t="n">
        <v>5</v>
      </c>
      <c r="Q140" s="23" t="n">
        <f>MIN(O140,P140)</f>
        <v>5</v>
      </c>
      <c r="R140" s="25" t="n">
        <f>IF(M140=0,0,MIN(1,L140/M140))</f>
        <v>1</v>
      </c>
      <c r="S140" s="23" t="n">
        <f>O140*R140</f>
        <v>5</v>
      </c>
      <c r="T140" s="23" t="n">
        <f>MIN(P140,S140)</f>
        <v>5</v>
      </c>
      <c r="U140" s="23" t="n">
        <f>O140-S140</f>
        <v>0</v>
      </c>
      <c r="V140" s="23" t="n">
        <f>MAX(P140-O140,0)</f>
        <v>0</v>
      </c>
    </row>
    <row r="141">
      <c r="A141" s="19" t="str">
        <v>德国区</v>
      </c>
      <c r="B141" s="19" t="str">
        <v>杜塞尔多夫12号仓</v>
      </c>
      <c r="C141" s="19" t="str">
        <v>理货组</v>
      </c>
      <c r="D141" s="21" t="n">
        <v>46163</v>
      </c>
      <c r="E141" s="19" t="str">
        <v>2026-05</v>
      </c>
      <c r="F141" s="19" t="str">
        <v>操作员</v>
      </c>
      <c r="G141" s="19" t="str">
        <v>德国区-灵活班次 / DE FLEX</v>
      </c>
      <c r="H141" s="19" t="str">
        <v>S000191</v>
      </c>
      <c r="I141" s="19" t="str">
        <v>TimePartner Personalmanagement GmbH</v>
      </c>
      <c r="J141" s="23" t="n">
        <v>1</v>
      </c>
      <c r="K141" s="23" t="n">
        <v>0</v>
      </c>
      <c r="L141" s="23" t="n">
        <f>J141+K141</f>
        <v>1</v>
      </c>
      <c r="M141" s="23" t="n">
        <v>1</v>
      </c>
      <c r="N141" s="23" t="n">
        <v>1</v>
      </c>
      <c r="O141" s="23" t="n">
        <v>1</v>
      </c>
      <c r="P141" s="23" t="n">
        <v>1</v>
      </c>
      <c r="Q141" s="23" t="n">
        <f>MIN(O141,P141)</f>
        <v>1</v>
      </c>
      <c r="R141" s="25" t="n">
        <f>IF(M141=0,0,MIN(1,L141/M141))</f>
        <v>1</v>
      </c>
      <c r="S141" s="23" t="n">
        <f>O141*R141</f>
        <v>1</v>
      </c>
      <c r="T141" s="23" t="n">
        <f>MIN(P141,S141)</f>
        <v>1</v>
      </c>
      <c r="U141" s="23" t="n">
        <f>O141-S141</f>
        <v>0</v>
      </c>
      <c r="V141" s="23" t="n">
        <f>MAX(P141-O141,0)</f>
        <v>0</v>
      </c>
    </row>
    <row r="142">
      <c r="A142" s="19" t="str">
        <v>德国区</v>
      </c>
      <c r="B142" s="19" t="str">
        <v>杜塞尔多夫15号仓</v>
      </c>
      <c r="C142" s="19" t="str">
        <v>入库组</v>
      </c>
      <c r="D142" s="21" t="n">
        <v>46157</v>
      </c>
      <c r="E142" s="19" t="str">
        <v>2026-05</v>
      </c>
      <c r="F142" s="19" t="str">
        <v>操作员</v>
      </c>
      <c r="G142" s="19" t="str">
        <v>德国区-灵活班次 / DE FLEX</v>
      </c>
      <c r="H142" s="19" t="str">
        <v>S000279</v>
      </c>
      <c r="I142" s="19" t="str">
        <v>Armz GmbH</v>
      </c>
      <c r="J142" s="23" t="n">
        <v>5</v>
      </c>
      <c r="K142" s="23" t="n">
        <v>0</v>
      </c>
      <c r="L142" s="23" t="n">
        <f>J142+K142</f>
        <v>5</v>
      </c>
      <c r="M142" s="23" t="n">
        <v>5</v>
      </c>
      <c r="N142" s="23" t="n">
        <v>5</v>
      </c>
      <c r="O142" s="23" t="n">
        <v>5</v>
      </c>
      <c r="P142" s="23" t="n">
        <v>5</v>
      </c>
      <c r="Q142" s="23" t="n">
        <f>MIN(O142,P142)</f>
        <v>5</v>
      </c>
      <c r="R142" s="25" t="n">
        <f>IF(M142=0,0,MIN(1,L142/M142))</f>
        <v>1</v>
      </c>
      <c r="S142" s="23" t="n">
        <f>O142*R142</f>
        <v>5</v>
      </c>
      <c r="T142" s="23" t="n">
        <f>MIN(P142,S142)</f>
        <v>5</v>
      </c>
      <c r="U142" s="23" t="n">
        <f>O142-S142</f>
        <v>0</v>
      </c>
      <c r="V142" s="23" t="n">
        <f>MAX(P142-O142,0)</f>
        <v>0</v>
      </c>
    </row>
    <row r="143">
      <c r="A143" s="19" t="str">
        <v>德国区</v>
      </c>
      <c r="B143" s="19" t="str">
        <v>杜塞尔多夫15号仓</v>
      </c>
      <c r="C143" s="19" t="str">
        <v>入库组</v>
      </c>
      <c r="D143" s="21" t="n">
        <v>46202</v>
      </c>
      <c r="E143" s="19" t="str">
        <v>2026-06</v>
      </c>
      <c r="F143" s="19" t="str">
        <v>操作员</v>
      </c>
      <c r="G143" s="19" t="str">
        <v>德国区出库组7:00班次</v>
      </c>
      <c r="H143" s="19" t="str">
        <v>S000279</v>
      </c>
      <c r="I143" s="19" t="str">
        <v>Armz GmbH</v>
      </c>
      <c r="J143" s="23" t="n">
        <v>3</v>
      </c>
      <c r="K143" s="23" t="n">
        <v>0</v>
      </c>
      <c r="L143" s="23" t="n">
        <f>J143+K143</f>
        <v>3</v>
      </c>
      <c r="M143" s="23" t="n">
        <v>2</v>
      </c>
      <c r="N143" s="23" t="n">
        <v>2</v>
      </c>
      <c r="O143" s="23" t="n">
        <v>2</v>
      </c>
      <c r="P143" s="23" t="n">
        <v>2</v>
      </c>
      <c r="Q143" s="23" t="n">
        <f>MIN(O143,P143)</f>
        <v>2</v>
      </c>
      <c r="R143" s="25" t="n">
        <f>IF(M143=0,0,MIN(1,L143/M143))</f>
        <v>1</v>
      </c>
      <c r="S143" s="23" t="n">
        <f>O143*R143</f>
        <v>2</v>
      </c>
      <c r="T143" s="23" t="n">
        <f>MIN(P143,S143)</f>
        <v>2</v>
      </c>
      <c r="U143" s="23" t="n">
        <f>O143-S143</f>
        <v>0</v>
      </c>
      <c r="V143" s="23" t="n">
        <f>MAX(P143-O143,0)</f>
        <v>0</v>
      </c>
    </row>
    <row r="144">
      <c r="A144" s="19" t="str">
        <v>德国区</v>
      </c>
      <c r="B144" s="19" t="str">
        <v>杜塞尔多夫15号仓</v>
      </c>
      <c r="C144" s="19" t="str">
        <v>入库组</v>
      </c>
      <c r="D144" s="21" t="n">
        <v>46203</v>
      </c>
      <c r="E144" s="19" t="str">
        <v>2026-06</v>
      </c>
      <c r="F144" s="19" t="str">
        <v>操作员</v>
      </c>
      <c r="G144" s="19" t="str">
        <v>德国区7:00入库组班次</v>
      </c>
      <c r="H144" s="19" t="str">
        <v>S000276</v>
      </c>
      <c r="I144" s="19" t="str">
        <v>Go4PrimeJobs GmbH</v>
      </c>
      <c r="J144" s="23" t="n">
        <v>6</v>
      </c>
      <c r="K144" s="23" t="n">
        <v>0</v>
      </c>
      <c r="L144" s="23" t="n">
        <f>J144+K144</f>
        <v>6</v>
      </c>
      <c r="M144" s="23" t="n">
        <v>6</v>
      </c>
      <c r="N144" s="23" t="n">
        <v>3</v>
      </c>
      <c r="O144" s="23" t="n">
        <v>4</v>
      </c>
      <c r="P144" s="23" t="n">
        <v>1</v>
      </c>
      <c r="Q144" s="23" t="n">
        <f>MIN(O144,P144)</f>
        <v>1</v>
      </c>
      <c r="R144" s="25" t="n">
        <f>IF(M144=0,0,MIN(1,L144/M144))</f>
        <v>1</v>
      </c>
      <c r="S144" s="23" t="n">
        <f>O144*R144</f>
        <v>4</v>
      </c>
      <c r="T144" s="23" t="n">
        <f>MIN(P144,S144)</f>
        <v>1</v>
      </c>
      <c r="U144" s="23" t="n">
        <f>O144-S144</f>
        <v>0</v>
      </c>
      <c r="V144" s="23" t="n">
        <f>MAX(P144-O144,0)</f>
        <v>0</v>
      </c>
    </row>
    <row r="145">
      <c r="A145" s="19" t="str">
        <v>德国区</v>
      </c>
      <c r="B145" s="19" t="str">
        <v>杜塞尔多夫15号仓</v>
      </c>
      <c r="C145" s="19" t="str">
        <v>入库组</v>
      </c>
      <c r="D145" s="21" t="n">
        <v>46203</v>
      </c>
      <c r="E145" s="19" t="str">
        <v>2026-06</v>
      </c>
      <c r="F145" s="19" t="str">
        <v>操作员</v>
      </c>
      <c r="G145" s="19" t="str">
        <v>德国区7:00入库组班次</v>
      </c>
      <c r="H145" s="19" t="str">
        <v>S000279</v>
      </c>
      <c r="I145" s="19" t="str">
        <v>Armz GmbH</v>
      </c>
      <c r="J145" s="23" t="n">
        <v>6</v>
      </c>
      <c r="K145" s="23" t="n">
        <v>0</v>
      </c>
      <c r="L145" s="23" t="n">
        <f>J145+K145</f>
        <v>6</v>
      </c>
      <c r="M145" s="23" t="n">
        <v>6</v>
      </c>
      <c r="N145" s="23" t="n">
        <v>3</v>
      </c>
      <c r="O145" s="23" t="n">
        <v>2</v>
      </c>
      <c r="P145" s="23" t="n">
        <v>2</v>
      </c>
      <c r="Q145" s="23" t="n">
        <f>MIN(O145,P145)</f>
        <v>2</v>
      </c>
      <c r="R145" s="25" t="n">
        <f>IF(M145=0,0,MIN(1,L145/M145))</f>
        <v>1</v>
      </c>
      <c r="S145" s="23" t="n">
        <f>O145*R145</f>
        <v>2</v>
      </c>
      <c r="T145" s="23" t="n">
        <f>MIN(P145,S145)</f>
        <v>2</v>
      </c>
      <c r="U145" s="23" t="n">
        <f>O145-S145</f>
        <v>0</v>
      </c>
      <c r="V145" s="23" t="n">
        <f>MAX(P145-O145,0)</f>
        <v>0</v>
      </c>
    </row>
    <row r="146">
      <c r="A146" s="19" t="str">
        <v>德国区</v>
      </c>
      <c r="B146" s="19" t="str">
        <v>杜塞尔多夫15号仓</v>
      </c>
      <c r="C146" s="19" t="str">
        <v>包装组</v>
      </c>
      <c r="D146" s="21" t="n">
        <v>46157</v>
      </c>
      <c r="E146" s="19" t="str">
        <v>2026-05</v>
      </c>
      <c r="F146" s="19" t="str">
        <v>操作员</v>
      </c>
      <c r="G146" s="19" t="str">
        <v>德国区-灵活班次 / DE FLEX</v>
      </c>
      <c r="H146" s="19" t="str">
        <v>S000327</v>
      </c>
      <c r="I146" s="19" t="str">
        <v>Gohar GmbH</v>
      </c>
      <c r="J146" s="23" t="n">
        <v>1</v>
      </c>
      <c r="K146" s="23" t="n">
        <v>0</v>
      </c>
      <c r="L146" s="23" t="n">
        <f>J146+K146</f>
        <v>1</v>
      </c>
      <c r="M146" s="23" t="n">
        <v>1</v>
      </c>
      <c r="N146" s="23" t="n">
        <v>0</v>
      </c>
      <c r="O146" s="23" t="n">
        <v>1</v>
      </c>
      <c r="P146" s="23" t="n">
        <v>0</v>
      </c>
      <c r="Q146" s="23" t="n">
        <f>MIN(O146,P146)</f>
        <v>0</v>
      </c>
      <c r="R146" s="25" t="n">
        <f>IF(M146=0,0,MIN(1,L146/M146))</f>
        <v>1</v>
      </c>
      <c r="S146" s="23" t="n">
        <f>O146*R146</f>
        <v>1</v>
      </c>
      <c r="T146" s="23" t="n">
        <f>MIN(P146,S146)</f>
        <v>0</v>
      </c>
      <c r="U146" s="23" t="n">
        <f>O146-S146</f>
        <v>0</v>
      </c>
      <c r="V146" s="23" t="n">
        <f>MAX(P146-O146,0)</f>
        <v>0</v>
      </c>
    </row>
    <row r="147">
      <c r="A147" s="19" t="str">
        <v>德国区</v>
      </c>
      <c r="B147" s="19" t="str">
        <v>杜塞尔多夫15号仓</v>
      </c>
      <c r="C147" s="19" t="str">
        <v>包装组</v>
      </c>
      <c r="D147" s="21" t="n">
        <v>46176</v>
      </c>
      <c r="E147" s="19" t="str">
        <v>2026-06</v>
      </c>
      <c r="F147" s="19" t="str">
        <v>操作员</v>
      </c>
      <c r="G147" s="19" t="str">
        <v>德国区出库组7:00班次</v>
      </c>
      <c r="H147" s="19" t="str">
        <v>S000316</v>
      </c>
      <c r="I147" s="19" t="str">
        <v>Nivux Estate e.Kfm</v>
      </c>
      <c r="J147" s="23" t="n">
        <v>1</v>
      </c>
      <c r="K147" s="23" t="n">
        <v>0</v>
      </c>
      <c r="L147" s="23" t="n">
        <f>J147+K147</f>
        <v>1</v>
      </c>
      <c r="M147" s="23" t="n">
        <v>1</v>
      </c>
      <c r="N147" s="23" t="n">
        <v>1</v>
      </c>
      <c r="O147" s="23" t="n">
        <v>1</v>
      </c>
      <c r="P147" s="23" t="n">
        <v>1</v>
      </c>
      <c r="Q147" s="23" t="n">
        <f>MIN(O147,P147)</f>
        <v>1</v>
      </c>
      <c r="R147" s="25" t="n">
        <f>IF(M147=0,0,MIN(1,L147/M147))</f>
        <v>1</v>
      </c>
      <c r="S147" s="23" t="n">
        <f>O147*R147</f>
        <v>1</v>
      </c>
      <c r="T147" s="23" t="n">
        <f>MIN(P147,S147)</f>
        <v>1</v>
      </c>
      <c r="U147" s="23" t="n">
        <f>O147-S147</f>
        <v>0</v>
      </c>
      <c r="V147" s="23" t="n">
        <f>MAX(P147-O147,0)</f>
        <v>0</v>
      </c>
    </row>
    <row r="148">
      <c r="A148" s="19" t="str">
        <v>德国区</v>
      </c>
      <c r="B148" s="19" t="str">
        <v>杜塞尔多夫15号仓</v>
      </c>
      <c r="C148" s="19" t="str">
        <v>包装组</v>
      </c>
      <c r="D148" s="21" t="n">
        <v>46178</v>
      </c>
      <c r="E148" s="19" t="str">
        <v>2026-06</v>
      </c>
      <c r="F148" s="19" t="str">
        <v>操作员</v>
      </c>
      <c r="G148" s="19" t="str">
        <v>德国区出库组7:00班次</v>
      </c>
      <c r="H148" s="19" t="str">
        <v>S000316</v>
      </c>
      <c r="I148" s="19" t="str">
        <v>Nivux Estate e.Kfm</v>
      </c>
      <c r="J148" s="23" t="n">
        <v>5</v>
      </c>
      <c r="K148" s="23" t="n">
        <v>0</v>
      </c>
      <c r="L148" s="23" t="n">
        <f>J148+K148</f>
        <v>5</v>
      </c>
      <c r="M148" s="23" t="n">
        <v>5</v>
      </c>
      <c r="N148" s="23" t="n">
        <v>5</v>
      </c>
      <c r="O148" s="23" t="n">
        <v>2</v>
      </c>
      <c r="P148" s="23" t="n">
        <v>2</v>
      </c>
      <c r="Q148" s="23" t="n">
        <f>MIN(O148,P148)</f>
        <v>2</v>
      </c>
      <c r="R148" s="25" t="n">
        <f>IF(M148=0,0,MIN(1,L148/M148))</f>
        <v>1</v>
      </c>
      <c r="S148" s="23" t="n">
        <f>O148*R148</f>
        <v>2</v>
      </c>
      <c r="T148" s="23" t="n">
        <f>MIN(P148,S148)</f>
        <v>2</v>
      </c>
      <c r="U148" s="23" t="n">
        <f>O148-S148</f>
        <v>0</v>
      </c>
      <c r="V148" s="23" t="n">
        <f>MAX(P148-O148,0)</f>
        <v>0</v>
      </c>
    </row>
    <row r="149">
      <c r="A149" s="19" t="str">
        <v>德国区</v>
      </c>
      <c r="B149" s="19" t="str">
        <v>杜塞尔多夫15号仓</v>
      </c>
      <c r="C149" s="19" t="str">
        <v>包装组</v>
      </c>
      <c r="D149" s="21" t="n">
        <v>46178</v>
      </c>
      <c r="E149" s="19" t="str">
        <v>2026-06</v>
      </c>
      <c r="F149" s="19" t="str">
        <v>操作员</v>
      </c>
      <c r="G149" s="19" t="str">
        <v>德国区出库组7:00班次</v>
      </c>
      <c r="H149" s="19" t="str">
        <v>S000327</v>
      </c>
      <c r="I149" s="19" t="str">
        <v>Gohar GmbH</v>
      </c>
      <c r="J149" s="23" t="n">
        <v>5</v>
      </c>
      <c r="K149" s="23" t="n">
        <v>0</v>
      </c>
      <c r="L149" s="23" t="n">
        <f>J149+K149</f>
        <v>5</v>
      </c>
      <c r="M149" s="23" t="n">
        <v>5</v>
      </c>
      <c r="N149" s="23" t="n">
        <v>5</v>
      </c>
      <c r="O149" s="23" t="n">
        <v>3</v>
      </c>
      <c r="P149" s="23" t="n">
        <v>3</v>
      </c>
      <c r="Q149" s="23" t="n">
        <f>MIN(O149,P149)</f>
        <v>3</v>
      </c>
      <c r="R149" s="25" t="n">
        <f>IF(M149=0,0,MIN(1,L149/M149))</f>
        <v>1</v>
      </c>
      <c r="S149" s="23" t="n">
        <f>O149*R149</f>
        <v>3</v>
      </c>
      <c r="T149" s="23" t="n">
        <f>MIN(P149,S149)</f>
        <v>3</v>
      </c>
      <c r="U149" s="23" t="n">
        <f>O149-S149</f>
        <v>0</v>
      </c>
      <c r="V149" s="23" t="n">
        <f>MAX(P149-O149,0)</f>
        <v>0</v>
      </c>
    </row>
    <row r="150">
      <c r="A150" s="19" t="str">
        <v>德国区</v>
      </c>
      <c r="B150" s="19" t="str">
        <v>杜塞尔多夫15号仓</v>
      </c>
      <c r="C150" s="19" t="str">
        <v>包装组</v>
      </c>
      <c r="D150" s="21" t="n">
        <v>46183</v>
      </c>
      <c r="E150" s="19" t="str">
        <v>2026-06</v>
      </c>
      <c r="F150" s="19" t="str">
        <v>操作员</v>
      </c>
      <c r="G150" s="19" t="str">
        <v>德国区出库组7:00班次</v>
      </c>
      <c r="H150" s="19" t="str">
        <v>S000279</v>
      </c>
      <c r="I150" s="19" t="str">
        <v>Armz GmbH</v>
      </c>
      <c r="J150" s="23" t="n">
        <v>1</v>
      </c>
      <c r="K150" s="23" t="n">
        <v>0</v>
      </c>
      <c r="L150" s="23" t="n">
        <f>J150+K150</f>
        <v>1</v>
      </c>
      <c r="M150" s="23" t="n">
        <v>1</v>
      </c>
      <c r="N150" s="23" t="n">
        <v>1</v>
      </c>
      <c r="O150" s="23" t="n">
        <v>1</v>
      </c>
      <c r="P150" s="23" t="n">
        <v>1</v>
      </c>
      <c r="Q150" s="23" t="n">
        <f>MIN(O150,P150)</f>
        <v>1</v>
      </c>
      <c r="R150" s="25" t="n">
        <f>IF(M150=0,0,MIN(1,L150/M150))</f>
        <v>1</v>
      </c>
      <c r="S150" s="23" t="n">
        <f>O150*R150</f>
        <v>1</v>
      </c>
      <c r="T150" s="23" t="n">
        <f>MIN(P150,S150)</f>
        <v>1</v>
      </c>
      <c r="U150" s="23" t="n">
        <f>O150-S150</f>
        <v>0</v>
      </c>
      <c r="V150" s="23" t="n">
        <f>MAX(P150-O150,0)</f>
        <v>0</v>
      </c>
    </row>
    <row r="151">
      <c r="A151" s="19" t="str">
        <v>德国区</v>
      </c>
      <c r="B151" s="19" t="str">
        <v>杜塞尔多夫15号仓</v>
      </c>
      <c r="C151" s="19" t="str">
        <v>包装组</v>
      </c>
      <c r="D151" s="21" t="n">
        <v>46203</v>
      </c>
      <c r="E151" s="19" t="str">
        <v>2026-06</v>
      </c>
      <c r="F151" s="19" t="str">
        <v>操作员</v>
      </c>
      <c r="G151" s="19" t="str">
        <v>德国区出库组7:00班次</v>
      </c>
      <c r="H151" s="19" t="str">
        <v>S000276</v>
      </c>
      <c r="I151" s="19" t="str">
        <v>Go4PrimeJobs GmbH</v>
      </c>
      <c r="J151" s="23" t="n">
        <v>3</v>
      </c>
      <c r="K151" s="23" t="n">
        <v>0</v>
      </c>
      <c r="L151" s="23" t="n">
        <f>J151+K151</f>
        <v>3</v>
      </c>
      <c r="M151" s="23" t="n">
        <v>3</v>
      </c>
      <c r="N151" s="23" t="n">
        <v>2</v>
      </c>
      <c r="O151" s="23" t="n">
        <v>1</v>
      </c>
      <c r="P151" s="23" t="n">
        <v>0</v>
      </c>
      <c r="Q151" s="23" t="n">
        <f>MIN(O151,P151)</f>
        <v>0</v>
      </c>
      <c r="R151" s="25" t="n">
        <f>IF(M151=0,0,MIN(1,L151/M151))</f>
        <v>1</v>
      </c>
      <c r="S151" s="23" t="n">
        <f>O151*R151</f>
        <v>1</v>
      </c>
      <c r="T151" s="23" t="n">
        <f>MIN(P151,S151)</f>
        <v>0</v>
      </c>
      <c r="U151" s="23" t="n">
        <f>O151-S151</f>
        <v>0</v>
      </c>
      <c r="V151" s="23" t="n">
        <f>MAX(P151-O151,0)</f>
        <v>0</v>
      </c>
    </row>
    <row r="152">
      <c r="A152" s="19" t="str">
        <v>德国区</v>
      </c>
      <c r="B152" s="19" t="str">
        <v>杜塞尔多夫15号仓</v>
      </c>
      <c r="C152" s="19" t="str">
        <v>包装组</v>
      </c>
      <c r="D152" s="21" t="n">
        <v>46203</v>
      </c>
      <c r="E152" s="19" t="str">
        <v>2026-06</v>
      </c>
      <c r="F152" s="19" t="str">
        <v>操作员</v>
      </c>
      <c r="G152" s="19" t="str">
        <v>德国区出库组7:00班次</v>
      </c>
      <c r="H152" s="19" t="str">
        <v>S000279</v>
      </c>
      <c r="I152" s="19" t="str">
        <v>Armz GmbH</v>
      </c>
      <c r="J152" s="23" t="n">
        <v>3</v>
      </c>
      <c r="K152" s="23" t="n">
        <v>0</v>
      </c>
      <c r="L152" s="23" t="n">
        <f>J152+K152</f>
        <v>3</v>
      </c>
      <c r="M152" s="23" t="n">
        <v>3</v>
      </c>
      <c r="N152" s="23" t="n">
        <v>2</v>
      </c>
      <c r="O152" s="23" t="n">
        <v>2</v>
      </c>
      <c r="P152" s="23" t="n">
        <v>2</v>
      </c>
      <c r="Q152" s="23" t="n">
        <f>MIN(O152,P152)</f>
        <v>2</v>
      </c>
      <c r="R152" s="25" t="n">
        <f>IF(M152=0,0,MIN(1,L152/M152))</f>
        <v>1</v>
      </c>
      <c r="S152" s="23" t="n">
        <f>O152*R152</f>
        <v>2</v>
      </c>
      <c r="T152" s="23" t="n">
        <f>MIN(P152,S152)</f>
        <v>2</v>
      </c>
      <c r="U152" s="23" t="n">
        <f>O152-S152</f>
        <v>0</v>
      </c>
      <c r="V152" s="23" t="n">
        <f>MAX(P152-O152,0)</f>
        <v>0</v>
      </c>
    </row>
    <row r="153">
      <c r="A153" s="19" t="str">
        <v>德国区</v>
      </c>
      <c r="B153" s="19" t="str">
        <v>杜塞尔多夫15号仓</v>
      </c>
      <c r="C153" s="19" t="str">
        <v>拣货组</v>
      </c>
      <c r="D153" s="21" t="n">
        <v>46181</v>
      </c>
      <c r="E153" s="19" t="str">
        <v>2026-06</v>
      </c>
      <c r="F153" s="19" t="str">
        <v>操作员</v>
      </c>
      <c r="G153" s="19" t="str">
        <v>德国区出库组7:00班次</v>
      </c>
      <c r="H153" s="19" t="str">
        <v>S000276</v>
      </c>
      <c r="I153" s="19" t="str">
        <v>Go4PrimeJobs GmbH</v>
      </c>
      <c r="J153" s="23" t="n">
        <v>5</v>
      </c>
      <c r="K153" s="23" t="n">
        <v>0</v>
      </c>
      <c r="L153" s="23" t="n">
        <f>J153+K153</f>
        <v>5</v>
      </c>
      <c r="M153" s="23" t="n">
        <v>7</v>
      </c>
      <c r="N153" s="23" t="n">
        <v>5</v>
      </c>
      <c r="O153" s="23" t="n">
        <v>2</v>
      </c>
      <c r="P153" s="23" t="n">
        <v>0</v>
      </c>
      <c r="Q153" s="23" t="n">
        <f>MIN(O153,P153)</f>
        <v>0</v>
      </c>
      <c r="R153" s="25" t="n">
        <f>IF(M153=0,0,MIN(1,L153/M153))</f>
        <v>0.7142857142857143</v>
      </c>
      <c r="S153" s="23" t="n">
        <f>O153*R153</f>
        <v>1.4285714285714286</v>
      </c>
      <c r="T153" s="23" t="n">
        <f>MIN(P153,S153)</f>
        <v>0</v>
      </c>
      <c r="U153" s="23" t="n">
        <f>O153-S153</f>
        <v>0.5714285714285714</v>
      </c>
      <c r="V153" s="23" t="n">
        <f>MAX(P153-O153,0)</f>
        <v>0</v>
      </c>
    </row>
    <row r="154">
      <c r="A154" s="19" t="str">
        <v>德国区</v>
      </c>
      <c r="B154" s="19" t="str">
        <v>杜塞尔多夫15号仓</v>
      </c>
      <c r="C154" s="19" t="str">
        <v>拣货组</v>
      </c>
      <c r="D154" s="21" t="n">
        <v>46181</v>
      </c>
      <c r="E154" s="19" t="str">
        <v>2026-06</v>
      </c>
      <c r="F154" s="19" t="str">
        <v>操作员</v>
      </c>
      <c r="G154" s="19" t="str">
        <v>德国区出库组7:00班次</v>
      </c>
      <c r="H154" s="19" t="str">
        <v>S000316</v>
      </c>
      <c r="I154" s="19" t="str">
        <v>Nivux Estate e.Kfm</v>
      </c>
      <c r="J154" s="23" t="n">
        <v>5</v>
      </c>
      <c r="K154" s="23" t="n">
        <v>0</v>
      </c>
      <c r="L154" s="23" t="n">
        <f>J154+K154</f>
        <v>5</v>
      </c>
      <c r="M154" s="23" t="n">
        <v>7</v>
      </c>
      <c r="N154" s="23" t="n">
        <v>5</v>
      </c>
      <c r="O154" s="23" t="n">
        <v>3</v>
      </c>
      <c r="P154" s="23" t="n">
        <v>3</v>
      </c>
      <c r="Q154" s="23" t="n">
        <f>MIN(O154,P154)</f>
        <v>3</v>
      </c>
      <c r="R154" s="25" t="n">
        <f>IF(M154=0,0,MIN(1,L154/M154))</f>
        <v>0.7142857142857143</v>
      </c>
      <c r="S154" s="23" t="n">
        <f>O154*R154</f>
        <v>2.142857142857143</v>
      </c>
      <c r="T154" s="23" t="n">
        <f>MIN(P154,S154)</f>
        <v>2.142857142857143</v>
      </c>
      <c r="U154" s="23" t="n">
        <f>O154-S154</f>
        <v>0.8571428571428572</v>
      </c>
      <c r="V154" s="23" t="n">
        <f>MAX(P154-O154,0)</f>
        <v>0</v>
      </c>
    </row>
    <row r="155">
      <c r="A155" s="19" t="str">
        <v>德国区</v>
      </c>
      <c r="B155" s="19" t="str">
        <v>杜塞尔多夫15号仓</v>
      </c>
      <c r="C155" s="19" t="str">
        <v>拣货组</v>
      </c>
      <c r="D155" s="21" t="n">
        <v>46181</v>
      </c>
      <c r="E155" s="19" t="str">
        <v>2026-06</v>
      </c>
      <c r="F155" s="19" t="str">
        <v>操作员</v>
      </c>
      <c r="G155" s="19" t="str">
        <v>德国区出库组7:00班次</v>
      </c>
      <c r="H155" s="19" t="str">
        <v>S000327</v>
      </c>
      <c r="I155" s="19" t="str">
        <v>Gohar GmbH</v>
      </c>
      <c r="J155" s="23" t="n">
        <v>5</v>
      </c>
      <c r="K155" s="23" t="n">
        <v>0</v>
      </c>
      <c r="L155" s="23" t="n">
        <f>J155+K155</f>
        <v>5</v>
      </c>
      <c r="M155" s="23" t="n">
        <v>7</v>
      </c>
      <c r="N155" s="23" t="n">
        <v>5</v>
      </c>
      <c r="O155" s="23" t="n">
        <v>2</v>
      </c>
      <c r="P155" s="23" t="n">
        <v>2</v>
      </c>
      <c r="Q155" s="23" t="n">
        <f>MIN(O155,P155)</f>
        <v>2</v>
      </c>
      <c r="R155" s="25" t="n">
        <f>IF(M155=0,0,MIN(1,L155/M155))</f>
        <v>0.7142857142857143</v>
      </c>
      <c r="S155" s="23" t="n">
        <f>O155*R155</f>
        <v>1.4285714285714286</v>
      </c>
      <c r="T155" s="23" t="n">
        <f>MIN(P155,S155)</f>
        <v>1.4285714285714286</v>
      </c>
      <c r="U155" s="23" t="n">
        <f>O155-S155</f>
        <v>0.5714285714285714</v>
      </c>
      <c r="V155" s="23" t="n">
        <f>MAX(P155-O155,0)</f>
        <v>0</v>
      </c>
    </row>
    <row r="156">
      <c r="A156" s="19" t="str">
        <v>德国区</v>
      </c>
      <c r="B156" s="19" t="str">
        <v>杜塞尔多夫15号仓</v>
      </c>
      <c r="C156" s="19" t="str">
        <v>拣货组</v>
      </c>
      <c r="D156" s="21" t="n">
        <v>46195</v>
      </c>
      <c r="E156" s="19" t="str">
        <v>2026-06</v>
      </c>
      <c r="F156" s="19" t="str">
        <v>操作员</v>
      </c>
      <c r="G156" s="19" t="str">
        <v>德国区出库组7:00班次</v>
      </c>
      <c r="H156" s="19" t="str">
        <v>S000279</v>
      </c>
      <c r="I156" s="19" t="str">
        <v>Armz GmbH</v>
      </c>
      <c r="J156" s="23" t="n">
        <v>1</v>
      </c>
      <c r="K156" s="23" t="n">
        <v>0</v>
      </c>
      <c r="L156" s="23" t="n">
        <f>J156+K156</f>
        <v>1</v>
      </c>
      <c r="M156" s="23" t="n">
        <v>1</v>
      </c>
      <c r="N156" s="23" t="n">
        <v>1</v>
      </c>
      <c r="O156" s="23" t="n">
        <v>1</v>
      </c>
      <c r="P156" s="23" t="n">
        <v>1</v>
      </c>
      <c r="Q156" s="23" t="n">
        <f>MIN(O156,P156)</f>
        <v>1</v>
      </c>
      <c r="R156" s="25" t="n">
        <f>IF(M156=0,0,MIN(1,L156/M156))</f>
        <v>1</v>
      </c>
      <c r="S156" s="23" t="n">
        <f>O156*R156</f>
        <v>1</v>
      </c>
      <c r="T156" s="23" t="n">
        <f>MIN(P156,S156)</f>
        <v>1</v>
      </c>
      <c r="U156" s="23" t="n">
        <f>O156-S156</f>
        <v>0</v>
      </c>
      <c r="V156" s="23" t="n">
        <f>MAX(P156-O156,0)</f>
        <v>0</v>
      </c>
    </row>
    <row r="157">
      <c r="A157" s="19" t="str">
        <v>德国区</v>
      </c>
      <c r="B157" s="19" t="str">
        <v>杜塞尔多夫15号仓</v>
      </c>
      <c r="C157" s="19" t="str">
        <v>理货组</v>
      </c>
      <c r="D157" s="21" t="n">
        <v>46184</v>
      </c>
      <c r="E157" s="19" t="str">
        <v>2026-06</v>
      </c>
      <c r="F157" s="19" t="str">
        <v>保洁员</v>
      </c>
      <c r="G157" s="19" t="str">
        <v>德国区-灵活班次 / DE FLEX</v>
      </c>
      <c r="H157" s="19" t="str">
        <v>S000316</v>
      </c>
      <c r="I157" s="19" t="str">
        <v>Nivux Estate e.Kfm</v>
      </c>
      <c r="J157" s="23" t="n">
        <v>1</v>
      </c>
      <c r="K157" s="23" t="n">
        <v>0</v>
      </c>
      <c r="L157" s="23" t="n">
        <f>J157+K157</f>
        <v>1</v>
      </c>
      <c r="M157" s="23" t="n">
        <v>1</v>
      </c>
      <c r="N157" s="23" t="n">
        <v>0</v>
      </c>
      <c r="O157" s="23" t="n">
        <v>1</v>
      </c>
      <c r="P157" s="23" t="n">
        <v>0</v>
      </c>
      <c r="Q157" s="23" t="n">
        <f>MIN(O157,P157)</f>
        <v>0</v>
      </c>
      <c r="R157" s="25" t="n">
        <f>IF(M157=0,0,MIN(1,L157/M157))</f>
        <v>1</v>
      </c>
      <c r="S157" s="23" t="n">
        <f>O157*R157</f>
        <v>1</v>
      </c>
      <c r="T157" s="23" t="n">
        <f>MIN(P157,S157)</f>
        <v>0</v>
      </c>
      <c r="U157" s="23" t="n">
        <f>O157-S157</f>
        <v>0</v>
      </c>
      <c r="V157" s="23" t="n">
        <f>MAX(P157-O157,0)</f>
        <v>0</v>
      </c>
    </row>
    <row r="158">
      <c r="A158" s="19" t="str">
        <v>德国区</v>
      </c>
      <c r="B158" s="19" t="str">
        <v>杜塞尔多夫16号仓</v>
      </c>
      <c r="C158" s="19" t="str">
        <v>交运组</v>
      </c>
      <c r="D158" s="21" t="n">
        <v>46136</v>
      </c>
      <c r="E158" s="19" t="str">
        <v>2026-04</v>
      </c>
      <c r="F158" s="19" t="str">
        <v>操作员</v>
      </c>
      <c r="G158" s="19" t="str">
        <v>德国区-灵活班次 / DE FLEX</v>
      </c>
      <c r="H158" s="19" t="str">
        <v>S000279</v>
      </c>
      <c r="I158" s="19" t="str">
        <v>Armz GmbH</v>
      </c>
      <c r="J158" s="23" t="n">
        <v>2</v>
      </c>
      <c r="K158" s="23" t="n">
        <v>0</v>
      </c>
      <c r="L158" s="23" t="n">
        <f>J158+K158</f>
        <v>2</v>
      </c>
      <c r="M158" s="23" t="n">
        <v>2</v>
      </c>
      <c r="N158" s="23" t="n">
        <v>2</v>
      </c>
      <c r="O158" s="23" t="n">
        <v>2</v>
      </c>
      <c r="P158" s="23" t="n">
        <v>2</v>
      </c>
      <c r="Q158" s="23" t="n">
        <f>MIN(O158,P158)</f>
        <v>2</v>
      </c>
      <c r="R158" s="25" t="n">
        <f>IF(M158=0,0,MIN(1,L158/M158))</f>
        <v>1</v>
      </c>
      <c r="S158" s="23" t="n">
        <f>O158*R158</f>
        <v>2</v>
      </c>
      <c r="T158" s="23" t="n">
        <f>MIN(P158,S158)</f>
        <v>2</v>
      </c>
      <c r="U158" s="23" t="n">
        <f>O158-S158</f>
        <v>0</v>
      </c>
      <c r="V158" s="23" t="n">
        <f>MAX(P158-O158,0)</f>
        <v>0</v>
      </c>
    </row>
    <row r="159">
      <c r="A159" s="19" t="str">
        <v>德国区</v>
      </c>
      <c r="B159" s="19" t="str">
        <v>杜塞尔多夫16号仓</v>
      </c>
      <c r="C159" s="19" t="str">
        <v>交运组</v>
      </c>
      <c r="D159" s="21" t="n">
        <v>46137</v>
      </c>
      <c r="E159" s="19" t="str">
        <v>2026-04</v>
      </c>
      <c r="F159" s="19" t="str">
        <v>操作员</v>
      </c>
      <c r="G159" s="19" t="str">
        <v>德国区-灵活班次 / DE FLEX</v>
      </c>
      <c r="H159" s="19" t="str">
        <v>S000279</v>
      </c>
      <c r="I159" s="19" t="str">
        <v>Armz GmbH</v>
      </c>
      <c r="J159" s="23" t="n">
        <v>2</v>
      </c>
      <c r="K159" s="23" t="n">
        <v>0</v>
      </c>
      <c r="L159" s="23" t="n">
        <f>J159+K159</f>
        <v>2</v>
      </c>
      <c r="M159" s="23" t="n">
        <v>2</v>
      </c>
      <c r="N159" s="23" t="n">
        <v>2</v>
      </c>
      <c r="O159" s="23" t="n">
        <v>2</v>
      </c>
      <c r="P159" s="23" t="n">
        <v>2</v>
      </c>
      <c r="Q159" s="23" t="n">
        <f>MIN(O159,P159)</f>
        <v>2</v>
      </c>
      <c r="R159" s="25" t="n">
        <f>IF(M159=0,0,MIN(1,L159/M159))</f>
        <v>1</v>
      </c>
      <c r="S159" s="23" t="n">
        <f>O159*R159</f>
        <v>2</v>
      </c>
      <c r="T159" s="23" t="n">
        <f>MIN(P159,S159)</f>
        <v>2</v>
      </c>
      <c r="U159" s="23" t="n">
        <f>O159-S159</f>
        <v>0</v>
      </c>
      <c r="V159" s="23" t="n">
        <f>MAX(P159-O159,0)</f>
        <v>0</v>
      </c>
    </row>
    <row r="160">
      <c r="A160" s="19" t="str">
        <v>德国区</v>
      </c>
      <c r="B160" s="19" t="str">
        <v>杜塞尔多夫16号仓</v>
      </c>
      <c r="C160" s="19" t="str">
        <v>交运组</v>
      </c>
      <c r="D160" s="21" t="n">
        <v>46162</v>
      </c>
      <c r="E160" s="19" t="str">
        <v>2026-05</v>
      </c>
      <c r="F160" s="19" t="str">
        <v>操作员</v>
      </c>
      <c r="G160" s="19" t="str">
        <v>德国区-灵活班次 / DE FLEX</v>
      </c>
      <c r="H160" s="19" t="str">
        <v>S000327</v>
      </c>
      <c r="I160" s="19" t="str">
        <v>Gohar GmbH</v>
      </c>
      <c r="J160" s="23" t="n">
        <v>3</v>
      </c>
      <c r="K160" s="23" t="n">
        <v>0</v>
      </c>
      <c r="L160" s="23" t="n">
        <f>J160+K160</f>
        <v>3</v>
      </c>
      <c r="M160" s="23" t="n">
        <v>4</v>
      </c>
      <c r="N160" s="23" t="n">
        <v>4</v>
      </c>
      <c r="O160" s="23" t="n">
        <v>4</v>
      </c>
      <c r="P160" s="23" t="n">
        <v>4</v>
      </c>
      <c r="Q160" s="23" t="n">
        <f>MIN(O160,P160)</f>
        <v>4</v>
      </c>
      <c r="R160" s="25" t="n">
        <f>IF(M160=0,0,MIN(1,L160/M160))</f>
        <v>0.75</v>
      </c>
      <c r="S160" s="23" t="n">
        <f>O160*R160</f>
        <v>3</v>
      </c>
      <c r="T160" s="23" t="n">
        <f>MIN(P160,S160)</f>
        <v>3</v>
      </c>
      <c r="U160" s="23" t="n">
        <f>O160-S160</f>
        <v>1</v>
      </c>
      <c r="V160" s="23" t="n">
        <f>MAX(P160-O160,0)</f>
        <v>0</v>
      </c>
    </row>
    <row r="161">
      <c r="A161" s="19" t="str">
        <v>德国区</v>
      </c>
      <c r="B161" s="19" t="str">
        <v>杜塞尔多夫16号仓</v>
      </c>
      <c r="C161" s="19" t="str">
        <v>交运组</v>
      </c>
      <c r="D161" s="21" t="n">
        <v>46163</v>
      </c>
      <c r="E161" s="19" t="str">
        <v>2026-05</v>
      </c>
      <c r="F161" s="19" t="str">
        <v>操作员</v>
      </c>
      <c r="G161" s="19" t="str">
        <v>德国区-灵活班次 / DE FLEX</v>
      </c>
      <c r="H161" s="19" t="str">
        <v>S000279</v>
      </c>
      <c r="I161" s="19" t="str">
        <v>Armz GmbH</v>
      </c>
      <c r="J161" s="23" t="n">
        <v>3</v>
      </c>
      <c r="K161" s="23" t="n">
        <v>0</v>
      </c>
      <c r="L161" s="23" t="n">
        <f>J161+K161</f>
        <v>3</v>
      </c>
      <c r="M161" s="23" t="n">
        <v>5</v>
      </c>
      <c r="N161" s="23" t="n">
        <v>5</v>
      </c>
      <c r="O161" s="23" t="n">
        <v>3</v>
      </c>
      <c r="P161" s="23" t="n">
        <v>3</v>
      </c>
      <c r="Q161" s="23" t="n">
        <f>MIN(O161,P161)</f>
        <v>3</v>
      </c>
      <c r="R161" s="25" t="n">
        <f>IF(M161=0,0,MIN(1,L161/M161))</f>
        <v>0.6</v>
      </c>
      <c r="S161" s="23" t="n">
        <f>O161*R161</f>
        <v>1.7999999999999998</v>
      </c>
      <c r="T161" s="23" t="n">
        <f>MIN(P161,S161)</f>
        <v>1.7999999999999998</v>
      </c>
      <c r="U161" s="23" t="n">
        <f>O161-S161</f>
        <v>1.2000000000000002</v>
      </c>
      <c r="V161" s="23" t="n">
        <f>MAX(P161-O161,0)</f>
        <v>0</v>
      </c>
    </row>
    <row r="162">
      <c r="A162" s="19" t="str">
        <v>德国区</v>
      </c>
      <c r="B162" s="19" t="str">
        <v>杜塞尔多夫16号仓</v>
      </c>
      <c r="C162" s="19" t="str">
        <v>交运组</v>
      </c>
      <c r="D162" s="21" t="n">
        <v>46163</v>
      </c>
      <c r="E162" s="19" t="str">
        <v>2026-05</v>
      </c>
      <c r="F162" s="19" t="str">
        <v>操作员</v>
      </c>
      <c r="G162" s="19" t="str">
        <v>德国区-灵活班次 / DE FLEX</v>
      </c>
      <c r="H162" s="19" t="str">
        <v>S000327</v>
      </c>
      <c r="I162" s="19" t="str">
        <v>Gohar GmbH</v>
      </c>
      <c r="J162" s="23" t="n">
        <v>3</v>
      </c>
      <c r="K162" s="23" t="n">
        <v>0</v>
      </c>
      <c r="L162" s="23" t="n">
        <f>J162+K162</f>
        <v>3</v>
      </c>
      <c r="M162" s="23" t="n">
        <v>5</v>
      </c>
      <c r="N162" s="23" t="n">
        <v>5</v>
      </c>
      <c r="O162" s="23" t="n">
        <v>2</v>
      </c>
      <c r="P162" s="23" t="n">
        <v>2</v>
      </c>
      <c r="Q162" s="23" t="n">
        <f>MIN(O162,P162)</f>
        <v>2</v>
      </c>
      <c r="R162" s="25" t="n">
        <f>IF(M162=0,0,MIN(1,L162/M162))</f>
        <v>0.6</v>
      </c>
      <c r="S162" s="23" t="n">
        <f>O162*R162</f>
        <v>1.2</v>
      </c>
      <c r="T162" s="23" t="n">
        <f>MIN(P162,S162)</f>
        <v>1.2</v>
      </c>
      <c r="U162" s="23" t="n">
        <f>O162-S162</f>
        <v>0.8</v>
      </c>
      <c r="V162" s="23" t="n">
        <f>MAX(P162-O162,0)</f>
        <v>0</v>
      </c>
    </row>
    <row r="163">
      <c r="A163" s="19" t="str">
        <v>德国区</v>
      </c>
      <c r="B163" s="19" t="str">
        <v>杜塞尔多夫16号仓</v>
      </c>
      <c r="C163" s="19" t="str">
        <v>交运组</v>
      </c>
      <c r="D163" s="21" t="n">
        <v>46164</v>
      </c>
      <c r="E163" s="19" t="str">
        <v>2026-05</v>
      </c>
      <c r="F163" s="19" t="str">
        <v>操作员</v>
      </c>
      <c r="G163" s="19" t="str">
        <v>德国区-灵活班次 / DE FLEX</v>
      </c>
      <c r="H163" s="19" t="str">
        <v>S000279</v>
      </c>
      <c r="I163" s="19" t="str">
        <v>Armz GmbH</v>
      </c>
      <c r="J163" s="23" t="n">
        <v>3</v>
      </c>
      <c r="K163" s="23" t="n">
        <v>0</v>
      </c>
      <c r="L163" s="23" t="n">
        <f>J163+K163</f>
        <v>3</v>
      </c>
      <c r="M163" s="23" t="n">
        <v>3</v>
      </c>
      <c r="N163" s="23" t="n">
        <v>3</v>
      </c>
      <c r="O163" s="23" t="n">
        <v>3</v>
      </c>
      <c r="P163" s="23" t="n">
        <v>3</v>
      </c>
      <c r="Q163" s="23" t="n">
        <f>MIN(O163,P163)</f>
        <v>3</v>
      </c>
      <c r="R163" s="25" t="n">
        <f>IF(M163=0,0,MIN(1,L163/M163))</f>
        <v>1</v>
      </c>
      <c r="S163" s="23" t="n">
        <f>O163*R163</f>
        <v>3</v>
      </c>
      <c r="T163" s="23" t="n">
        <f>MIN(P163,S163)</f>
        <v>3</v>
      </c>
      <c r="U163" s="23" t="n">
        <f>O163-S163</f>
        <v>0</v>
      </c>
      <c r="V163" s="23" t="n">
        <f>MAX(P163-O163,0)</f>
        <v>0</v>
      </c>
    </row>
    <row r="164">
      <c r="A164" s="19" t="str">
        <v>德国区</v>
      </c>
      <c r="B164" s="19" t="str">
        <v>杜塞尔多夫16号仓</v>
      </c>
      <c r="C164" s="19" t="str">
        <v>交运组</v>
      </c>
      <c r="D164" s="21" t="n">
        <v>46176</v>
      </c>
      <c r="E164" s="19" t="str">
        <v>2026-06</v>
      </c>
      <c r="F164" s="19" t="str">
        <v>操作员</v>
      </c>
      <c r="G164" s="19" t="str">
        <v>德国区-灵活班次 / DE FLEX</v>
      </c>
      <c r="H164" s="19" t="str">
        <v>S000328</v>
      </c>
      <c r="I164" s="19" t="str">
        <v>JS Logistik GmbH</v>
      </c>
      <c r="J164" s="23" t="n">
        <v>3</v>
      </c>
      <c r="K164" s="23" t="n">
        <v>0</v>
      </c>
      <c r="L164" s="23" t="n">
        <f>J164+K164</f>
        <v>3</v>
      </c>
      <c r="M164" s="23" t="n">
        <v>3</v>
      </c>
      <c r="N164" s="23" t="n">
        <v>3</v>
      </c>
      <c r="O164" s="23" t="n">
        <v>3</v>
      </c>
      <c r="P164" s="23" t="n">
        <v>3</v>
      </c>
      <c r="Q164" s="23" t="n">
        <f>MIN(O164,P164)</f>
        <v>3</v>
      </c>
      <c r="R164" s="25" t="n">
        <f>IF(M164=0,0,MIN(1,L164/M164))</f>
        <v>1</v>
      </c>
      <c r="S164" s="23" t="n">
        <f>O164*R164</f>
        <v>3</v>
      </c>
      <c r="T164" s="23" t="n">
        <f>MIN(P164,S164)</f>
        <v>3</v>
      </c>
      <c r="U164" s="23" t="n">
        <f>O164-S164</f>
        <v>0</v>
      </c>
      <c r="V164" s="23" t="n">
        <f>MAX(P164-O164,0)</f>
        <v>0</v>
      </c>
    </row>
    <row r="165">
      <c r="A165" s="19" t="str">
        <v>德国区</v>
      </c>
      <c r="B165" s="19" t="str">
        <v>杜塞尔多夫16号仓</v>
      </c>
      <c r="C165" s="19" t="str">
        <v>交运组</v>
      </c>
      <c r="D165" s="21" t="n">
        <v>46181</v>
      </c>
      <c r="E165" s="19" t="str">
        <v>2026-06</v>
      </c>
      <c r="F165" s="19" t="str">
        <v>操作员</v>
      </c>
      <c r="G165" s="19" t="str">
        <v>德国区-灵活班次 / DE FLEX</v>
      </c>
      <c r="H165" s="19" t="str">
        <v>S000279</v>
      </c>
      <c r="I165" s="19" t="str">
        <v>Armz GmbH</v>
      </c>
      <c r="J165" s="23" t="n">
        <v>9</v>
      </c>
      <c r="K165" s="23" t="n">
        <v>0</v>
      </c>
      <c r="L165" s="23" t="n">
        <f>J165+K165</f>
        <v>9</v>
      </c>
      <c r="M165" s="23" t="n">
        <v>9</v>
      </c>
      <c r="N165" s="23" t="n">
        <v>7</v>
      </c>
      <c r="O165" s="23" t="n">
        <v>9</v>
      </c>
      <c r="P165" s="23" t="n">
        <v>7</v>
      </c>
      <c r="Q165" s="23" t="n">
        <f>MIN(O165,P165)</f>
        <v>7</v>
      </c>
      <c r="R165" s="25" t="n">
        <f>IF(M165=0,0,MIN(1,L165/M165))</f>
        <v>1</v>
      </c>
      <c r="S165" s="23" t="n">
        <f>O165*R165</f>
        <v>9</v>
      </c>
      <c r="T165" s="23" t="n">
        <f>MIN(P165,S165)</f>
        <v>7</v>
      </c>
      <c r="U165" s="23" t="n">
        <f>O165-S165</f>
        <v>0</v>
      </c>
      <c r="V165" s="23" t="n">
        <f>MAX(P165-O165,0)</f>
        <v>0</v>
      </c>
    </row>
    <row r="166">
      <c r="A166" s="19" t="str">
        <v>德国区</v>
      </c>
      <c r="B166" s="19" t="str">
        <v>杜塞尔多夫16号仓</v>
      </c>
      <c r="C166" s="19" t="str">
        <v>交运组</v>
      </c>
      <c r="D166" s="21" t="n">
        <v>46182</v>
      </c>
      <c r="E166" s="19" t="str">
        <v>2026-06</v>
      </c>
      <c r="F166" s="19" t="str">
        <v>操作员</v>
      </c>
      <c r="G166" s="19" t="str">
        <v>德国区-灵活班次 / DE FLEX</v>
      </c>
      <c r="H166" s="19" t="str">
        <v>S000328</v>
      </c>
      <c r="I166" s="19" t="str">
        <v>JS Logistik GmbH</v>
      </c>
      <c r="J166" s="23" t="n">
        <v>7</v>
      </c>
      <c r="K166" s="23" t="n">
        <v>0</v>
      </c>
      <c r="L166" s="23" t="n">
        <f>J166+K166</f>
        <v>7</v>
      </c>
      <c r="M166" s="23" t="n">
        <v>7</v>
      </c>
      <c r="N166" s="23" t="n">
        <v>0</v>
      </c>
      <c r="O166" s="23" t="n">
        <v>7</v>
      </c>
      <c r="P166" s="23" t="n">
        <v>0</v>
      </c>
      <c r="Q166" s="23" t="n">
        <f>MIN(O166,P166)</f>
        <v>0</v>
      </c>
      <c r="R166" s="25" t="n">
        <f>IF(M166=0,0,MIN(1,L166/M166))</f>
        <v>1</v>
      </c>
      <c r="S166" s="23" t="n">
        <f>O166*R166</f>
        <v>7</v>
      </c>
      <c r="T166" s="23" t="n">
        <f>MIN(P166,S166)</f>
        <v>0</v>
      </c>
      <c r="U166" s="23" t="n">
        <f>O166-S166</f>
        <v>0</v>
      </c>
      <c r="V166" s="23" t="n">
        <f>MAX(P166-O166,0)</f>
        <v>0</v>
      </c>
    </row>
    <row r="167">
      <c r="A167" s="19" t="str">
        <v>德国区</v>
      </c>
      <c r="B167" s="19" t="str">
        <v>杜塞尔多夫16号仓</v>
      </c>
      <c r="C167" s="19" t="str">
        <v>交运组</v>
      </c>
      <c r="D167" s="21" t="n">
        <v>46184</v>
      </c>
      <c r="E167" s="19" t="str">
        <v>2026-06</v>
      </c>
      <c r="F167" s="19" t="str">
        <v>操作员</v>
      </c>
      <c r="G167" s="19" t="str">
        <v>德国区-灵活班次 / DE FLEX</v>
      </c>
      <c r="H167" s="19" t="str">
        <v>S000086</v>
      </c>
      <c r="I167" s="19" t="str">
        <v>Topjob Zeitarbeit GmbH</v>
      </c>
      <c r="J167" s="23" t="n">
        <v>3</v>
      </c>
      <c r="K167" s="23" t="n">
        <v>0</v>
      </c>
      <c r="L167" s="23" t="n">
        <f>J167+K167</f>
        <v>3</v>
      </c>
      <c r="M167" s="23" t="n">
        <v>4</v>
      </c>
      <c r="N167" s="23" t="n">
        <v>3</v>
      </c>
      <c r="O167" s="23" t="n">
        <v>2</v>
      </c>
      <c r="P167" s="23" t="n">
        <v>2</v>
      </c>
      <c r="Q167" s="23" t="n">
        <f>MIN(O167,P167)</f>
        <v>2</v>
      </c>
      <c r="R167" s="25" t="n">
        <f>IF(M167=0,0,MIN(1,L167/M167))</f>
        <v>0.75</v>
      </c>
      <c r="S167" s="23" t="n">
        <f>O167*R167</f>
        <v>1.5</v>
      </c>
      <c r="T167" s="23" t="n">
        <f>MIN(P167,S167)</f>
        <v>1.5</v>
      </c>
      <c r="U167" s="23" t="n">
        <f>O167-S167</f>
        <v>0.5</v>
      </c>
      <c r="V167" s="23" t="n">
        <f>MAX(P167-O167,0)</f>
        <v>0</v>
      </c>
    </row>
    <row r="168">
      <c r="A168" s="19" t="str">
        <v>德国区</v>
      </c>
      <c r="B168" s="19" t="str">
        <v>杜塞尔多夫16号仓</v>
      </c>
      <c r="C168" s="19" t="str">
        <v>交运组</v>
      </c>
      <c r="D168" s="21" t="n">
        <v>46184</v>
      </c>
      <c r="E168" s="19" t="str">
        <v>2026-06</v>
      </c>
      <c r="F168" s="19" t="str">
        <v>操作员</v>
      </c>
      <c r="G168" s="19" t="str">
        <v>德国区-灵活班次 / DE FLEX</v>
      </c>
      <c r="H168" s="19" t="str">
        <v>S000191</v>
      </c>
      <c r="I168" s="19" t="str">
        <v>TimePartner Personalmanagement GmbH</v>
      </c>
      <c r="J168" s="23" t="n">
        <v>3</v>
      </c>
      <c r="K168" s="23" t="n">
        <v>0</v>
      </c>
      <c r="L168" s="23" t="n">
        <f>J168+K168</f>
        <v>3</v>
      </c>
      <c r="M168" s="23" t="n">
        <v>4</v>
      </c>
      <c r="N168" s="23" t="n">
        <v>3</v>
      </c>
      <c r="O168" s="23" t="n">
        <v>2</v>
      </c>
      <c r="P168" s="23" t="n">
        <v>1</v>
      </c>
      <c r="Q168" s="23" t="n">
        <f>MIN(O168,P168)</f>
        <v>1</v>
      </c>
      <c r="R168" s="25" t="n">
        <f>IF(M168=0,0,MIN(1,L168/M168))</f>
        <v>0.75</v>
      </c>
      <c r="S168" s="23" t="n">
        <f>O168*R168</f>
        <v>1.5</v>
      </c>
      <c r="T168" s="23" t="n">
        <f>MIN(P168,S168)</f>
        <v>1</v>
      </c>
      <c r="U168" s="23" t="n">
        <f>O168-S168</f>
        <v>0.5</v>
      </c>
      <c r="V168" s="23" t="n">
        <f>MAX(P168-O168,0)</f>
        <v>0</v>
      </c>
    </row>
    <row r="169">
      <c r="A169" s="19" t="str">
        <v>德国区</v>
      </c>
      <c r="B169" s="19" t="str">
        <v>杜塞尔多夫16号仓</v>
      </c>
      <c r="C169" s="19" t="str">
        <v>交运组</v>
      </c>
      <c r="D169" s="21" t="n">
        <v>46185</v>
      </c>
      <c r="E169" s="19" t="str">
        <v>2026-06</v>
      </c>
      <c r="F169" s="19" t="str">
        <v>操作员</v>
      </c>
      <c r="G169" s="19" t="str">
        <v>德国区-灵活班次 / DE FLEX</v>
      </c>
      <c r="H169" s="19" t="str">
        <v>S000110</v>
      </c>
      <c r="I169" s="19" t="str">
        <v>Koetter Personal Service SE Co. KG</v>
      </c>
      <c r="J169" s="23" t="n">
        <v>3</v>
      </c>
      <c r="K169" s="23" t="n">
        <v>0</v>
      </c>
      <c r="L169" s="23" t="n">
        <f>J169+K169</f>
        <v>3</v>
      </c>
      <c r="M169" s="23" t="n">
        <v>5</v>
      </c>
      <c r="N169" s="23" t="n">
        <v>5</v>
      </c>
      <c r="O169" s="23" t="n">
        <v>5</v>
      </c>
      <c r="P169" s="23" t="n">
        <v>5</v>
      </c>
      <c r="Q169" s="23" t="n">
        <f>MIN(O169,P169)</f>
        <v>5</v>
      </c>
      <c r="R169" s="25" t="n">
        <f>IF(M169=0,0,MIN(1,L169/M169))</f>
        <v>0.6</v>
      </c>
      <c r="S169" s="23" t="n">
        <f>O169*R169</f>
        <v>3</v>
      </c>
      <c r="T169" s="23" t="n">
        <f>MIN(P169,S169)</f>
        <v>3</v>
      </c>
      <c r="U169" s="23" t="n">
        <f>O169-S169</f>
        <v>2</v>
      </c>
      <c r="V169" s="23" t="n">
        <f>MAX(P169-O169,0)</f>
        <v>0</v>
      </c>
    </row>
    <row r="170">
      <c r="A170" s="19" t="str">
        <v>德国区</v>
      </c>
      <c r="B170" s="19" t="str">
        <v>杜塞尔多夫16号仓</v>
      </c>
      <c r="C170" s="19" t="str">
        <v>交运组</v>
      </c>
      <c r="D170" s="21" t="n">
        <v>46188</v>
      </c>
      <c r="E170" s="19" t="str">
        <v>2026-06</v>
      </c>
      <c r="F170" s="19" t="str">
        <v>操作员</v>
      </c>
      <c r="G170" s="19" t="str">
        <v>德国区-灵活班次 / DE FLEX</v>
      </c>
      <c r="H170" s="19" t="str">
        <v>S000191</v>
      </c>
      <c r="I170" s="19" t="str">
        <v>TimePartner Personalmanagement GmbH</v>
      </c>
      <c r="J170" s="23" t="n">
        <v>4</v>
      </c>
      <c r="K170" s="23" t="n">
        <v>0</v>
      </c>
      <c r="L170" s="23" t="n">
        <f>J170+K170</f>
        <v>4</v>
      </c>
      <c r="M170" s="23" t="n">
        <v>2</v>
      </c>
      <c r="N170" s="23" t="n">
        <v>1</v>
      </c>
      <c r="O170" s="23" t="n">
        <v>2</v>
      </c>
      <c r="P170" s="23" t="n">
        <v>1</v>
      </c>
      <c r="Q170" s="23" t="n">
        <f>MIN(O170,P170)</f>
        <v>1</v>
      </c>
      <c r="R170" s="25" t="n">
        <f>IF(M170=0,0,MIN(1,L170/M170))</f>
        <v>1</v>
      </c>
      <c r="S170" s="23" t="n">
        <f>O170*R170</f>
        <v>2</v>
      </c>
      <c r="T170" s="23" t="n">
        <f>MIN(P170,S170)</f>
        <v>1</v>
      </c>
      <c r="U170" s="23" t="n">
        <f>O170-S170</f>
        <v>0</v>
      </c>
      <c r="V170" s="23" t="n">
        <f>MAX(P170-O170,0)</f>
        <v>0</v>
      </c>
    </row>
    <row r="171">
      <c r="A171" s="19" t="str">
        <v>德国区</v>
      </c>
      <c r="B171" s="19" t="str">
        <v>杜塞尔多夫16号仓</v>
      </c>
      <c r="C171" s="19" t="str">
        <v>交运组</v>
      </c>
      <c r="D171" s="21" t="n">
        <v>46189</v>
      </c>
      <c r="E171" s="19" t="str">
        <v>2026-06</v>
      </c>
      <c r="F171" s="19" t="str">
        <v>操作员</v>
      </c>
      <c r="G171" s="19" t="str">
        <v>德国区-灵活班次 / DE FLEX</v>
      </c>
      <c r="H171" s="19" t="str">
        <v>S000191</v>
      </c>
      <c r="I171" s="19" t="str">
        <v>TimePartner Personalmanagement GmbH</v>
      </c>
      <c r="J171" s="23" t="n">
        <v>3</v>
      </c>
      <c r="K171" s="23" t="n">
        <v>0</v>
      </c>
      <c r="L171" s="23" t="n">
        <f>J171+K171</f>
        <v>3</v>
      </c>
      <c r="M171" s="23" t="n">
        <v>5</v>
      </c>
      <c r="N171" s="23" t="n">
        <v>5</v>
      </c>
      <c r="O171" s="23" t="n">
        <v>5</v>
      </c>
      <c r="P171" s="23" t="n">
        <v>5</v>
      </c>
      <c r="Q171" s="23" t="n">
        <f>MIN(O171,P171)</f>
        <v>5</v>
      </c>
      <c r="R171" s="25" t="n">
        <f>IF(M171=0,0,MIN(1,L171/M171))</f>
        <v>0.6</v>
      </c>
      <c r="S171" s="23" t="n">
        <f>O171*R171</f>
        <v>3</v>
      </c>
      <c r="T171" s="23" t="n">
        <f>MIN(P171,S171)</f>
        <v>3</v>
      </c>
      <c r="U171" s="23" t="n">
        <f>O171-S171</f>
        <v>2</v>
      </c>
      <c r="V171" s="23" t="n">
        <f>MAX(P171-O171,0)</f>
        <v>0</v>
      </c>
    </row>
    <row r="172">
      <c r="A172" s="19" t="str">
        <v>德国区</v>
      </c>
      <c r="B172" s="19" t="str">
        <v>杜塞尔多夫16号仓</v>
      </c>
      <c r="C172" s="19" t="str">
        <v>交运组</v>
      </c>
      <c r="D172" s="21" t="n">
        <v>46190</v>
      </c>
      <c r="E172" s="19" t="str">
        <v>2026-06</v>
      </c>
      <c r="F172" s="19" t="str">
        <v>操作员</v>
      </c>
      <c r="G172" s="19" t="str">
        <v>德国区-灵活班次 / DE FLEX</v>
      </c>
      <c r="H172" s="19" t="str">
        <v>S000191</v>
      </c>
      <c r="I172" s="19" t="str">
        <v>TimePartner Personalmanagement GmbH</v>
      </c>
      <c r="J172" s="23" t="n">
        <v>3</v>
      </c>
      <c r="K172" s="23" t="n">
        <v>0</v>
      </c>
      <c r="L172" s="23" t="n">
        <f>J172+K172</f>
        <v>3</v>
      </c>
      <c r="M172" s="23" t="n">
        <v>5</v>
      </c>
      <c r="N172" s="23" t="n">
        <v>5</v>
      </c>
      <c r="O172" s="23" t="n">
        <v>5</v>
      </c>
      <c r="P172" s="23" t="n">
        <v>5</v>
      </c>
      <c r="Q172" s="23" t="n">
        <f>MIN(O172,P172)</f>
        <v>5</v>
      </c>
      <c r="R172" s="25" t="n">
        <f>IF(M172=0,0,MIN(1,L172/M172))</f>
        <v>0.6</v>
      </c>
      <c r="S172" s="23" t="n">
        <f>O172*R172</f>
        <v>3</v>
      </c>
      <c r="T172" s="23" t="n">
        <f>MIN(P172,S172)</f>
        <v>3</v>
      </c>
      <c r="U172" s="23" t="n">
        <f>O172-S172</f>
        <v>2</v>
      </c>
      <c r="V172" s="23" t="n">
        <f>MAX(P172-O172,0)</f>
        <v>0</v>
      </c>
    </row>
    <row r="173">
      <c r="A173" s="19" t="str">
        <v>德国区</v>
      </c>
      <c r="B173" s="19" t="str">
        <v>杜塞尔多夫16号仓</v>
      </c>
      <c r="C173" s="19" t="str">
        <v>交运组</v>
      </c>
      <c r="D173" s="21" t="n">
        <v>46191</v>
      </c>
      <c r="E173" s="19" t="str">
        <v>2026-06</v>
      </c>
      <c r="F173" s="19" t="str">
        <v>操作员</v>
      </c>
      <c r="G173" s="19" t="str">
        <v>德国区-灵活班次 / DE FLEX</v>
      </c>
      <c r="H173" s="19" t="str">
        <v>S000191</v>
      </c>
      <c r="I173" s="19" t="str">
        <v>TimePartner Personalmanagement GmbH</v>
      </c>
      <c r="J173" s="23" t="n">
        <v>3</v>
      </c>
      <c r="K173" s="23" t="n">
        <v>0</v>
      </c>
      <c r="L173" s="23" t="n">
        <f>J173+K173</f>
        <v>3</v>
      </c>
      <c r="M173" s="23" t="n">
        <v>5</v>
      </c>
      <c r="N173" s="23" t="n">
        <v>5</v>
      </c>
      <c r="O173" s="23" t="n">
        <v>5</v>
      </c>
      <c r="P173" s="23" t="n">
        <v>5</v>
      </c>
      <c r="Q173" s="23" t="n">
        <f>MIN(O173,P173)</f>
        <v>5</v>
      </c>
      <c r="R173" s="25" t="n">
        <f>IF(M173=0,0,MIN(1,L173/M173))</f>
        <v>0.6</v>
      </c>
      <c r="S173" s="23" t="n">
        <f>O173*R173</f>
        <v>3</v>
      </c>
      <c r="T173" s="23" t="n">
        <f>MIN(P173,S173)</f>
        <v>3</v>
      </c>
      <c r="U173" s="23" t="n">
        <f>O173-S173</f>
        <v>2</v>
      </c>
      <c r="V173" s="23" t="n">
        <f>MAX(P173-O173,0)</f>
        <v>0</v>
      </c>
    </row>
    <row r="174">
      <c r="A174" s="19" t="str">
        <v>德国区</v>
      </c>
      <c r="B174" s="19" t="str">
        <v>杜塞尔多夫16号仓</v>
      </c>
      <c r="C174" s="19" t="str">
        <v>交运组</v>
      </c>
      <c r="D174" s="21" t="n">
        <v>46192</v>
      </c>
      <c r="E174" s="19" t="str">
        <v>2026-06</v>
      </c>
      <c r="F174" s="19" t="str">
        <v>操作员</v>
      </c>
      <c r="G174" s="19" t="str">
        <v>德国区-灵活班次 / DE FLEX</v>
      </c>
      <c r="H174" s="19" t="str">
        <v>S000191</v>
      </c>
      <c r="I174" s="19" t="str">
        <v>TimePartner Personalmanagement GmbH</v>
      </c>
      <c r="J174" s="23" t="n">
        <v>3</v>
      </c>
      <c r="K174" s="23" t="n">
        <v>0</v>
      </c>
      <c r="L174" s="23" t="n">
        <f>J174+K174</f>
        <v>3</v>
      </c>
      <c r="M174" s="23" t="n">
        <v>5</v>
      </c>
      <c r="N174" s="23" t="n">
        <v>5</v>
      </c>
      <c r="O174" s="23" t="n">
        <v>5</v>
      </c>
      <c r="P174" s="23" t="n">
        <v>5</v>
      </c>
      <c r="Q174" s="23" t="n">
        <f>MIN(O174,P174)</f>
        <v>5</v>
      </c>
      <c r="R174" s="25" t="n">
        <f>IF(M174=0,0,MIN(1,L174/M174))</f>
        <v>0.6</v>
      </c>
      <c r="S174" s="23" t="n">
        <f>O174*R174</f>
        <v>3</v>
      </c>
      <c r="T174" s="23" t="n">
        <f>MIN(P174,S174)</f>
        <v>3</v>
      </c>
      <c r="U174" s="23" t="n">
        <f>O174-S174</f>
        <v>2</v>
      </c>
      <c r="V174" s="23" t="n">
        <f>MAX(P174-O174,0)</f>
        <v>0</v>
      </c>
    </row>
    <row r="175">
      <c r="A175" s="19" t="str">
        <v>德国区</v>
      </c>
      <c r="B175" s="19" t="str">
        <v>杜塞尔多夫16号仓</v>
      </c>
      <c r="C175" s="19" t="str">
        <v>交运组</v>
      </c>
      <c r="D175" s="21" t="n">
        <v>46193</v>
      </c>
      <c r="E175" s="19" t="str">
        <v>2026-06</v>
      </c>
      <c r="F175" s="19" t="str">
        <v>操作员</v>
      </c>
      <c r="G175" s="19" t="str">
        <v>德国区-灵活班次 / DE FLEX</v>
      </c>
      <c r="H175" s="19" t="str">
        <v>S000191</v>
      </c>
      <c r="I175" s="19" t="str">
        <v>TimePartner Personalmanagement GmbH</v>
      </c>
      <c r="J175" s="23" t="n">
        <v>3</v>
      </c>
      <c r="K175" s="23" t="n">
        <v>0</v>
      </c>
      <c r="L175" s="23" t="n">
        <f>J175+K175</f>
        <v>3</v>
      </c>
      <c r="M175" s="23" t="n">
        <v>5</v>
      </c>
      <c r="N175" s="23" t="n">
        <v>5</v>
      </c>
      <c r="O175" s="23" t="n">
        <v>5</v>
      </c>
      <c r="P175" s="23" t="n">
        <v>5</v>
      </c>
      <c r="Q175" s="23" t="n">
        <f>MIN(O175,P175)</f>
        <v>5</v>
      </c>
      <c r="R175" s="25" t="n">
        <f>IF(M175=0,0,MIN(1,L175/M175))</f>
        <v>0.6</v>
      </c>
      <c r="S175" s="23" t="n">
        <f>O175*R175</f>
        <v>3</v>
      </c>
      <c r="T175" s="23" t="n">
        <f>MIN(P175,S175)</f>
        <v>3</v>
      </c>
      <c r="U175" s="23" t="n">
        <f>O175-S175</f>
        <v>2</v>
      </c>
      <c r="V175" s="23" t="n">
        <f>MAX(P175-O175,0)</f>
        <v>0</v>
      </c>
    </row>
    <row r="176">
      <c r="A176" s="19" t="str">
        <v>德国区</v>
      </c>
      <c r="B176" s="19" t="str">
        <v>杜塞尔多夫16号仓</v>
      </c>
      <c r="C176" s="19" t="str">
        <v>入库组</v>
      </c>
      <c r="D176" s="21" t="n">
        <v>46139</v>
      </c>
      <c r="E176" s="19" t="str">
        <v>2026-04</v>
      </c>
      <c r="F176" s="19" t="str">
        <v>操作员</v>
      </c>
      <c r="G176" s="19" t="str">
        <v>德国区-灵活班次 / DE FLEX</v>
      </c>
      <c r="H176" s="19" t="str">
        <v>S000279</v>
      </c>
      <c r="I176" s="19" t="str">
        <v>Armz GmbH</v>
      </c>
      <c r="J176" s="23" t="n">
        <v>4</v>
      </c>
      <c r="K176" s="23" t="n">
        <v>0</v>
      </c>
      <c r="L176" s="23" t="n">
        <f>J176+K176</f>
        <v>4</v>
      </c>
      <c r="M176" s="23" t="n">
        <v>4</v>
      </c>
      <c r="N176" s="23" t="n">
        <v>4</v>
      </c>
      <c r="O176" s="23" t="n">
        <v>4</v>
      </c>
      <c r="P176" s="23" t="n">
        <v>4</v>
      </c>
      <c r="Q176" s="23" t="n">
        <f>MIN(O176,P176)</f>
        <v>4</v>
      </c>
      <c r="R176" s="25" t="n">
        <f>IF(M176=0,0,MIN(1,L176/M176))</f>
        <v>1</v>
      </c>
      <c r="S176" s="23" t="n">
        <f>O176*R176</f>
        <v>4</v>
      </c>
      <c r="T176" s="23" t="n">
        <f>MIN(P176,S176)</f>
        <v>4</v>
      </c>
      <c r="U176" s="23" t="n">
        <f>O176-S176</f>
        <v>0</v>
      </c>
      <c r="V176" s="23" t="n">
        <f>MAX(P176-O176,0)</f>
        <v>0</v>
      </c>
    </row>
    <row r="177">
      <c r="A177" s="19" t="str">
        <v>德国区</v>
      </c>
      <c r="B177" s="19" t="str">
        <v>杜塞尔多夫16号仓</v>
      </c>
      <c r="C177" s="19" t="str">
        <v>入库组</v>
      </c>
      <c r="D177" s="21" t="n">
        <v>46140</v>
      </c>
      <c r="E177" s="19" t="str">
        <v>2026-04</v>
      </c>
      <c r="F177" s="19" t="str">
        <v>操作员</v>
      </c>
      <c r="G177" s="19" t="str">
        <v>德国区-灵活班次 / DE FLEX</v>
      </c>
      <c r="H177" s="19" t="str">
        <v>S000279</v>
      </c>
      <c r="I177" s="19" t="str">
        <v>Armz GmbH</v>
      </c>
      <c r="J177" s="23" t="n">
        <v>4</v>
      </c>
      <c r="K177" s="23" t="n">
        <v>0</v>
      </c>
      <c r="L177" s="23" t="n">
        <f>J177+K177</f>
        <v>4</v>
      </c>
      <c r="M177" s="23" t="n">
        <v>7</v>
      </c>
      <c r="N177" s="23" t="n">
        <v>7</v>
      </c>
      <c r="O177" s="23" t="n">
        <v>2</v>
      </c>
      <c r="P177" s="23" t="n">
        <v>2</v>
      </c>
      <c r="Q177" s="23" t="n">
        <f>MIN(O177,P177)</f>
        <v>2</v>
      </c>
      <c r="R177" s="25" t="n">
        <f>IF(M177=0,0,MIN(1,L177/M177))</f>
        <v>0.5714285714285714</v>
      </c>
      <c r="S177" s="23" t="n">
        <f>O177*R177</f>
        <v>1.1428571428571428</v>
      </c>
      <c r="T177" s="23" t="n">
        <f>MIN(P177,S177)</f>
        <v>1.1428571428571428</v>
      </c>
      <c r="U177" s="23" t="n">
        <f>O177-S177</f>
        <v>0.8571428571428572</v>
      </c>
      <c r="V177" s="23" t="n">
        <f>MAX(P177-O177,0)</f>
        <v>0</v>
      </c>
    </row>
    <row r="178">
      <c r="A178" s="19" t="str">
        <v>德国区</v>
      </c>
      <c r="B178" s="19" t="str">
        <v>杜塞尔多夫16号仓</v>
      </c>
      <c r="C178" s="19" t="str">
        <v>入库组</v>
      </c>
      <c r="D178" s="21" t="n">
        <v>46140</v>
      </c>
      <c r="E178" s="19" t="str">
        <v>2026-04</v>
      </c>
      <c r="F178" s="19" t="str">
        <v>操作员</v>
      </c>
      <c r="G178" s="19" t="str">
        <v>德国区-灵活班次 / DE FLEX</v>
      </c>
      <c r="H178" s="19" t="str">
        <v>S000327</v>
      </c>
      <c r="I178" s="19" t="str">
        <v>Gohar GmbH</v>
      </c>
      <c r="J178" s="23" t="n">
        <v>4</v>
      </c>
      <c r="K178" s="23" t="n">
        <v>0</v>
      </c>
      <c r="L178" s="23" t="n">
        <f>J178+K178</f>
        <v>4</v>
      </c>
      <c r="M178" s="23" t="n">
        <v>7</v>
      </c>
      <c r="N178" s="23" t="n">
        <v>7</v>
      </c>
      <c r="O178" s="23" t="n">
        <v>5</v>
      </c>
      <c r="P178" s="23" t="n">
        <v>5</v>
      </c>
      <c r="Q178" s="23" t="n">
        <f>MIN(O178,P178)</f>
        <v>5</v>
      </c>
      <c r="R178" s="25" t="n">
        <f>IF(M178=0,0,MIN(1,L178/M178))</f>
        <v>0.5714285714285714</v>
      </c>
      <c r="S178" s="23" t="n">
        <f>O178*R178</f>
        <v>2.8571428571428568</v>
      </c>
      <c r="T178" s="23" t="n">
        <f>MIN(P178,S178)</f>
        <v>2.8571428571428568</v>
      </c>
      <c r="U178" s="23" t="n">
        <f>O178-S178</f>
        <v>2.1428571428571432</v>
      </c>
      <c r="V178" s="23" t="n">
        <f>MAX(P178-O178,0)</f>
        <v>0</v>
      </c>
    </row>
    <row r="179">
      <c r="A179" s="19" t="str">
        <v>德国区</v>
      </c>
      <c r="B179" s="19" t="str">
        <v>杜塞尔多夫16号仓</v>
      </c>
      <c r="C179" s="19" t="str">
        <v>入库组</v>
      </c>
      <c r="D179" s="21" t="n">
        <v>46141</v>
      </c>
      <c r="E179" s="19" t="str">
        <v>2026-04</v>
      </c>
      <c r="F179" s="19" t="str">
        <v>操作员</v>
      </c>
      <c r="G179" s="19" t="str">
        <v>德国区-灵活班次 / DE FLEX</v>
      </c>
      <c r="H179" s="19" t="str">
        <v>S000316</v>
      </c>
      <c r="I179" s="19" t="str">
        <v>Nivux Estate e.Kfm</v>
      </c>
      <c r="J179" s="23" t="n">
        <v>7</v>
      </c>
      <c r="K179" s="23" t="n">
        <v>0</v>
      </c>
      <c r="L179" s="23" t="n">
        <f>J179+K179</f>
        <v>7</v>
      </c>
      <c r="M179" s="23" t="n">
        <v>9</v>
      </c>
      <c r="N179" s="23" t="n">
        <v>9</v>
      </c>
      <c r="O179" s="23" t="n">
        <v>4</v>
      </c>
      <c r="P179" s="23" t="n">
        <v>4</v>
      </c>
      <c r="Q179" s="23" t="n">
        <f>MIN(O179,P179)</f>
        <v>4</v>
      </c>
      <c r="R179" s="25" t="n">
        <f>IF(M179=0,0,MIN(1,L179/M179))</f>
        <v>0.7777777777777778</v>
      </c>
      <c r="S179" s="23" t="n">
        <f>O179*R179</f>
        <v>3.111111111111111</v>
      </c>
      <c r="T179" s="23" t="n">
        <f>MIN(P179,S179)</f>
        <v>3.111111111111111</v>
      </c>
      <c r="U179" s="23" t="n">
        <f>O179-S179</f>
        <v>0.8888888888888888</v>
      </c>
      <c r="V179" s="23" t="n">
        <f>MAX(P179-O179,0)</f>
        <v>0</v>
      </c>
    </row>
    <row r="180">
      <c r="A180" s="19" t="str">
        <v>德国区</v>
      </c>
      <c r="B180" s="19" t="str">
        <v>杜塞尔多夫16号仓</v>
      </c>
      <c r="C180" s="19" t="str">
        <v>入库组</v>
      </c>
      <c r="D180" s="21" t="n">
        <v>46141</v>
      </c>
      <c r="E180" s="19" t="str">
        <v>2026-04</v>
      </c>
      <c r="F180" s="19" t="str">
        <v>操作员</v>
      </c>
      <c r="G180" s="19" t="str">
        <v>德国区-灵活班次 / DE FLEX</v>
      </c>
      <c r="H180" s="19" t="str">
        <v>S000327</v>
      </c>
      <c r="I180" s="19" t="str">
        <v>Gohar GmbH</v>
      </c>
      <c r="J180" s="23" t="n">
        <v>7</v>
      </c>
      <c r="K180" s="23" t="n">
        <v>0</v>
      </c>
      <c r="L180" s="23" t="n">
        <f>J180+K180</f>
        <v>7</v>
      </c>
      <c r="M180" s="23" t="n">
        <v>9</v>
      </c>
      <c r="N180" s="23" t="n">
        <v>9</v>
      </c>
      <c r="O180" s="23" t="n">
        <v>5</v>
      </c>
      <c r="P180" s="23" t="n">
        <v>5</v>
      </c>
      <c r="Q180" s="23" t="n">
        <f>MIN(O180,P180)</f>
        <v>5</v>
      </c>
      <c r="R180" s="25" t="n">
        <f>IF(M180=0,0,MIN(1,L180/M180))</f>
        <v>0.7777777777777778</v>
      </c>
      <c r="S180" s="23" t="n">
        <f>O180*R180</f>
        <v>3.888888888888889</v>
      </c>
      <c r="T180" s="23" t="n">
        <f>MIN(P180,S180)</f>
        <v>3.888888888888889</v>
      </c>
      <c r="U180" s="23" t="n">
        <f>O180-S180</f>
        <v>1.1111111111111112</v>
      </c>
      <c r="V180" s="23" t="n">
        <f>MAX(P180-O180,0)</f>
        <v>0</v>
      </c>
    </row>
    <row r="181">
      <c r="A181" s="19" t="str">
        <v>德国区</v>
      </c>
      <c r="B181" s="19" t="str">
        <v>杜塞尔多夫16号仓</v>
      </c>
      <c r="C181" s="19" t="str">
        <v>入库组</v>
      </c>
      <c r="D181" s="21" t="n">
        <v>46142</v>
      </c>
      <c r="E181" s="19" t="str">
        <v>2026-04</v>
      </c>
      <c r="F181" s="19" t="str">
        <v>操作员</v>
      </c>
      <c r="G181" s="19" t="str">
        <v>德国区-灵活班次 / DE FLEX</v>
      </c>
      <c r="H181" s="19" t="str">
        <v>S000279</v>
      </c>
      <c r="I181" s="19" t="str">
        <v>Armz GmbH</v>
      </c>
      <c r="J181" s="23" t="n">
        <v>6</v>
      </c>
      <c r="K181" s="23" t="n">
        <v>0</v>
      </c>
      <c r="L181" s="23" t="n">
        <f>J181+K181</f>
        <v>6</v>
      </c>
      <c r="M181" s="23" t="n">
        <v>8</v>
      </c>
      <c r="N181" s="23" t="n">
        <v>4</v>
      </c>
      <c r="O181" s="23" t="n">
        <v>4</v>
      </c>
      <c r="P181" s="23" t="n">
        <v>4</v>
      </c>
      <c r="Q181" s="23" t="n">
        <f>MIN(O181,P181)</f>
        <v>4</v>
      </c>
      <c r="R181" s="25" t="n">
        <f>IF(M181=0,0,MIN(1,L181/M181))</f>
        <v>0.75</v>
      </c>
      <c r="S181" s="23" t="n">
        <f>O181*R181</f>
        <v>3</v>
      </c>
      <c r="T181" s="23" t="n">
        <f>MIN(P181,S181)</f>
        <v>3</v>
      </c>
      <c r="U181" s="23" t="n">
        <f>O181-S181</f>
        <v>1</v>
      </c>
      <c r="V181" s="23" t="n">
        <f>MAX(P181-O181,0)</f>
        <v>0</v>
      </c>
    </row>
    <row r="182">
      <c r="A182" s="19" t="str">
        <v>德国区</v>
      </c>
      <c r="B182" s="19" t="str">
        <v>杜塞尔多夫16号仓</v>
      </c>
      <c r="C182" s="19" t="str">
        <v>入库组</v>
      </c>
      <c r="D182" s="21" t="n">
        <v>46142</v>
      </c>
      <c r="E182" s="19" t="str">
        <v>2026-04</v>
      </c>
      <c r="F182" s="19" t="str">
        <v>操作员</v>
      </c>
      <c r="G182" s="19" t="str">
        <v>德国区-灵活班次 / DE FLEX</v>
      </c>
      <c r="H182" s="19" t="str">
        <v>S000327</v>
      </c>
      <c r="I182" s="19" t="str">
        <v>Gohar GmbH</v>
      </c>
      <c r="J182" s="23" t="n">
        <v>6</v>
      </c>
      <c r="K182" s="23" t="n">
        <v>0</v>
      </c>
      <c r="L182" s="23" t="n">
        <f>J182+K182</f>
        <v>6</v>
      </c>
      <c r="M182" s="23" t="n">
        <v>8</v>
      </c>
      <c r="N182" s="23" t="n">
        <v>4</v>
      </c>
      <c r="O182" s="23" t="n">
        <v>4</v>
      </c>
      <c r="P182" s="23" t="n">
        <v>0</v>
      </c>
      <c r="Q182" s="23" t="n">
        <f>MIN(O182,P182)</f>
        <v>0</v>
      </c>
      <c r="R182" s="25" t="n">
        <f>IF(M182=0,0,MIN(1,L182/M182))</f>
        <v>0.75</v>
      </c>
      <c r="S182" s="23" t="n">
        <f>O182*R182</f>
        <v>3</v>
      </c>
      <c r="T182" s="23" t="n">
        <f>MIN(P182,S182)</f>
        <v>0</v>
      </c>
      <c r="U182" s="23" t="n">
        <f>O182-S182</f>
        <v>1</v>
      </c>
      <c r="V182" s="23" t="n">
        <f>MAX(P182-O182,0)</f>
        <v>0</v>
      </c>
    </row>
    <row r="183">
      <c r="A183" s="19" t="str">
        <v>德国区</v>
      </c>
      <c r="B183" s="19" t="str">
        <v>杜塞尔多夫16号仓</v>
      </c>
      <c r="C183" s="19" t="str">
        <v>入库组</v>
      </c>
      <c r="D183" s="21" t="n">
        <v>46146</v>
      </c>
      <c r="E183" s="19" t="str">
        <v>2026-05</v>
      </c>
      <c r="F183" s="19" t="str">
        <v>操作员</v>
      </c>
      <c r="G183" s="19" t="str">
        <v>德国区-灵活班次 / DE FLEX</v>
      </c>
      <c r="H183" s="19" t="str">
        <v>S000279</v>
      </c>
      <c r="I183" s="19" t="str">
        <v>Armz GmbH</v>
      </c>
      <c r="J183" s="23" t="n">
        <v>6</v>
      </c>
      <c r="K183" s="23" t="n">
        <v>0</v>
      </c>
      <c r="L183" s="23" t="n">
        <f>J183+K183</f>
        <v>6</v>
      </c>
      <c r="M183" s="23" t="n">
        <v>4</v>
      </c>
      <c r="N183" s="23" t="n">
        <v>2</v>
      </c>
      <c r="O183" s="23" t="n">
        <v>4</v>
      </c>
      <c r="P183" s="23" t="n">
        <v>2</v>
      </c>
      <c r="Q183" s="23" t="n">
        <f>MIN(O183,P183)</f>
        <v>2</v>
      </c>
      <c r="R183" s="25" t="n">
        <f>IF(M183=0,0,MIN(1,L183/M183))</f>
        <v>1</v>
      </c>
      <c r="S183" s="23" t="n">
        <f>O183*R183</f>
        <v>4</v>
      </c>
      <c r="T183" s="23" t="n">
        <f>MIN(P183,S183)</f>
        <v>2</v>
      </c>
      <c r="U183" s="23" t="n">
        <f>O183-S183</f>
        <v>0</v>
      </c>
      <c r="V183" s="23" t="n">
        <f>MAX(P183-O183,0)</f>
        <v>0</v>
      </c>
    </row>
    <row r="184">
      <c r="A184" s="19" t="str">
        <v>德国区</v>
      </c>
      <c r="B184" s="19" t="str">
        <v>杜塞尔多夫16号仓</v>
      </c>
      <c r="C184" s="19" t="str">
        <v>入库组</v>
      </c>
      <c r="D184" s="21" t="n">
        <v>46147</v>
      </c>
      <c r="E184" s="19" t="str">
        <v>2026-05</v>
      </c>
      <c r="F184" s="19" t="str">
        <v>操作员</v>
      </c>
      <c r="G184" s="19" t="str">
        <v>德国区-灵活班次 / DE FLEX</v>
      </c>
      <c r="H184" s="19" t="str">
        <v>S000316</v>
      </c>
      <c r="I184" s="19" t="str">
        <v>Nivux Estate e.Kfm</v>
      </c>
      <c r="J184" s="23" t="n">
        <v>6</v>
      </c>
      <c r="K184" s="23" t="n">
        <v>0</v>
      </c>
      <c r="L184" s="23" t="n">
        <f>J184+K184</f>
        <v>6</v>
      </c>
      <c r="M184" s="23" t="n">
        <v>5</v>
      </c>
      <c r="N184" s="23" t="n">
        <v>0</v>
      </c>
      <c r="O184" s="23" t="n">
        <v>5</v>
      </c>
      <c r="P184" s="23" t="n">
        <v>0</v>
      </c>
      <c r="Q184" s="23" t="n">
        <f>MIN(O184,P184)</f>
        <v>0</v>
      </c>
      <c r="R184" s="25" t="n">
        <f>IF(M184=0,0,MIN(1,L184/M184))</f>
        <v>1</v>
      </c>
      <c r="S184" s="23" t="n">
        <f>O184*R184</f>
        <v>5</v>
      </c>
      <c r="T184" s="23" t="n">
        <f>MIN(P184,S184)</f>
        <v>0</v>
      </c>
      <c r="U184" s="23" t="n">
        <f>O184-S184</f>
        <v>0</v>
      </c>
      <c r="V184" s="23" t="n">
        <f>MAX(P184-O184,0)</f>
        <v>0</v>
      </c>
    </row>
    <row r="185">
      <c r="A185" s="19" t="str">
        <v>德国区</v>
      </c>
      <c r="B185" s="19" t="str">
        <v>杜塞尔多夫16号仓</v>
      </c>
      <c r="C185" s="19" t="str">
        <v>入库组</v>
      </c>
      <c r="D185" s="21" t="n">
        <v>46148</v>
      </c>
      <c r="E185" s="19" t="str">
        <v>2026-05</v>
      </c>
      <c r="F185" s="19" t="str">
        <v>操作员</v>
      </c>
      <c r="G185" s="19" t="str">
        <v>德国区-灵活班次 / DE FLEX</v>
      </c>
      <c r="H185" s="19" t="str">
        <v>S000110</v>
      </c>
      <c r="I185" s="19" t="str">
        <v>Koetter Personal Service SE Co. KG</v>
      </c>
      <c r="J185" s="23" t="n">
        <v>6</v>
      </c>
      <c r="K185" s="23" t="n">
        <v>0</v>
      </c>
      <c r="L185" s="23" t="n">
        <f>J185+K185</f>
        <v>6</v>
      </c>
      <c r="M185" s="23" t="n">
        <v>8</v>
      </c>
      <c r="N185" s="23" t="n">
        <v>8</v>
      </c>
      <c r="O185" s="23" t="n">
        <v>8</v>
      </c>
      <c r="P185" s="23" t="n">
        <v>8</v>
      </c>
      <c r="Q185" s="23" t="n">
        <f>MIN(O185,P185)</f>
        <v>8</v>
      </c>
      <c r="R185" s="25" t="n">
        <f>IF(M185=0,0,MIN(1,L185/M185))</f>
        <v>0.75</v>
      </c>
      <c r="S185" s="23" t="n">
        <f>O185*R185</f>
        <v>6</v>
      </c>
      <c r="T185" s="23" t="n">
        <f>MIN(P185,S185)</f>
        <v>6</v>
      </c>
      <c r="U185" s="23" t="n">
        <f>O185-S185</f>
        <v>2</v>
      </c>
      <c r="V185" s="23" t="n">
        <f>MAX(P185-O185,0)</f>
        <v>0</v>
      </c>
    </row>
    <row r="186">
      <c r="A186" s="19" t="str">
        <v>德国区</v>
      </c>
      <c r="B186" s="19" t="str">
        <v>杜塞尔多夫16号仓</v>
      </c>
      <c r="C186" s="19" t="str">
        <v>入库组</v>
      </c>
      <c r="D186" s="21" t="n">
        <v>46171</v>
      </c>
      <c r="E186" s="19" t="str">
        <v>2026-05</v>
      </c>
      <c r="F186" s="19" t="str">
        <v>操作员</v>
      </c>
      <c r="G186" s="19" t="str">
        <v>德国区-灵活班次 / DE FLEX</v>
      </c>
      <c r="H186" s="19" t="str">
        <v>S000279</v>
      </c>
      <c r="I186" s="19" t="str">
        <v>Armz GmbH</v>
      </c>
      <c r="J186" s="23" t="n">
        <v>2</v>
      </c>
      <c r="K186" s="23" t="n">
        <v>0</v>
      </c>
      <c r="L186" s="23" t="n">
        <f>J186+K186</f>
        <v>2</v>
      </c>
      <c r="M186" s="23" t="n">
        <v>2</v>
      </c>
      <c r="N186" s="23" t="n">
        <v>2</v>
      </c>
      <c r="O186" s="23" t="n">
        <v>2</v>
      </c>
      <c r="P186" s="23" t="n">
        <v>2</v>
      </c>
      <c r="Q186" s="23" t="n">
        <f>MIN(O186,P186)</f>
        <v>2</v>
      </c>
      <c r="R186" s="25" t="n">
        <f>IF(M186=0,0,MIN(1,L186/M186))</f>
        <v>1</v>
      </c>
      <c r="S186" s="23" t="n">
        <f>O186*R186</f>
        <v>2</v>
      </c>
      <c r="T186" s="23" t="n">
        <f>MIN(P186,S186)</f>
        <v>2</v>
      </c>
      <c r="U186" s="23" t="n">
        <f>O186-S186</f>
        <v>0</v>
      </c>
      <c r="V186" s="23" t="n">
        <f>MAX(P186-O186,0)</f>
        <v>0</v>
      </c>
    </row>
    <row r="187">
      <c r="A187" s="19" t="str">
        <v>德国区</v>
      </c>
      <c r="B187" s="19" t="str">
        <v>杜塞尔多夫16号仓</v>
      </c>
      <c r="C187" s="19" t="str">
        <v>入库组</v>
      </c>
      <c r="D187" s="21" t="n">
        <v>46182</v>
      </c>
      <c r="E187" s="19" t="str">
        <v>2026-06</v>
      </c>
      <c r="F187" s="19" t="str">
        <v>操作员</v>
      </c>
      <c r="G187" s="19" t="str">
        <v>德国区-灵活班次 / DE FLEX</v>
      </c>
      <c r="H187" s="19" t="str">
        <v>S000110</v>
      </c>
      <c r="I187" s="19" t="str">
        <v>Koetter Personal Service SE Co. KG</v>
      </c>
      <c r="J187" s="23" t="n">
        <v>3</v>
      </c>
      <c r="K187" s="23" t="n">
        <v>0</v>
      </c>
      <c r="L187" s="23" t="n">
        <f>J187+K187</f>
        <v>3</v>
      </c>
      <c r="M187" s="23" t="n">
        <v>4</v>
      </c>
      <c r="N187" s="23" t="n">
        <v>4</v>
      </c>
      <c r="O187" s="23" t="n">
        <v>4</v>
      </c>
      <c r="P187" s="23" t="n">
        <v>4</v>
      </c>
      <c r="Q187" s="23" t="n">
        <f>MIN(O187,P187)</f>
        <v>4</v>
      </c>
      <c r="R187" s="25" t="n">
        <f>IF(M187=0,0,MIN(1,L187/M187))</f>
        <v>0.75</v>
      </c>
      <c r="S187" s="23" t="n">
        <f>O187*R187</f>
        <v>3</v>
      </c>
      <c r="T187" s="23" t="n">
        <f>MIN(P187,S187)</f>
        <v>3</v>
      </c>
      <c r="U187" s="23" t="n">
        <f>O187-S187</f>
        <v>1</v>
      </c>
      <c r="V187" s="23" t="n">
        <f>MAX(P187-O187,0)</f>
        <v>0</v>
      </c>
    </row>
    <row r="188">
      <c r="A188" s="19" t="str">
        <v>德国区</v>
      </c>
      <c r="B188" s="19" t="str">
        <v>杜塞尔多夫16号仓</v>
      </c>
      <c r="C188" s="19" t="str">
        <v>入库组</v>
      </c>
      <c r="D188" s="21" t="n">
        <v>46183</v>
      </c>
      <c r="E188" s="19" t="str">
        <v>2026-06</v>
      </c>
      <c r="F188" s="19" t="str">
        <v>操作员</v>
      </c>
      <c r="G188" s="19" t="str">
        <v>德国区-灵活班次 / DE FLEX</v>
      </c>
      <c r="H188" s="19" t="str">
        <v>S000110</v>
      </c>
      <c r="I188" s="19" t="str">
        <v>Koetter Personal Service SE Co. KG</v>
      </c>
      <c r="J188" s="23" t="n">
        <v>3</v>
      </c>
      <c r="K188" s="23" t="n">
        <v>0</v>
      </c>
      <c r="L188" s="23" t="n">
        <f>J188+K188</f>
        <v>3</v>
      </c>
      <c r="M188" s="23" t="n">
        <v>5</v>
      </c>
      <c r="N188" s="23" t="n">
        <v>5</v>
      </c>
      <c r="O188" s="23" t="n">
        <v>5</v>
      </c>
      <c r="P188" s="23" t="n">
        <v>5</v>
      </c>
      <c r="Q188" s="23" t="n">
        <f>MIN(O188,P188)</f>
        <v>5</v>
      </c>
      <c r="R188" s="25" t="n">
        <f>IF(M188=0,0,MIN(1,L188/M188))</f>
        <v>0.6</v>
      </c>
      <c r="S188" s="23" t="n">
        <f>O188*R188</f>
        <v>3</v>
      </c>
      <c r="T188" s="23" t="n">
        <f>MIN(P188,S188)</f>
        <v>3</v>
      </c>
      <c r="U188" s="23" t="n">
        <f>O188-S188</f>
        <v>2</v>
      </c>
      <c r="V188" s="23" t="n">
        <f>MAX(P188-O188,0)</f>
        <v>0</v>
      </c>
    </row>
    <row r="189">
      <c r="A189" s="19" t="str">
        <v>德国区</v>
      </c>
      <c r="B189" s="19" t="str">
        <v>杜塞尔多夫16号仓</v>
      </c>
      <c r="C189" s="19" t="str">
        <v>入库组</v>
      </c>
      <c r="D189" s="21" t="n">
        <v>46184</v>
      </c>
      <c r="E189" s="19" t="str">
        <v>2026-06</v>
      </c>
      <c r="F189" s="19" t="str">
        <v>操作员</v>
      </c>
      <c r="G189" s="19" t="str">
        <v>德国区-灵活班次 / DE FLEX</v>
      </c>
      <c r="H189" s="19" t="str">
        <v>S000110</v>
      </c>
      <c r="I189" s="19" t="str">
        <v>Koetter Personal Service SE Co. KG</v>
      </c>
      <c r="J189" s="23" t="n">
        <v>3</v>
      </c>
      <c r="K189" s="23" t="n">
        <v>0</v>
      </c>
      <c r="L189" s="23" t="n">
        <f>J189+K189</f>
        <v>3</v>
      </c>
      <c r="M189" s="23" t="n">
        <v>5</v>
      </c>
      <c r="N189" s="23" t="n">
        <v>4</v>
      </c>
      <c r="O189" s="23" t="n">
        <v>5</v>
      </c>
      <c r="P189" s="23" t="n">
        <v>4</v>
      </c>
      <c r="Q189" s="23" t="n">
        <f>MIN(O189,P189)</f>
        <v>4</v>
      </c>
      <c r="R189" s="25" t="n">
        <f>IF(M189=0,0,MIN(1,L189/M189))</f>
        <v>0.6</v>
      </c>
      <c r="S189" s="23" t="n">
        <f>O189*R189</f>
        <v>3</v>
      </c>
      <c r="T189" s="23" t="n">
        <f>MIN(P189,S189)</f>
        <v>3</v>
      </c>
      <c r="U189" s="23" t="n">
        <f>O189-S189</f>
        <v>2</v>
      </c>
      <c r="V189" s="23" t="n">
        <f>MAX(P189-O189,0)</f>
        <v>0</v>
      </c>
    </row>
    <row r="190">
      <c r="A190" s="19" t="str">
        <v>德国区</v>
      </c>
      <c r="B190" s="19" t="str">
        <v>杜塞尔多夫16号仓</v>
      </c>
      <c r="C190" s="19" t="str">
        <v>包装组</v>
      </c>
      <c r="D190" s="21" t="n">
        <v>46136</v>
      </c>
      <c r="E190" s="19" t="str">
        <v>2026-04</v>
      </c>
      <c r="F190" s="19" t="str">
        <v>操作员</v>
      </c>
      <c r="G190" s="19" t="str">
        <v>德国区-灵活班次 / DE FLEX</v>
      </c>
      <c r="H190" s="19" t="str">
        <v>S000327</v>
      </c>
      <c r="I190" s="19" t="str">
        <v>Gohar GmbH</v>
      </c>
      <c r="J190" s="23" t="n">
        <v>2</v>
      </c>
      <c r="K190" s="23" t="n">
        <v>0</v>
      </c>
      <c r="L190" s="23" t="n">
        <f>J190+K190</f>
        <v>2</v>
      </c>
      <c r="M190" s="23" t="n">
        <v>2</v>
      </c>
      <c r="N190" s="23" t="n">
        <v>2</v>
      </c>
      <c r="O190" s="23" t="n">
        <v>2</v>
      </c>
      <c r="P190" s="23" t="n">
        <v>2</v>
      </c>
      <c r="Q190" s="23" t="n">
        <f>MIN(O190,P190)</f>
        <v>2</v>
      </c>
      <c r="R190" s="25" t="n">
        <f>IF(M190=0,0,MIN(1,L190/M190))</f>
        <v>1</v>
      </c>
      <c r="S190" s="23" t="n">
        <f>O190*R190</f>
        <v>2</v>
      </c>
      <c r="T190" s="23" t="n">
        <f>MIN(P190,S190)</f>
        <v>2</v>
      </c>
      <c r="U190" s="23" t="n">
        <f>O190-S190</f>
        <v>0</v>
      </c>
      <c r="V190" s="23" t="n">
        <f>MAX(P190-O190,0)</f>
        <v>0</v>
      </c>
    </row>
    <row r="191">
      <c r="A191" s="19" t="str">
        <v>德国区</v>
      </c>
      <c r="B191" s="19" t="str">
        <v>杜塞尔多夫16号仓</v>
      </c>
      <c r="C191" s="19" t="str">
        <v>包装组</v>
      </c>
      <c r="D191" s="21" t="n">
        <v>46137</v>
      </c>
      <c r="E191" s="19" t="str">
        <v>2026-04</v>
      </c>
      <c r="F191" s="19" t="str">
        <v>操作员</v>
      </c>
      <c r="G191" s="19" t="str">
        <v>德国区-灵活班次 / DE FLEX</v>
      </c>
      <c r="H191" s="19" t="str">
        <v>S000327</v>
      </c>
      <c r="I191" s="19" t="str">
        <v>Gohar GmbH</v>
      </c>
      <c r="J191" s="23" t="n">
        <v>2</v>
      </c>
      <c r="K191" s="23" t="n">
        <v>0</v>
      </c>
      <c r="L191" s="23" t="n">
        <f>J191+K191</f>
        <v>2</v>
      </c>
      <c r="M191" s="23" t="n">
        <v>2</v>
      </c>
      <c r="N191" s="23" t="n">
        <v>2</v>
      </c>
      <c r="O191" s="23" t="n">
        <v>2</v>
      </c>
      <c r="P191" s="23" t="n">
        <v>2</v>
      </c>
      <c r="Q191" s="23" t="n">
        <f>MIN(O191,P191)</f>
        <v>2</v>
      </c>
      <c r="R191" s="25" t="n">
        <f>IF(M191=0,0,MIN(1,L191/M191))</f>
        <v>1</v>
      </c>
      <c r="S191" s="23" t="n">
        <f>O191*R191</f>
        <v>2</v>
      </c>
      <c r="T191" s="23" t="n">
        <f>MIN(P191,S191)</f>
        <v>2</v>
      </c>
      <c r="U191" s="23" t="n">
        <f>O191-S191</f>
        <v>0</v>
      </c>
      <c r="V191" s="23" t="n">
        <f>MAX(P191-O191,0)</f>
        <v>0</v>
      </c>
    </row>
    <row r="192">
      <c r="A192" s="19" t="str">
        <v>德国区</v>
      </c>
      <c r="B192" s="19" t="str">
        <v>杜塞尔多夫16号仓</v>
      </c>
      <c r="C192" s="19" t="str">
        <v>包装组</v>
      </c>
      <c r="D192" s="21" t="n">
        <v>46139</v>
      </c>
      <c r="E192" s="19" t="str">
        <v>2026-04</v>
      </c>
      <c r="F192" s="19" t="str">
        <v>操作员</v>
      </c>
      <c r="G192" s="19" t="str">
        <v>德国区-灵活班次 / DE FLEX</v>
      </c>
      <c r="H192" s="19" t="str">
        <v>S000279</v>
      </c>
      <c r="I192" s="19" t="str">
        <v>Armz GmbH</v>
      </c>
      <c r="J192" s="23" t="n">
        <v>3</v>
      </c>
      <c r="K192" s="23" t="n">
        <v>0</v>
      </c>
      <c r="L192" s="23" t="n">
        <f>J192+K192</f>
        <v>3</v>
      </c>
      <c r="M192" s="23" t="n">
        <v>4</v>
      </c>
      <c r="N192" s="23" t="n">
        <v>4</v>
      </c>
      <c r="O192" s="23" t="n">
        <v>4</v>
      </c>
      <c r="P192" s="23" t="n">
        <v>4</v>
      </c>
      <c r="Q192" s="23" t="n">
        <f>MIN(O192,P192)</f>
        <v>4</v>
      </c>
      <c r="R192" s="25" t="n">
        <f>IF(M192=0,0,MIN(1,L192/M192))</f>
        <v>0.75</v>
      </c>
      <c r="S192" s="23" t="n">
        <f>O192*R192</f>
        <v>3</v>
      </c>
      <c r="T192" s="23" t="n">
        <f>MIN(P192,S192)</f>
        <v>3</v>
      </c>
      <c r="U192" s="23" t="n">
        <f>O192-S192</f>
        <v>1</v>
      </c>
      <c r="V192" s="23" t="n">
        <f>MAX(P192-O192,0)</f>
        <v>0</v>
      </c>
    </row>
    <row r="193">
      <c r="A193" s="19" t="str">
        <v>德国区</v>
      </c>
      <c r="B193" s="19" t="str">
        <v>杜塞尔多夫16号仓</v>
      </c>
      <c r="C193" s="19" t="str">
        <v>包装组</v>
      </c>
      <c r="D193" s="21" t="n">
        <v>46141</v>
      </c>
      <c r="E193" s="19" t="str">
        <v>2026-04</v>
      </c>
      <c r="F193" s="19" t="str">
        <v>操作员</v>
      </c>
      <c r="G193" s="19" t="str">
        <v>德国区-灵活班次 / DE FLEX</v>
      </c>
      <c r="H193" s="19" t="str">
        <v>S000279</v>
      </c>
      <c r="I193" s="19" t="str">
        <v>Armz GmbH</v>
      </c>
      <c r="J193" s="23" t="n">
        <v>4</v>
      </c>
      <c r="K193" s="23" t="n">
        <v>0</v>
      </c>
      <c r="L193" s="23" t="n">
        <f>J193+K193</f>
        <v>4</v>
      </c>
      <c r="M193" s="23" t="n">
        <v>4</v>
      </c>
      <c r="N193" s="23" t="n">
        <v>4</v>
      </c>
      <c r="O193" s="23" t="n">
        <v>3</v>
      </c>
      <c r="P193" s="23" t="n">
        <v>3</v>
      </c>
      <c r="Q193" s="23" t="n">
        <f>MIN(O193,P193)</f>
        <v>3</v>
      </c>
      <c r="R193" s="25" t="n">
        <f>IF(M193=0,0,MIN(1,L193/M193))</f>
        <v>1</v>
      </c>
      <c r="S193" s="23" t="n">
        <f>O193*R193</f>
        <v>3</v>
      </c>
      <c r="T193" s="23" t="n">
        <f>MIN(P193,S193)</f>
        <v>3</v>
      </c>
      <c r="U193" s="23" t="n">
        <f>O193-S193</f>
        <v>0</v>
      </c>
      <c r="V193" s="23" t="n">
        <f>MAX(P193-O193,0)</f>
        <v>0</v>
      </c>
    </row>
    <row r="194">
      <c r="A194" s="19" t="str">
        <v>德国区</v>
      </c>
      <c r="B194" s="19" t="str">
        <v>杜塞尔多夫16号仓</v>
      </c>
      <c r="C194" s="19" t="str">
        <v>包装组</v>
      </c>
      <c r="D194" s="21" t="n">
        <v>46141</v>
      </c>
      <c r="E194" s="19" t="str">
        <v>2026-04</v>
      </c>
      <c r="F194" s="19" t="str">
        <v>操作员</v>
      </c>
      <c r="G194" s="19" t="str">
        <v>德国区-灵活班次 / DE FLEX</v>
      </c>
      <c r="H194" s="19" t="str">
        <v>S000327</v>
      </c>
      <c r="I194" s="19" t="str">
        <v>Gohar GmbH</v>
      </c>
      <c r="J194" s="23" t="n">
        <v>4</v>
      </c>
      <c r="K194" s="23" t="n">
        <v>0</v>
      </c>
      <c r="L194" s="23" t="n">
        <f>J194+K194</f>
        <v>4</v>
      </c>
      <c r="M194" s="23" t="n">
        <v>4</v>
      </c>
      <c r="N194" s="23" t="n">
        <v>4</v>
      </c>
      <c r="O194" s="23" t="n">
        <v>1</v>
      </c>
      <c r="P194" s="23" t="n">
        <v>1</v>
      </c>
      <c r="Q194" s="23" t="n">
        <f>MIN(O194,P194)</f>
        <v>1</v>
      </c>
      <c r="R194" s="25" t="n">
        <f>IF(M194=0,0,MIN(1,L194/M194))</f>
        <v>1</v>
      </c>
      <c r="S194" s="23" t="n">
        <f>O194*R194</f>
        <v>1</v>
      </c>
      <c r="T194" s="23" t="n">
        <f>MIN(P194,S194)</f>
        <v>1</v>
      </c>
      <c r="U194" s="23" t="n">
        <f>O194-S194</f>
        <v>0</v>
      </c>
      <c r="V194" s="23" t="n">
        <f>MAX(P194-O194,0)</f>
        <v>0</v>
      </c>
    </row>
    <row r="195">
      <c r="A195" s="19" t="str">
        <v>德国区</v>
      </c>
      <c r="B195" s="19" t="str">
        <v>杜塞尔多夫16号仓</v>
      </c>
      <c r="C195" s="19" t="str">
        <v>包装组</v>
      </c>
      <c r="D195" s="21" t="n">
        <v>46147</v>
      </c>
      <c r="E195" s="19" t="str">
        <v>2026-05</v>
      </c>
      <c r="F195" s="19" t="str">
        <v>操作员</v>
      </c>
      <c r="G195" s="19" t="str">
        <v>德国区-灵活班次 / DE FLEX</v>
      </c>
      <c r="H195" s="19" t="str">
        <v>S000316</v>
      </c>
      <c r="I195" s="19" t="str">
        <v>Nivux Estate e.Kfm</v>
      </c>
      <c r="J195" s="23" t="n">
        <v>3</v>
      </c>
      <c r="K195" s="23" t="n">
        <v>0</v>
      </c>
      <c r="L195" s="23" t="n">
        <f>J195+K195</f>
        <v>3</v>
      </c>
      <c r="M195" s="23" t="n">
        <v>4</v>
      </c>
      <c r="N195" s="23" t="n">
        <v>0</v>
      </c>
      <c r="O195" s="23" t="n">
        <v>4</v>
      </c>
      <c r="P195" s="23" t="n">
        <v>0</v>
      </c>
      <c r="Q195" s="23" t="n">
        <f>MIN(O195,P195)</f>
        <v>0</v>
      </c>
      <c r="R195" s="25" t="n">
        <f>IF(M195=0,0,MIN(1,L195/M195))</f>
        <v>0.75</v>
      </c>
      <c r="S195" s="23" t="n">
        <f>O195*R195</f>
        <v>3</v>
      </c>
      <c r="T195" s="23" t="n">
        <f>MIN(P195,S195)</f>
        <v>0</v>
      </c>
      <c r="U195" s="23" t="n">
        <f>O195-S195</f>
        <v>1</v>
      </c>
      <c r="V195" s="23" t="n">
        <f>MAX(P195-O195,0)</f>
        <v>0</v>
      </c>
    </row>
    <row r="196">
      <c r="A196" s="19" t="str">
        <v>德国区</v>
      </c>
      <c r="B196" s="19" t="str">
        <v>杜塞尔多夫16号仓</v>
      </c>
      <c r="C196" s="19" t="str">
        <v>包装组</v>
      </c>
      <c r="D196" s="21" t="n">
        <v>46148</v>
      </c>
      <c r="E196" s="19" t="str">
        <v>2026-05</v>
      </c>
      <c r="F196" s="19" t="str">
        <v>操作员</v>
      </c>
      <c r="G196" s="19" t="str">
        <v>德国区-灵活班次 / DE FLEX</v>
      </c>
      <c r="H196" s="19" t="str">
        <v>S000327</v>
      </c>
      <c r="I196" s="19" t="str">
        <v>Gohar GmbH</v>
      </c>
      <c r="J196" s="23" t="n">
        <v>3</v>
      </c>
      <c r="K196" s="23" t="n">
        <v>0</v>
      </c>
      <c r="L196" s="23" t="n">
        <f>J196+K196</f>
        <v>3</v>
      </c>
      <c r="M196" s="23" t="n">
        <v>6</v>
      </c>
      <c r="N196" s="23" t="n">
        <v>6</v>
      </c>
      <c r="O196" s="23" t="n">
        <v>6</v>
      </c>
      <c r="P196" s="23" t="n">
        <v>6</v>
      </c>
      <c r="Q196" s="23" t="n">
        <f>MIN(O196,P196)</f>
        <v>6</v>
      </c>
      <c r="R196" s="25" t="n">
        <f>IF(M196=0,0,MIN(1,L196/M196))</f>
        <v>0.5</v>
      </c>
      <c r="S196" s="23" t="n">
        <f>O196*R196</f>
        <v>3</v>
      </c>
      <c r="T196" s="23" t="n">
        <f>MIN(P196,S196)</f>
        <v>3</v>
      </c>
      <c r="U196" s="23" t="n">
        <f>O196-S196</f>
        <v>3</v>
      </c>
      <c r="V196" s="23" t="n">
        <f>MAX(P196-O196,0)</f>
        <v>0</v>
      </c>
    </row>
    <row r="197">
      <c r="A197" s="19" t="str">
        <v>德国区</v>
      </c>
      <c r="B197" s="19" t="str">
        <v>杜塞尔多夫16号仓</v>
      </c>
      <c r="C197" s="19" t="str">
        <v>包装组</v>
      </c>
      <c r="D197" s="21" t="n">
        <v>46155</v>
      </c>
      <c r="E197" s="19" t="str">
        <v>2026-05</v>
      </c>
      <c r="F197" s="19" t="str">
        <v>操作员</v>
      </c>
      <c r="G197" s="19" t="str">
        <v>德国区-灵活班次 / DE FLEX</v>
      </c>
      <c r="H197" s="19" t="str">
        <v>S000327</v>
      </c>
      <c r="I197" s="19" t="str">
        <v>Gohar GmbH</v>
      </c>
      <c r="J197" s="23" t="n">
        <v>3</v>
      </c>
      <c r="K197" s="23" t="n">
        <v>0</v>
      </c>
      <c r="L197" s="23" t="n">
        <f>J197+K197</f>
        <v>3</v>
      </c>
      <c r="M197" s="23" t="n">
        <v>4</v>
      </c>
      <c r="N197" s="23" t="n">
        <v>4</v>
      </c>
      <c r="O197" s="23" t="n">
        <v>4</v>
      </c>
      <c r="P197" s="23" t="n">
        <v>4</v>
      </c>
      <c r="Q197" s="23" t="n">
        <f>MIN(O197,P197)</f>
        <v>4</v>
      </c>
      <c r="R197" s="25" t="n">
        <f>IF(M197=0,0,MIN(1,L197/M197))</f>
        <v>0.75</v>
      </c>
      <c r="S197" s="23" t="n">
        <f>O197*R197</f>
        <v>3</v>
      </c>
      <c r="T197" s="23" t="n">
        <f>MIN(P197,S197)</f>
        <v>3</v>
      </c>
      <c r="U197" s="23" t="n">
        <f>O197-S197</f>
        <v>1</v>
      </c>
      <c r="V197" s="23" t="n">
        <f>MAX(P197-O197,0)</f>
        <v>0</v>
      </c>
    </row>
    <row r="198">
      <c r="A198" s="19" t="str">
        <v>德国区</v>
      </c>
      <c r="B198" s="19" t="str">
        <v>杜塞尔多夫16号仓</v>
      </c>
      <c r="C198" s="19" t="str">
        <v>包装组</v>
      </c>
      <c r="D198" s="21" t="n">
        <v>46158</v>
      </c>
      <c r="E198" s="19" t="str">
        <v>2026-05</v>
      </c>
      <c r="F198" s="19" t="str">
        <v>操作员</v>
      </c>
      <c r="G198" s="19" t="str">
        <v>德国区-灵活班次 / DE FLEX</v>
      </c>
      <c r="H198" s="19" t="str">
        <v>S000327</v>
      </c>
      <c r="I198" s="19" t="str">
        <v>Gohar GmbH</v>
      </c>
      <c r="J198" s="23" t="n">
        <v>3</v>
      </c>
      <c r="K198" s="23" t="n">
        <v>0</v>
      </c>
      <c r="L198" s="23" t="n">
        <f>J198+K198</f>
        <v>3</v>
      </c>
      <c r="M198" s="23" t="n">
        <v>3</v>
      </c>
      <c r="N198" s="23" t="n">
        <v>3</v>
      </c>
      <c r="O198" s="23" t="n">
        <v>3</v>
      </c>
      <c r="P198" s="23" t="n">
        <v>3</v>
      </c>
      <c r="Q198" s="23" t="n">
        <f>MIN(O198,P198)</f>
        <v>3</v>
      </c>
      <c r="R198" s="25" t="n">
        <f>IF(M198=0,0,MIN(1,L198/M198))</f>
        <v>1</v>
      </c>
      <c r="S198" s="23" t="n">
        <f>O198*R198</f>
        <v>3</v>
      </c>
      <c r="T198" s="23" t="n">
        <f>MIN(P198,S198)</f>
        <v>3</v>
      </c>
      <c r="U198" s="23" t="n">
        <f>O198-S198</f>
        <v>0</v>
      </c>
      <c r="V198" s="23" t="n">
        <f>MAX(P198-O198,0)</f>
        <v>0</v>
      </c>
    </row>
    <row r="199">
      <c r="A199" s="19" t="str">
        <v>德国区</v>
      </c>
      <c r="B199" s="19" t="str">
        <v>杜塞尔多夫16号仓</v>
      </c>
      <c r="C199" s="19" t="str">
        <v>包装组</v>
      </c>
      <c r="D199" s="21" t="n">
        <v>46161</v>
      </c>
      <c r="E199" s="19" t="str">
        <v>2026-05</v>
      </c>
      <c r="F199" s="19" t="str">
        <v>操作员</v>
      </c>
      <c r="G199" s="19" t="str">
        <v>德国区-灵活班次 / DE FLEX</v>
      </c>
      <c r="H199" s="19" t="str">
        <v>S000279</v>
      </c>
      <c r="I199" s="19" t="str">
        <v>Armz GmbH</v>
      </c>
      <c r="J199" s="23" t="n">
        <v>3</v>
      </c>
      <c r="K199" s="23" t="n">
        <v>0</v>
      </c>
      <c r="L199" s="23" t="n">
        <f>J199+K199</f>
        <v>3</v>
      </c>
      <c r="M199" s="23" t="n">
        <v>3</v>
      </c>
      <c r="N199" s="23" t="n">
        <v>3</v>
      </c>
      <c r="O199" s="23" t="n">
        <v>3</v>
      </c>
      <c r="P199" s="23" t="n">
        <v>3</v>
      </c>
      <c r="Q199" s="23" t="n">
        <f>MIN(O199,P199)</f>
        <v>3</v>
      </c>
      <c r="R199" s="25" t="n">
        <f>IF(M199=0,0,MIN(1,L199/M199))</f>
        <v>1</v>
      </c>
      <c r="S199" s="23" t="n">
        <f>O199*R199</f>
        <v>3</v>
      </c>
      <c r="T199" s="23" t="n">
        <f>MIN(P199,S199)</f>
        <v>3</v>
      </c>
      <c r="U199" s="23" t="n">
        <f>O199-S199</f>
        <v>0</v>
      </c>
      <c r="V199" s="23" t="n">
        <f>MAX(P199-O199,0)</f>
        <v>0</v>
      </c>
    </row>
    <row r="200">
      <c r="A200" s="19" t="str">
        <v>德国区</v>
      </c>
      <c r="B200" s="19" t="str">
        <v>杜塞尔多夫16号仓</v>
      </c>
      <c r="C200" s="19" t="str">
        <v>包装组</v>
      </c>
      <c r="D200" s="21" t="n">
        <v>46172</v>
      </c>
      <c r="E200" s="19" t="str">
        <v>2026-05</v>
      </c>
      <c r="F200" s="19" t="str">
        <v>操作员</v>
      </c>
      <c r="G200" s="19" t="str">
        <v>德国区-灵活班次 / DE FLEX</v>
      </c>
      <c r="H200" s="19" t="str">
        <v>S000328</v>
      </c>
      <c r="I200" s="19" t="str">
        <v>JS Logistik GmbH</v>
      </c>
      <c r="J200" s="23" t="n">
        <v>2</v>
      </c>
      <c r="K200" s="23" t="n">
        <v>0</v>
      </c>
      <c r="L200" s="23" t="n">
        <f>J200+K200</f>
        <v>2</v>
      </c>
      <c r="M200" s="23" t="n">
        <v>2</v>
      </c>
      <c r="N200" s="23" t="n">
        <v>2</v>
      </c>
      <c r="O200" s="23" t="n">
        <v>2</v>
      </c>
      <c r="P200" s="23" t="n">
        <v>2</v>
      </c>
      <c r="Q200" s="23" t="n">
        <f>MIN(O200,P200)</f>
        <v>2</v>
      </c>
      <c r="R200" s="25" t="n">
        <f>IF(M200=0,0,MIN(1,L200/M200))</f>
        <v>1</v>
      </c>
      <c r="S200" s="23" t="n">
        <f>O200*R200</f>
        <v>2</v>
      </c>
      <c r="T200" s="23" t="n">
        <f>MIN(P200,S200)</f>
        <v>2</v>
      </c>
      <c r="U200" s="23" t="n">
        <f>O200-S200</f>
        <v>0</v>
      </c>
      <c r="V200" s="23" t="n">
        <f>MAX(P200-O200,0)</f>
        <v>0</v>
      </c>
    </row>
    <row r="201">
      <c r="A201" s="19" t="str">
        <v>德国区</v>
      </c>
      <c r="B201" s="19" t="str">
        <v>杜塞尔多夫16号仓</v>
      </c>
      <c r="C201" s="19" t="str">
        <v>包装组</v>
      </c>
      <c r="D201" s="21" t="n">
        <v>46175</v>
      </c>
      <c r="E201" s="19" t="str">
        <v>2026-06</v>
      </c>
      <c r="F201" s="19" t="str">
        <v>操作员</v>
      </c>
      <c r="G201" s="19" t="str">
        <v>德国区-灵活班次 / DE FLEX</v>
      </c>
      <c r="H201" s="19" t="str">
        <v>S000328</v>
      </c>
      <c r="I201" s="19" t="str">
        <v>JS Logistik GmbH</v>
      </c>
      <c r="J201" s="23" t="n">
        <v>3</v>
      </c>
      <c r="K201" s="23" t="n">
        <v>0</v>
      </c>
      <c r="L201" s="23" t="n">
        <f>J201+K201</f>
        <v>3</v>
      </c>
      <c r="M201" s="23" t="n">
        <v>3</v>
      </c>
      <c r="N201" s="23" t="n">
        <v>0</v>
      </c>
      <c r="O201" s="23" t="n">
        <v>3</v>
      </c>
      <c r="P201" s="23" t="n">
        <v>0</v>
      </c>
      <c r="Q201" s="23" t="n">
        <f>MIN(O201,P201)</f>
        <v>0</v>
      </c>
      <c r="R201" s="25" t="n">
        <f>IF(M201=0,0,MIN(1,L201/M201))</f>
        <v>1</v>
      </c>
      <c r="S201" s="23" t="n">
        <f>O201*R201</f>
        <v>3</v>
      </c>
      <c r="T201" s="23" t="n">
        <f>MIN(P201,S201)</f>
        <v>0</v>
      </c>
      <c r="U201" s="23" t="n">
        <f>O201-S201</f>
        <v>0</v>
      </c>
      <c r="V201" s="23" t="n">
        <f>MAX(P201-O201,0)</f>
        <v>0</v>
      </c>
    </row>
    <row r="202">
      <c r="A202" s="19" t="str">
        <v>德国区</v>
      </c>
      <c r="B202" s="19" t="str">
        <v>杜塞尔多夫16号仓</v>
      </c>
      <c r="C202" s="19" t="str">
        <v>包装组</v>
      </c>
      <c r="D202" s="21" t="n">
        <v>46184</v>
      </c>
      <c r="E202" s="19" t="str">
        <v>2026-06</v>
      </c>
      <c r="F202" s="19" t="str">
        <v>操作员</v>
      </c>
      <c r="G202" s="19" t="str">
        <v>德国区-灵活班次 / DE FLEX</v>
      </c>
      <c r="H202" s="19" t="str">
        <v>S000086</v>
      </c>
      <c r="I202" s="19" t="str">
        <v>Topjob Zeitarbeit GmbH</v>
      </c>
      <c r="J202" s="23" t="n">
        <v>12</v>
      </c>
      <c r="K202" s="23" t="n">
        <v>0</v>
      </c>
      <c r="L202" s="23" t="n">
        <f>J202+K202</f>
        <v>12</v>
      </c>
      <c r="M202" s="23" t="n">
        <v>3</v>
      </c>
      <c r="N202" s="23" t="n">
        <v>3</v>
      </c>
      <c r="O202" s="23" t="n">
        <v>3</v>
      </c>
      <c r="P202" s="23" t="n">
        <v>3</v>
      </c>
      <c r="Q202" s="23" t="n">
        <f>MIN(O202,P202)</f>
        <v>3</v>
      </c>
      <c r="R202" s="25" t="n">
        <f>IF(M202=0,0,MIN(1,L202/M202))</f>
        <v>1</v>
      </c>
      <c r="S202" s="23" t="n">
        <f>O202*R202</f>
        <v>3</v>
      </c>
      <c r="T202" s="23" t="n">
        <f>MIN(P202,S202)</f>
        <v>3</v>
      </c>
      <c r="U202" s="23" t="n">
        <f>O202-S202</f>
        <v>0</v>
      </c>
      <c r="V202" s="23" t="n">
        <f>MAX(P202-O202,0)</f>
        <v>0</v>
      </c>
    </row>
    <row r="203">
      <c r="A203" s="19" t="str">
        <v>德国区</v>
      </c>
      <c r="B203" s="19" t="str">
        <v>杜塞尔多夫16号仓</v>
      </c>
      <c r="C203" s="19" t="str">
        <v>包装组</v>
      </c>
      <c r="D203" s="21" t="n">
        <v>46185</v>
      </c>
      <c r="E203" s="19" t="str">
        <v>2026-06</v>
      </c>
      <c r="F203" s="19" t="str">
        <v>操作员</v>
      </c>
      <c r="G203" s="19" t="str">
        <v>德国区-灵活班次 / DE FLEX</v>
      </c>
      <c r="H203" s="19" t="str">
        <v>S000086</v>
      </c>
      <c r="I203" s="19" t="str">
        <v>Topjob Zeitarbeit GmbH</v>
      </c>
      <c r="J203" s="23" t="n">
        <v>14</v>
      </c>
      <c r="K203" s="23" t="n">
        <v>0</v>
      </c>
      <c r="L203" s="23" t="n">
        <f>J203+K203</f>
        <v>14</v>
      </c>
      <c r="M203" s="23" t="n">
        <v>13</v>
      </c>
      <c r="N203" s="23" t="n">
        <v>13</v>
      </c>
      <c r="O203" s="23" t="n">
        <v>5</v>
      </c>
      <c r="P203" s="23" t="n">
        <v>5</v>
      </c>
      <c r="Q203" s="23" t="n">
        <f>MIN(O203,P203)</f>
        <v>5</v>
      </c>
      <c r="R203" s="25" t="n">
        <f>IF(M203=0,0,MIN(1,L203/M203))</f>
        <v>1</v>
      </c>
      <c r="S203" s="23" t="n">
        <f>O203*R203</f>
        <v>5</v>
      </c>
      <c r="T203" s="23" t="n">
        <f>MIN(P203,S203)</f>
        <v>5</v>
      </c>
      <c r="U203" s="23" t="n">
        <f>O203-S203</f>
        <v>0</v>
      </c>
      <c r="V203" s="23" t="n">
        <f>MAX(P203-O203,0)</f>
        <v>0</v>
      </c>
    </row>
    <row r="204">
      <c r="A204" s="19" t="str">
        <v>德国区</v>
      </c>
      <c r="B204" s="19" t="str">
        <v>杜塞尔多夫16号仓</v>
      </c>
      <c r="C204" s="19" t="str">
        <v>包装组</v>
      </c>
      <c r="D204" s="21" t="n">
        <v>46185</v>
      </c>
      <c r="E204" s="19" t="str">
        <v>2026-06</v>
      </c>
      <c r="F204" s="19" t="str">
        <v>操作员</v>
      </c>
      <c r="G204" s="19" t="str">
        <v>德国区-灵活班次 / DE FLEX</v>
      </c>
      <c r="H204" s="19" t="str">
        <v>S000110</v>
      </c>
      <c r="I204" s="19" t="str">
        <v>Koetter Personal Service SE Co. KG</v>
      </c>
      <c r="J204" s="23" t="n">
        <v>14</v>
      </c>
      <c r="K204" s="23" t="n">
        <v>0</v>
      </c>
      <c r="L204" s="23" t="n">
        <f>J204+K204</f>
        <v>14</v>
      </c>
      <c r="M204" s="23" t="n">
        <v>13</v>
      </c>
      <c r="N204" s="23" t="n">
        <v>13</v>
      </c>
      <c r="O204" s="23" t="n">
        <v>2</v>
      </c>
      <c r="P204" s="23" t="n">
        <v>2</v>
      </c>
      <c r="Q204" s="23" t="n">
        <f>MIN(O204,P204)</f>
        <v>2</v>
      </c>
      <c r="R204" s="25" t="n">
        <f>IF(M204=0,0,MIN(1,L204/M204))</f>
        <v>1</v>
      </c>
      <c r="S204" s="23" t="n">
        <f>O204*R204</f>
        <v>2</v>
      </c>
      <c r="T204" s="23" t="n">
        <f>MIN(P204,S204)</f>
        <v>2</v>
      </c>
      <c r="U204" s="23" t="n">
        <f>O204-S204</f>
        <v>0</v>
      </c>
      <c r="V204" s="23" t="n">
        <f>MAX(P204-O204,0)</f>
        <v>0</v>
      </c>
    </row>
    <row r="205">
      <c r="A205" s="19" t="str">
        <v>德国区</v>
      </c>
      <c r="B205" s="19" t="str">
        <v>杜塞尔多夫16号仓</v>
      </c>
      <c r="C205" s="19" t="str">
        <v>包装组</v>
      </c>
      <c r="D205" s="21" t="n">
        <v>46185</v>
      </c>
      <c r="E205" s="19" t="str">
        <v>2026-06</v>
      </c>
      <c r="F205" s="19" t="str">
        <v>操作员</v>
      </c>
      <c r="G205" s="19" t="str">
        <v>德国区-灵活班次 / DE FLEX</v>
      </c>
      <c r="H205" s="19" t="str">
        <v>S000279</v>
      </c>
      <c r="I205" s="19" t="str">
        <v>Armz GmbH</v>
      </c>
      <c r="J205" s="23" t="n">
        <v>14</v>
      </c>
      <c r="K205" s="23" t="n">
        <v>0</v>
      </c>
      <c r="L205" s="23" t="n">
        <f>J205+K205</f>
        <v>14</v>
      </c>
      <c r="M205" s="23" t="n">
        <v>13</v>
      </c>
      <c r="N205" s="23" t="n">
        <v>13</v>
      </c>
      <c r="O205" s="23" t="n">
        <v>6</v>
      </c>
      <c r="P205" s="23" t="n">
        <v>6</v>
      </c>
      <c r="Q205" s="23" t="n">
        <f>MIN(O205,P205)</f>
        <v>6</v>
      </c>
      <c r="R205" s="25" t="n">
        <f>IF(M205=0,0,MIN(1,L205/M205))</f>
        <v>1</v>
      </c>
      <c r="S205" s="23" t="n">
        <f>O205*R205</f>
        <v>6</v>
      </c>
      <c r="T205" s="23" t="n">
        <f>MIN(P205,S205)</f>
        <v>6</v>
      </c>
      <c r="U205" s="23" t="n">
        <f>O205-S205</f>
        <v>0</v>
      </c>
      <c r="V205" s="23" t="n">
        <f>MAX(P205-O205,0)</f>
        <v>0</v>
      </c>
    </row>
    <row r="206">
      <c r="A206" s="19" t="str">
        <v>德国区</v>
      </c>
      <c r="B206" s="19" t="str">
        <v>杜塞尔多夫16号仓</v>
      </c>
      <c r="C206" s="19" t="str">
        <v>包装组</v>
      </c>
      <c r="D206" s="21" t="n">
        <v>46188</v>
      </c>
      <c r="E206" s="19" t="str">
        <v>2026-06</v>
      </c>
      <c r="F206" s="19" t="str">
        <v>操作员</v>
      </c>
      <c r="G206" s="19" t="str">
        <v>德国区-灵活班次 / DE FLEX</v>
      </c>
      <c r="H206" s="19" t="str">
        <v>S000191</v>
      </c>
      <c r="I206" s="19" t="str">
        <v>TimePartner Personalmanagement GmbH</v>
      </c>
      <c r="J206" s="23" t="n">
        <v>4</v>
      </c>
      <c r="K206" s="23" t="n">
        <v>0</v>
      </c>
      <c r="L206" s="23" t="n">
        <f>J206+K206</f>
        <v>4</v>
      </c>
      <c r="M206" s="23" t="n">
        <v>5</v>
      </c>
      <c r="N206" s="23" t="n">
        <v>5</v>
      </c>
      <c r="O206" s="23" t="n">
        <v>5</v>
      </c>
      <c r="P206" s="23" t="n">
        <v>5</v>
      </c>
      <c r="Q206" s="23" t="n">
        <f>MIN(O206,P206)</f>
        <v>5</v>
      </c>
      <c r="R206" s="25" t="n">
        <f>IF(M206=0,0,MIN(1,L206/M206))</f>
        <v>0.8</v>
      </c>
      <c r="S206" s="23" t="n">
        <f>O206*R206</f>
        <v>4</v>
      </c>
      <c r="T206" s="23" t="n">
        <f>MIN(P206,S206)</f>
        <v>4</v>
      </c>
      <c r="U206" s="23" t="n">
        <f>O206-S206</f>
        <v>1</v>
      </c>
      <c r="V206" s="23" t="n">
        <f>MAX(P206-O206,0)</f>
        <v>0</v>
      </c>
    </row>
    <row r="207">
      <c r="A207" s="19" t="str">
        <v>德国区</v>
      </c>
      <c r="B207" s="19" t="str">
        <v>杜塞尔多夫16号仓</v>
      </c>
      <c r="C207" s="19" t="str">
        <v>包装组</v>
      </c>
      <c r="D207" s="21" t="n">
        <v>46189</v>
      </c>
      <c r="E207" s="19" t="str">
        <v>2026-06</v>
      </c>
      <c r="F207" s="19" t="str">
        <v>操作员</v>
      </c>
      <c r="G207" s="19" t="str">
        <v>德国区-灵活班次 / DE FLEX</v>
      </c>
      <c r="H207" s="19" t="str">
        <v>S000086</v>
      </c>
      <c r="I207" s="19" t="str">
        <v>Topjob Zeitarbeit GmbH</v>
      </c>
      <c r="J207" s="23" t="n">
        <v>4</v>
      </c>
      <c r="K207" s="23" t="n">
        <v>0</v>
      </c>
      <c r="L207" s="23" t="n">
        <f>J207+K207</f>
        <v>4</v>
      </c>
      <c r="M207" s="23" t="n">
        <v>4</v>
      </c>
      <c r="N207" s="23" t="n">
        <v>3</v>
      </c>
      <c r="O207" s="23" t="n">
        <v>4</v>
      </c>
      <c r="P207" s="23" t="n">
        <v>3</v>
      </c>
      <c r="Q207" s="23" t="n">
        <f>MIN(O207,P207)</f>
        <v>3</v>
      </c>
      <c r="R207" s="25" t="n">
        <f>IF(M207=0,0,MIN(1,L207/M207))</f>
        <v>1</v>
      </c>
      <c r="S207" s="23" t="n">
        <f>O207*R207</f>
        <v>4</v>
      </c>
      <c r="T207" s="23" t="n">
        <f>MIN(P207,S207)</f>
        <v>3</v>
      </c>
      <c r="U207" s="23" t="n">
        <f>O207-S207</f>
        <v>0</v>
      </c>
      <c r="V207" s="23" t="n">
        <f>MAX(P207-O207,0)</f>
        <v>0</v>
      </c>
    </row>
    <row r="208">
      <c r="A208" s="19" t="str">
        <v>德国区</v>
      </c>
      <c r="B208" s="19" t="str">
        <v>杜塞尔多夫16号仓</v>
      </c>
      <c r="C208" s="19" t="str">
        <v>包装组</v>
      </c>
      <c r="D208" s="21" t="n">
        <v>46190</v>
      </c>
      <c r="E208" s="19" t="str">
        <v>2026-06</v>
      </c>
      <c r="F208" s="19" t="str">
        <v>操作员</v>
      </c>
      <c r="G208" s="19" t="str">
        <v>德国区-灵活班次 / DE FLEX</v>
      </c>
      <c r="H208" s="19" t="str">
        <v>S000279</v>
      </c>
      <c r="I208" s="19" t="str">
        <v>Armz GmbH</v>
      </c>
      <c r="J208" s="23" t="n">
        <v>4</v>
      </c>
      <c r="K208" s="23" t="n">
        <v>0</v>
      </c>
      <c r="L208" s="23" t="n">
        <f>J208+K208</f>
        <v>4</v>
      </c>
      <c r="M208" s="23" t="n">
        <v>5</v>
      </c>
      <c r="N208" s="23" t="n">
        <v>5</v>
      </c>
      <c r="O208" s="23" t="n">
        <v>5</v>
      </c>
      <c r="P208" s="23" t="n">
        <v>5</v>
      </c>
      <c r="Q208" s="23" t="n">
        <f>MIN(O208,P208)</f>
        <v>5</v>
      </c>
      <c r="R208" s="25" t="n">
        <f>IF(M208=0,0,MIN(1,L208/M208))</f>
        <v>0.8</v>
      </c>
      <c r="S208" s="23" t="n">
        <f>O208*R208</f>
        <v>4</v>
      </c>
      <c r="T208" s="23" t="n">
        <f>MIN(P208,S208)</f>
        <v>4</v>
      </c>
      <c r="U208" s="23" t="n">
        <f>O208-S208</f>
        <v>1</v>
      </c>
      <c r="V208" s="23" t="n">
        <f>MAX(P208-O208,0)</f>
        <v>0</v>
      </c>
    </row>
    <row r="209">
      <c r="A209" s="19" t="str">
        <v>德国区</v>
      </c>
      <c r="B209" s="19" t="str">
        <v>杜塞尔多夫16号仓</v>
      </c>
      <c r="C209" s="19" t="str">
        <v>包装组</v>
      </c>
      <c r="D209" s="21" t="n">
        <v>46191</v>
      </c>
      <c r="E209" s="19" t="str">
        <v>2026-06</v>
      </c>
      <c r="F209" s="19" t="str">
        <v>操作员</v>
      </c>
      <c r="G209" s="19" t="str">
        <v>德国区-灵活班次 / DE FLEX</v>
      </c>
      <c r="H209" s="19" t="str">
        <v>S000110</v>
      </c>
      <c r="I209" s="19" t="str">
        <v>Koetter Personal Service SE Co. KG</v>
      </c>
      <c r="J209" s="23" t="n">
        <v>4</v>
      </c>
      <c r="K209" s="23" t="n">
        <v>0</v>
      </c>
      <c r="L209" s="23" t="n">
        <f>J209+K209</f>
        <v>4</v>
      </c>
      <c r="M209" s="23" t="n">
        <v>5</v>
      </c>
      <c r="N209" s="23" t="n">
        <v>5</v>
      </c>
      <c r="O209" s="23" t="n">
        <v>5</v>
      </c>
      <c r="P209" s="23" t="n">
        <v>5</v>
      </c>
      <c r="Q209" s="23" t="n">
        <f>MIN(O209,P209)</f>
        <v>5</v>
      </c>
      <c r="R209" s="25" t="n">
        <f>IF(M209=0,0,MIN(1,L209/M209))</f>
        <v>0.8</v>
      </c>
      <c r="S209" s="23" t="n">
        <f>O209*R209</f>
        <v>4</v>
      </c>
      <c r="T209" s="23" t="n">
        <f>MIN(P209,S209)</f>
        <v>4</v>
      </c>
      <c r="U209" s="23" t="n">
        <f>O209-S209</f>
        <v>1</v>
      </c>
      <c r="V209" s="23" t="n">
        <f>MAX(P209-O209,0)</f>
        <v>0</v>
      </c>
    </row>
    <row r="210">
      <c r="A210" s="19" t="str">
        <v>德国区</v>
      </c>
      <c r="B210" s="19" t="str">
        <v>杜塞尔多夫16号仓</v>
      </c>
      <c r="C210" s="19" t="str">
        <v>包装组</v>
      </c>
      <c r="D210" s="21" t="n">
        <v>46192</v>
      </c>
      <c r="E210" s="19" t="str">
        <v>2026-06</v>
      </c>
      <c r="F210" s="19" t="str">
        <v>操作员</v>
      </c>
      <c r="G210" s="19" t="str">
        <v>德国区-灵活班次 / DE FLEX</v>
      </c>
      <c r="H210" s="19" t="str">
        <v>S000279</v>
      </c>
      <c r="I210" s="19" t="str">
        <v>Armz GmbH</v>
      </c>
      <c r="J210" s="23" t="n">
        <v>4</v>
      </c>
      <c r="K210" s="23" t="n">
        <v>0</v>
      </c>
      <c r="L210" s="23" t="n">
        <f>J210+K210</f>
        <v>4</v>
      </c>
      <c r="M210" s="23" t="n">
        <v>3</v>
      </c>
      <c r="N210" s="23" t="n">
        <v>3</v>
      </c>
      <c r="O210" s="23" t="n">
        <v>3</v>
      </c>
      <c r="P210" s="23" t="n">
        <v>3</v>
      </c>
      <c r="Q210" s="23" t="n">
        <f>MIN(O210,P210)</f>
        <v>3</v>
      </c>
      <c r="R210" s="25" t="n">
        <f>IF(M210=0,0,MIN(1,L210/M210))</f>
        <v>1</v>
      </c>
      <c r="S210" s="23" t="n">
        <f>O210*R210</f>
        <v>3</v>
      </c>
      <c r="T210" s="23" t="n">
        <f>MIN(P210,S210)</f>
        <v>3</v>
      </c>
      <c r="U210" s="23" t="n">
        <f>O210-S210</f>
        <v>0</v>
      </c>
      <c r="V210" s="23" t="n">
        <f>MAX(P210-O210,0)</f>
        <v>0</v>
      </c>
    </row>
    <row r="211">
      <c r="A211" s="19" t="str">
        <v>德国区</v>
      </c>
      <c r="B211" s="19" t="str">
        <v>杜塞尔多夫16号仓</v>
      </c>
      <c r="C211" s="19" t="str">
        <v>包装组</v>
      </c>
      <c r="D211" s="21" t="n">
        <v>46195</v>
      </c>
      <c r="E211" s="19" t="str">
        <v>2026-06</v>
      </c>
      <c r="F211" s="19" t="str">
        <v>操作员</v>
      </c>
      <c r="G211" s="19" t="str">
        <v>德国区-灵活班次 / DE FLEX</v>
      </c>
      <c r="H211" s="19" t="str">
        <v>S000279</v>
      </c>
      <c r="I211" s="19" t="str">
        <v>Armz GmbH</v>
      </c>
      <c r="J211" s="23" t="n">
        <v>5</v>
      </c>
      <c r="K211" s="23" t="n">
        <v>0</v>
      </c>
      <c r="L211" s="23" t="n">
        <f>J211+K211</f>
        <v>5</v>
      </c>
      <c r="M211" s="23" t="n">
        <v>5</v>
      </c>
      <c r="N211" s="23" t="n">
        <v>5</v>
      </c>
      <c r="O211" s="23" t="n">
        <v>5</v>
      </c>
      <c r="P211" s="23" t="n">
        <v>5</v>
      </c>
      <c r="Q211" s="23" t="n">
        <f>MIN(O211,P211)</f>
        <v>5</v>
      </c>
      <c r="R211" s="25" t="n">
        <f>IF(M211=0,0,MIN(1,L211/M211))</f>
        <v>1</v>
      </c>
      <c r="S211" s="23" t="n">
        <f>O211*R211</f>
        <v>5</v>
      </c>
      <c r="T211" s="23" t="n">
        <f>MIN(P211,S211)</f>
        <v>5</v>
      </c>
      <c r="U211" s="23" t="n">
        <f>O211-S211</f>
        <v>0</v>
      </c>
      <c r="V211" s="23" t="n">
        <f>MAX(P211-O211,0)</f>
        <v>0</v>
      </c>
    </row>
    <row r="212">
      <c r="A212" s="19" t="str">
        <v>德国区</v>
      </c>
      <c r="B212" s="19" t="str">
        <v>杜塞尔多夫16号仓</v>
      </c>
      <c r="C212" s="19" t="str">
        <v>包装组</v>
      </c>
      <c r="D212" s="21" t="n">
        <v>46196</v>
      </c>
      <c r="E212" s="19" t="str">
        <v>2026-06</v>
      </c>
      <c r="F212" s="19" t="str">
        <v>操作员</v>
      </c>
      <c r="G212" s="19" t="str">
        <v>德国区-灵活班次 / DE FLEX</v>
      </c>
      <c r="H212" s="19" t="str">
        <v>S000110</v>
      </c>
      <c r="I212" s="19" t="str">
        <v>Koetter Personal Service SE Co. KG</v>
      </c>
      <c r="J212" s="23" t="n">
        <v>5</v>
      </c>
      <c r="K212" s="23" t="n">
        <v>0</v>
      </c>
      <c r="L212" s="23" t="n">
        <f>J212+K212</f>
        <v>5</v>
      </c>
      <c r="M212" s="23" t="n">
        <v>5</v>
      </c>
      <c r="N212" s="23" t="n">
        <v>5</v>
      </c>
      <c r="O212" s="23" t="n">
        <v>5</v>
      </c>
      <c r="P212" s="23" t="n">
        <v>5</v>
      </c>
      <c r="Q212" s="23" t="n">
        <f>MIN(O212,P212)</f>
        <v>5</v>
      </c>
      <c r="R212" s="25" t="n">
        <f>IF(M212=0,0,MIN(1,L212/M212))</f>
        <v>1</v>
      </c>
      <c r="S212" s="23" t="n">
        <f>O212*R212</f>
        <v>5</v>
      </c>
      <c r="T212" s="23" t="n">
        <f>MIN(P212,S212)</f>
        <v>5</v>
      </c>
      <c r="U212" s="23" t="n">
        <f>O212-S212</f>
        <v>0</v>
      </c>
      <c r="V212" s="23" t="n">
        <f>MAX(P212-O212,0)</f>
        <v>0</v>
      </c>
    </row>
    <row r="213">
      <c r="A213" s="19" t="str">
        <v>德国区</v>
      </c>
      <c r="B213" s="19" t="str">
        <v>杜塞尔多夫16号仓</v>
      </c>
      <c r="C213" s="19" t="str">
        <v>包装组</v>
      </c>
      <c r="D213" s="21" t="n">
        <v>46197</v>
      </c>
      <c r="E213" s="19" t="str">
        <v>2026-06</v>
      </c>
      <c r="F213" s="19" t="str">
        <v>操作员</v>
      </c>
      <c r="G213" s="19" t="str">
        <v>德国区-灵活班次 / DE FLEX</v>
      </c>
      <c r="H213" s="19" t="str">
        <v>S000086</v>
      </c>
      <c r="I213" s="19" t="str">
        <v>Topjob Zeitarbeit GmbH</v>
      </c>
      <c r="J213" s="23" t="n">
        <v>5</v>
      </c>
      <c r="K213" s="23" t="n">
        <v>0</v>
      </c>
      <c r="L213" s="23" t="n">
        <f>J213+K213</f>
        <v>5</v>
      </c>
      <c r="M213" s="23" t="n">
        <v>5</v>
      </c>
      <c r="N213" s="23" t="n">
        <v>5</v>
      </c>
      <c r="O213" s="23" t="n">
        <v>5</v>
      </c>
      <c r="P213" s="23" t="n">
        <v>5</v>
      </c>
      <c r="Q213" s="23" t="n">
        <f>MIN(O213,P213)</f>
        <v>5</v>
      </c>
      <c r="R213" s="25" t="n">
        <f>IF(M213=0,0,MIN(1,L213/M213))</f>
        <v>1</v>
      </c>
      <c r="S213" s="23" t="n">
        <f>O213*R213</f>
        <v>5</v>
      </c>
      <c r="T213" s="23" t="n">
        <f>MIN(P213,S213)</f>
        <v>5</v>
      </c>
      <c r="U213" s="23" t="n">
        <f>O213-S213</f>
        <v>0</v>
      </c>
      <c r="V213" s="23" t="n">
        <f>MAX(P213-O213,0)</f>
        <v>0</v>
      </c>
    </row>
    <row r="214">
      <c r="A214" s="19" t="str">
        <v>德国区</v>
      </c>
      <c r="B214" s="19" t="str">
        <v>杜塞尔多夫16号仓</v>
      </c>
      <c r="C214" s="19" t="str">
        <v>包装组</v>
      </c>
      <c r="D214" s="21" t="n">
        <v>46198</v>
      </c>
      <c r="E214" s="19" t="str">
        <v>2026-06</v>
      </c>
      <c r="F214" s="19" t="str">
        <v>操作员</v>
      </c>
      <c r="G214" s="19" t="str">
        <v>德国区-灵活班次 / DE FLEX</v>
      </c>
      <c r="H214" s="19" t="str">
        <v>S000191</v>
      </c>
      <c r="I214" s="19" t="str">
        <v>TimePartner Personalmanagement GmbH</v>
      </c>
      <c r="J214" s="23" t="n">
        <v>5</v>
      </c>
      <c r="K214" s="23" t="n">
        <v>0</v>
      </c>
      <c r="L214" s="23" t="n">
        <f>J214+K214</f>
        <v>5</v>
      </c>
      <c r="M214" s="23" t="n">
        <v>5</v>
      </c>
      <c r="N214" s="23" t="n">
        <v>5</v>
      </c>
      <c r="O214" s="23" t="n">
        <v>5</v>
      </c>
      <c r="P214" s="23" t="n">
        <v>5</v>
      </c>
      <c r="Q214" s="23" t="n">
        <f>MIN(O214,P214)</f>
        <v>5</v>
      </c>
      <c r="R214" s="25" t="n">
        <f>IF(M214=0,0,MIN(1,L214/M214))</f>
        <v>1</v>
      </c>
      <c r="S214" s="23" t="n">
        <f>O214*R214</f>
        <v>5</v>
      </c>
      <c r="T214" s="23" t="n">
        <f>MIN(P214,S214)</f>
        <v>5</v>
      </c>
      <c r="U214" s="23" t="n">
        <f>O214-S214</f>
        <v>0</v>
      </c>
      <c r="V214" s="23" t="n">
        <f>MAX(P214-O214,0)</f>
        <v>0</v>
      </c>
    </row>
    <row r="215">
      <c r="A215" s="19" t="str">
        <v>德国区</v>
      </c>
      <c r="B215" s="19" t="str">
        <v>杜塞尔多夫16号仓</v>
      </c>
      <c r="C215" s="19" t="str">
        <v>包装组</v>
      </c>
      <c r="D215" s="21" t="n">
        <v>46199</v>
      </c>
      <c r="E215" s="19" t="str">
        <v>2026-06</v>
      </c>
      <c r="F215" s="19" t="str">
        <v>操作员</v>
      </c>
      <c r="G215" s="19" t="str">
        <v>德国区-灵活班次 / DE FLEX</v>
      </c>
      <c r="H215" s="19" t="str">
        <v>S000110</v>
      </c>
      <c r="I215" s="19" t="str">
        <v>Koetter Personal Service SE Co. KG</v>
      </c>
      <c r="J215" s="23" t="n">
        <v>5</v>
      </c>
      <c r="K215" s="23" t="n">
        <v>0</v>
      </c>
      <c r="L215" s="23" t="n">
        <f>J215+K215</f>
        <v>5</v>
      </c>
      <c r="M215" s="23" t="n">
        <v>5</v>
      </c>
      <c r="N215" s="23" t="n">
        <v>5</v>
      </c>
      <c r="O215" s="23" t="n">
        <v>5</v>
      </c>
      <c r="P215" s="23" t="n">
        <v>5</v>
      </c>
      <c r="Q215" s="23" t="n">
        <f>MIN(O215,P215)</f>
        <v>5</v>
      </c>
      <c r="R215" s="25" t="n">
        <f>IF(M215=0,0,MIN(1,L215/M215))</f>
        <v>1</v>
      </c>
      <c r="S215" s="23" t="n">
        <f>O215*R215</f>
        <v>5</v>
      </c>
      <c r="T215" s="23" t="n">
        <f>MIN(P215,S215)</f>
        <v>5</v>
      </c>
      <c r="U215" s="23" t="n">
        <f>O215-S215</f>
        <v>0</v>
      </c>
      <c r="V215" s="23" t="n">
        <f>MAX(P215-O215,0)</f>
        <v>0</v>
      </c>
    </row>
    <row r="216">
      <c r="A216" s="19" t="str">
        <v>德国区</v>
      </c>
      <c r="B216" s="19" t="str">
        <v>杜塞尔多夫16号仓</v>
      </c>
      <c r="C216" s="19" t="str">
        <v>售后组</v>
      </c>
      <c r="D216" s="21" t="n">
        <v>46139</v>
      </c>
      <c r="E216" s="19" t="str">
        <v>2026-04</v>
      </c>
      <c r="F216" s="19" t="str">
        <v>售后处理员</v>
      </c>
      <c r="G216" s="19" t="str">
        <v>德国区-灵活班次 / DE FLEX</v>
      </c>
      <c r="H216" s="19" t="str">
        <v>S000316</v>
      </c>
      <c r="I216" s="19" t="str">
        <v>Nivux Estate e.Kfm</v>
      </c>
      <c r="J216" s="23" t="n">
        <v>2</v>
      </c>
      <c r="K216" s="23" t="n">
        <v>0</v>
      </c>
      <c r="L216" s="23" t="n">
        <f>J216+K216</f>
        <v>2</v>
      </c>
      <c r="M216" s="23" t="n">
        <v>4</v>
      </c>
      <c r="N216" s="23" t="n">
        <v>2</v>
      </c>
      <c r="O216" s="23" t="n">
        <v>2</v>
      </c>
      <c r="P216" s="23" t="n">
        <v>2</v>
      </c>
      <c r="Q216" s="23" t="n">
        <f>MIN(O216,P216)</f>
        <v>2</v>
      </c>
      <c r="R216" s="25" t="n">
        <f>IF(M216=0,0,MIN(1,L216/M216))</f>
        <v>0.5</v>
      </c>
      <c r="S216" s="23" t="n">
        <f>O216*R216</f>
        <v>1</v>
      </c>
      <c r="T216" s="23" t="n">
        <f>MIN(P216,S216)</f>
        <v>1</v>
      </c>
      <c r="U216" s="23" t="n">
        <f>O216-S216</f>
        <v>1</v>
      </c>
      <c r="V216" s="23" t="n">
        <f>MAX(P216-O216,0)</f>
        <v>0</v>
      </c>
    </row>
    <row r="217">
      <c r="A217" s="19" t="str">
        <v>德国区</v>
      </c>
      <c r="B217" s="19" t="str">
        <v>杜塞尔多夫16号仓</v>
      </c>
      <c r="C217" s="19" t="str">
        <v>售后组</v>
      </c>
      <c r="D217" s="21" t="n">
        <v>46139</v>
      </c>
      <c r="E217" s="19" t="str">
        <v>2026-04</v>
      </c>
      <c r="F217" s="19" t="str">
        <v>售后处理员</v>
      </c>
      <c r="G217" s="19" t="str">
        <v>德国区-灵活班次 / DE FLEX</v>
      </c>
      <c r="H217" s="19" t="str">
        <v>S000327</v>
      </c>
      <c r="I217" s="19" t="str">
        <v>Gohar GmbH</v>
      </c>
      <c r="J217" s="23" t="n">
        <v>2</v>
      </c>
      <c r="K217" s="23" t="n">
        <v>0</v>
      </c>
      <c r="L217" s="23" t="n">
        <f>J217+K217</f>
        <v>2</v>
      </c>
      <c r="M217" s="23" t="n">
        <v>4</v>
      </c>
      <c r="N217" s="23" t="n">
        <v>2</v>
      </c>
      <c r="O217" s="23" t="n">
        <v>2</v>
      </c>
      <c r="P217" s="23" t="n">
        <v>0</v>
      </c>
      <c r="Q217" s="23" t="n">
        <f>MIN(O217,P217)</f>
        <v>0</v>
      </c>
      <c r="R217" s="25" t="n">
        <f>IF(M217=0,0,MIN(1,L217/M217))</f>
        <v>0.5</v>
      </c>
      <c r="S217" s="23" t="n">
        <f>O217*R217</f>
        <v>1</v>
      </c>
      <c r="T217" s="23" t="n">
        <f>MIN(P217,S217)</f>
        <v>0</v>
      </c>
      <c r="U217" s="23" t="n">
        <f>O217-S217</f>
        <v>1</v>
      </c>
      <c r="V217" s="23" t="n">
        <f>MAX(P217-O217,0)</f>
        <v>0</v>
      </c>
    </row>
    <row r="218">
      <c r="A218" s="19" t="str">
        <v>德国区</v>
      </c>
      <c r="B218" s="19" t="str">
        <v>杜塞尔多夫16号仓</v>
      </c>
      <c r="C218" s="19" t="str">
        <v>售后组</v>
      </c>
      <c r="D218" s="21" t="n">
        <v>46146</v>
      </c>
      <c r="E218" s="19" t="str">
        <v>2026-05</v>
      </c>
      <c r="F218" s="19" t="str">
        <v>售后处理员</v>
      </c>
      <c r="G218" s="19" t="str">
        <v>德国区-灵活班次 / DE FLEX</v>
      </c>
      <c r="H218" s="19" t="str">
        <v>S000279</v>
      </c>
      <c r="I218" s="19" t="str">
        <v>Armz GmbH</v>
      </c>
      <c r="J218" s="23" t="n">
        <v>4</v>
      </c>
      <c r="K218" s="23" t="n">
        <v>0</v>
      </c>
      <c r="L218" s="23" t="n">
        <f>J218+K218</f>
        <v>4</v>
      </c>
      <c r="M218" s="23" t="n">
        <v>4</v>
      </c>
      <c r="N218" s="23" t="n">
        <v>0</v>
      </c>
      <c r="O218" s="23" t="n">
        <v>2</v>
      </c>
      <c r="P218" s="23" t="n">
        <v>0</v>
      </c>
      <c r="Q218" s="23" t="n">
        <f>MIN(O218,P218)</f>
        <v>0</v>
      </c>
      <c r="R218" s="25" t="n">
        <f>IF(M218=0,0,MIN(1,L218/M218))</f>
        <v>1</v>
      </c>
      <c r="S218" s="23" t="n">
        <f>O218*R218</f>
        <v>2</v>
      </c>
      <c r="T218" s="23" t="n">
        <f>MIN(P218,S218)</f>
        <v>0</v>
      </c>
      <c r="U218" s="23" t="n">
        <f>O218-S218</f>
        <v>0</v>
      </c>
      <c r="V218" s="23" t="n">
        <f>MAX(P218-O218,0)</f>
        <v>0</v>
      </c>
    </row>
    <row r="219">
      <c r="A219" s="19" t="str">
        <v>德国区</v>
      </c>
      <c r="B219" s="19" t="str">
        <v>杜塞尔多夫16号仓</v>
      </c>
      <c r="C219" s="19" t="str">
        <v>售后组</v>
      </c>
      <c r="D219" s="21" t="n">
        <v>46146</v>
      </c>
      <c r="E219" s="19" t="str">
        <v>2026-05</v>
      </c>
      <c r="F219" s="19" t="str">
        <v>售后处理员</v>
      </c>
      <c r="G219" s="19" t="str">
        <v>德国区-灵活班次 / DE FLEX</v>
      </c>
      <c r="H219" s="19" t="str">
        <v>S000316</v>
      </c>
      <c r="I219" s="19" t="str">
        <v>Nivux Estate e.Kfm</v>
      </c>
      <c r="J219" s="23" t="n">
        <v>4</v>
      </c>
      <c r="K219" s="23" t="n">
        <v>0</v>
      </c>
      <c r="L219" s="23" t="n">
        <f>J219+K219</f>
        <v>4</v>
      </c>
      <c r="M219" s="23" t="n">
        <v>4</v>
      </c>
      <c r="N219" s="23" t="n">
        <v>0</v>
      </c>
      <c r="O219" s="23" t="n">
        <v>2</v>
      </c>
      <c r="P219" s="23" t="n">
        <v>0</v>
      </c>
      <c r="Q219" s="23" t="n">
        <f>MIN(O219,P219)</f>
        <v>0</v>
      </c>
      <c r="R219" s="25" t="n">
        <f>IF(M219=0,0,MIN(1,L219/M219))</f>
        <v>1</v>
      </c>
      <c r="S219" s="23" t="n">
        <f>O219*R219</f>
        <v>2</v>
      </c>
      <c r="T219" s="23" t="n">
        <f>MIN(P219,S219)</f>
        <v>0</v>
      </c>
      <c r="U219" s="23" t="n">
        <f>O219-S219</f>
        <v>0</v>
      </c>
      <c r="V219" s="23" t="n">
        <f>MAX(P219-O219,0)</f>
        <v>0</v>
      </c>
    </row>
    <row r="220">
      <c r="A220" s="19" t="str">
        <v>德国区</v>
      </c>
      <c r="B220" s="19" t="str">
        <v>杜塞尔多夫16号仓</v>
      </c>
      <c r="C220" s="19" t="str">
        <v>售后组</v>
      </c>
      <c r="D220" s="21" t="n">
        <v>46147</v>
      </c>
      <c r="E220" s="19" t="str">
        <v>2026-05</v>
      </c>
      <c r="F220" s="19" t="str">
        <v>售后处理员</v>
      </c>
      <c r="G220" s="19" t="str">
        <v>德国区-灵活班次 / DE FLEX</v>
      </c>
      <c r="H220" s="19" t="str">
        <v>S000279</v>
      </c>
      <c r="I220" s="19" t="str">
        <v>Armz GmbH</v>
      </c>
      <c r="J220" s="23" t="n">
        <v>2</v>
      </c>
      <c r="K220" s="23" t="n">
        <v>0</v>
      </c>
      <c r="L220" s="23" t="n">
        <f>J220+K220</f>
        <v>2</v>
      </c>
      <c r="M220" s="23" t="n">
        <v>2</v>
      </c>
      <c r="N220" s="23" t="n">
        <v>2</v>
      </c>
      <c r="O220" s="23" t="n">
        <v>2</v>
      </c>
      <c r="P220" s="23" t="n">
        <v>2</v>
      </c>
      <c r="Q220" s="23" t="n">
        <f>MIN(O220,P220)</f>
        <v>2</v>
      </c>
      <c r="R220" s="25" t="n">
        <f>IF(M220=0,0,MIN(1,L220/M220))</f>
        <v>1</v>
      </c>
      <c r="S220" s="23" t="n">
        <f>O220*R220</f>
        <v>2</v>
      </c>
      <c r="T220" s="23" t="n">
        <f>MIN(P220,S220)</f>
        <v>2</v>
      </c>
      <c r="U220" s="23" t="n">
        <f>O220-S220</f>
        <v>0</v>
      </c>
      <c r="V220" s="23" t="n">
        <f>MAX(P220-O220,0)</f>
        <v>0</v>
      </c>
    </row>
    <row r="221">
      <c r="A221" s="19" t="str">
        <v>德国区</v>
      </c>
      <c r="B221" s="19" t="str">
        <v>杜塞尔多夫16号仓</v>
      </c>
      <c r="C221" s="19" t="str">
        <v>售后组</v>
      </c>
      <c r="D221" s="21" t="n">
        <v>46148</v>
      </c>
      <c r="E221" s="19" t="str">
        <v>2026-05</v>
      </c>
      <c r="F221" s="19" t="str">
        <v>售后处理员</v>
      </c>
      <c r="G221" s="19" t="str">
        <v>德国区-灵活班次 / DE FLEX</v>
      </c>
      <c r="H221" s="19" t="str">
        <v>S000327</v>
      </c>
      <c r="I221" s="19" t="str">
        <v>Gohar GmbH</v>
      </c>
      <c r="J221" s="23" t="n">
        <v>2</v>
      </c>
      <c r="K221" s="23" t="n">
        <v>0</v>
      </c>
      <c r="L221" s="23" t="n">
        <f>J221+K221</f>
        <v>2</v>
      </c>
      <c r="M221" s="23" t="n">
        <v>2</v>
      </c>
      <c r="N221" s="23" t="n">
        <v>2</v>
      </c>
      <c r="O221" s="23" t="n">
        <v>2</v>
      </c>
      <c r="P221" s="23" t="n">
        <v>2</v>
      </c>
      <c r="Q221" s="23" t="n">
        <f>MIN(O221,P221)</f>
        <v>2</v>
      </c>
      <c r="R221" s="25" t="n">
        <f>IF(M221=0,0,MIN(1,L221/M221))</f>
        <v>1</v>
      </c>
      <c r="S221" s="23" t="n">
        <f>O221*R221</f>
        <v>2</v>
      </c>
      <c r="T221" s="23" t="n">
        <f>MIN(P221,S221)</f>
        <v>2</v>
      </c>
      <c r="U221" s="23" t="n">
        <f>O221-S221</f>
        <v>0</v>
      </c>
      <c r="V221" s="23" t="n">
        <f>MAX(P221-O221,0)</f>
        <v>0</v>
      </c>
    </row>
    <row r="222">
      <c r="A222" s="19" t="str">
        <v>德国区</v>
      </c>
      <c r="B222" s="19" t="str">
        <v>杜塞尔多夫16号仓</v>
      </c>
      <c r="C222" s="19" t="str">
        <v>售后组</v>
      </c>
      <c r="D222" s="21" t="n">
        <v>46150</v>
      </c>
      <c r="E222" s="19" t="str">
        <v>2026-05</v>
      </c>
      <c r="F222" s="19" t="str">
        <v>售后处理员</v>
      </c>
      <c r="G222" s="19" t="str">
        <v>德国区-灵活班次 / DE FLEX</v>
      </c>
      <c r="H222" s="19" t="str">
        <v>S000279</v>
      </c>
      <c r="I222" s="19" t="str">
        <v>Armz GmbH</v>
      </c>
      <c r="J222" s="23" t="n">
        <v>2</v>
      </c>
      <c r="K222" s="23" t="n">
        <v>0</v>
      </c>
      <c r="L222" s="23" t="n">
        <f>J222+K222</f>
        <v>2</v>
      </c>
      <c r="M222" s="23" t="n">
        <v>2</v>
      </c>
      <c r="N222" s="23" t="n">
        <v>1</v>
      </c>
      <c r="O222" s="23" t="n">
        <v>2</v>
      </c>
      <c r="P222" s="23" t="n">
        <v>1</v>
      </c>
      <c r="Q222" s="23" t="n">
        <f>MIN(O222,P222)</f>
        <v>1</v>
      </c>
      <c r="R222" s="25" t="n">
        <f>IF(M222=0,0,MIN(1,L222/M222))</f>
        <v>1</v>
      </c>
      <c r="S222" s="23" t="n">
        <f>O222*R222</f>
        <v>2</v>
      </c>
      <c r="T222" s="23" t="n">
        <f>MIN(P222,S222)</f>
        <v>1</v>
      </c>
      <c r="U222" s="23" t="n">
        <f>O222-S222</f>
        <v>0</v>
      </c>
      <c r="V222" s="23" t="n">
        <f>MAX(P222-O222,0)</f>
        <v>0</v>
      </c>
    </row>
    <row r="223">
      <c r="A223" s="19" t="str">
        <v>德国区</v>
      </c>
      <c r="B223" s="19" t="str">
        <v>杜塞尔多夫16号仓</v>
      </c>
      <c r="C223" s="19" t="str">
        <v>售后组</v>
      </c>
      <c r="D223" s="21" t="n">
        <v>46163</v>
      </c>
      <c r="E223" s="19" t="str">
        <v>2026-05</v>
      </c>
      <c r="F223" s="19" t="str">
        <v>操作员</v>
      </c>
      <c r="G223" s="19" t="str">
        <v>德国区-灵活班次 / DE FLEX</v>
      </c>
      <c r="H223" s="19" t="str">
        <v>S000279</v>
      </c>
      <c r="I223" s="19" t="str">
        <v>Armz GmbH</v>
      </c>
      <c r="J223" s="23" t="n">
        <v>3</v>
      </c>
      <c r="K223" s="23" t="n">
        <v>0</v>
      </c>
      <c r="L223" s="23" t="n">
        <f>J223+K223</f>
        <v>3</v>
      </c>
      <c r="M223" s="23" t="n">
        <v>4</v>
      </c>
      <c r="N223" s="23" t="n">
        <v>4</v>
      </c>
      <c r="O223" s="23" t="n">
        <v>2</v>
      </c>
      <c r="P223" s="23" t="n">
        <v>2</v>
      </c>
      <c r="Q223" s="23" t="n">
        <f>MIN(O223,P223)</f>
        <v>2</v>
      </c>
      <c r="R223" s="25" t="n">
        <f>IF(M223=0,0,MIN(1,L223/M223))</f>
        <v>0.75</v>
      </c>
      <c r="S223" s="23" t="n">
        <f>O223*R223</f>
        <v>1.5</v>
      </c>
      <c r="T223" s="23" t="n">
        <f>MIN(P223,S223)</f>
        <v>1.5</v>
      </c>
      <c r="U223" s="23" t="n">
        <f>O223-S223</f>
        <v>0.5</v>
      </c>
      <c r="V223" s="23" t="n">
        <f>MAX(P223-O223,0)</f>
        <v>0</v>
      </c>
    </row>
    <row r="224">
      <c r="A224" s="19" t="str">
        <v>德国区</v>
      </c>
      <c r="B224" s="19" t="str">
        <v>杜塞尔多夫16号仓</v>
      </c>
      <c r="C224" s="19" t="str">
        <v>售后组</v>
      </c>
      <c r="D224" s="21" t="n">
        <v>46163</v>
      </c>
      <c r="E224" s="19" t="str">
        <v>2026-05</v>
      </c>
      <c r="F224" s="19" t="str">
        <v>操作员</v>
      </c>
      <c r="G224" s="19" t="str">
        <v>德国区-灵活班次 / DE FLEX</v>
      </c>
      <c r="H224" s="19" t="str">
        <v>S000327</v>
      </c>
      <c r="I224" s="19" t="str">
        <v>Gohar GmbH</v>
      </c>
      <c r="J224" s="23" t="n">
        <v>3</v>
      </c>
      <c r="K224" s="23" t="n">
        <v>0</v>
      </c>
      <c r="L224" s="23" t="n">
        <f>J224+K224</f>
        <v>3</v>
      </c>
      <c r="M224" s="23" t="n">
        <v>4</v>
      </c>
      <c r="N224" s="23" t="n">
        <v>4</v>
      </c>
      <c r="O224" s="23" t="n">
        <v>2</v>
      </c>
      <c r="P224" s="23" t="n">
        <v>2</v>
      </c>
      <c r="Q224" s="23" t="n">
        <f>MIN(O224,P224)</f>
        <v>2</v>
      </c>
      <c r="R224" s="25" t="n">
        <f>IF(M224=0,0,MIN(1,L224/M224))</f>
        <v>0.75</v>
      </c>
      <c r="S224" s="23" t="n">
        <f>O224*R224</f>
        <v>1.5</v>
      </c>
      <c r="T224" s="23" t="n">
        <f>MIN(P224,S224)</f>
        <v>1.5</v>
      </c>
      <c r="U224" s="23" t="n">
        <f>O224-S224</f>
        <v>0.5</v>
      </c>
      <c r="V224" s="23" t="n">
        <f>MAX(P224-O224,0)</f>
        <v>0</v>
      </c>
    </row>
    <row r="225">
      <c r="A225" s="19" t="str">
        <v>德国区</v>
      </c>
      <c r="B225" s="19" t="str">
        <v>杜塞尔多夫16号仓</v>
      </c>
      <c r="C225" s="19" t="str">
        <v>售后组</v>
      </c>
      <c r="D225" s="21" t="n">
        <v>46164</v>
      </c>
      <c r="E225" s="19" t="str">
        <v>2026-05</v>
      </c>
      <c r="F225" s="19" t="str">
        <v>操作员</v>
      </c>
      <c r="G225" s="19" t="str">
        <v>德国区-灵活班次 / DE FLEX</v>
      </c>
      <c r="H225" s="19" t="str">
        <v>S000327</v>
      </c>
      <c r="I225" s="19" t="str">
        <v>Gohar GmbH</v>
      </c>
      <c r="J225" s="23" t="n">
        <v>4</v>
      </c>
      <c r="K225" s="23" t="n">
        <v>0</v>
      </c>
      <c r="L225" s="23" t="n">
        <f>J225+K225</f>
        <v>4</v>
      </c>
      <c r="M225" s="23" t="n">
        <v>2</v>
      </c>
      <c r="N225" s="23" t="n">
        <v>2</v>
      </c>
      <c r="O225" s="23" t="n">
        <v>2</v>
      </c>
      <c r="P225" s="23" t="n">
        <v>2</v>
      </c>
      <c r="Q225" s="23" t="n">
        <f>MIN(O225,P225)</f>
        <v>2</v>
      </c>
      <c r="R225" s="25" t="n">
        <f>IF(M225=0,0,MIN(1,L225/M225))</f>
        <v>1</v>
      </c>
      <c r="S225" s="23" t="n">
        <f>O225*R225</f>
        <v>2</v>
      </c>
      <c r="T225" s="23" t="n">
        <f>MIN(P225,S225)</f>
        <v>2</v>
      </c>
      <c r="U225" s="23" t="n">
        <f>O225-S225</f>
        <v>0</v>
      </c>
      <c r="V225" s="23" t="n">
        <f>MAX(P225-O225,0)</f>
        <v>0</v>
      </c>
    </row>
    <row r="226">
      <c r="A226" s="19" t="str">
        <v>德国区</v>
      </c>
      <c r="B226" s="19" t="str">
        <v>杜塞尔多夫16号仓</v>
      </c>
      <c r="C226" s="19" t="str">
        <v>售后组</v>
      </c>
      <c r="D226" s="21" t="n">
        <v>46174</v>
      </c>
      <c r="E226" s="19" t="str">
        <v>2026-06</v>
      </c>
      <c r="F226" s="19" t="str">
        <v>保洁员</v>
      </c>
      <c r="G226" s="19" t="str">
        <v>德国区-灵活班次 / DE FLEX</v>
      </c>
      <c r="H226" s="19" t="str">
        <v>S000279</v>
      </c>
      <c r="I226" s="19" t="str">
        <v>Armz GmbH</v>
      </c>
      <c r="J226" s="23" t="n">
        <v>1</v>
      </c>
      <c r="K226" s="23" t="n">
        <v>0</v>
      </c>
      <c r="L226" s="23" t="n">
        <f>J226+K226</f>
        <v>1</v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f>MIN(O226,P226)</f>
        <v>1</v>
      </c>
      <c r="R226" s="25" t="n">
        <f>IF(M226=0,0,MIN(1,L226/M226))</f>
        <v>1</v>
      </c>
      <c r="S226" s="23" t="n">
        <f>O226*R226</f>
        <v>1</v>
      </c>
      <c r="T226" s="23" t="n">
        <f>MIN(P226,S226)</f>
        <v>1</v>
      </c>
      <c r="U226" s="23" t="n">
        <f>O226-S226</f>
        <v>0</v>
      </c>
      <c r="V226" s="23" t="n">
        <f>MAX(P226-O226,0)</f>
        <v>0</v>
      </c>
    </row>
    <row r="227">
      <c r="A227" s="19" t="str">
        <v>德国区</v>
      </c>
      <c r="B227" s="19" t="str">
        <v>杜塞尔多夫16号仓</v>
      </c>
      <c r="C227" s="19" t="str">
        <v>售后组</v>
      </c>
      <c r="D227" s="21" t="n">
        <v>46182</v>
      </c>
      <c r="E227" s="19" t="str">
        <v>2026-06</v>
      </c>
      <c r="F227" s="19" t="str">
        <v>操作员</v>
      </c>
      <c r="G227" s="19" t="str">
        <v>德国区7：30点班次</v>
      </c>
      <c r="H227" s="19" t="str">
        <v>S000086</v>
      </c>
      <c r="I227" s="19" t="str">
        <v>Topjob Zeitarbeit GmbH</v>
      </c>
      <c r="J227" s="23" t="n">
        <v>1</v>
      </c>
      <c r="K227" s="23" t="n">
        <v>0</v>
      </c>
      <c r="L227" s="23" t="n">
        <f>J227+K227</f>
        <v>1</v>
      </c>
      <c r="M227" s="23" t="n">
        <v>2</v>
      </c>
      <c r="N227" s="23" t="n">
        <v>2</v>
      </c>
      <c r="O227" s="23" t="n">
        <v>2</v>
      </c>
      <c r="P227" s="23" t="n">
        <v>2</v>
      </c>
      <c r="Q227" s="23" t="n">
        <f>MIN(O227,P227)</f>
        <v>2</v>
      </c>
      <c r="R227" s="25" t="n">
        <f>IF(M227=0,0,MIN(1,L227/M227))</f>
        <v>0.5</v>
      </c>
      <c r="S227" s="23" t="n">
        <f>O227*R227</f>
        <v>1</v>
      </c>
      <c r="T227" s="23" t="n">
        <f>MIN(P227,S227)</f>
        <v>1</v>
      </c>
      <c r="U227" s="23" t="n">
        <f>O227-S227</f>
        <v>1</v>
      </c>
      <c r="V227" s="23" t="n">
        <f>MAX(P227-O227,0)</f>
        <v>0</v>
      </c>
    </row>
    <row r="228">
      <c r="A228" s="19" t="str">
        <v>德国区</v>
      </c>
      <c r="B228" s="19" t="str">
        <v>杜塞尔多夫16号仓</v>
      </c>
      <c r="C228" s="19" t="str">
        <v>售后组</v>
      </c>
      <c r="D228" s="21" t="n">
        <v>46183</v>
      </c>
      <c r="E228" s="19" t="str">
        <v>2026-06</v>
      </c>
      <c r="F228" s="19" t="str">
        <v>操作员</v>
      </c>
      <c r="G228" s="19" t="str">
        <v>德国区7：30点班次</v>
      </c>
      <c r="H228" s="19" t="str">
        <v>S000086</v>
      </c>
      <c r="I228" s="19" t="str">
        <v>Topjob Zeitarbeit GmbH</v>
      </c>
      <c r="J228" s="23" t="n">
        <v>1</v>
      </c>
      <c r="K228" s="23" t="n">
        <v>0</v>
      </c>
      <c r="L228" s="23" t="n">
        <f>J228+K228</f>
        <v>1</v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f>MIN(O228,P228)</f>
        <v>1</v>
      </c>
      <c r="R228" s="25" t="n">
        <f>IF(M228=0,0,MIN(1,L228/M228))</f>
        <v>1</v>
      </c>
      <c r="S228" s="23" t="n">
        <f>O228*R228</f>
        <v>1</v>
      </c>
      <c r="T228" s="23" t="n">
        <f>MIN(P228,S228)</f>
        <v>1</v>
      </c>
      <c r="U228" s="23" t="n">
        <f>O228-S228</f>
        <v>0</v>
      </c>
      <c r="V228" s="23" t="n">
        <f>MAX(P228-O228,0)</f>
        <v>0</v>
      </c>
    </row>
    <row r="229">
      <c r="A229" s="19" t="str">
        <v>德国区</v>
      </c>
      <c r="B229" s="19" t="str">
        <v>杜塞尔多夫16号仓</v>
      </c>
      <c r="C229" s="19" t="str">
        <v>售后组</v>
      </c>
      <c r="D229" s="21" t="n">
        <v>46184</v>
      </c>
      <c r="E229" s="19" t="str">
        <v>2026-06</v>
      </c>
      <c r="F229" s="19" t="str">
        <v>操作员</v>
      </c>
      <c r="G229" s="19" t="str">
        <v>德国区7：30点班次</v>
      </c>
      <c r="H229" s="19" t="str">
        <v>S000279</v>
      </c>
      <c r="I229" s="19" t="str">
        <v>Armz GmbH</v>
      </c>
      <c r="J229" s="23" t="n">
        <v>1</v>
      </c>
      <c r="K229" s="23" t="n">
        <v>0</v>
      </c>
      <c r="L229" s="23" t="n">
        <f>J229+K229</f>
        <v>1</v>
      </c>
      <c r="M229" s="23" t="n">
        <v>5</v>
      </c>
      <c r="N229" s="23" t="n">
        <v>5</v>
      </c>
      <c r="O229" s="23" t="n">
        <v>5</v>
      </c>
      <c r="P229" s="23" t="n">
        <v>5</v>
      </c>
      <c r="Q229" s="23" t="n">
        <f>MIN(O229,P229)</f>
        <v>5</v>
      </c>
      <c r="R229" s="25" t="n">
        <f>IF(M229=0,0,MIN(1,L229/M229))</f>
        <v>0.2</v>
      </c>
      <c r="S229" s="23" t="n">
        <f>O229*R229</f>
        <v>1</v>
      </c>
      <c r="T229" s="23" t="n">
        <f>MIN(P229,S229)</f>
        <v>1</v>
      </c>
      <c r="U229" s="23" t="n">
        <f>O229-S229</f>
        <v>4</v>
      </c>
      <c r="V229" s="23" t="n">
        <f>MAX(P229-O229,0)</f>
        <v>0</v>
      </c>
    </row>
    <row r="230">
      <c r="A230" s="19" t="str">
        <v>德国区</v>
      </c>
      <c r="B230" s="19" t="str">
        <v>杜塞尔多夫16号仓</v>
      </c>
      <c r="C230" s="19" t="str">
        <v>售后组</v>
      </c>
      <c r="D230" s="21" t="n">
        <v>46203</v>
      </c>
      <c r="E230" s="19" t="str">
        <v>2026-06</v>
      </c>
      <c r="F230" s="19" t="str">
        <v>保洁员</v>
      </c>
      <c r="G230" s="19" t="str">
        <v>德国区-灵活班次 / DE FLEX</v>
      </c>
      <c r="H230" s="19" t="str">
        <v>S000110</v>
      </c>
      <c r="I230" s="19" t="str">
        <v>Koetter Personal Service SE Co. KG</v>
      </c>
      <c r="J230" s="23" t="n">
        <v>1</v>
      </c>
      <c r="K230" s="23" t="n">
        <v>0</v>
      </c>
      <c r="L230" s="23" t="n">
        <f>J230+K230</f>
        <v>1</v>
      </c>
      <c r="M230" s="23" t="n">
        <v>2</v>
      </c>
      <c r="N230" s="23" t="n">
        <v>2</v>
      </c>
      <c r="O230" s="23" t="n">
        <v>2</v>
      </c>
      <c r="P230" s="23" t="n">
        <v>2</v>
      </c>
      <c r="Q230" s="23" t="n">
        <f>MIN(O230,P230)</f>
        <v>2</v>
      </c>
      <c r="R230" s="25" t="n">
        <f>IF(M230=0,0,MIN(1,L230/M230))</f>
        <v>0.5</v>
      </c>
      <c r="S230" s="23" t="n">
        <f>O230*R230</f>
        <v>1</v>
      </c>
      <c r="T230" s="23" t="n">
        <f>MIN(P230,S230)</f>
        <v>1</v>
      </c>
      <c r="U230" s="23" t="n">
        <f>O230-S230</f>
        <v>1</v>
      </c>
      <c r="V230" s="23" t="n">
        <f>MAX(P230-O230,0)</f>
        <v>0</v>
      </c>
    </row>
    <row r="231">
      <c r="A231" s="19" t="str">
        <v>德国区</v>
      </c>
      <c r="B231" s="19" t="str">
        <v>杜塞尔多夫16号仓</v>
      </c>
      <c r="C231" s="19" t="str">
        <v>拣货组</v>
      </c>
      <c r="D231" s="21" t="n">
        <v>46178</v>
      </c>
      <c r="E231" s="19" t="str">
        <v>2026-06</v>
      </c>
      <c r="F231" s="19" t="str">
        <v>操作员</v>
      </c>
      <c r="G231" s="19" t="str">
        <v>德国区-灵活班次 / DE FLEX</v>
      </c>
      <c r="H231" s="19" t="str">
        <v>S000279</v>
      </c>
      <c r="I231" s="19" t="str">
        <v>Armz GmbH</v>
      </c>
      <c r="J231" s="23" t="n">
        <v>3</v>
      </c>
      <c r="K231" s="23" t="n">
        <v>0</v>
      </c>
      <c r="L231" s="23" t="n">
        <f>J231+K231</f>
        <v>3</v>
      </c>
      <c r="M231" s="23" t="n">
        <v>6</v>
      </c>
      <c r="N231" s="23" t="n">
        <v>6</v>
      </c>
      <c r="O231" s="23" t="n">
        <v>3</v>
      </c>
      <c r="P231" s="23" t="n">
        <v>3</v>
      </c>
      <c r="Q231" s="23" t="n">
        <f>MIN(O231,P231)</f>
        <v>3</v>
      </c>
      <c r="R231" s="25" t="n">
        <f>IF(M231=0,0,MIN(1,L231/M231))</f>
        <v>0.5</v>
      </c>
      <c r="S231" s="23" t="n">
        <f>O231*R231</f>
        <v>1.5</v>
      </c>
      <c r="T231" s="23" t="n">
        <f>MIN(P231,S231)</f>
        <v>1.5</v>
      </c>
      <c r="U231" s="23" t="n">
        <f>O231-S231</f>
        <v>1.5</v>
      </c>
      <c r="V231" s="23" t="n">
        <f>MAX(P231-O231,0)</f>
        <v>0</v>
      </c>
    </row>
    <row r="232">
      <c r="A232" s="19" t="str">
        <v>德国区</v>
      </c>
      <c r="B232" s="19" t="str">
        <v>杜塞尔多夫16号仓</v>
      </c>
      <c r="C232" s="19" t="str">
        <v>拣货组</v>
      </c>
      <c r="D232" s="21" t="n">
        <v>46178</v>
      </c>
      <c r="E232" s="19" t="str">
        <v>2026-06</v>
      </c>
      <c r="F232" s="19" t="str">
        <v>操作员</v>
      </c>
      <c r="G232" s="19" t="str">
        <v>德国区-灵活班次 / DE FLEX</v>
      </c>
      <c r="H232" s="19" t="str">
        <v>S000328</v>
      </c>
      <c r="I232" s="19" t="str">
        <v>JS Logistik GmbH</v>
      </c>
      <c r="J232" s="23" t="n">
        <v>3</v>
      </c>
      <c r="K232" s="23" t="n">
        <v>0</v>
      </c>
      <c r="L232" s="23" t="n">
        <f>J232+K232</f>
        <v>3</v>
      </c>
      <c r="M232" s="23" t="n">
        <v>6</v>
      </c>
      <c r="N232" s="23" t="n">
        <v>6</v>
      </c>
      <c r="O232" s="23" t="n">
        <v>3</v>
      </c>
      <c r="P232" s="23" t="n">
        <v>3</v>
      </c>
      <c r="Q232" s="23" t="n">
        <f>MIN(O232,P232)</f>
        <v>3</v>
      </c>
      <c r="R232" s="25" t="n">
        <f>IF(M232=0,0,MIN(1,L232/M232))</f>
        <v>0.5</v>
      </c>
      <c r="S232" s="23" t="n">
        <f>O232*R232</f>
        <v>1.5</v>
      </c>
      <c r="T232" s="23" t="n">
        <f>MIN(P232,S232)</f>
        <v>1.5</v>
      </c>
      <c r="U232" s="23" t="n">
        <f>O232-S232</f>
        <v>1.5</v>
      </c>
      <c r="V232" s="23" t="n">
        <f>MAX(P232-O232,0)</f>
        <v>0</v>
      </c>
    </row>
    <row r="233">
      <c r="A233" s="19" t="str">
        <v>德国区</v>
      </c>
      <c r="B233" s="19" t="str">
        <v>杜塞尔多夫16号仓</v>
      </c>
      <c r="C233" s="19" t="str">
        <v>拣货组</v>
      </c>
      <c r="D233" s="21" t="n">
        <v>46195</v>
      </c>
      <c r="E233" s="19" t="str">
        <v>2026-06</v>
      </c>
      <c r="F233" s="19" t="str">
        <v>操作员</v>
      </c>
      <c r="G233" s="19" t="str">
        <v>德国区-灵活班次 / DE FLEX</v>
      </c>
      <c r="H233" s="19" t="str">
        <v>S000191</v>
      </c>
      <c r="I233" s="19" t="str">
        <v>TimePartner Personalmanagement GmbH</v>
      </c>
      <c r="J233" s="23" t="n">
        <v>10</v>
      </c>
      <c r="K233" s="23" t="n">
        <v>0</v>
      </c>
      <c r="L233" s="23" t="n">
        <f>J233+K233</f>
        <v>10</v>
      </c>
      <c r="M233" s="23" t="n">
        <v>3</v>
      </c>
      <c r="N233" s="23" t="n">
        <v>1</v>
      </c>
      <c r="O233" s="23" t="n">
        <v>3</v>
      </c>
      <c r="P233" s="23" t="n">
        <v>1</v>
      </c>
      <c r="Q233" s="23" t="n">
        <f>MIN(O233,P233)</f>
        <v>1</v>
      </c>
      <c r="R233" s="25" t="n">
        <f>IF(M233=0,0,MIN(1,L233/M233))</f>
        <v>1</v>
      </c>
      <c r="S233" s="23" t="n">
        <f>O233*R233</f>
        <v>3</v>
      </c>
      <c r="T233" s="23" t="n">
        <f>MIN(P233,S233)</f>
        <v>1</v>
      </c>
      <c r="U233" s="23" t="n">
        <f>O233-S233</f>
        <v>0</v>
      </c>
      <c r="V233" s="23" t="n">
        <f>MAX(P233-O233,0)</f>
        <v>0</v>
      </c>
    </row>
    <row r="234">
      <c r="A234" s="19" t="str">
        <v>德国区</v>
      </c>
      <c r="B234" s="19" t="str">
        <v>杜塞尔多夫16号仓</v>
      </c>
      <c r="C234" s="19" t="str">
        <v>拣货组</v>
      </c>
      <c r="D234" s="21" t="n">
        <v>46196</v>
      </c>
      <c r="E234" s="19" t="str">
        <v>2026-06</v>
      </c>
      <c r="F234" s="19" t="str">
        <v>操作员</v>
      </c>
      <c r="G234" s="19" t="str">
        <v>德国区-灵活班次 / DE FLEX</v>
      </c>
      <c r="H234" s="19" t="str">
        <v>S000191</v>
      </c>
      <c r="I234" s="19" t="str">
        <v>TimePartner Personalmanagement GmbH</v>
      </c>
      <c r="J234" s="23" t="n">
        <v>10</v>
      </c>
      <c r="K234" s="23" t="n">
        <v>0</v>
      </c>
      <c r="L234" s="23" t="n">
        <f>J234+K234</f>
        <v>10</v>
      </c>
      <c r="M234" s="23" t="n">
        <v>3</v>
      </c>
      <c r="N234" s="23" t="n">
        <v>1</v>
      </c>
      <c r="O234" s="23" t="n">
        <v>3</v>
      </c>
      <c r="P234" s="23" t="n">
        <v>1</v>
      </c>
      <c r="Q234" s="23" t="n">
        <f>MIN(O234,P234)</f>
        <v>1</v>
      </c>
      <c r="R234" s="25" t="n">
        <f>IF(M234=0,0,MIN(1,L234/M234))</f>
        <v>1</v>
      </c>
      <c r="S234" s="23" t="n">
        <f>O234*R234</f>
        <v>3</v>
      </c>
      <c r="T234" s="23" t="n">
        <f>MIN(P234,S234)</f>
        <v>1</v>
      </c>
      <c r="U234" s="23" t="n">
        <f>O234-S234</f>
        <v>0</v>
      </c>
      <c r="V234" s="23" t="n">
        <f>MAX(P234-O234,0)</f>
        <v>0</v>
      </c>
    </row>
    <row r="235">
      <c r="A235" s="19" t="str">
        <v>德国区</v>
      </c>
      <c r="B235" s="19" t="str">
        <v>杜塞尔多夫16号仓</v>
      </c>
      <c r="C235" s="19" t="str">
        <v>拣货组</v>
      </c>
      <c r="D235" s="21" t="n">
        <v>46197</v>
      </c>
      <c r="E235" s="19" t="str">
        <v>2026-06</v>
      </c>
      <c r="F235" s="19" t="str">
        <v>操作员</v>
      </c>
      <c r="G235" s="19" t="str">
        <v>德国区-灵活班次 / DE FLEX</v>
      </c>
      <c r="H235" s="19" t="str">
        <v>S000191</v>
      </c>
      <c r="I235" s="19" t="str">
        <v>TimePartner Personalmanagement GmbH</v>
      </c>
      <c r="J235" s="23" t="n">
        <v>10</v>
      </c>
      <c r="K235" s="23" t="n">
        <v>0</v>
      </c>
      <c r="L235" s="23" t="n">
        <f>J235+K235</f>
        <v>10</v>
      </c>
      <c r="M235" s="23" t="n">
        <v>3</v>
      </c>
      <c r="N235" s="23" t="n">
        <v>1</v>
      </c>
      <c r="O235" s="23" t="n">
        <v>3</v>
      </c>
      <c r="P235" s="23" t="n">
        <v>1</v>
      </c>
      <c r="Q235" s="23" t="n">
        <f>MIN(O235,P235)</f>
        <v>1</v>
      </c>
      <c r="R235" s="25" t="n">
        <f>IF(M235=0,0,MIN(1,L235/M235))</f>
        <v>1</v>
      </c>
      <c r="S235" s="23" t="n">
        <f>O235*R235</f>
        <v>3</v>
      </c>
      <c r="T235" s="23" t="n">
        <f>MIN(P235,S235)</f>
        <v>1</v>
      </c>
      <c r="U235" s="23" t="n">
        <f>O235-S235</f>
        <v>0</v>
      </c>
      <c r="V235" s="23" t="n">
        <f>MAX(P235-O235,0)</f>
        <v>0</v>
      </c>
    </row>
    <row r="236">
      <c r="A236" s="19" t="str">
        <v>德国区</v>
      </c>
      <c r="B236" s="19" t="str">
        <v>杜塞尔多夫16号仓</v>
      </c>
      <c r="C236" s="19" t="str">
        <v>拣货组</v>
      </c>
      <c r="D236" s="21" t="n">
        <v>46198</v>
      </c>
      <c r="E236" s="19" t="str">
        <v>2026-06</v>
      </c>
      <c r="F236" s="19" t="str">
        <v>操作员</v>
      </c>
      <c r="G236" s="19" t="str">
        <v>德国区-灵活班次 / DE FLEX</v>
      </c>
      <c r="H236" s="19" t="str">
        <v>S000191</v>
      </c>
      <c r="I236" s="19" t="str">
        <v>TimePartner Personalmanagement GmbH</v>
      </c>
      <c r="J236" s="23" t="n">
        <v>10</v>
      </c>
      <c r="K236" s="23" t="n">
        <v>0</v>
      </c>
      <c r="L236" s="23" t="n">
        <f>J236+K236</f>
        <v>10</v>
      </c>
      <c r="M236" s="23" t="n">
        <v>3</v>
      </c>
      <c r="N236" s="23" t="n">
        <v>1</v>
      </c>
      <c r="O236" s="23" t="n">
        <v>3</v>
      </c>
      <c r="P236" s="23" t="n">
        <v>1</v>
      </c>
      <c r="Q236" s="23" t="n">
        <f>MIN(O236,P236)</f>
        <v>1</v>
      </c>
      <c r="R236" s="25" t="n">
        <f>IF(M236=0,0,MIN(1,L236/M236))</f>
        <v>1</v>
      </c>
      <c r="S236" s="23" t="n">
        <f>O236*R236</f>
        <v>3</v>
      </c>
      <c r="T236" s="23" t="n">
        <f>MIN(P236,S236)</f>
        <v>1</v>
      </c>
      <c r="U236" s="23" t="n">
        <f>O236-S236</f>
        <v>0</v>
      </c>
      <c r="V236" s="23" t="n">
        <f>MAX(P236-O236,0)</f>
        <v>0</v>
      </c>
    </row>
    <row r="237">
      <c r="A237" s="19" t="str">
        <v>德国区</v>
      </c>
      <c r="B237" s="19" t="str">
        <v>杜塞尔多夫16号仓</v>
      </c>
      <c r="C237" s="19" t="str">
        <v>拣货组</v>
      </c>
      <c r="D237" s="21" t="n">
        <v>46199</v>
      </c>
      <c r="E237" s="19" t="str">
        <v>2026-06</v>
      </c>
      <c r="F237" s="19" t="str">
        <v>操作员</v>
      </c>
      <c r="G237" s="19" t="str">
        <v>德国区-灵活班次 / DE FLEX</v>
      </c>
      <c r="H237" s="19" t="str">
        <v>S000191</v>
      </c>
      <c r="I237" s="19" t="str">
        <v>TimePartner Personalmanagement GmbH</v>
      </c>
      <c r="J237" s="23" t="n">
        <v>10</v>
      </c>
      <c r="K237" s="23" t="n">
        <v>0</v>
      </c>
      <c r="L237" s="23" t="n">
        <f>J237+K237</f>
        <v>10</v>
      </c>
      <c r="M237" s="23" t="n">
        <v>3</v>
      </c>
      <c r="N237" s="23" t="n">
        <v>1</v>
      </c>
      <c r="O237" s="23" t="n">
        <v>3</v>
      </c>
      <c r="P237" s="23" t="n">
        <v>1</v>
      </c>
      <c r="Q237" s="23" t="n">
        <f>MIN(O237,P237)</f>
        <v>1</v>
      </c>
      <c r="R237" s="25" t="n">
        <f>IF(M237=0,0,MIN(1,L237/M237))</f>
        <v>1</v>
      </c>
      <c r="S237" s="23" t="n">
        <f>O237*R237</f>
        <v>3</v>
      </c>
      <c r="T237" s="23" t="n">
        <f>MIN(P237,S237)</f>
        <v>1</v>
      </c>
      <c r="U237" s="23" t="n">
        <f>O237-S237</f>
        <v>0</v>
      </c>
      <c r="V237" s="23" t="n">
        <f>MAX(P237-O237,0)</f>
        <v>0</v>
      </c>
    </row>
    <row r="238">
      <c r="A238" s="19" t="str">
        <v>德国区</v>
      </c>
      <c r="B238" s="19" t="str">
        <v>杜塞尔多夫16号仓</v>
      </c>
      <c r="C238" s="19" t="str">
        <v>理货组</v>
      </c>
      <c r="D238" s="21" t="n">
        <v>46135</v>
      </c>
      <c r="E238" s="19" t="str">
        <v>2026-04</v>
      </c>
      <c r="F238" s="19" t="str">
        <v>保洁员</v>
      </c>
      <c r="G238" s="19" t="str">
        <v>德国区-灵活班次 / DE FLEX</v>
      </c>
      <c r="H238" s="19" t="str">
        <v>S000327</v>
      </c>
      <c r="I238" s="19" t="str">
        <v>Gohar GmbH</v>
      </c>
      <c r="J238" s="23" t="n">
        <v>1</v>
      </c>
      <c r="K238" s="23" t="n">
        <v>0</v>
      </c>
      <c r="L238" s="23" t="n">
        <f>J238+K238</f>
        <v>1</v>
      </c>
      <c r="M238" s="23" t="n">
        <v>1</v>
      </c>
      <c r="N238" s="23" t="n">
        <v>1</v>
      </c>
      <c r="O238" s="23" t="n">
        <v>1</v>
      </c>
      <c r="P238" s="23" t="n">
        <v>1</v>
      </c>
      <c r="Q238" s="23" t="n">
        <f>MIN(O238,P238)</f>
        <v>1</v>
      </c>
      <c r="R238" s="25" t="n">
        <f>IF(M238=0,0,MIN(1,L238/M238))</f>
        <v>1</v>
      </c>
      <c r="S238" s="23" t="n">
        <f>O238*R238</f>
        <v>1</v>
      </c>
      <c r="T238" s="23" t="n">
        <f>MIN(P238,S238)</f>
        <v>1</v>
      </c>
      <c r="U238" s="23" t="n">
        <f>O238-S238</f>
        <v>0</v>
      </c>
      <c r="V238" s="23" t="n">
        <f>MAX(P238-O238,0)</f>
        <v>0</v>
      </c>
    </row>
    <row r="239">
      <c r="A239" s="19" t="str">
        <v>德国区</v>
      </c>
      <c r="B239" s="19" t="str">
        <v>杜塞尔多夫16号仓</v>
      </c>
      <c r="C239" s="19" t="str">
        <v>理货组</v>
      </c>
      <c r="D239" s="21" t="n">
        <v>46157</v>
      </c>
      <c r="E239" s="19" t="str">
        <v>2026-05</v>
      </c>
      <c r="F239" s="19" t="str">
        <v>操作员</v>
      </c>
      <c r="G239" s="19" t="str">
        <v>德国区-灵活班次 / DE FLEX</v>
      </c>
      <c r="H239" s="19" t="str">
        <v>S000279</v>
      </c>
      <c r="I239" s="19" t="str">
        <v>Armz GmbH</v>
      </c>
      <c r="J239" s="23" t="n">
        <v>3</v>
      </c>
      <c r="K239" s="23" t="n">
        <v>0</v>
      </c>
      <c r="L239" s="23" t="n">
        <f>J239+K239</f>
        <v>3</v>
      </c>
      <c r="M239" s="23" t="n">
        <v>4</v>
      </c>
      <c r="N239" s="23" t="n">
        <v>4</v>
      </c>
      <c r="O239" s="23" t="n">
        <v>4</v>
      </c>
      <c r="P239" s="23" t="n">
        <v>4</v>
      </c>
      <c r="Q239" s="23" t="n">
        <f>MIN(O239,P239)</f>
        <v>4</v>
      </c>
      <c r="R239" s="25" t="n">
        <f>IF(M239=0,0,MIN(1,L239/M239))</f>
        <v>0.75</v>
      </c>
      <c r="S239" s="23" t="n">
        <f>O239*R239</f>
        <v>3</v>
      </c>
      <c r="T239" s="23" t="n">
        <f>MIN(P239,S239)</f>
        <v>3</v>
      </c>
      <c r="U239" s="23" t="n">
        <f>O239-S239</f>
        <v>1</v>
      </c>
      <c r="V239" s="23" t="n">
        <f>MAX(P239-O239,0)</f>
        <v>0</v>
      </c>
    </row>
    <row r="240">
      <c r="A240" s="19" t="str">
        <v>德国区</v>
      </c>
      <c r="B240" s="19" t="str">
        <v>杜塞尔多夫16号仓</v>
      </c>
      <c r="C240" s="19" t="str">
        <v>理货组</v>
      </c>
      <c r="D240" s="21" t="n">
        <v>46161</v>
      </c>
      <c r="E240" s="19" t="str">
        <v>2026-05</v>
      </c>
      <c r="F240" s="19" t="str">
        <v>操作员</v>
      </c>
      <c r="G240" s="19" t="str">
        <v>德国区-灵活班次 / DE FLEX</v>
      </c>
      <c r="H240" s="19" t="str">
        <v>S000279</v>
      </c>
      <c r="I240" s="19" t="str">
        <v>Armz GmbH</v>
      </c>
      <c r="J240" s="23" t="n">
        <v>3</v>
      </c>
      <c r="K240" s="23" t="n">
        <v>0</v>
      </c>
      <c r="L240" s="23" t="n">
        <f>J240+K240</f>
        <v>3</v>
      </c>
      <c r="M240" s="23" t="n">
        <v>3</v>
      </c>
      <c r="N240" s="23" t="n">
        <v>3</v>
      </c>
      <c r="O240" s="23" t="n">
        <v>3</v>
      </c>
      <c r="P240" s="23" t="n">
        <v>3</v>
      </c>
      <c r="Q240" s="23" t="n">
        <f>MIN(O240,P240)</f>
        <v>3</v>
      </c>
      <c r="R240" s="25" t="n">
        <f>IF(M240=0,0,MIN(1,L240/M240))</f>
        <v>1</v>
      </c>
      <c r="S240" s="23" t="n">
        <f>O240*R240</f>
        <v>3</v>
      </c>
      <c r="T240" s="23" t="n">
        <f>MIN(P240,S240)</f>
        <v>3</v>
      </c>
      <c r="U240" s="23" t="n">
        <f>O240-S240</f>
        <v>0</v>
      </c>
      <c r="V240" s="23" t="n">
        <f>MAX(P240-O240,0)</f>
        <v>0</v>
      </c>
    </row>
    <row r="241">
      <c r="A241" s="19" t="str">
        <v>德国区</v>
      </c>
      <c r="B241" s="19" t="str">
        <v>杜塞尔多夫16号仓</v>
      </c>
      <c r="C241" s="19" t="str">
        <v>理货组</v>
      </c>
      <c r="D241" s="21" t="n">
        <v>46178</v>
      </c>
      <c r="E241" s="19" t="str">
        <v>2026-06</v>
      </c>
      <c r="F241" s="19" t="str">
        <v>操作员</v>
      </c>
      <c r="G241" s="19" t="str">
        <v>德国区7：30点班次</v>
      </c>
      <c r="H241" s="19" t="str">
        <v>S000328</v>
      </c>
      <c r="I241" s="19" t="str">
        <v>JS Logistik GmbH</v>
      </c>
      <c r="J241" s="23" t="n">
        <v>2</v>
      </c>
      <c r="K241" s="23" t="n">
        <v>0</v>
      </c>
      <c r="L241" s="23" t="n">
        <f>J241+K241</f>
        <v>2</v>
      </c>
      <c r="M241" s="23" t="n">
        <v>3</v>
      </c>
      <c r="N241" s="23" t="n">
        <v>3</v>
      </c>
      <c r="O241" s="23" t="n">
        <v>3</v>
      </c>
      <c r="P241" s="23" t="n">
        <v>3</v>
      </c>
      <c r="Q241" s="23" t="n">
        <f>MIN(O241,P241)</f>
        <v>3</v>
      </c>
      <c r="R241" s="25" t="n">
        <f>IF(M241=0,0,MIN(1,L241/M241))</f>
        <v>0.6666666666666666</v>
      </c>
      <c r="S241" s="23" t="n">
        <f>O241*R241</f>
        <v>2</v>
      </c>
      <c r="T241" s="23" t="n">
        <f>MIN(P241,S241)</f>
        <v>2</v>
      </c>
      <c r="U241" s="23" t="n">
        <f>O241-S241</f>
        <v>1</v>
      </c>
      <c r="V241" s="23" t="n">
        <f>MAX(P241-O241,0)</f>
        <v>0</v>
      </c>
    </row>
    <row r="242">
      <c r="A242" s="19" t="str">
        <v>德国区</v>
      </c>
      <c r="B242" s="19" t="str">
        <v>杜塞尔多夫16号仓</v>
      </c>
      <c r="C242" s="19" t="str">
        <v>理货组</v>
      </c>
      <c r="D242" s="21" t="n">
        <v>46182</v>
      </c>
      <c r="E242" s="19" t="str">
        <v>2026-06</v>
      </c>
      <c r="F242" s="19" t="str">
        <v>操作员</v>
      </c>
      <c r="G242" s="19" t="str">
        <v>德国区-灵活班次 / DE FLEX</v>
      </c>
      <c r="H242" s="19" t="str">
        <v>S000279</v>
      </c>
      <c r="I242" s="19" t="str">
        <v>Armz GmbH</v>
      </c>
      <c r="J242" s="23" t="n">
        <v>3</v>
      </c>
      <c r="K242" s="23" t="n">
        <v>0</v>
      </c>
      <c r="L242" s="23" t="n">
        <f>J242+K242</f>
        <v>3</v>
      </c>
      <c r="M242" s="23" t="n">
        <v>10</v>
      </c>
      <c r="N242" s="23" t="n">
        <v>10</v>
      </c>
      <c r="O242" s="23" t="n">
        <v>10</v>
      </c>
      <c r="P242" s="23" t="n">
        <v>10</v>
      </c>
      <c r="Q242" s="23" t="n">
        <f>MIN(O242,P242)</f>
        <v>10</v>
      </c>
      <c r="R242" s="25" t="n">
        <f>IF(M242=0,0,MIN(1,L242/M242))</f>
        <v>0.3</v>
      </c>
      <c r="S242" s="23" t="n">
        <f>O242*R242</f>
        <v>3</v>
      </c>
      <c r="T242" s="23" t="n">
        <f>MIN(P242,S242)</f>
        <v>3</v>
      </c>
      <c r="U242" s="23" t="n">
        <f>O242-S242</f>
        <v>7</v>
      </c>
      <c r="V242" s="23" t="n">
        <f>MAX(P242-O242,0)</f>
        <v>0</v>
      </c>
    </row>
    <row r="243">
      <c r="A243" s="19" t="str">
        <v>德国区</v>
      </c>
      <c r="B243" s="19" t="str">
        <v>杜塞尔多夫16号仓</v>
      </c>
      <c r="C243" s="19" t="str">
        <v>理货组</v>
      </c>
      <c r="D243" s="21" t="n">
        <v>46183</v>
      </c>
      <c r="E243" s="19" t="str">
        <v>2026-06</v>
      </c>
      <c r="F243" s="19" t="str">
        <v>操作员</v>
      </c>
      <c r="G243" s="19" t="str">
        <v>德国区-灵活班次 / DE FLEX</v>
      </c>
      <c r="H243" s="19" t="str">
        <v>S000191</v>
      </c>
      <c r="I243" s="19" t="str">
        <v>TimePartner Personalmanagement GmbH</v>
      </c>
      <c r="J243" s="23" t="n">
        <v>3</v>
      </c>
      <c r="K243" s="23" t="n">
        <v>0</v>
      </c>
      <c r="L243" s="23" t="n">
        <f>J243+K243</f>
        <v>3</v>
      </c>
      <c r="M243" s="23" t="n">
        <v>5</v>
      </c>
      <c r="N243" s="23" t="n">
        <v>4</v>
      </c>
      <c r="O243" s="23" t="n">
        <v>5</v>
      </c>
      <c r="P243" s="23" t="n">
        <v>4</v>
      </c>
      <c r="Q243" s="23" t="n">
        <f>MIN(O243,P243)</f>
        <v>4</v>
      </c>
      <c r="R243" s="25" t="n">
        <f>IF(M243=0,0,MIN(1,L243/M243))</f>
        <v>0.6</v>
      </c>
      <c r="S243" s="23" t="n">
        <f>O243*R243</f>
        <v>3</v>
      </c>
      <c r="T243" s="23" t="n">
        <f>MIN(P243,S243)</f>
        <v>3</v>
      </c>
      <c r="U243" s="23" t="n">
        <f>O243-S243</f>
        <v>2</v>
      </c>
      <c r="V243" s="23" t="n">
        <f>MAX(P243-O243,0)</f>
        <v>0</v>
      </c>
    </row>
    <row r="244">
      <c r="A244" s="19" t="str">
        <v>德国区</v>
      </c>
      <c r="B244" s="19" t="str">
        <v>杜塞尔多夫17号仓</v>
      </c>
      <c r="C244" s="19" t="str">
        <v>17仓-包装组</v>
      </c>
      <c r="D244" s="21" t="n">
        <v>46146</v>
      </c>
      <c r="E244" s="19" t="str">
        <v>2026-05</v>
      </c>
      <c r="F244" s="19" t="str">
        <v>操作员</v>
      </c>
      <c r="G244" s="19" t="str">
        <v>德国区-灵活班次 / DE FLEX</v>
      </c>
      <c r="H244" s="19" t="str">
        <v>S000279</v>
      </c>
      <c r="I244" s="19" t="str">
        <v>Armz GmbH</v>
      </c>
      <c r="J244" s="23" t="n">
        <v>5</v>
      </c>
      <c r="K244" s="23" t="n">
        <v>0</v>
      </c>
      <c r="L244" s="23" t="n">
        <f>J244+K244</f>
        <v>5</v>
      </c>
      <c r="M244" s="23" t="n">
        <v>5</v>
      </c>
      <c r="N244" s="23" t="n">
        <v>5</v>
      </c>
      <c r="O244" s="23" t="n">
        <v>3</v>
      </c>
      <c r="P244" s="23" t="n">
        <v>3</v>
      </c>
      <c r="Q244" s="23" t="n">
        <f>MIN(O244,P244)</f>
        <v>3</v>
      </c>
      <c r="R244" s="25" t="n">
        <f>IF(M244=0,0,MIN(1,L244/M244))</f>
        <v>1</v>
      </c>
      <c r="S244" s="23" t="n">
        <f>O244*R244</f>
        <v>3</v>
      </c>
      <c r="T244" s="23" t="n">
        <f>MIN(P244,S244)</f>
        <v>3</v>
      </c>
      <c r="U244" s="23" t="n">
        <f>O244-S244</f>
        <v>0</v>
      </c>
      <c r="V244" s="23" t="n">
        <f>MAX(P244-O244,0)</f>
        <v>0</v>
      </c>
    </row>
    <row r="245">
      <c r="A245" s="19" t="str">
        <v>德国区</v>
      </c>
      <c r="B245" s="19" t="str">
        <v>杜塞尔多夫17号仓</v>
      </c>
      <c r="C245" s="19" t="str">
        <v>17仓-包装组</v>
      </c>
      <c r="D245" s="21" t="n">
        <v>46146</v>
      </c>
      <c r="E245" s="19" t="str">
        <v>2026-05</v>
      </c>
      <c r="F245" s="19" t="str">
        <v>操作员</v>
      </c>
      <c r="G245" s="19" t="str">
        <v>德国区-灵活班次 / DE FLEX</v>
      </c>
      <c r="H245" s="19" t="str">
        <v>S000300</v>
      </c>
      <c r="I245" s="19" t="str">
        <v>LeXpersonal GmbH</v>
      </c>
      <c r="J245" s="23" t="n">
        <v>5</v>
      </c>
      <c r="K245" s="23" t="n">
        <v>0</v>
      </c>
      <c r="L245" s="23" t="n">
        <f>J245+K245</f>
        <v>5</v>
      </c>
      <c r="M245" s="23" t="n">
        <v>5</v>
      </c>
      <c r="N245" s="23" t="n">
        <v>5</v>
      </c>
      <c r="O245" s="23" t="n">
        <v>2</v>
      </c>
      <c r="P245" s="23" t="n">
        <v>2</v>
      </c>
      <c r="Q245" s="23" t="n">
        <f>MIN(O245,P245)</f>
        <v>2</v>
      </c>
      <c r="R245" s="25" t="n">
        <f>IF(M245=0,0,MIN(1,L245/M245))</f>
        <v>1</v>
      </c>
      <c r="S245" s="23" t="n">
        <f>O245*R245</f>
        <v>2</v>
      </c>
      <c r="T245" s="23" t="n">
        <f>MIN(P245,S245)</f>
        <v>2</v>
      </c>
      <c r="U245" s="23" t="n">
        <f>O245-S245</f>
        <v>0</v>
      </c>
      <c r="V245" s="23" t="n">
        <f>MAX(P245-O245,0)</f>
        <v>0</v>
      </c>
    </row>
    <row r="246">
      <c r="A246" s="19" t="str">
        <v>德国区</v>
      </c>
      <c r="B246" s="19" t="str">
        <v>杜塞尔多夫17号仓</v>
      </c>
      <c r="C246" s="19" t="str">
        <v>17仓-包装组</v>
      </c>
      <c r="D246" s="21" t="n">
        <v>46147</v>
      </c>
      <c r="E246" s="19" t="str">
        <v>2026-05</v>
      </c>
      <c r="F246" s="19" t="str">
        <v>操作员</v>
      </c>
      <c r="G246" s="19" t="str">
        <v>德国区-灵活班次 / DE FLEX</v>
      </c>
      <c r="H246" s="19" t="str">
        <v>S000279</v>
      </c>
      <c r="I246" s="19" t="str">
        <v>Armz GmbH</v>
      </c>
      <c r="J246" s="23" t="n">
        <v>5</v>
      </c>
      <c r="K246" s="23" t="n">
        <v>0</v>
      </c>
      <c r="L246" s="23" t="n">
        <f>J246+K246</f>
        <v>5</v>
      </c>
      <c r="M246" s="23" t="n">
        <v>5</v>
      </c>
      <c r="N246" s="23" t="n">
        <v>5</v>
      </c>
      <c r="O246" s="23" t="n">
        <v>3</v>
      </c>
      <c r="P246" s="23" t="n">
        <v>3</v>
      </c>
      <c r="Q246" s="23" t="n">
        <f>MIN(O246,P246)</f>
        <v>3</v>
      </c>
      <c r="R246" s="25" t="n">
        <f>IF(M246=0,0,MIN(1,L246/M246))</f>
        <v>1</v>
      </c>
      <c r="S246" s="23" t="n">
        <f>O246*R246</f>
        <v>3</v>
      </c>
      <c r="T246" s="23" t="n">
        <f>MIN(P246,S246)</f>
        <v>3</v>
      </c>
      <c r="U246" s="23" t="n">
        <f>O246-S246</f>
        <v>0</v>
      </c>
      <c r="V246" s="23" t="n">
        <f>MAX(P246-O246,0)</f>
        <v>0</v>
      </c>
    </row>
    <row r="247">
      <c r="A247" s="19" t="str">
        <v>德国区</v>
      </c>
      <c r="B247" s="19" t="str">
        <v>杜塞尔多夫17号仓</v>
      </c>
      <c r="C247" s="19" t="str">
        <v>17仓-包装组</v>
      </c>
      <c r="D247" s="21" t="n">
        <v>46147</v>
      </c>
      <c r="E247" s="19" t="str">
        <v>2026-05</v>
      </c>
      <c r="F247" s="19" t="str">
        <v>操作员</v>
      </c>
      <c r="G247" s="19" t="str">
        <v>德国区-灵活班次 / DE FLEX</v>
      </c>
      <c r="H247" s="19" t="str">
        <v>S000300</v>
      </c>
      <c r="I247" s="19" t="str">
        <v>LeXpersonal GmbH</v>
      </c>
      <c r="J247" s="23" t="n">
        <v>5</v>
      </c>
      <c r="K247" s="23" t="n">
        <v>0</v>
      </c>
      <c r="L247" s="23" t="n">
        <f>J247+K247</f>
        <v>5</v>
      </c>
      <c r="M247" s="23" t="n">
        <v>5</v>
      </c>
      <c r="N247" s="23" t="n">
        <v>5</v>
      </c>
      <c r="O247" s="23" t="n">
        <v>2</v>
      </c>
      <c r="P247" s="23" t="n">
        <v>2</v>
      </c>
      <c r="Q247" s="23" t="n">
        <f>MIN(O247,P247)</f>
        <v>2</v>
      </c>
      <c r="R247" s="25" t="n">
        <f>IF(M247=0,0,MIN(1,L247/M247))</f>
        <v>1</v>
      </c>
      <c r="S247" s="23" t="n">
        <f>O247*R247</f>
        <v>2</v>
      </c>
      <c r="T247" s="23" t="n">
        <f>MIN(P247,S247)</f>
        <v>2</v>
      </c>
      <c r="U247" s="23" t="n">
        <f>O247-S247</f>
        <v>0</v>
      </c>
      <c r="V247" s="23" t="n">
        <f>MAX(P247-O247,0)</f>
        <v>0</v>
      </c>
    </row>
    <row r="248">
      <c r="A248" s="19" t="str">
        <v>德国区</v>
      </c>
      <c r="B248" s="19" t="str">
        <v>杜塞尔多夫17号仓</v>
      </c>
      <c r="C248" s="19" t="str">
        <v>17仓-包装组</v>
      </c>
      <c r="D248" s="21" t="n">
        <v>46148</v>
      </c>
      <c r="E248" s="19" t="str">
        <v>2026-05</v>
      </c>
      <c r="F248" s="19" t="str">
        <v>操作员</v>
      </c>
      <c r="G248" s="19" t="str">
        <v>德国区-灵活班次 / DE FLEX</v>
      </c>
      <c r="H248" s="19" t="str">
        <v>S000279</v>
      </c>
      <c r="I248" s="19" t="str">
        <v>Armz GmbH</v>
      </c>
      <c r="J248" s="23" t="n">
        <v>9</v>
      </c>
      <c r="K248" s="23" t="n">
        <v>0</v>
      </c>
      <c r="L248" s="23" t="n">
        <f>J248+K248</f>
        <v>9</v>
      </c>
      <c r="M248" s="23" t="n">
        <v>9</v>
      </c>
      <c r="N248" s="23" t="n">
        <v>9</v>
      </c>
      <c r="O248" s="23" t="n">
        <v>7</v>
      </c>
      <c r="P248" s="23" t="n">
        <v>7</v>
      </c>
      <c r="Q248" s="23" t="n">
        <f>MIN(O248,P248)</f>
        <v>7</v>
      </c>
      <c r="R248" s="25" t="n">
        <f>IF(M248=0,0,MIN(1,L248/M248))</f>
        <v>1</v>
      </c>
      <c r="S248" s="23" t="n">
        <f>O248*R248</f>
        <v>7</v>
      </c>
      <c r="T248" s="23" t="n">
        <f>MIN(P248,S248)</f>
        <v>7</v>
      </c>
      <c r="U248" s="23" t="n">
        <f>O248-S248</f>
        <v>0</v>
      </c>
      <c r="V248" s="23" t="n">
        <f>MAX(P248-O248,0)</f>
        <v>0</v>
      </c>
    </row>
    <row r="249">
      <c r="A249" s="19" t="str">
        <v>德国区</v>
      </c>
      <c r="B249" s="19" t="str">
        <v>杜塞尔多夫17号仓</v>
      </c>
      <c r="C249" s="19" t="str">
        <v>17仓-包装组</v>
      </c>
      <c r="D249" s="21" t="n">
        <v>46148</v>
      </c>
      <c r="E249" s="19" t="str">
        <v>2026-05</v>
      </c>
      <c r="F249" s="19" t="str">
        <v>操作员</v>
      </c>
      <c r="G249" s="19" t="str">
        <v>德国区-灵活班次 / DE FLEX</v>
      </c>
      <c r="H249" s="19" t="str">
        <v>S000300</v>
      </c>
      <c r="I249" s="19" t="str">
        <v>LeXpersonal GmbH</v>
      </c>
      <c r="J249" s="23" t="n">
        <v>9</v>
      </c>
      <c r="K249" s="23" t="n">
        <v>0</v>
      </c>
      <c r="L249" s="23" t="n">
        <f>J249+K249</f>
        <v>9</v>
      </c>
      <c r="M249" s="23" t="n">
        <v>9</v>
      </c>
      <c r="N249" s="23" t="n">
        <v>9</v>
      </c>
      <c r="O249" s="23" t="n">
        <v>2</v>
      </c>
      <c r="P249" s="23" t="n">
        <v>2</v>
      </c>
      <c r="Q249" s="23" t="n">
        <f>MIN(O249,P249)</f>
        <v>2</v>
      </c>
      <c r="R249" s="25" t="n">
        <f>IF(M249=0,0,MIN(1,L249/M249))</f>
        <v>1</v>
      </c>
      <c r="S249" s="23" t="n">
        <f>O249*R249</f>
        <v>2</v>
      </c>
      <c r="T249" s="23" t="n">
        <f>MIN(P249,S249)</f>
        <v>2</v>
      </c>
      <c r="U249" s="23" t="n">
        <f>O249-S249</f>
        <v>0</v>
      </c>
      <c r="V249" s="23" t="n">
        <f>MAX(P249-O249,0)</f>
        <v>0</v>
      </c>
    </row>
    <row r="250">
      <c r="A250" s="19" t="str">
        <v>德国区</v>
      </c>
      <c r="B250" s="19" t="str">
        <v>杜塞尔多夫17号仓</v>
      </c>
      <c r="C250" s="19" t="str">
        <v>17仓-包装组</v>
      </c>
      <c r="D250" s="21" t="n">
        <v>46149</v>
      </c>
      <c r="E250" s="19" t="str">
        <v>2026-05</v>
      </c>
      <c r="F250" s="19" t="str">
        <v>操作员</v>
      </c>
      <c r="G250" s="19" t="str">
        <v>德国区-灵活班次 / DE FLEX</v>
      </c>
      <c r="H250" s="19" t="str">
        <v>S000279</v>
      </c>
      <c r="I250" s="19" t="str">
        <v>Armz GmbH</v>
      </c>
      <c r="J250" s="23" t="n">
        <v>1</v>
      </c>
      <c r="K250" s="23" t="n">
        <v>0</v>
      </c>
      <c r="L250" s="23" t="n">
        <f>J250+K250</f>
        <v>1</v>
      </c>
      <c r="M250" s="23" t="n">
        <v>1</v>
      </c>
      <c r="N250" s="23" t="n">
        <v>0</v>
      </c>
      <c r="O250" s="23" t="n">
        <v>1</v>
      </c>
      <c r="P250" s="23" t="n">
        <v>0</v>
      </c>
      <c r="Q250" s="23" t="n">
        <f>MIN(O250,P250)</f>
        <v>0</v>
      </c>
      <c r="R250" s="25" t="n">
        <f>IF(M250=0,0,MIN(1,L250/M250))</f>
        <v>1</v>
      </c>
      <c r="S250" s="23" t="n">
        <f>O250*R250</f>
        <v>1</v>
      </c>
      <c r="T250" s="23" t="n">
        <f>MIN(P250,S250)</f>
        <v>0</v>
      </c>
      <c r="U250" s="23" t="n">
        <f>O250-S250</f>
        <v>0</v>
      </c>
      <c r="V250" s="23" t="n">
        <f>MAX(P250-O250,0)</f>
        <v>0</v>
      </c>
    </row>
    <row r="251">
      <c r="A251" s="19" t="str">
        <v>德国区</v>
      </c>
      <c r="B251" s="19" t="str">
        <v>杜塞尔多夫17号仓</v>
      </c>
      <c r="C251" s="19" t="str">
        <v>17仓-包装组</v>
      </c>
      <c r="D251" s="21" t="n">
        <v>46150</v>
      </c>
      <c r="E251" s="19" t="str">
        <v>2026-05</v>
      </c>
      <c r="F251" s="19" t="str">
        <v>操作员</v>
      </c>
      <c r="G251" s="19" t="str">
        <v>德国区-灵活班次 / DE FLEX</v>
      </c>
      <c r="H251" s="19" t="str">
        <v>S000279</v>
      </c>
      <c r="I251" s="19" t="str">
        <v>Armz GmbH</v>
      </c>
      <c r="J251" s="23" t="n">
        <v>1</v>
      </c>
      <c r="K251" s="23" t="n">
        <v>0</v>
      </c>
      <c r="L251" s="23" t="n">
        <f>J251+K251</f>
        <v>1</v>
      </c>
      <c r="M251" s="23" t="n">
        <v>1</v>
      </c>
      <c r="N251" s="23" t="n">
        <v>1</v>
      </c>
      <c r="O251" s="23" t="n">
        <v>1</v>
      </c>
      <c r="P251" s="23" t="n">
        <v>1</v>
      </c>
      <c r="Q251" s="23" t="n">
        <f>MIN(O251,P251)</f>
        <v>1</v>
      </c>
      <c r="R251" s="25" t="n">
        <f>IF(M251=0,0,MIN(1,L251/M251))</f>
        <v>1</v>
      </c>
      <c r="S251" s="23" t="n">
        <f>O251*R251</f>
        <v>1</v>
      </c>
      <c r="T251" s="23" t="n">
        <f>MIN(P251,S251)</f>
        <v>1</v>
      </c>
      <c r="U251" s="23" t="n">
        <f>O251-S251</f>
        <v>0</v>
      </c>
      <c r="V251" s="23" t="n">
        <f>MAX(P251-O251,0)</f>
        <v>0</v>
      </c>
    </row>
    <row r="252">
      <c r="A252" s="19" t="str">
        <v>德国区</v>
      </c>
      <c r="B252" s="19" t="str">
        <v>杜塞尔多夫17号仓</v>
      </c>
      <c r="C252" s="19" t="str">
        <v>17仓-包装组</v>
      </c>
      <c r="D252" s="21" t="n">
        <v>46183</v>
      </c>
      <c r="E252" s="19" t="str">
        <v>2026-06</v>
      </c>
      <c r="F252" s="19" t="str">
        <v>操作员</v>
      </c>
      <c r="G252" s="19" t="str">
        <v>德国区-灵活班次 / DE FLEX</v>
      </c>
      <c r="H252" s="19" t="str">
        <v>S000279</v>
      </c>
      <c r="I252" s="19" t="str">
        <v>Armz GmbH</v>
      </c>
      <c r="J252" s="23" t="n">
        <v>0</v>
      </c>
      <c r="K252" s="23" t="n">
        <v>0</v>
      </c>
      <c r="L252" s="23" t="n">
        <f>J252+K252</f>
        <v>0</v>
      </c>
      <c r="M252" s="23" t="n">
        <v>3</v>
      </c>
      <c r="N252" s="23" t="n">
        <v>0</v>
      </c>
      <c r="O252" s="23" t="n">
        <v>3</v>
      </c>
      <c r="P252" s="23" t="n">
        <v>0</v>
      </c>
      <c r="Q252" s="23" t="n">
        <f>MIN(O252,P252)</f>
        <v>0</v>
      </c>
      <c r="R252" s="25" t="n">
        <f>IF(M252=0,0,MIN(1,L252/M252))</f>
        <v>0</v>
      </c>
      <c r="S252" s="23" t="n">
        <f>O252*R252</f>
        <v>0</v>
      </c>
      <c r="T252" s="23" t="n">
        <f>MIN(P252,S252)</f>
        <v>0</v>
      </c>
      <c r="U252" s="23" t="n">
        <f>O252-S252</f>
        <v>3</v>
      </c>
      <c r="V252" s="23" t="n">
        <f>MAX(P252-O252,0)</f>
        <v>0</v>
      </c>
    </row>
    <row r="253">
      <c r="A253" s="19" t="str">
        <v>德国区</v>
      </c>
      <c r="B253" s="19" t="str">
        <v>杜塞尔多夫17号仓</v>
      </c>
      <c r="C253" s="19" t="str">
        <v>17仓-包装组</v>
      </c>
      <c r="D253" s="21" t="n">
        <v>46184</v>
      </c>
      <c r="E253" s="19" t="str">
        <v>2026-06</v>
      </c>
      <c r="F253" s="19" t="str">
        <v>操作员</v>
      </c>
      <c r="G253" s="19" t="str">
        <v>德国区-灵活班次 / DE FLEX</v>
      </c>
      <c r="H253" s="19" t="str">
        <v>S000279</v>
      </c>
      <c r="I253" s="19" t="str">
        <v>Armz GmbH</v>
      </c>
      <c r="J253" s="23" t="n">
        <v>0</v>
      </c>
      <c r="K253" s="23" t="n">
        <v>0</v>
      </c>
      <c r="L253" s="23" t="n">
        <f>J253+K253</f>
        <v>0</v>
      </c>
      <c r="M253" s="23" t="n">
        <v>3</v>
      </c>
      <c r="N253" s="23" t="n">
        <v>3</v>
      </c>
      <c r="O253" s="23" t="n">
        <v>3</v>
      </c>
      <c r="P253" s="23" t="n">
        <v>3</v>
      </c>
      <c r="Q253" s="23" t="n">
        <f>MIN(O253,P253)</f>
        <v>3</v>
      </c>
      <c r="R253" s="25" t="n">
        <f>IF(M253=0,0,MIN(1,L253/M253))</f>
        <v>0</v>
      </c>
      <c r="S253" s="23" t="n">
        <f>O253*R253</f>
        <v>0</v>
      </c>
      <c r="T253" s="23" t="n">
        <f>MIN(P253,S253)</f>
        <v>0</v>
      </c>
      <c r="U253" s="23" t="n">
        <f>O253-S253</f>
        <v>3</v>
      </c>
      <c r="V253" s="23" t="n">
        <f>MAX(P253-O253,0)</f>
        <v>0</v>
      </c>
    </row>
    <row r="254">
      <c r="A254" s="19" t="str">
        <v>德国区</v>
      </c>
      <c r="B254" s="19" t="str">
        <v>杜塞尔多夫17号仓</v>
      </c>
      <c r="C254" s="19" t="str">
        <v>17仓-包装组</v>
      </c>
      <c r="D254" s="21" t="n">
        <v>46196</v>
      </c>
      <c r="E254" s="19" t="str">
        <v>2026-06</v>
      </c>
      <c r="F254" s="19" t="str">
        <v>操作员</v>
      </c>
      <c r="G254" s="19" t="str">
        <v>德国区-灵活班次 / DE FLEX</v>
      </c>
      <c r="H254" s="19" t="str">
        <v>S000261</v>
      </c>
      <c r="I254" s="19" t="str">
        <v>ProQuality GmbH</v>
      </c>
      <c r="J254" s="23" t="n">
        <v>6</v>
      </c>
      <c r="K254" s="23" t="n">
        <v>0</v>
      </c>
      <c r="L254" s="23" t="n">
        <f>J254+K254</f>
        <v>6</v>
      </c>
      <c r="M254" s="23" t="n">
        <v>4</v>
      </c>
      <c r="N254" s="23" t="n">
        <v>4</v>
      </c>
      <c r="O254" s="23" t="n">
        <v>4</v>
      </c>
      <c r="P254" s="23" t="n">
        <v>4</v>
      </c>
      <c r="Q254" s="23" t="n">
        <f>MIN(O254,P254)</f>
        <v>4</v>
      </c>
      <c r="R254" s="25" t="n">
        <f>IF(M254=0,0,MIN(1,L254/M254))</f>
        <v>1</v>
      </c>
      <c r="S254" s="23" t="n">
        <f>O254*R254</f>
        <v>4</v>
      </c>
      <c r="T254" s="23" t="n">
        <f>MIN(P254,S254)</f>
        <v>4</v>
      </c>
      <c r="U254" s="23" t="n">
        <f>O254-S254</f>
        <v>0</v>
      </c>
      <c r="V254" s="23" t="n">
        <f>MAX(P254-O254,0)</f>
        <v>0</v>
      </c>
    </row>
    <row r="255">
      <c r="A255" s="19" t="str">
        <v>德国区</v>
      </c>
      <c r="B255" s="19" t="str">
        <v>杜塞尔多夫17号仓</v>
      </c>
      <c r="C255" s="19" t="str">
        <v>17仓-包装组</v>
      </c>
      <c r="D255" s="21" t="n">
        <v>46197</v>
      </c>
      <c r="E255" s="19" t="str">
        <v>2026-06</v>
      </c>
      <c r="F255" s="19" t="str">
        <v>操作员</v>
      </c>
      <c r="G255" s="19" t="str">
        <v>德国区-灵活班次 / DE FLEX</v>
      </c>
      <c r="H255" s="19" t="str">
        <v>S000261</v>
      </c>
      <c r="I255" s="19" t="str">
        <v>ProQuality GmbH</v>
      </c>
      <c r="J255" s="23" t="n">
        <v>6</v>
      </c>
      <c r="K255" s="23" t="n">
        <v>0</v>
      </c>
      <c r="L255" s="23" t="n">
        <f>J255+K255</f>
        <v>6</v>
      </c>
      <c r="M255" s="23" t="n">
        <v>4</v>
      </c>
      <c r="N255" s="23" t="n">
        <v>4</v>
      </c>
      <c r="O255" s="23" t="n">
        <v>4</v>
      </c>
      <c r="P255" s="23" t="n">
        <v>4</v>
      </c>
      <c r="Q255" s="23" t="n">
        <f>MIN(O255,P255)</f>
        <v>4</v>
      </c>
      <c r="R255" s="25" t="n">
        <f>IF(M255=0,0,MIN(1,L255/M255))</f>
        <v>1</v>
      </c>
      <c r="S255" s="23" t="n">
        <f>O255*R255</f>
        <v>4</v>
      </c>
      <c r="T255" s="23" t="n">
        <f>MIN(P255,S255)</f>
        <v>4</v>
      </c>
      <c r="U255" s="23" t="n">
        <f>O255-S255</f>
        <v>0</v>
      </c>
      <c r="V255" s="23" t="n">
        <f>MAX(P255-O255,0)</f>
        <v>0</v>
      </c>
    </row>
    <row r="256">
      <c r="A256" s="19" t="str">
        <v>德国区</v>
      </c>
      <c r="B256" s="19" t="str">
        <v>杜塞尔多夫17号仓</v>
      </c>
      <c r="C256" s="19" t="str">
        <v>交运组</v>
      </c>
      <c r="D256" s="21" t="n">
        <v>46153</v>
      </c>
      <c r="E256" s="19" t="str">
        <v>2026-05</v>
      </c>
      <c r="F256" s="19" t="str">
        <v>操作员</v>
      </c>
      <c r="G256" s="19" t="str">
        <v>德国区-灵活班次 / DE FLEX</v>
      </c>
      <c r="H256" s="19" t="str">
        <v>S000300</v>
      </c>
      <c r="I256" s="19" t="str">
        <v>LeXpersonal GmbH</v>
      </c>
      <c r="J256" s="23" t="n">
        <v>5</v>
      </c>
      <c r="K256" s="23" t="n">
        <v>0</v>
      </c>
      <c r="L256" s="23" t="n">
        <f>J256+K256</f>
        <v>5</v>
      </c>
      <c r="M256" s="23" t="n">
        <v>5</v>
      </c>
      <c r="N256" s="23" t="n">
        <v>5</v>
      </c>
      <c r="O256" s="23" t="n">
        <v>5</v>
      </c>
      <c r="P256" s="23" t="n">
        <v>5</v>
      </c>
      <c r="Q256" s="23" t="n">
        <f>MIN(O256,P256)</f>
        <v>5</v>
      </c>
      <c r="R256" s="25" t="n">
        <f>IF(M256=0,0,MIN(1,L256/M256))</f>
        <v>1</v>
      </c>
      <c r="S256" s="23" t="n">
        <f>O256*R256</f>
        <v>5</v>
      </c>
      <c r="T256" s="23" t="n">
        <f>MIN(P256,S256)</f>
        <v>5</v>
      </c>
      <c r="U256" s="23" t="n">
        <f>O256-S256</f>
        <v>0</v>
      </c>
      <c r="V256" s="23" t="n">
        <f>MAX(P256-O256,0)</f>
        <v>0</v>
      </c>
    </row>
    <row r="257">
      <c r="A257" s="19" t="str">
        <v>德国区</v>
      </c>
      <c r="B257" s="19" t="str">
        <v>杜塞尔多夫17号仓</v>
      </c>
      <c r="C257" s="19" t="str">
        <v>交运组</v>
      </c>
      <c r="D257" s="21" t="n">
        <v>46196</v>
      </c>
      <c r="E257" s="19" t="str">
        <v>2026-06</v>
      </c>
      <c r="F257" s="19" t="str">
        <v>操作员</v>
      </c>
      <c r="G257" s="19" t="str">
        <v>德国区-灵活班次 / DE FLEX</v>
      </c>
      <c r="H257" s="19" t="str">
        <v>S000300</v>
      </c>
      <c r="I257" s="19" t="str">
        <v>LeXpersonal GmbH</v>
      </c>
      <c r="J257" s="23" t="n">
        <v>1</v>
      </c>
      <c r="K257" s="23" t="n">
        <v>0</v>
      </c>
      <c r="L257" s="23" t="n">
        <f>J257+K257</f>
        <v>1</v>
      </c>
      <c r="M257" s="23" t="n">
        <v>4</v>
      </c>
      <c r="N257" s="23" t="n">
        <v>4</v>
      </c>
      <c r="O257" s="23" t="n">
        <v>4</v>
      </c>
      <c r="P257" s="23" t="n">
        <v>4</v>
      </c>
      <c r="Q257" s="23" t="n">
        <f>MIN(O257,P257)</f>
        <v>4</v>
      </c>
      <c r="R257" s="25" t="n">
        <f>IF(M257=0,0,MIN(1,L257/M257))</f>
        <v>0.25</v>
      </c>
      <c r="S257" s="23" t="n">
        <f>O257*R257</f>
        <v>1</v>
      </c>
      <c r="T257" s="23" t="n">
        <f>MIN(P257,S257)</f>
        <v>1</v>
      </c>
      <c r="U257" s="23" t="n">
        <f>O257-S257</f>
        <v>3</v>
      </c>
      <c r="V257" s="23" t="n">
        <f>MAX(P257-O257,0)</f>
        <v>0</v>
      </c>
    </row>
    <row r="258">
      <c r="A258" s="19" t="str">
        <v>德国区</v>
      </c>
      <c r="B258" s="19" t="str">
        <v>杜塞尔多夫17号仓</v>
      </c>
      <c r="C258" s="19" t="str">
        <v>交运组</v>
      </c>
      <c r="D258" s="21" t="n">
        <v>46197</v>
      </c>
      <c r="E258" s="19" t="str">
        <v>2026-06</v>
      </c>
      <c r="F258" s="19" t="str">
        <v>操作员</v>
      </c>
      <c r="G258" s="19" t="str">
        <v>德国区-灵活班次 / DE FLEX</v>
      </c>
      <c r="H258" s="19" t="str">
        <v>S000279</v>
      </c>
      <c r="I258" s="19" t="str">
        <v>Armz GmbH</v>
      </c>
      <c r="J258" s="23" t="n">
        <v>1</v>
      </c>
      <c r="K258" s="23" t="n">
        <v>0</v>
      </c>
      <c r="L258" s="23" t="n">
        <f>J258+K258</f>
        <v>1</v>
      </c>
      <c r="M258" s="23" t="n">
        <v>2</v>
      </c>
      <c r="N258" s="23" t="n">
        <v>2</v>
      </c>
      <c r="O258" s="23" t="n">
        <v>2</v>
      </c>
      <c r="P258" s="23" t="n">
        <v>2</v>
      </c>
      <c r="Q258" s="23" t="n">
        <f>MIN(O258,P258)</f>
        <v>2</v>
      </c>
      <c r="R258" s="25" t="n">
        <f>IF(M258=0,0,MIN(1,L258/M258))</f>
        <v>0.5</v>
      </c>
      <c r="S258" s="23" t="n">
        <f>O258*R258</f>
        <v>1</v>
      </c>
      <c r="T258" s="23" t="n">
        <f>MIN(P258,S258)</f>
        <v>1</v>
      </c>
      <c r="U258" s="23" t="n">
        <f>O258-S258</f>
        <v>1</v>
      </c>
      <c r="V258" s="23" t="n">
        <f>MAX(P258-O258,0)</f>
        <v>0</v>
      </c>
    </row>
    <row r="259">
      <c r="A259" s="19" t="str">
        <v>德国区</v>
      </c>
      <c r="B259" s="19" t="str">
        <v>杜塞尔多夫17号仓</v>
      </c>
      <c r="C259" s="19" t="str">
        <v>交运组</v>
      </c>
      <c r="D259" s="21" t="n">
        <v>46198</v>
      </c>
      <c r="E259" s="19" t="str">
        <v>2026-06</v>
      </c>
      <c r="F259" s="19" t="str">
        <v>操作员</v>
      </c>
      <c r="G259" s="19" t="str">
        <v>德国区-灵活班次 / DE FLEX</v>
      </c>
      <c r="H259" s="19" t="str">
        <v>S000279</v>
      </c>
      <c r="I259" s="19" t="str">
        <v>Armz GmbH</v>
      </c>
      <c r="J259" s="23" t="n">
        <v>1</v>
      </c>
      <c r="K259" s="23" t="n">
        <v>0</v>
      </c>
      <c r="L259" s="23" t="n">
        <f>J259+K259</f>
        <v>1</v>
      </c>
      <c r="M259" s="23" t="n">
        <v>1</v>
      </c>
      <c r="N259" s="23" t="n">
        <v>0</v>
      </c>
      <c r="O259" s="23" t="n">
        <v>1</v>
      </c>
      <c r="P259" s="23" t="n">
        <v>0</v>
      </c>
      <c r="Q259" s="23" t="n">
        <f>MIN(O259,P259)</f>
        <v>0</v>
      </c>
      <c r="R259" s="25" t="n">
        <f>IF(M259=0,0,MIN(1,L259/M259))</f>
        <v>1</v>
      </c>
      <c r="S259" s="23" t="n">
        <f>O259*R259</f>
        <v>1</v>
      </c>
      <c r="T259" s="23" t="n">
        <f>MIN(P259,S259)</f>
        <v>0</v>
      </c>
      <c r="U259" s="23" t="n">
        <f>O259-S259</f>
        <v>0</v>
      </c>
      <c r="V259" s="23" t="n">
        <f>MAX(P259-O259,0)</f>
        <v>0</v>
      </c>
    </row>
    <row r="260">
      <c r="A260" s="19" t="str">
        <v>德国区</v>
      </c>
      <c r="B260" s="19" t="str">
        <v>杜塞尔多夫17号仓</v>
      </c>
      <c r="C260" s="19" t="str">
        <v>入库组</v>
      </c>
      <c r="D260" s="21" t="n">
        <v>46155</v>
      </c>
      <c r="E260" s="19" t="str">
        <v>2026-05</v>
      </c>
      <c r="F260" s="19" t="str">
        <v>操作员</v>
      </c>
      <c r="G260" s="19" t="str">
        <v>德国区-灵活班次 / DE FLEX</v>
      </c>
      <c r="H260" s="19" t="str">
        <v>S000327</v>
      </c>
      <c r="I260" s="19" t="str">
        <v>Gohar GmbH</v>
      </c>
      <c r="J260" s="23" t="n">
        <v>5</v>
      </c>
      <c r="K260" s="23" t="n">
        <v>0</v>
      </c>
      <c r="L260" s="23" t="n">
        <f>J260+K260</f>
        <v>5</v>
      </c>
      <c r="M260" s="23" t="n">
        <v>5</v>
      </c>
      <c r="N260" s="23" t="n">
        <v>5</v>
      </c>
      <c r="O260" s="23" t="n">
        <v>5</v>
      </c>
      <c r="P260" s="23" t="n">
        <v>5</v>
      </c>
      <c r="Q260" s="23" t="n">
        <f>MIN(O260,P260)</f>
        <v>5</v>
      </c>
      <c r="R260" s="25" t="n">
        <f>IF(M260=0,0,MIN(1,L260/M260))</f>
        <v>1</v>
      </c>
      <c r="S260" s="23" t="n">
        <f>O260*R260</f>
        <v>5</v>
      </c>
      <c r="T260" s="23" t="n">
        <f>MIN(P260,S260)</f>
        <v>5</v>
      </c>
      <c r="U260" s="23" t="n">
        <f>O260-S260</f>
        <v>0</v>
      </c>
      <c r="V260" s="23" t="n">
        <f>MAX(P260-O260,0)</f>
        <v>0</v>
      </c>
    </row>
    <row r="261">
      <c r="A261" s="19" t="str">
        <v>德国区</v>
      </c>
      <c r="B261" s="19" t="str">
        <v>杜塞尔多夫17号仓</v>
      </c>
      <c r="C261" s="19" t="str">
        <v>入库组</v>
      </c>
      <c r="D261" s="21" t="n">
        <v>46157</v>
      </c>
      <c r="E261" s="19" t="str">
        <v>2026-05</v>
      </c>
      <c r="F261" s="19" t="str">
        <v>操作员</v>
      </c>
      <c r="G261" s="19" t="str">
        <v>德国区-灵活班次 / DE FLEX</v>
      </c>
      <c r="H261" s="19" t="str">
        <v>S000279</v>
      </c>
      <c r="I261" s="19" t="str">
        <v>Armz GmbH</v>
      </c>
      <c r="J261" s="23" t="n">
        <v>5</v>
      </c>
      <c r="K261" s="23" t="n">
        <v>0</v>
      </c>
      <c r="L261" s="23" t="n">
        <f>J261+K261</f>
        <v>5</v>
      </c>
      <c r="M261" s="23" t="n">
        <v>5</v>
      </c>
      <c r="N261" s="23" t="n">
        <v>4</v>
      </c>
      <c r="O261" s="23" t="n">
        <v>5</v>
      </c>
      <c r="P261" s="23" t="n">
        <v>4</v>
      </c>
      <c r="Q261" s="23" t="n">
        <f>MIN(O261,P261)</f>
        <v>4</v>
      </c>
      <c r="R261" s="25" t="n">
        <f>IF(M261=0,0,MIN(1,L261/M261))</f>
        <v>1</v>
      </c>
      <c r="S261" s="23" t="n">
        <f>O261*R261</f>
        <v>5</v>
      </c>
      <c r="T261" s="23" t="n">
        <f>MIN(P261,S261)</f>
        <v>4</v>
      </c>
      <c r="U261" s="23" t="n">
        <f>O261-S261</f>
        <v>0</v>
      </c>
      <c r="V261" s="23" t="n">
        <f>MAX(P261-O261,0)</f>
        <v>0</v>
      </c>
    </row>
    <row r="262">
      <c r="A262" s="19" t="str">
        <v>德国区</v>
      </c>
      <c r="B262" s="19" t="str">
        <v>杜塞尔多夫17号仓</v>
      </c>
      <c r="C262" s="19" t="str">
        <v>入库组</v>
      </c>
      <c r="D262" s="21" t="n">
        <v>46182</v>
      </c>
      <c r="E262" s="19" t="str">
        <v>2026-06</v>
      </c>
      <c r="F262" s="19" t="str">
        <v>操作员</v>
      </c>
      <c r="G262" s="19" t="str">
        <v>德国区-灵活班次 / DE FLEX</v>
      </c>
      <c r="H262" s="19" t="str">
        <v>S000327</v>
      </c>
      <c r="I262" s="19" t="str">
        <v>Gohar GmbH</v>
      </c>
      <c r="J262" s="23" t="n">
        <v>0</v>
      </c>
      <c r="K262" s="23" t="n">
        <v>0</v>
      </c>
      <c r="L262" s="23" t="n">
        <f>J262+K262</f>
        <v>0</v>
      </c>
      <c r="M262" s="23" t="n">
        <v>3</v>
      </c>
      <c r="N262" s="23" t="n">
        <v>3</v>
      </c>
      <c r="O262" s="23" t="n">
        <v>3</v>
      </c>
      <c r="P262" s="23" t="n">
        <v>3</v>
      </c>
      <c r="Q262" s="23" t="n">
        <f>MIN(O262,P262)</f>
        <v>3</v>
      </c>
      <c r="R262" s="25" t="n">
        <f>IF(M262=0,0,MIN(1,L262/M262))</f>
        <v>0</v>
      </c>
      <c r="S262" s="23" t="n">
        <f>O262*R262</f>
        <v>0</v>
      </c>
      <c r="T262" s="23" t="n">
        <f>MIN(P262,S262)</f>
        <v>0</v>
      </c>
      <c r="U262" s="23" t="n">
        <f>O262-S262</f>
        <v>3</v>
      </c>
      <c r="V262" s="23" t="n">
        <f>MAX(P262-O262,0)</f>
        <v>0</v>
      </c>
    </row>
    <row r="263">
      <c r="A263" s="19" t="str">
        <v>德国区</v>
      </c>
      <c r="B263" s="19" t="str">
        <v>杜塞尔多夫17号仓</v>
      </c>
      <c r="C263" s="19" t="str">
        <v>入库组</v>
      </c>
      <c r="D263" s="21" t="n">
        <v>46183</v>
      </c>
      <c r="E263" s="19" t="str">
        <v>2026-06</v>
      </c>
      <c r="F263" s="19" t="str">
        <v>操作员</v>
      </c>
      <c r="G263" s="19" t="str">
        <v>德国区-灵活班次 / DE FLEX</v>
      </c>
      <c r="H263" s="19" t="str">
        <v>S000316</v>
      </c>
      <c r="I263" s="19" t="str">
        <v>Nivux Estate e.Kfm</v>
      </c>
      <c r="J263" s="23" t="n">
        <v>2</v>
      </c>
      <c r="K263" s="23" t="n">
        <v>0</v>
      </c>
      <c r="L263" s="23" t="n">
        <f>J263+K263</f>
        <v>2</v>
      </c>
      <c r="M263" s="23" t="n">
        <v>3</v>
      </c>
      <c r="N263" s="23" t="n">
        <v>0</v>
      </c>
      <c r="O263" s="23" t="n">
        <v>3</v>
      </c>
      <c r="P263" s="23" t="n">
        <v>0</v>
      </c>
      <c r="Q263" s="23" t="n">
        <f>MIN(O263,P263)</f>
        <v>0</v>
      </c>
      <c r="R263" s="25" t="n">
        <f>IF(M263=0,0,MIN(1,L263/M263))</f>
        <v>0.6666666666666666</v>
      </c>
      <c r="S263" s="23" t="n">
        <f>O263*R263</f>
        <v>2</v>
      </c>
      <c r="T263" s="23" t="n">
        <f>MIN(P263,S263)</f>
        <v>0</v>
      </c>
      <c r="U263" s="23" t="n">
        <f>O263-S263</f>
        <v>1</v>
      </c>
      <c r="V263" s="23" t="n">
        <f>MAX(P263-O263,0)</f>
        <v>0</v>
      </c>
    </row>
    <row r="264">
      <c r="A264" s="19" t="str">
        <v>德国区</v>
      </c>
      <c r="B264" s="19" t="str">
        <v>杜塞尔多夫17号仓</v>
      </c>
      <c r="C264" s="19" t="str">
        <v>入库组</v>
      </c>
      <c r="D264" s="21" t="n">
        <v>46184</v>
      </c>
      <c r="E264" s="19" t="str">
        <v>2026-06</v>
      </c>
      <c r="F264" s="19" t="str">
        <v>操作员</v>
      </c>
      <c r="G264" s="19" t="str">
        <v>德国区-灵活班次 / DE FLEX</v>
      </c>
      <c r="H264" s="19" t="str">
        <v>S000327</v>
      </c>
      <c r="I264" s="19" t="str">
        <v>Gohar GmbH</v>
      </c>
      <c r="J264" s="23" t="n">
        <v>2</v>
      </c>
      <c r="K264" s="23" t="n">
        <v>0</v>
      </c>
      <c r="L264" s="23" t="n">
        <f>J264+K264</f>
        <v>2</v>
      </c>
      <c r="M264" s="23" t="n">
        <v>3</v>
      </c>
      <c r="N264" s="23" t="n">
        <v>3</v>
      </c>
      <c r="O264" s="23" t="n">
        <v>3</v>
      </c>
      <c r="P264" s="23" t="n">
        <v>3</v>
      </c>
      <c r="Q264" s="23" t="n">
        <f>MIN(O264,P264)</f>
        <v>3</v>
      </c>
      <c r="R264" s="25" t="n">
        <f>IF(M264=0,0,MIN(1,L264/M264))</f>
        <v>0.6666666666666666</v>
      </c>
      <c r="S264" s="23" t="n">
        <f>O264*R264</f>
        <v>2</v>
      </c>
      <c r="T264" s="23" t="n">
        <f>MIN(P264,S264)</f>
        <v>2</v>
      </c>
      <c r="U264" s="23" t="n">
        <f>O264-S264</f>
        <v>1</v>
      </c>
      <c r="V264" s="23" t="n">
        <f>MAX(P264-O264,0)</f>
        <v>0</v>
      </c>
    </row>
    <row r="265">
      <c r="A265" s="19" t="str">
        <v>德国区</v>
      </c>
      <c r="B265" s="19" t="str">
        <v>杜塞尔多夫18号仓</v>
      </c>
      <c r="C265" s="19" t="str">
        <v>交运组</v>
      </c>
      <c r="D265" s="21" t="n">
        <v>46153</v>
      </c>
      <c r="E265" s="19" t="str">
        <v>2026-05</v>
      </c>
      <c r="F265" s="19" t="str">
        <v>操作员</v>
      </c>
      <c r="G265" s="19" t="str">
        <v>德国区-灵活班次 / DE FLEX</v>
      </c>
      <c r="H265" s="19" t="str">
        <v>S000279</v>
      </c>
      <c r="I265" s="19" t="str">
        <v>Armz GmbH</v>
      </c>
      <c r="J265" s="23" t="n">
        <v>5</v>
      </c>
      <c r="K265" s="23" t="n">
        <v>0</v>
      </c>
      <c r="L265" s="23" t="n">
        <f>J265+K265</f>
        <v>5</v>
      </c>
      <c r="M265" s="23" t="n">
        <v>5</v>
      </c>
      <c r="N265" s="23" t="n">
        <v>5</v>
      </c>
      <c r="O265" s="23" t="n">
        <v>5</v>
      </c>
      <c r="P265" s="23" t="n">
        <v>5</v>
      </c>
      <c r="Q265" s="23" t="n">
        <f>MIN(O265,P265)</f>
        <v>5</v>
      </c>
      <c r="R265" s="25" t="n">
        <f>IF(M265=0,0,MIN(1,L265/M265))</f>
        <v>1</v>
      </c>
      <c r="S265" s="23" t="n">
        <f>O265*R265</f>
        <v>5</v>
      </c>
      <c r="T265" s="23" t="n">
        <f>MIN(P265,S265)</f>
        <v>5</v>
      </c>
      <c r="U265" s="23" t="n">
        <f>O265-S265</f>
        <v>0</v>
      </c>
      <c r="V265" s="23" t="n">
        <f>MAX(P265-O265,0)</f>
        <v>0</v>
      </c>
    </row>
    <row r="266">
      <c r="A266" s="19" t="str">
        <v>德国区</v>
      </c>
      <c r="B266" s="19" t="str">
        <v>杜塞尔多夫18号仓</v>
      </c>
      <c r="C266" s="19" t="str">
        <v>交运组</v>
      </c>
      <c r="D266" s="21" t="n">
        <v>46175</v>
      </c>
      <c r="E266" s="19" t="str">
        <v>2026-06</v>
      </c>
      <c r="F266" s="19" t="str">
        <v>操作员</v>
      </c>
      <c r="G266" s="19" t="str">
        <v>德国区-灵活班次 / DE FLEX</v>
      </c>
      <c r="H266" s="19" t="str">
        <v>S000327</v>
      </c>
      <c r="I266" s="19" t="str">
        <v>Gohar GmbH</v>
      </c>
      <c r="J266" s="23" t="n">
        <v>3</v>
      </c>
      <c r="K266" s="23" t="n">
        <v>0</v>
      </c>
      <c r="L266" s="23" t="n">
        <f>J266+K266</f>
        <v>3</v>
      </c>
      <c r="M266" s="23" t="n">
        <v>4</v>
      </c>
      <c r="N266" s="23" t="n">
        <v>4</v>
      </c>
      <c r="O266" s="23" t="n">
        <v>4</v>
      </c>
      <c r="P266" s="23" t="n">
        <v>4</v>
      </c>
      <c r="Q266" s="23" t="n">
        <f>MIN(O266,P266)</f>
        <v>4</v>
      </c>
      <c r="R266" s="25" t="n">
        <f>IF(M266=0,0,MIN(1,L266/M266))</f>
        <v>0.75</v>
      </c>
      <c r="S266" s="23" t="n">
        <f>O266*R266</f>
        <v>3</v>
      </c>
      <c r="T266" s="23" t="n">
        <f>MIN(P266,S266)</f>
        <v>3</v>
      </c>
      <c r="U266" s="23" t="n">
        <f>O266-S266</f>
        <v>1</v>
      </c>
      <c r="V266" s="23" t="n">
        <f>MAX(P266-O266,0)</f>
        <v>0</v>
      </c>
    </row>
    <row r="267">
      <c r="A267" s="19" t="str">
        <v>德国区</v>
      </c>
      <c r="B267" s="19" t="str">
        <v>杜塞尔多夫18号仓</v>
      </c>
      <c r="C267" s="19" t="str">
        <v>入库组</v>
      </c>
      <c r="D267" s="21" t="n">
        <v>46161</v>
      </c>
      <c r="E267" s="19" t="str">
        <v>2026-05</v>
      </c>
      <c r="F267" s="19" t="str">
        <v>操作员</v>
      </c>
      <c r="G267" s="19" t="str">
        <v>德国区-灵活班次 / DE FLEX</v>
      </c>
      <c r="H267" s="19" t="str">
        <v>S000300</v>
      </c>
      <c r="I267" s="19" t="str">
        <v>LeXpersonal GmbH</v>
      </c>
      <c r="J267" s="23" t="n">
        <v>2</v>
      </c>
      <c r="K267" s="23" t="n">
        <v>0</v>
      </c>
      <c r="L267" s="23" t="n">
        <f>J267+K267</f>
        <v>2</v>
      </c>
      <c r="M267" s="23" t="n">
        <v>6</v>
      </c>
      <c r="N267" s="23" t="n">
        <v>5</v>
      </c>
      <c r="O267" s="23" t="n">
        <v>6</v>
      </c>
      <c r="P267" s="23" t="n">
        <v>5</v>
      </c>
      <c r="Q267" s="23" t="n">
        <f>MIN(O267,P267)</f>
        <v>5</v>
      </c>
      <c r="R267" s="25" t="n">
        <f>IF(M267=0,0,MIN(1,L267/M267))</f>
        <v>0.3333333333333333</v>
      </c>
      <c r="S267" s="23" t="n">
        <f>O267*R267</f>
        <v>2</v>
      </c>
      <c r="T267" s="23" t="n">
        <f>MIN(P267,S267)</f>
        <v>2</v>
      </c>
      <c r="U267" s="23" t="n">
        <f>O267-S267</f>
        <v>4</v>
      </c>
      <c r="V267" s="23" t="n">
        <f>MAX(P267-O267,0)</f>
        <v>0</v>
      </c>
    </row>
    <row r="268">
      <c r="A268" s="19" t="str">
        <v>德国区</v>
      </c>
      <c r="B268" s="19" t="str">
        <v>杜塞尔多夫18号仓</v>
      </c>
      <c r="C268" s="19" t="str">
        <v>入库组</v>
      </c>
      <c r="D268" s="21" t="n">
        <v>46162</v>
      </c>
      <c r="E268" s="19" t="str">
        <v>2026-05</v>
      </c>
      <c r="F268" s="19" t="str">
        <v>操作员</v>
      </c>
      <c r="G268" s="19" t="str">
        <v>德国区-灵活班次 / DE FLEX</v>
      </c>
      <c r="H268" s="19" t="str">
        <v>S000279</v>
      </c>
      <c r="I268" s="19" t="str">
        <v>Armz GmbH</v>
      </c>
      <c r="J268" s="23" t="n">
        <v>2</v>
      </c>
      <c r="K268" s="23" t="n">
        <v>0</v>
      </c>
      <c r="L268" s="23" t="n">
        <f>J268+K268</f>
        <v>2</v>
      </c>
      <c r="M268" s="23" t="n">
        <v>5</v>
      </c>
      <c r="N268" s="23" t="n">
        <v>4</v>
      </c>
      <c r="O268" s="23" t="n">
        <v>5</v>
      </c>
      <c r="P268" s="23" t="n">
        <v>4</v>
      </c>
      <c r="Q268" s="23" t="n">
        <f>MIN(O268,P268)</f>
        <v>4</v>
      </c>
      <c r="R268" s="25" t="n">
        <f>IF(M268=0,0,MIN(1,L268/M268))</f>
        <v>0.4</v>
      </c>
      <c r="S268" s="23" t="n">
        <f>O268*R268</f>
        <v>2</v>
      </c>
      <c r="T268" s="23" t="n">
        <f>MIN(P268,S268)</f>
        <v>2</v>
      </c>
      <c r="U268" s="23" t="n">
        <f>O268-S268</f>
        <v>3</v>
      </c>
      <c r="V268" s="23" t="n">
        <f>MAX(P268-O268,0)</f>
        <v>0</v>
      </c>
    </row>
    <row r="269">
      <c r="A269" s="19" t="str">
        <v>德国区</v>
      </c>
      <c r="B269" s="19" t="str">
        <v>杜塞尔多夫18号仓</v>
      </c>
      <c r="C269" s="19" t="str">
        <v>入库组</v>
      </c>
      <c r="D269" s="21" t="n">
        <v>46163</v>
      </c>
      <c r="E269" s="19" t="str">
        <v>2026-05</v>
      </c>
      <c r="F269" s="19" t="str">
        <v>操作员</v>
      </c>
      <c r="G269" s="19" t="str">
        <v>德国区-灵活班次 / DE FLEX</v>
      </c>
      <c r="H269" s="19" t="str">
        <v>S000279</v>
      </c>
      <c r="I269" s="19" t="str">
        <v>Armz GmbH</v>
      </c>
      <c r="J269" s="23" t="n">
        <v>2</v>
      </c>
      <c r="K269" s="23" t="n">
        <v>0</v>
      </c>
      <c r="L269" s="23" t="n">
        <f>J269+K269</f>
        <v>2</v>
      </c>
      <c r="M269" s="23" t="n">
        <v>2</v>
      </c>
      <c r="N269" s="23" t="n">
        <v>0</v>
      </c>
      <c r="O269" s="23" t="n">
        <v>2</v>
      </c>
      <c r="P269" s="23" t="n">
        <v>0</v>
      </c>
      <c r="Q269" s="23" t="n">
        <f>MIN(O269,P269)</f>
        <v>0</v>
      </c>
      <c r="R269" s="25" t="n">
        <f>IF(M269=0,0,MIN(1,L269/M269))</f>
        <v>1</v>
      </c>
      <c r="S269" s="23" t="n">
        <f>O269*R269</f>
        <v>2</v>
      </c>
      <c r="T269" s="23" t="n">
        <f>MIN(P269,S269)</f>
        <v>0</v>
      </c>
      <c r="U269" s="23" t="n">
        <f>O269-S269</f>
        <v>0</v>
      </c>
      <c r="V269" s="23" t="n">
        <f>MAX(P269-O269,0)</f>
        <v>0</v>
      </c>
    </row>
    <row r="270">
      <c r="A270" s="19" t="str">
        <v>德国区</v>
      </c>
      <c r="B270" s="19" t="str">
        <v>杜塞尔多夫18号仓</v>
      </c>
      <c r="C270" s="19" t="str">
        <v>入库组</v>
      </c>
      <c r="D270" s="21" t="n">
        <v>46175</v>
      </c>
      <c r="E270" s="19" t="str">
        <v>2026-06</v>
      </c>
      <c r="F270" s="19" t="str">
        <v>操作员</v>
      </c>
      <c r="G270" s="19" t="str">
        <v>德国区8:30班次（18仓）</v>
      </c>
      <c r="H270" s="19" t="str">
        <v>S000327</v>
      </c>
      <c r="I270" s="19" t="str">
        <v>Gohar GmbH</v>
      </c>
      <c r="J270" s="23" t="n">
        <v>2</v>
      </c>
      <c r="K270" s="23" t="n">
        <v>0</v>
      </c>
      <c r="L270" s="23" t="n">
        <f>J270+K270</f>
        <v>2</v>
      </c>
      <c r="M270" s="23" t="n">
        <v>5</v>
      </c>
      <c r="N270" s="23" t="n">
        <v>5</v>
      </c>
      <c r="O270" s="23" t="n">
        <v>5</v>
      </c>
      <c r="P270" s="23" t="n">
        <v>5</v>
      </c>
      <c r="Q270" s="23" t="n">
        <f>MIN(O270,P270)</f>
        <v>5</v>
      </c>
      <c r="R270" s="25" t="n">
        <f>IF(M270=0,0,MIN(1,L270/M270))</f>
        <v>0.4</v>
      </c>
      <c r="S270" s="23" t="n">
        <f>O270*R270</f>
        <v>2</v>
      </c>
      <c r="T270" s="23" t="n">
        <f>MIN(P270,S270)</f>
        <v>2</v>
      </c>
      <c r="U270" s="23" t="n">
        <f>O270-S270</f>
        <v>3</v>
      </c>
      <c r="V270" s="23" t="n">
        <f>MAX(P270-O270,0)</f>
        <v>0</v>
      </c>
    </row>
    <row r="271">
      <c r="A271" s="19" t="str">
        <v>德国区</v>
      </c>
      <c r="B271" s="19" t="str">
        <v>杜塞尔多夫18号仓</v>
      </c>
      <c r="C271" s="19" t="str">
        <v>包装组</v>
      </c>
      <c r="D271" s="21" t="n">
        <v>46146</v>
      </c>
      <c r="E271" s="19" t="str">
        <v>2026-05</v>
      </c>
      <c r="F271" s="19" t="str">
        <v>操作员</v>
      </c>
      <c r="G271" s="19" t="str">
        <v>德国区-灵活班次 / DE FLEX</v>
      </c>
      <c r="H271" s="19" t="str">
        <v>S000300</v>
      </c>
      <c r="I271" s="19" t="str">
        <v>LeXpersonal GmbH</v>
      </c>
      <c r="J271" s="23" t="n">
        <v>5</v>
      </c>
      <c r="K271" s="23" t="n">
        <v>0</v>
      </c>
      <c r="L271" s="23" t="n">
        <f>J271+K271</f>
        <v>5</v>
      </c>
      <c r="M271" s="23" t="n">
        <v>5</v>
      </c>
      <c r="N271" s="23" t="n">
        <v>5</v>
      </c>
      <c r="O271" s="23" t="n">
        <v>5</v>
      </c>
      <c r="P271" s="23" t="n">
        <v>5</v>
      </c>
      <c r="Q271" s="23" t="n">
        <f>MIN(O271,P271)</f>
        <v>5</v>
      </c>
      <c r="R271" s="25" t="n">
        <f>IF(M271=0,0,MIN(1,L271/M271))</f>
        <v>1</v>
      </c>
      <c r="S271" s="23" t="n">
        <f>O271*R271</f>
        <v>5</v>
      </c>
      <c r="T271" s="23" t="n">
        <f>MIN(P271,S271)</f>
        <v>5</v>
      </c>
      <c r="U271" s="23" t="n">
        <f>O271-S271</f>
        <v>0</v>
      </c>
      <c r="V271" s="23" t="n">
        <f>MAX(P271-O271,0)</f>
        <v>0</v>
      </c>
    </row>
    <row r="272">
      <c r="A272" s="19" t="str">
        <v>德国区</v>
      </c>
      <c r="B272" s="19" t="str">
        <v>杜塞尔多夫18号仓</v>
      </c>
      <c r="C272" s="19" t="str">
        <v>包装组</v>
      </c>
      <c r="D272" s="21" t="n">
        <v>46147</v>
      </c>
      <c r="E272" s="19" t="str">
        <v>2026-05</v>
      </c>
      <c r="F272" s="19" t="str">
        <v>操作员</v>
      </c>
      <c r="G272" s="19" t="str">
        <v>德国区-灵活班次 / DE FLEX</v>
      </c>
      <c r="H272" s="19" t="str">
        <v>S000300</v>
      </c>
      <c r="I272" s="19" t="str">
        <v>LeXpersonal GmbH</v>
      </c>
      <c r="J272" s="23" t="n">
        <v>5</v>
      </c>
      <c r="K272" s="23" t="n">
        <v>0</v>
      </c>
      <c r="L272" s="23" t="n">
        <f>J272+K272</f>
        <v>5</v>
      </c>
      <c r="M272" s="23" t="n">
        <v>5</v>
      </c>
      <c r="N272" s="23" t="n">
        <v>5</v>
      </c>
      <c r="O272" s="23" t="n">
        <v>5</v>
      </c>
      <c r="P272" s="23" t="n">
        <v>5</v>
      </c>
      <c r="Q272" s="23" t="n">
        <f>MIN(O272,P272)</f>
        <v>5</v>
      </c>
      <c r="R272" s="25" t="n">
        <f>IF(M272=0,0,MIN(1,L272/M272))</f>
        <v>1</v>
      </c>
      <c r="S272" s="23" t="n">
        <f>O272*R272</f>
        <v>5</v>
      </c>
      <c r="T272" s="23" t="n">
        <f>MIN(P272,S272)</f>
        <v>5</v>
      </c>
      <c r="U272" s="23" t="n">
        <f>O272-S272</f>
        <v>0</v>
      </c>
      <c r="V272" s="23" t="n">
        <f>MAX(P272-O272,0)</f>
        <v>0</v>
      </c>
    </row>
    <row r="273">
      <c r="A273" s="19" t="str">
        <v>德国区</v>
      </c>
      <c r="B273" s="19" t="str">
        <v>杜塞尔多夫18号仓</v>
      </c>
      <c r="C273" s="19" t="str">
        <v>包装组</v>
      </c>
      <c r="D273" s="21" t="n">
        <v>46148</v>
      </c>
      <c r="E273" s="19" t="str">
        <v>2026-05</v>
      </c>
      <c r="F273" s="19" t="str">
        <v>操作员</v>
      </c>
      <c r="G273" s="19" t="str">
        <v>德国区-灵活班次 / DE FLEX</v>
      </c>
      <c r="H273" s="19" t="str">
        <v>S000300</v>
      </c>
      <c r="I273" s="19" t="str">
        <v>LeXpersonal GmbH</v>
      </c>
      <c r="J273" s="23" t="n">
        <v>5</v>
      </c>
      <c r="K273" s="23" t="n">
        <v>0</v>
      </c>
      <c r="L273" s="23" t="n">
        <f>J273+K273</f>
        <v>5</v>
      </c>
      <c r="M273" s="23" t="n">
        <v>5</v>
      </c>
      <c r="N273" s="23" t="n">
        <v>5</v>
      </c>
      <c r="O273" s="23" t="n">
        <v>5</v>
      </c>
      <c r="P273" s="23" t="n">
        <v>5</v>
      </c>
      <c r="Q273" s="23" t="n">
        <f>MIN(O273,P273)</f>
        <v>5</v>
      </c>
      <c r="R273" s="25" t="n">
        <f>IF(M273=0,0,MIN(1,L273/M273))</f>
        <v>1</v>
      </c>
      <c r="S273" s="23" t="n">
        <f>O273*R273</f>
        <v>5</v>
      </c>
      <c r="T273" s="23" t="n">
        <f>MIN(P273,S273)</f>
        <v>5</v>
      </c>
      <c r="U273" s="23" t="n">
        <f>O273-S273</f>
        <v>0</v>
      </c>
      <c r="V273" s="23" t="n">
        <f>MAX(P273-O273,0)</f>
        <v>0</v>
      </c>
    </row>
    <row r="274">
      <c r="A274" s="19" t="str">
        <v>德国区</v>
      </c>
      <c r="B274" s="19" t="str">
        <v>杜塞尔多夫18号仓</v>
      </c>
      <c r="C274" s="19" t="str">
        <v>包装组</v>
      </c>
      <c r="D274" s="21" t="n">
        <v>46176</v>
      </c>
      <c r="E274" s="19" t="str">
        <v>2026-06</v>
      </c>
      <c r="F274" s="19" t="str">
        <v>操作员</v>
      </c>
      <c r="G274" s="19" t="str">
        <v>德国区-灵活班次 / DE FLEX</v>
      </c>
      <c r="H274" s="19" t="str">
        <v>S000327</v>
      </c>
      <c r="I274" s="19" t="str">
        <v>Gohar GmbH</v>
      </c>
      <c r="J274" s="23" t="n">
        <v>1</v>
      </c>
      <c r="K274" s="23" t="n">
        <v>0</v>
      </c>
      <c r="L274" s="23" t="n">
        <f>J274+K274</f>
        <v>1</v>
      </c>
      <c r="M274" s="23" t="n">
        <v>5</v>
      </c>
      <c r="N274" s="23" t="n">
        <v>2</v>
      </c>
      <c r="O274" s="23" t="n">
        <v>5</v>
      </c>
      <c r="P274" s="23" t="n">
        <v>2</v>
      </c>
      <c r="Q274" s="23" t="n">
        <f>MIN(O274,P274)</f>
        <v>2</v>
      </c>
      <c r="R274" s="25" t="n">
        <f>IF(M274=0,0,MIN(1,L274/M274))</f>
        <v>0.2</v>
      </c>
      <c r="S274" s="23" t="n">
        <f>O274*R274</f>
        <v>1</v>
      </c>
      <c r="T274" s="23" t="n">
        <f>MIN(P274,S274)</f>
        <v>1</v>
      </c>
      <c r="U274" s="23" t="n">
        <f>O274-S274</f>
        <v>4</v>
      </c>
      <c r="V274" s="23" t="n">
        <f>MAX(P274-O274,0)</f>
        <v>0</v>
      </c>
    </row>
    <row r="275">
      <c r="A275" s="19" t="str">
        <v>德国区</v>
      </c>
      <c r="B275" s="19" t="str">
        <v>杜塞尔多夫18号仓</v>
      </c>
      <c r="C275" s="19" t="str">
        <v>包装组</v>
      </c>
      <c r="D275" s="21" t="n">
        <v>46177</v>
      </c>
      <c r="E275" s="19" t="str">
        <v>2026-06</v>
      </c>
      <c r="F275" s="19" t="str">
        <v>操作员</v>
      </c>
      <c r="G275" s="19" t="str">
        <v>德国区-灵活班次 / DE FLEX</v>
      </c>
      <c r="H275" s="19" t="str">
        <v>S000327</v>
      </c>
      <c r="I275" s="19" t="str">
        <v>Gohar GmbH</v>
      </c>
      <c r="J275" s="23" t="n">
        <v>1</v>
      </c>
      <c r="K275" s="23" t="n">
        <v>0</v>
      </c>
      <c r="L275" s="23" t="n">
        <f>J275+K275</f>
        <v>1</v>
      </c>
      <c r="M275" s="23" t="n">
        <v>5</v>
      </c>
      <c r="N275" s="23" t="n">
        <v>5</v>
      </c>
      <c r="O275" s="23" t="n">
        <v>5</v>
      </c>
      <c r="P275" s="23" t="n">
        <v>5</v>
      </c>
      <c r="Q275" s="23" t="n">
        <f>MIN(O275,P275)</f>
        <v>5</v>
      </c>
      <c r="R275" s="25" t="n">
        <f>IF(M275=0,0,MIN(1,L275/M275))</f>
        <v>0.2</v>
      </c>
      <c r="S275" s="23" t="n">
        <f>O275*R275</f>
        <v>1</v>
      </c>
      <c r="T275" s="23" t="n">
        <f>MIN(P275,S275)</f>
        <v>1</v>
      </c>
      <c r="U275" s="23" t="n">
        <f>O275-S275</f>
        <v>4</v>
      </c>
      <c r="V275" s="23" t="n">
        <f>MAX(P275-O275,0)</f>
        <v>0</v>
      </c>
    </row>
    <row r="276">
      <c r="A276" s="19" t="str">
        <v>德国区</v>
      </c>
      <c r="B276" s="19" t="str">
        <v>杜塞尔多夫18号仓</v>
      </c>
      <c r="C276" s="19" t="str">
        <v>包装组</v>
      </c>
      <c r="D276" s="21" t="n">
        <v>46178</v>
      </c>
      <c r="E276" s="19" t="str">
        <v>2026-06</v>
      </c>
      <c r="F276" s="19" t="str">
        <v>操作员</v>
      </c>
      <c r="G276" s="19" t="str">
        <v>德国区-灵活班次 / DE FLEX</v>
      </c>
      <c r="H276" s="19" t="str">
        <v>S000316</v>
      </c>
      <c r="I276" s="19" t="str">
        <v>Nivux Estate e.Kfm</v>
      </c>
      <c r="J276" s="23" t="n">
        <v>1</v>
      </c>
      <c r="K276" s="23" t="n">
        <v>0</v>
      </c>
      <c r="L276" s="23" t="n">
        <f>J276+K276</f>
        <v>1</v>
      </c>
      <c r="M276" s="23" t="n">
        <v>5</v>
      </c>
      <c r="N276" s="23" t="n">
        <v>5</v>
      </c>
      <c r="O276" s="23" t="n">
        <v>5</v>
      </c>
      <c r="P276" s="23" t="n">
        <v>5</v>
      </c>
      <c r="Q276" s="23" t="n">
        <f>MIN(O276,P276)</f>
        <v>5</v>
      </c>
      <c r="R276" s="25" t="n">
        <f>IF(M276=0,0,MIN(1,L276/M276))</f>
        <v>0.2</v>
      </c>
      <c r="S276" s="23" t="n">
        <f>O276*R276</f>
        <v>1</v>
      </c>
      <c r="T276" s="23" t="n">
        <f>MIN(P276,S276)</f>
        <v>1</v>
      </c>
      <c r="U276" s="23" t="n">
        <f>O276-S276</f>
        <v>4</v>
      </c>
      <c r="V276" s="23" t="n">
        <f>MAX(P276-O276,0)</f>
        <v>0</v>
      </c>
    </row>
    <row r="277">
      <c r="A277" s="19" t="str">
        <v>德国区</v>
      </c>
      <c r="B277" s="19" t="str">
        <v>杜塞尔多夫18号仓</v>
      </c>
      <c r="C277" s="19" t="str">
        <v>包装组</v>
      </c>
      <c r="D277" s="21" t="n">
        <v>46196</v>
      </c>
      <c r="E277" s="19" t="str">
        <v>2026-06</v>
      </c>
      <c r="F277" s="19" t="str">
        <v>操作员</v>
      </c>
      <c r="G277" s="19" t="str">
        <v>德国区-灵活班次 / DE FLEX</v>
      </c>
      <c r="H277" s="19" t="str">
        <v>S000261</v>
      </c>
      <c r="I277" s="19" t="str">
        <v>ProQuality GmbH</v>
      </c>
      <c r="J277" s="23" t="n">
        <v>3</v>
      </c>
      <c r="K277" s="23" t="n">
        <v>0</v>
      </c>
      <c r="L277" s="23" t="n">
        <f>J277+K277</f>
        <v>3</v>
      </c>
      <c r="M277" s="23" t="n">
        <v>3</v>
      </c>
      <c r="N277" s="23" t="n">
        <v>3</v>
      </c>
      <c r="O277" s="23" t="n">
        <v>3</v>
      </c>
      <c r="P277" s="23" t="n">
        <v>3</v>
      </c>
      <c r="Q277" s="23" t="n">
        <f>MIN(O277,P277)</f>
        <v>3</v>
      </c>
      <c r="R277" s="25" t="n">
        <f>IF(M277=0,0,MIN(1,L277/M277))</f>
        <v>1</v>
      </c>
      <c r="S277" s="23" t="n">
        <f>O277*R277</f>
        <v>3</v>
      </c>
      <c r="T277" s="23" t="n">
        <f>MIN(P277,S277)</f>
        <v>3</v>
      </c>
      <c r="U277" s="23" t="n">
        <f>O277-S277</f>
        <v>0</v>
      </c>
      <c r="V277" s="23" t="n">
        <f>MAX(P277-O277,0)</f>
        <v>0</v>
      </c>
    </row>
    <row r="278">
      <c r="A278" s="19" t="str">
        <v>德国区</v>
      </c>
      <c r="B278" s="19" t="str">
        <v>杜塞尔多夫18号仓</v>
      </c>
      <c r="C278" s="19" t="str">
        <v>包装组</v>
      </c>
      <c r="D278" s="21" t="n">
        <v>46197</v>
      </c>
      <c r="E278" s="19" t="str">
        <v>2026-06</v>
      </c>
      <c r="F278" s="19" t="str">
        <v>操作员</v>
      </c>
      <c r="G278" s="19" t="str">
        <v>德国区-灵活班次 / DE FLEX</v>
      </c>
      <c r="H278" s="19" t="str">
        <v>S000261</v>
      </c>
      <c r="I278" s="19" t="str">
        <v>ProQuality GmbH</v>
      </c>
      <c r="J278" s="23" t="n">
        <v>3</v>
      </c>
      <c r="K278" s="23" t="n">
        <v>0</v>
      </c>
      <c r="L278" s="23" t="n">
        <f>J278+K278</f>
        <v>3</v>
      </c>
      <c r="M278" s="23" t="n">
        <v>4</v>
      </c>
      <c r="N278" s="23" t="n">
        <v>4</v>
      </c>
      <c r="O278" s="23" t="n">
        <v>4</v>
      </c>
      <c r="P278" s="23" t="n">
        <v>4</v>
      </c>
      <c r="Q278" s="23" t="n">
        <f>MIN(O278,P278)</f>
        <v>4</v>
      </c>
      <c r="R278" s="25" t="n">
        <f>IF(M278=0,0,MIN(1,L278/M278))</f>
        <v>0.75</v>
      </c>
      <c r="S278" s="23" t="n">
        <f>O278*R278</f>
        <v>3</v>
      </c>
      <c r="T278" s="23" t="n">
        <f>MIN(P278,S278)</f>
        <v>3</v>
      </c>
      <c r="U278" s="23" t="n">
        <f>O278-S278</f>
        <v>1</v>
      </c>
      <c r="V278" s="23" t="n">
        <f>MAX(P278-O278,0)</f>
        <v>0</v>
      </c>
    </row>
    <row r="279">
      <c r="A279" s="19" t="str">
        <v>德国区</v>
      </c>
      <c r="B279" s="19" t="str">
        <v>杜塞尔多夫18号仓</v>
      </c>
      <c r="C279" s="19" t="str">
        <v>售后组</v>
      </c>
      <c r="D279" s="21" t="n">
        <v>46168</v>
      </c>
      <c r="E279" s="19" t="str">
        <v>2026-05</v>
      </c>
      <c r="F279" s="19" t="str">
        <v>售后处理员</v>
      </c>
      <c r="G279" s="19" t="str">
        <v>德国区-灵活班次 / DE FLEX</v>
      </c>
      <c r="H279" s="19" t="str">
        <v>S000300</v>
      </c>
      <c r="I279" s="19" t="str">
        <v>LeXpersonal GmbH</v>
      </c>
      <c r="J279" s="23" t="n">
        <v>3</v>
      </c>
      <c r="K279" s="23" t="n">
        <v>0</v>
      </c>
      <c r="L279" s="23" t="n">
        <f>J279+K279</f>
        <v>3</v>
      </c>
      <c r="M279" s="23" t="n">
        <v>4</v>
      </c>
      <c r="N279" s="23" t="n">
        <v>0</v>
      </c>
      <c r="O279" s="23" t="n">
        <v>4</v>
      </c>
      <c r="P279" s="23" t="n">
        <v>0</v>
      </c>
      <c r="Q279" s="23" t="n">
        <f>MIN(O279,P279)</f>
        <v>0</v>
      </c>
      <c r="R279" s="25" t="n">
        <f>IF(M279=0,0,MIN(1,L279/M279))</f>
        <v>0.75</v>
      </c>
      <c r="S279" s="23" t="n">
        <f>O279*R279</f>
        <v>3</v>
      </c>
      <c r="T279" s="23" t="n">
        <f>MIN(P279,S279)</f>
        <v>0</v>
      </c>
      <c r="U279" s="23" t="n">
        <f>O279-S279</f>
        <v>1</v>
      </c>
      <c r="V279" s="23" t="n">
        <f>MAX(P279-O279,0)</f>
        <v>0</v>
      </c>
    </row>
    <row r="280">
      <c r="A280" s="19" t="str">
        <v>德国区</v>
      </c>
      <c r="B280" s="19" t="str">
        <v>杜塞尔多夫18号仓</v>
      </c>
      <c r="C280" s="19" t="str">
        <v>售后组</v>
      </c>
      <c r="D280" s="21" t="n">
        <v>46175</v>
      </c>
      <c r="E280" s="19" t="str">
        <v>2026-06</v>
      </c>
      <c r="F280" s="19" t="str">
        <v>操作员</v>
      </c>
      <c r="G280" s="19" t="str">
        <v>德国区8:30班次（18仓）</v>
      </c>
      <c r="H280" s="19" t="str">
        <v>S000316</v>
      </c>
      <c r="I280" s="19" t="str">
        <v>Nivux Estate e.Kfm</v>
      </c>
      <c r="J280" s="23" t="n">
        <v>2</v>
      </c>
      <c r="K280" s="23" t="n">
        <v>0</v>
      </c>
      <c r="L280" s="23" t="n">
        <f>J280+K280</f>
        <v>2</v>
      </c>
      <c r="M280" s="23" t="n">
        <v>2</v>
      </c>
      <c r="N280" s="23" t="n">
        <v>2</v>
      </c>
      <c r="O280" s="23" t="n">
        <v>2</v>
      </c>
      <c r="P280" s="23" t="n">
        <v>2</v>
      </c>
      <c r="Q280" s="23" t="n">
        <f>MIN(O280,P280)</f>
        <v>2</v>
      </c>
      <c r="R280" s="25" t="n">
        <f>IF(M280=0,0,MIN(1,L280/M280))</f>
        <v>1</v>
      </c>
      <c r="S280" s="23" t="n">
        <f>O280*R280</f>
        <v>2</v>
      </c>
      <c r="T280" s="23" t="n">
        <f>MIN(P280,S280)</f>
        <v>2</v>
      </c>
      <c r="U280" s="23" t="n">
        <f>O280-S280</f>
        <v>0</v>
      </c>
      <c r="V280" s="23" t="n">
        <f>MAX(P280-O280,0)</f>
        <v>0</v>
      </c>
    </row>
    <row r="281">
      <c r="A281" s="19" t="str">
        <v>德国区</v>
      </c>
      <c r="B281" s="19" t="str">
        <v>杜塞尔多夫18号仓</v>
      </c>
      <c r="C281" s="19" t="str">
        <v>售后组</v>
      </c>
      <c r="D281" s="21" t="n">
        <v>46177</v>
      </c>
      <c r="E281" s="19" t="str">
        <v>2026-06</v>
      </c>
      <c r="F281" s="19" t="str">
        <v>售后处理员</v>
      </c>
      <c r="G281" s="19" t="str">
        <v>德国区-灵活班次 / DE FLEX</v>
      </c>
      <c r="H281" s="19" t="str">
        <v>S000279</v>
      </c>
      <c r="I281" s="19" t="str">
        <v>Armz GmbH</v>
      </c>
      <c r="J281" s="23" t="n">
        <v>3</v>
      </c>
      <c r="K281" s="23" t="n">
        <v>0</v>
      </c>
      <c r="L281" s="23" t="n">
        <f>J281+K281</f>
        <v>3</v>
      </c>
      <c r="M281" s="23" t="n">
        <v>3</v>
      </c>
      <c r="N281" s="23" t="n">
        <v>2</v>
      </c>
      <c r="O281" s="23" t="n">
        <v>3</v>
      </c>
      <c r="P281" s="23" t="n">
        <v>2</v>
      </c>
      <c r="Q281" s="23" t="n">
        <f>MIN(O281,P281)</f>
        <v>2</v>
      </c>
      <c r="R281" s="25" t="n">
        <f>IF(M281=0,0,MIN(1,L281/M281))</f>
        <v>1</v>
      </c>
      <c r="S281" s="23" t="n">
        <f>O281*R281</f>
        <v>3</v>
      </c>
      <c r="T281" s="23" t="n">
        <f>MIN(P281,S281)</f>
        <v>2</v>
      </c>
      <c r="U281" s="23" t="n">
        <f>O281-S281</f>
        <v>0</v>
      </c>
      <c r="V281" s="23" t="n">
        <f>MAX(P281-O281,0)</f>
        <v>0</v>
      </c>
    </row>
    <row r="282">
      <c r="A282" s="19" t="str">
        <v>德国区</v>
      </c>
      <c r="B282" s="19" t="str">
        <v>杜塞尔多夫18号仓</v>
      </c>
      <c r="C282" s="19" t="str">
        <v>售后组</v>
      </c>
      <c r="D282" s="21" t="n">
        <v>46185</v>
      </c>
      <c r="E282" s="19" t="str">
        <v>2026-06</v>
      </c>
      <c r="F282" s="19" t="str">
        <v>操作员</v>
      </c>
      <c r="G282" s="19" t="str">
        <v>德国区-灵活班次 / DE FLEX</v>
      </c>
      <c r="H282" s="19" t="str">
        <v>S000279</v>
      </c>
      <c r="I282" s="19" t="str">
        <v>Armz GmbH</v>
      </c>
      <c r="J282" s="23" t="n">
        <v>3</v>
      </c>
      <c r="K282" s="23" t="n">
        <v>0</v>
      </c>
      <c r="L282" s="23" t="n">
        <f>J282+K282</f>
        <v>3</v>
      </c>
      <c r="M282" s="23" t="n">
        <v>3</v>
      </c>
      <c r="N282" s="23" t="n">
        <v>3</v>
      </c>
      <c r="O282" s="23" t="n">
        <v>3</v>
      </c>
      <c r="P282" s="23" t="n">
        <v>3</v>
      </c>
      <c r="Q282" s="23" t="n">
        <f>MIN(O282,P282)</f>
        <v>3</v>
      </c>
      <c r="R282" s="25" t="n">
        <f>IF(M282=0,0,MIN(1,L282/M282))</f>
        <v>1</v>
      </c>
      <c r="S282" s="23" t="n">
        <f>O282*R282</f>
        <v>3</v>
      </c>
      <c r="T282" s="23" t="n">
        <f>MIN(P282,S282)</f>
        <v>3</v>
      </c>
      <c r="U282" s="23" t="n">
        <f>O282-S282</f>
        <v>0</v>
      </c>
      <c r="V282" s="23" t="n">
        <f>MAX(P282-O282,0)</f>
        <v>0</v>
      </c>
    </row>
    <row r="283">
      <c r="A283" s="19" t="str">
        <v>德国区</v>
      </c>
      <c r="B283" s="19" t="str">
        <v>杜塞尔多夫18号仓</v>
      </c>
      <c r="C283" s="19" t="str">
        <v>售后组</v>
      </c>
      <c r="D283" s="21" t="n">
        <v>46195</v>
      </c>
      <c r="E283" s="19" t="str">
        <v>2026-06</v>
      </c>
      <c r="F283" s="19" t="str">
        <v>操作员</v>
      </c>
      <c r="G283" s="19" t="str">
        <v>德国区-灵活班次 / DE FLEX</v>
      </c>
      <c r="H283" s="19" t="str">
        <v>S000316</v>
      </c>
      <c r="I283" s="19" t="str">
        <v>Nivux Estate e.Kfm</v>
      </c>
      <c r="J283" s="23" t="n">
        <v>9</v>
      </c>
      <c r="K283" s="23" t="n">
        <v>0</v>
      </c>
      <c r="L283" s="23" t="n">
        <f>J283+K283</f>
        <v>9</v>
      </c>
      <c r="M283" s="23" t="n">
        <v>4</v>
      </c>
      <c r="N283" s="23" t="n">
        <v>4</v>
      </c>
      <c r="O283" s="23" t="n">
        <v>4</v>
      </c>
      <c r="P283" s="23" t="n">
        <v>4</v>
      </c>
      <c r="Q283" s="23" t="n">
        <f>MIN(O283,P283)</f>
        <v>4</v>
      </c>
      <c r="R283" s="25" t="n">
        <f>IF(M283=0,0,MIN(1,L283/M283))</f>
        <v>1</v>
      </c>
      <c r="S283" s="23" t="n">
        <f>O283*R283</f>
        <v>4</v>
      </c>
      <c r="T283" s="23" t="n">
        <f>MIN(P283,S283)</f>
        <v>4</v>
      </c>
      <c r="U283" s="23" t="n">
        <f>O283-S283</f>
        <v>0</v>
      </c>
      <c r="V283" s="23" t="n">
        <f>MAX(P283-O283,0)</f>
        <v>0</v>
      </c>
    </row>
    <row r="284">
      <c r="A284" s="19" t="str">
        <v>德国区</v>
      </c>
      <c r="B284" s="19" t="str">
        <v>杜塞尔多夫18号仓</v>
      </c>
      <c r="C284" s="19" t="str">
        <v>售后组</v>
      </c>
      <c r="D284" s="21" t="n">
        <v>46203</v>
      </c>
      <c r="E284" s="19" t="str">
        <v>2026-06</v>
      </c>
      <c r="F284" s="19" t="str">
        <v>操作员</v>
      </c>
      <c r="G284" s="19" t="str">
        <v>德国区-灵活班次 / DE FLEX</v>
      </c>
      <c r="H284" s="19" t="str">
        <v>S000279</v>
      </c>
      <c r="I284" s="19" t="str">
        <v>Armz GmbH</v>
      </c>
      <c r="J284" s="23" t="n">
        <v>1</v>
      </c>
      <c r="K284" s="23" t="n">
        <v>0</v>
      </c>
      <c r="L284" s="23" t="n">
        <f>J284+K284</f>
        <v>1</v>
      </c>
      <c r="M284" s="23" t="n">
        <v>1</v>
      </c>
      <c r="N284" s="23" t="n">
        <v>0</v>
      </c>
      <c r="O284" s="23" t="n">
        <v>1</v>
      </c>
      <c r="P284" s="23" t="n">
        <v>0</v>
      </c>
      <c r="Q284" s="23" t="n">
        <f>MIN(O284,P284)</f>
        <v>0</v>
      </c>
      <c r="R284" s="25" t="n">
        <f>IF(M284=0,0,MIN(1,L284/M284))</f>
        <v>1</v>
      </c>
      <c r="S284" s="23" t="n">
        <f>O284*R284</f>
        <v>1</v>
      </c>
      <c r="T284" s="23" t="n">
        <f>MIN(P284,S284)</f>
        <v>0</v>
      </c>
      <c r="U284" s="23" t="n">
        <f>O284-S284</f>
        <v>0</v>
      </c>
      <c r="V284" s="23" t="n">
        <f>MAX(P284-O284,0)</f>
        <v>0</v>
      </c>
    </row>
    <row r="285">
      <c r="A285" s="19" t="str">
        <v>德国区</v>
      </c>
      <c r="B285" s="19" t="str">
        <v>杜塞尔多夫18号仓</v>
      </c>
      <c r="C285" s="19" t="str">
        <v>拣货组</v>
      </c>
      <c r="D285" s="21" t="n">
        <v>46175</v>
      </c>
      <c r="E285" s="19" t="str">
        <v>2026-06</v>
      </c>
      <c r="F285" s="19" t="str">
        <v>操作员</v>
      </c>
      <c r="G285" s="19" t="str">
        <v>德国区-灵活班次 / DE FLEX</v>
      </c>
      <c r="H285" s="19" t="str">
        <v>S000279</v>
      </c>
      <c r="I285" s="19" t="str">
        <v>Armz GmbH</v>
      </c>
      <c r="J285" s="23" t="n">
        <v>3</v>
      </c>
      <c r="K285" s="23" t="n">
        <v>0</v>
      </c>
      <c r="L285" s="23" t="n">
        <f>J285+K285</f>
        <v>3</v>
      </c>
      <c r="M285" s="23" t="n">
        <v>4</v>
      </c>
      <c r="N285" s="23" t="n">
        <v>4</v>
      </c>
      <c r="O285" s="23" t="n">
        <v>2</v>
      </c>
      <c r="P285" s="23" t="n">
        <v>2</v>
      </c>
      <c r="Q285" s="23" t="n">
        <f>MIN(O285,P285)</f>
        <v>2</v>
      </c>
      <c r="R285" s="25" t="n">
        <f>IF(M285=0,0,MIN(1,L285/M285))</f>
        <v>0.75</v>
      </c>
      <c r="S285" s="23" t="n">
        <f>O285*R285</f>
        <v>1.5</v>
      </c>
      <c r="T285" s="23" t="n">
        <f>MIN(P285,S285)</f>
        <v>1.5</v>
      </c>
      <c r="U285" s="23" t="n">
        <f>O285-S285</f>
        <v>0.5</v>
      </c>
      <c r="V285" s="23" t="n">
        <f>MAX(P285-O285,0)</f>
        <v>0</v>
      </c>
    </row>
    <row r="286">
      <c r="A286" s="19" t="str">
        <v>德国区</v>
      </c>
      <c r="B286" s="19" t="str">
        <v>杜塞尔多夫18号仓</v>
      </c>
      <c r="C286" s="19" t="str">
        <v>拣货组</v>
      </c>
      <c r="D286" s="21" t="n">
        <v>46175</v>
      </c>
      <c r="E286" s="19" t="str">
        <v>2026-06</v>
      </c>
      <c r="F286" s="19" t="str">
        <v>操作员</v>
      </c>
      <c r="G286" s="19" t="str">
        <v>德国区-灵活班次 / DE FLEX</v>
      </c>
      <c r="H286" s="19" t="str">
        <v>S000316</v>
      </c>
      <c r="I286" s="19" t="str">
        <v>Nivux Estate e.Kfm</v>
      </c>
      <c r="J286" s="23" t="n">
        <v>3</v>
      </c>
      <c r="K286" s="23" t="n">
        <v>0</v>
      </c>
      <c r="L286" s="23" t="n">
        <f>J286+K286</f>
        <v>3</v>
      </c>
      <c r="M286" s="23" t="n">
        <v>4</v>
      </c>
      <c r="N286" s="23" t="n">
        <v>4</v>
      </c>
      <c r="O286" s="23" t="n">
        <v>2</v>
      </c>
      <c r="P286" s="23" t="n">
        <v>2</v>
      </c>
      <c r="Q286" s="23" t="n">
        <f>MIN(O286,P286)</f>
        <v>2</v>
      </c>
      <c r="R286" s="25" t="n">
        <f>IF(M286=0,0,MIN(1,L286/M286))</f>
        <v>0.75</v>
      </c>
      <c r="S286" s="23" t="n">
        <f>O286*R286</f>
        <v>1.5</v>
      </c>
      <c r="T286" s="23" t="n">
        <f>MIN(P286,S286)</f>
        <v>1.5</v>
      </c>
      <c r="U286" s="23" t="n">
        <f>O286-S286</f>
        <v>0.5</v>
      </c>
      <c r="V286" s="23" t="n">
        <f>MAX(P286-O286,0)</f>
        <v>0</v>
      </c>
    </row>
    <row r="287">
      <c r="A287" s="19" t="str">
        <v>德国区</v>
      </c>
      <c r="B287" s="19" t="str">
        <v>杜塞尔多夫18号仓</v>
      </c>
      <c r="C287" s="19" t="str">
        <v>拣货组</v>
      </c>
      <c r="D287" s="21" t="n">
        <v>46197</v>
      </c>
      <c r="E287" s="19" t="str">
        <v>2026-06</v>
      </c>
      <c r="F287" s="19" t="str">
        <v>操作员</v>
      </c>
      <c r="G287" s="19" t="str">
        <v>德国区8:30班次（18仓）</v>
      </c>
      <c r="H287" s="19" t="str">
        <v>S000316</v>
      </c>
      <c r="I287" s="19" t="str">
        <v>Nivux Estate e.Kfm</v>
      </c>
      <c r="J287" s="23" t="n">
        <v>1</v>
      </c>
      <c r="K287" s="23" t="n">
        <v>0</v>
      </c>
      <c r="L287" s="23" t="n">
        <f>J287+K287</f>
        <v>1</v>
      </c>
      <c r="M287" s="23" t="n">
        <v>1</v>
      </c>
      <c r="N287" s="23" t="n">
        <v>1</v>
      </c>
      <c r="O287" s="23" t="n">
        <v>1</v>
      </c>
      <c r="P287" s="23" t="n">
        <v>1</v>
      </c>
      <c r="Q287" s="23" t="n">
        <f>MIN(O287,P287)</f>
        <v>1</v>
      </c>
      <c r="R287" s="25" t="n">
        <f>IF(M287=0,0,MIN(1,L287/M287))</f>
        <v>1</v>
      </c>
      <c r="S287" s="23" t="n">
        <f>O287*R287</f>
        <v>1</v>
      </c>
      <c r="T287" s="23" t="n">
        <f>MIN(P287,S287)</f>
        <v>1</v>
      </c>
      <c r="U287" s="23" t="n">
        <f>O287-S287</f>
        <v>0</v>
      </c>
      <c r="V287" s="23" t="n">
        <f>MAX(P287-O287,0)</f>
        <v>0</v>
      </c>
    </row>
    <row r="288">
      <c r="A288" s="19" t="str">
        <v>德国区</v>
      </c>
      <c r="B288" s="19" t="str">
        <v>杜塞尔多夫18号仓</v>
      </c>
      <c r="C288" s="19" t="str">
        <v>理货组</v>
      </c>
      <c r="D288" s="21" t="n">
        <v>46175</v>
      </c>
      <c r="E288" s="19" t="str">
        <v>2026-06</v>
      </c>
      <c r="F288" s="19" t="str">
        <v>操作员</v>
      </c>
      <c r="G288" s="19" t="str">
        <v>德国区8:30班次（18仓）</v>
      </c>
      <c r="H288" s="19" t="str">
        <v>S000279</v>
      </c>
      <c r="I288" s="19" t="str">
        <v>Armz GmbH</v>
      </c>
      <c r="J288" s="23" t="n">
        <v>1</v>
      </c>
      <c r="K288" s="23" t="n">
        <v>0</v>
      </c>
      <c r="L288" s="23" t="n">
        <f>J288+K288</f>
        <v>1</v>
      </c>
      <c r="M288" s="23" t="n">
        <v>3</v>
      </c>
      <c r="N288" s="23" t="n">
        <v>2</v>
      </c>
      <c r="O288" s="23" t="n">
        <v>3</v>
      </c>
      <c r="P288" s="23" t="n">
        <v>2</v>
      </c>
      <c r="Q288" s="23" t="n">
        <f>MIN(O288,P288)</f>
        <v>2</v>
      </c>
      <c r="R288" s="25" t="n">
        <f>IF(M288=0,0,MIN(1,L288/M288))</f>
        <v>0.3333333333333333</v>
      </c>
      <c r="S288" s="23" t="n">
        <f>O288*R288</f>
        <v>1</v>
      </c>
      <c r="T288" s="23" t="n">
        <f>MIN(P288,S288)</f>
        <v>1</v>
      </c>
      <c r="U288" s="23" t="n">
        <f>O288-S288</f>
        <v>2</v>
      </c>
      <c r="V288" s="23" t="n">
        <f>MAX(P288-O288,0)</f>
        <v>0</v>
      </c>
    </row>
    <row r="289">
      <c r="A289" s="19" t="str">
        <v>德国区</v>
      </c>
      <c r="B289" s="19" t="str">
        <v>杜塞尔多夫3号仓</v>
      </c>
      <c r="C289" s="19" t="str">
        <v>交运组</v>
      </c>
      <c r="D289" s="21" t="n">
        <v>46139</v>
      </c>
      <c r="E289" s="19" t="str">
        <v>2026-04</v>
      </c>
      <c r="F289" s="19" t="str">
        <v>操作员</v>
      </c>
      <c r="G289" s="19" t="str">
        <v>德国区-灵活班次 / DE FLEX</v>
      </c>
      <c r="H289" s="19" t="str">
        <v>S000279</v>
      </c>
      <c r="I289" s="19" t="str">
        <v>Armz GmbH</v>
      </c>
      <c r="J289" s="23" t="n">
        <v>1</v>
      </c>
      <c r="K289" s="23" t="n">
        <v>0</v>
      </c>
      <c r="L289" s="23" t="n">
        <f>J289+K289</f>
        <v>1</v>
      </c>
      <c r="M289" s="23" t="n">
        <v>5</v>
      </c>
      <c r="N289" s="23" t="n">
        <v>1</v>
      </c>
      <c r="O289" s="23" t="n">
        <v>5</v>
      </c>
      <c r="P289" s="23" t="n">
        <v>1</v>
      </c>
      <c r="Q289" s="23" t="n">
        <f>MIN(O289,P289)</f>
        <v>1</v>
      </c>
      <c r="R289" s="25" t="n">
        <f>IF(M289=0,0,MIN(1,L289/M289))</f>
        <v>0.2</v>
      </c>
      <c r="S289" s="23" t="n">
        <f>O289*R289</f>
        <v>1</v>
      </c>
      <c r="T289" s="23" t="n">
        <f>MIN(P289,S289)</f>
        <v>1</v>
      </c>
      <c r="U289" s="23" t="n">
        <f>O289-S289</f>
        <v>4</v>
      </c>
      <c r="V289" s="23" t="n">
        <f>MAX(P289-O289,0)</f>
        <v>0</v>
      </c>
    </row>
    <row r="290">
      <c r="A290" s="19" t="str">
        <v>德国区</v>
      </c>
      <c r="B290" s="19" t="str">
        <v>杜塞尔多夫3号仓</v>
      </c>
      <c r="C290" s="19" t="str">
        <v>交运组</v>
      </c>
      <c r="D290" s="21" t="n">
        <v>46140</v>
      </c>
      <c r="E290" s="19" t="str">
        <v>2026-04</v>
      </c>
      <c r="F290" s="19" t="str">
        <v>操作员</v>
      </c>
      <c r="G290" s="19" t="str">
        <v>德国区-灵活班次 / DE FLEX</v>
      </c>
      <c r="H290" s="19" t="str">
        <v>S000279</v>
      </c>
      <c r="I290" s="19" t="str">
        <v>Armz GmbH</v>
      </c>
      <c r="J290" s="23" t="n">
        <v>2</v>
      </c>
      <c r="K290" s="23" t="n">
        <v>0</v>
      </c>
      <c r="L290" s="23" t="n">
        <f>J290+K290</f>
        <v>2</v>
      </c>
      <c r="M290" s="23" t="n">
        <v>3</v>
      </c>
      <c r="N290" s="23" t="n">
        <v>0</v>
      </c>
      <c r="O290" s="23" t="n">
        <v>3</v>
      </c>
      <c r="P290" s="23" t="n">
        <v>0</v>
      </c>
      <c r="Q290" s="23" t="n">
        <f>MIN(O290,P290)</f>
        <v>0</v>
      </c>
      <c r="R290" s="25" t="n">
        <f>IF(M290=0,0,MIN(1,L290/M290))</f>
        <v>0.6666666666666666</v>
      </c>
      <c r="S290" s="23" t="n">
        <f>O290*R290</f>
        <v>2</v>
      </c>
      <c r="T290" s="23" t="n">
        <f>MIN(P290,S290)</f>
        <v>0</v>
      </c>
      <c r="U290" s="23" t="n">
        <f>O290-S290</f>
        <v>1</v>
      </c>
      <c r="V290" s="23" t="n">
        <f>MAX(P290-O290,0)</f>
        <v>0</v>
      </c>
    </row>
    <row r="291">
      <c r="A291" s="19" t="str">
        <v>德国区</v>
      </c>
      <c r="B291" s="19" t="str">
        <v>杜塞尔多夫3号仓</v>
      </c>
      <c r="C291" s="19" t="str">
        <v>交运组</v>
      </c>
      <c r="D291" s="21" t="n">
        <v>46141</v>
      </c>
      <c r="E291" s="19" t="str">
        <v>2026-04</v>
      </c>
      <c r="F291" s="19" t="str">
        <v>操作员</v>
      </c>
      <c r="G291" s="19" t="str">
        <v>德国区-灵活班次 / DE FLEX</v>
      </c>
      <c r="H291" s="19" t="str">
        <v>S000279</v>
      </c>
      <c r="I291" s="19" t="str">
        <v>Armz GmbH</v>
      </c>
      <c r="J291" s="23" t="n">
        <v>1</v>
      </c>
      <c r="K291" s="23" t="n">
        <v>0</v>
      </c>
      <c r="L291" s="23" t="n">
        <f>J291+K291</f>
        <v>1</v>
      </c>
      <c r="M291" s="23" t="n">
        <v>3</v>
      </c>
      <c r="N291" s="23" t="n">
        <v>1</v>
      </c>
      <c r="O291" s="23" t="n">
        <v>3</v>
      </c>
      <c r="P291" s="23" t="n">
        <v>1</v>
      </c>
      <c r="Q291" s="23" t="n">
        <f>MIN(O291,P291)</f>
        <v>1</v>
      </c>
      <c r="R291" s="25" t="n">
        <f>IF(M291=0,0,MIN(1,L291/M291))</f>
        <v>0.3333333333333333</v>
      </c>
      <c r="S291" s="23" t="n">
        <f>O291*R291</f>
        <v>1</v>
      </c>
      <c r="T291" s="23" t="n">
        <f>MIN(P291,S291)</f>
        <v>1</v>
      </c>
      <c r="U291" s="23" t="n">
        <f>O291-S291</f>
        <v>2</v>
      </c>
      <c r="V291" s="23" t="n">
        <f>MAX(P291-O291,0)</f>
        <v>0</v>
      </c>
    </row>
    <row r="292">
      <c r="A292" s="19" t="str">
        <v>德国区</v>
      </c>
      <c r="B292" s="19" t="str">
        <v>杜塞尔多夫3号仓</v>
      </c>
      <c r="C292" s="19" t="str">
        <v>交运组</v>
      </c>
      <c r="D292" s="21" t="n">
        <v>46147</v>
      </c>
      <c r="E292" s="19" t="str">
        <v>2026-05</v>
      </c>
      <c r="F292" s="19" t="str">
        <v>操作员</v>
      </c>
      <c r="G292" s="19" t="str">
        <v>德国区-灵活班次 / DE FLEX</v>
      </c>
      <c r="H292" s="19" t="str">
        <v>S000279</v>
      </c>
      <c r="I292" s="19" t="str">
        <v>Armz GmbH</v>
      </c>
      <c r="J292" s="23" t="n">
        <v>2</v>
      </c>
      <c r="K292" s="23" t="n">
        <v>0</v>
      </c>
      <c r="L292" s="23" t="n">
        <f>J292+K292</f>
        <v>2</v>
      </c>
      <c r="M292" s="23" t="n">
        <v>3</v>
      </c>
      <c r="N292" s="23" t="n">
        <v>3</v>
      </c>
      <c r="O292" s="23" t="n">
        <v>3</v>
      </c>
      <c r="P292" s="23" t="n">
        <v>3</v>
      </c>
      <c r="Q292" s="23" t="n">
        <f>MIN(O292,P292)</f>
        <v>3</v>
      </c>
      <c r="R292" s="25" t="n">
        <f>IF(M292=0,0,MIN(1,L292/M292))</f>
        <v>0.6666666666666666</v>
      </c>
      <c r="S292" s="23" t="n">
        <f>O292*R292</f>
        <v>2</v>
      </c>
      <c r="T292" s="23" t="n">
        <f>MIN(P292,S292)</f>
        <v>2</v>
      </c>
      <c r="U292" s="23" t="n">
        <f>O292-S292</f>
        <v>1</v>
      </c>
      <c r="V292" s="23" t="n">
        <f>MAX(P292-O292,0)</f>
        <v>0</v>
      </c>
    </row>
    <row r="293">
      <c r="A293" s="19" t="str">
        <v>德国区</v>
      </c>
      <c r="B293" s="19" t="str">
        <v>杜塞尔多夫3号仓</v>
      </c>
      <c r="C293" s="19" t="str">
        <v>交运组</v>
      </c>
      <c r="D293" s="21" t="n">
        <v>46169</v>
      </c>
      <c r="E293" s="19" t="str">
        <v>2026-05</v>
      </c>
      <c r="F293" s="19" t="str">
        <v>操作员</v>
      </c>
      <c r="G293" s="19" t="str">
        <v>德国区-灵活班次 / DE FLEX</v>
      </c>
      <c r="H293" s="19" t="str">
        <v>S000279</v>
      </c>
      <c r="I293" s="19" t="str">
        <v>Armz GmbH</v>
      </c>
      <c r="J293" s="23" t="n">
        <v>2</v>
      </c>
      <c r="K293" s="23" t="n">
        <v>0</v>
      </c>
      <c r="L293" s="23" t="n">
        <f>J293+K293</f>
        <v>2</v>
      </c>
      <c r="M293" s="23" t="n">
        <v>2</v>
      </c>
      <c r="N293" s="23" t="n">
        <v>2</v>
      </c>
      <c r="O293" s="23" t="n">
        <v>2</v>
      </c>
      <c r="P293" s="23" t="n">
        <v>2</v>
      </c>
      <c r="Q293" s="23" t="n">
        <f>MIN(O293,P293)</f>
        <v>2</v>
      </c>
      <c r="R293" s="25" t="n">
        <f>IF(M293=0,0,MIN(1,L293/M293))</f>
        <v>1</v>
      </c>
      <c r="S293" s="23" t="n">
        <f>O293*R293</f>
        <v>2</v>
      </c>
      <c r="T293" s="23" t="n">
        <f>MIN(P293,S293)</f>
        <v>2</v>
      </c>
      <c r="U293" s="23" t="n">
        <f>O293-S293</f>
        <v>0</v>
      </c>
      <c r="V293" s="23" t="n">
        <f>MAX(P293-O293,0)</f>
        <v>0</v>
      </c>
    </row>
    <row r="294">
      <c r="A294" s="19" t="str">
        <v>德国区</v>
      </c>
      <c r="B294" s="19" t="str">
        <v>杜塞尔多夫3号仓</v>
      </c>
      <c r="C294" s="19" t="str">
        <v>交运组</v>
      </c>
      <c r="D294" s="21" t="n">
        <v>46170</v>
      </c>
      <c r="E294" s="19" t="str">
        <v>2026-05</v>
      </c>
      <c r="F294" s="19" t="str">
        <v>操作员</v>
      </c>
      <c r="G294" s="19" t="str">
        <v>德国区-灵活班次 / DE FLEX</v>
      </c>
      <c r="H294" s="19" t="str">
        <v>S000279</v>
      </c>
      <c r="I294" s="19" t="str">
        <v>Armz GmbH</v>
      </c>
      <c r="J294" s="23" t="n">
        <v>2</v>
      </c>
      <c r="K294" s="23" t="n">
        <v>0</v>
      </c>
      <c r="L294" s="23" t="n">
        <f>J294+K294</f>
        <v>2</v>
      </c>
      <c r="M294" s="23" t="n">
        <v>2</v>
      </c>
      <c r="N294" s="23" t="n">
        <v>2</v>
      </c>
      <c r="O294" s="23" t="n">
        <v>2</v>
      </c>
      <c r="P294" s="23" t="n">
        <v>2</v>
      </c>
      <c r="Q294" s="23" t="n">
        <f>MIN(O294,P294)</f>
        <v>2</v>
      </c>
      <c r="R294" s="25" t="n">
        <f>IF(M294=0,0,MIN(1,L294/M294))</f>
        <v>1</v>
      </c>
      <c r="S294" s="23" t="n">
        <f>O294*R294</f>
        <v>2</v>
      </c>
      <c r="T294" s="23" t="n">
        <f>MIN(P294,S294)</f>
        <v>2</v>
      </c>
      <c r="U294" s="23" t="n">
        <f>O294-S294</f>
        <v>0</v>
      </c>
      <c r="V294" s="23" t="n">
        <f>MAX(P294-O294,0)</f>
        <v>0</v>
      </c>
    </row>
    <row r="295">
      <c r="A295" s="19" t="str">
        <v>德国区</v>
      </c>
      <c r="B295" s="19" t="str">
        <v>杜塞尔多夫3号仓</v>
      </c>
      <c r="C295" s="19" t="str">
        <v>交运组</v>
      </c>
      <c r="D295" s="21" t="n">
        <v>46174</v>
      </c>
      <c r="E295" s="19" t="str">
        <v>2026-06</v>
      </c>
      <c r="F295" s="19" t="str">
        <v>操作员</v>
      </c>
      <c r="G295" s="19" t="str">
        <v>德国区-灵活班次 / DE FLEX</v>
      </c>
      <c r="H295" s="19" t="str">
        <v>S000276</v>
      </c>
      <c r="I295" s="19" t="str">
        <v>Go4PrimeJobs GmbH</v>
      </c>
      <c r="J295" s="23" t="n">
        <v>0</v>
      </c>
      <c r="K295" s="23" t="n">
        <v>0</v>
      </c>
      <c r="L295" s="23" t="n">
        <f>J295+K295</f>
        <v>0</v>
      </c>
      <c r="M295" s="23" t="n">
        <v>1</v>
      </c>
      <c r="N295" s="23" t="n">
        <v>1</v>
      </c>
      <c r="O295" s="23" t="n">
        <v>1</v>
      </c>
      <c r="P295" s="23" t="n">
        <v>1</v>
      </c>
      <c r="Q295" s="23" t="n">
        <f>MIN(O295,P295)</f>
        <v>1</v>
      </c>
      <c r="R295" s="25" t="n">
        <f>IF(M295=0,0,MIN(1,L295/M295))</f>
        <v>0</v>
      </c>
      <c r="S295" s="23" t="n">
        <f>O295*R295</f>
        <v>0</v>
      </c>
      <c r="T295" s="23" t="n">
        <f>MIN(P295,S295)</f>
        <v>0</v>
      </c>
      <c r="U295" s="23" t="n">
        <f>O295-S295</f>
        <v>1</v>
      </c>
      <c r="V295" s="23" t="n">
        <f>MAX(P295-O295,0)</f>
        <v>0</v>
      </c>
    </row>
    <row r="296">
      <c r="A296" s="19" t="str">
        <v>德国区</v>
      </c>
      <c r="B296" s="19" t="str">
        <v>杜塞尔多夫3号仓</v>
      </c>
      <c r="C296" s="19" t="str">
        <v>交运组</v>
      </c>
      <c r="D296" s="21" t="n">
        <v>46182</v>
      </c>
      <c r="E296" s="19" t="str">
        <v>2026-06</v>
      </c>
      <c r="F296" s="19" t="str">
        <v>操作员</v>
      </c>
      <c r="G296" s="19" t="str">
        <v>德国区-灵活班次 / DE FLEX</v>
      </c>
      <c r="H296" s="19" t="str">
        <v>S000279</v>
      </c>
      <c r="I296" s="19" t="str">
        <v>Armz GmbH</v>
      </c>
      <c r="J296" s="23" t="n">
        <v>5</v>
      </c>
      <c r="K296" s="23" t="n">
        <v>0</v>
      </c>
      <c r="L296" s="23" t="n">
        <f>J296+K296</f>
        <v>5</v>
      </c>
      <c r="M296" s="23" t="n">
        <v>5</v>
      </c>
      <c r="N296" s="23" t="n">
        <v>5</v>
      </c>
      <c r="O296" s="23" t="n">
        <v>5</v>
      </c>
      <c r="P296" s="23" t="n">
        <v>5</v>
      </c>
      <c r="Q296" s="23" t="n">
        <f>MIN(O296,P296)</f>
        <v>5</v>
      </c>
      <c r="R296" s="25" t="n">
        <f>IF(M296=0,0,MIN(1,L296/M296))</f>
        <v>1</v>
      </c>
      <c r="S296" s="23" t="n">
        <f>O296*R296</f>
        <v>5</v>
      </c>
      <c r="T296" s="23" t="n">
        <f>MIN(P296,S296)</f>
        <v>5</v>
      </c>
      <c r="U296" s="23" t="n">
        <f>O296-S296</f>
        <v>0</v>
      </c>
      <c r="V296" s="23" t="n">
        <f>MAX(P296-O296,0)</f>
        <v>0</v>
      </c>
    </row>
    <row r="297">
      <c r="A297" s="19" t="str">
        <v>德国区</v>
      </c>
      <c r="B297" s="19" t="str">
        <v>杜塞尔多夫3号仓</v>
      </c>
      <c r="C297" s="19" t="str">
        <v>交运组</v>
      </c>
      <c r="D297" s="21" t="n">
        <v>46184</v>
      </c>
      <c r="E297" s="19" t="str">
        <v>2026-06</v>
      </c>
      <c r="F297" s="19" t="str">
        <v>操作员</v>
      </c>
      <c r="G297" s="19" t="str">
        <v>德国区-灵活班次 / DE FLEX</v>
      </c>
      <c r="H297" s="19" t="str">
        <v>S000279</v>
      </c>
      <c r="I297" s="19" t="str">
        <v>Armz GmbH</v>
      </c>
      <c r="J297" s="23" t="n">
        <v>1</v>
      </c>
      <c r="K297" s="23" t="n">
        <v>0</v>
      </c>
      <c r="L297" s="23" t="n">
        <f>J297+K297</f>
        <v>1</v>
      </c>
      <c r="M297" s="23" t="n">
        <v>1</v>
      </c>
      <c r="N297" s="23" t="n">
        <v>1</v>
      </c>
      <c r="O297" s="23" t="n">
        <v>1</v>
      </c>
      <c r="P297" s="23" t="n">
        <v>1</v>
      </c>
      <c r="Q297" s="23" t="n">
        <f>MIN(O297,P297)</f>
        <v>1</v>
      </c>
      <c r="R297" s="25" t="n">
        <f>IF(M297=0,0,MIN(1,L297/M297))</f>
        <v>1</v>
      </c>
      <c r="S297" s="23" t="n">
        <f>O297*R297</f>
        <v>1</v>
      </c>
      <c r="T297" s="23" t="n">
        <f>MIN(P297,S297)</f>
        <v>1</v>
      </c>
      <c r="U297" s="23" t="n">
        <f>O297-S297</f>
        <v>0</v>
      </c>
      <c r="V297" s="23" t="n">
        <f>MAX(P297-O297,0)</f>
        <v>0</v>
      </c>
    </row>
    <row r="298">
      <c r="A298" s="19" t="str">
        <v>德国区</v>
      </c>
      <c r="B298" s="19" t="str">
        <v>杜塞尔多夫3号仓</v>
      </c>
      <c r="C298" s="19" t="str">
        <v>入库组</v>
      </c>
      <c r="D298" s="21" t="n">
        <v>46142</v>
      </c>
      <c r="E298" s="19" t="str">
        <v>2026-04</v>
      </c>
      <c r="F298" s="19" t="str">
        <v>操作员</v>
      </c>
      <c r="G298" s="19" t="str">
        <v>德国区-灵活班次 / DE FLEX</v>
      </c>
      <c r="H298" s="19" t="str">
        <v>S000279</v>
      </c>
      <c r="I298" s="19" t="str">
        <v>Armz GmbH</v>
      </c>
      <c r="J298" s="23" t="n">
        <v>5</v>
      </c>
      <c r="K298" s="23" t="n">
        <v>0</v>
      </c>
      <c r="L298" s="23" t="n">
        <f>J298+K298</f>
        <v>5</v>
      </c>
      <c r="M298" s="23" t="n">
        <v>4</v>
      </c>
      <c r="N298" s="23" t="n">
        <v>4</v>
      </c>
      <c r="O298" s="23" t="n">
        <v>4</v>
      </c>
      <c r="P298" s="23" t="n">
        <v>4</v>
      </c>
      <c r="Q298" s="23" t="n">
        <f>MIN(O298,P298)</f>
        <v>4</v>
      </c>
      <c r="R298" s="25" t="n">
        <f>IF(M298=0,0,MIN(1,L298/M298))</f>
        <v>1</v>
      </c>
      <c r="S298" s="23" t="n">
        <f>O298*R298</f>
        <v>4</v>
      </c>
      <c r="T298" s="23" t="n">
        <f>MIN(P298,S298)</f>
        <v>4</v>
      </c>
      <c r="U298" s="23" t="n">
        <f>O298-S298</f>
        <v>0</v>
      </c>
      <c r="V298" s="23" t="n">
        <f>MAX(P298-O298,0)</f>
        <v>0</v>
      </c>
    </row>
    <row r="299">
      <c r="A299" s="19" t="str">
        <v>德国区</v>
      </c>
      <c r="B299" s="19" t="str">
        <v>杜塞尔多夫3号仓</v>
      </c>
      <c r="C299" s="19" t="str">
        <v>包装组</v>
      </c>
      <c r="D299" s="21" t="n">
        <v>46147</v>
      </c>
      <c r="E299" s="19" t="str">
        <v>2026-05</v>
      </c>
      <c r="F299" s="19" t="str">
        <v>操作员</v>
      </c>
      <c r="G299" s="19" t="str">
        <v>德国区-灵活班次 / DE FLEX</v>
      </c>
      <c r="H299" s="19" t="str">
        <v>S000276</v>
      </c>
      <c r="I299" s="19" t="str">
        <v>Go4PrimeJobs GmbH</v>
      </c>
      <c r="J299" s="23" t="n">
        <v>1</v>
      </c>
      <c r="K299" s="23" t="n">
        <v>0</v>
      </c>
      <c r="L299" s="23" t="n">
        <f>J299+K299</f>
        <v>1</v>
      </c>
      <c r="M299" s="23" t="n">
        <v>1</v>
      </c>
      <c r="N299" s="23" t="n">
        <v>1</v>
      </c>
      <c r="O299" s="23" t="n">
        <v>1</v>
      </c>
      <c r="P299" s="23" t="n">
        <v>1</v>
      </c>
      <c r="Q299" s="23" t="n">
        <f>MIN(O299,P299)</f>
        <v>1</v>
      </c>
      <c r="R299" s="25" t="n">
        <f>IF(M299=0,0,MIN(1,L299/M299))</f>
        <v>1</v>
      </c>
      <c r="S299" s="23" t="n">
        <f>O299*R299</f>
        <v>1</v>
      </c>
      <c r="T299" s="23" t="n">
        <f>MIN(P299,S299)</f>
        <v>1</v>
      </c>
      <c r="U299" s="23" t="n">
        <f>O299-S299</f>
        <v>0</v>
      </c>
      <c r="V299" s="23" t="n">
        <f>MAX(P299-O299,0)</f>
        <v>0</v>
      </c>
    </row>
    <row r="300">
      <c r="A300" s="19" t="str">
        <v>德国区</v>
      </c>
      <c r="B300" s="19" t="str">
        <v>杜塞尔多夫3号仓</v>
      </c>
      <c r="C300" s="19" t="str">
        <v>包装组</v>
      </c>
      <c r="D300" s="21" t="n">
        <v>46164</v>
      </c>
      <c r="E300" s="19" t="str">
        <v>2026-05</v>
      </c>
      <c r="F300" s="19" t="str">
        <v>操作员</v>
      </c>
      <c r="G300" s="19" t="str">
        <v>德国区-灵活班次 / DE FLEX</v>
      </c>
      <c r="H300" s="19" t="str">
        <v>S000276</v>
      </c>
      <c r="I300" s="19" t="str">
        <v>Go4PrimeJobs GmbH</v>
      </c>
      <c r="J300" s="23" t="n">
        <v>1</v>
      </c>
      <c r="K300" s="23" t="n">
        <v>0</v>
      </c>
      <c r="L300" s="23" t="n">
        <f>J300+K300</f>
        <v>1</v>
      </c>
      <c r="M300" s="23" t="n">
        <v>1</v>
      </c>
      <c r="N300" s="23" t="n">
        <v>1</v>
      </c>
      <c r="O300" s="23" t="n">
        <v>1</v>
      </c>
      <c r="P300" s="23" t="n">
        <v>1</v>
      </c>
      <c r="Q300" s="23" t="n">
        <f>MIN(O300,P300)</f>
        <v>1</v>
      </c>
      <c r="R300" s="25" t="n">
        <f>IF(M300=0,0,MIN(1,L300/M300))</f>
        <v>1</v>
      </c>
      <c r="S300" s="23" t="n">
        <f>O300*R300</f>
        <v>1</v>
      </c>
      <c r="T300" s="23" t="n">
        <f>MIN(P300,S300)</f>
        <v>1</v>
      </c>
      <c r="U300" s="23" t="n">
        <f>O300-S300</f>
        <v>0</v>
      </c>
      <c r="V300" s="23" t="n">
        <f>MAX(P300-O300,0)</f>
        <v>0</v>
      </c>
    </row>
    <row r="301">
      <c r="A301" s="19" t="str">
        <v>德国区</v>
      </c>
      <c r="B301" s="19" t="str">
        <v>杜塞尔多夫3号仓</v>
      </c>
      <c r="C301" s="19" t="str">
        <v>包装组</v>
      </c>
      <c r="D301" s="21" t="n">
        <v>46165</v>
      </c>
      <c r="E301" s="19" t="str">
        <v>2026-05</v>
      </c>
      <c r="F301" s="19" t="str">
        <v>操作员</v>
      </c>
      <c r="G301" s="19" t="str">
        <v>德国区-灵活班次 / DE FLEX</v>
      </c>
      <c r="H301" s="19" t="str">
        <v>S000276</v>
      </c>
      <c r="I301" s="19" t="str">
        <v>Go4PrimeJobs GmbH</v>
      </c>
      <c r="J301" s="23" t="n">
        <v>1</v>
      </c>
      <c r="K301" s="23" t="n">
        <v>0</v>
      </c>
      <c r="L301" s="23" t="n">
        <f>J301+K301</f>
        <v>1</v>
      </c>
      <c r="M301" s="23" t="n">
        <v>1</v>
      </c>
      <c r="N301" s="23" t="n">
        <v>1</v>
      </c>
      <c r="O301" s="23" t="n">
        <v>1</v>
      </c>
      <c r="P301" s="23" t="n">
        <v>1</v>
      </c>
      <c r="Q301" s="23" t="n">
        <f>MIN(O301,P301)</f>
        <v>1</v>
      </c>
      <c r="R301" s="25" t="n">
        <f>IF(M301=0,0,MIN(1,L301/M301))</f>
        <v>1</v>
      </c>
      <c r="S301" s="23" t="n">
        <f>O301*R301</f>
        <v>1</v>
      </c>
      <c r="T301" s="23" t="n">
        <f>MIN(P301,S301)</f>
        <v>1</v>
      </c>
      <c r="U301" s="23" t="n">
        <f>O301-S301</f>
        <v>0</v>
      </c>
      <c r="V301" s="23" t="n">
        <f>MAX(P301-O301,0)</f>
        <v>0</v>
      </c>
    </row>
    <row r="302">
      <c r="A302" s="19" t="str">
        <v>德国区</v>
      </c>
      <c r="B302" s="19" t="str">
        <v>杜塞尔多夫3号仓</v>
      </c>
      <c r="C302" s="19" t="str">
        <v>包装组</v>
      </c>
      <c r="D302" s="21" t="n">
        <v>46198</v>
      </c>
      <c r="E302" s="19" t="str">
        <v>2026-06</v>
      </c>
      <c r="F302" s="19" t="str">
        <v>操作员</v>
      </c>
      <c r="G302" s="19" t="str">
        <v>德国区-灵活班次 / DE FLEX</v>
      </c>
      <c r="H302" s="19" t="str">
        <v>S000279</v>
      </c>
      <c r="I302" s="19" t="str">
        <v>Armz GmbH</v>
      </c>
      <c r="J302" s="23" t="n">
        <v>5</v>
      </c>
      <c r="K302" s="23" t="n">
        <v>0</v>
      </c>
      <c r="L302" s="23" t="n">
        <f>J302+K302</f>
        <v>5</v>
      </c>
      <c r="M302" s="23" t="n">
        <v>5</v>
      </c>
      <c r="N302" s="23" t="n">
        <v>0</v>
      </c>
      <c r="O302" s="23" t="n">
        <v>5</v>
      </c>
      <c r="P302" s="23" t="n">
        <v>0</v>
      </c>
      <c r="Q302" s="23" t="n">
        <f>MIN(O302,P302)</f>
        <v>0</v>
      </c>
      <c r="R302" s="25" t="n">
        <f>IF(M302=0,0,MIN(1,L302/M302))</f>
        <v>1</v>
      </c>
      <c r="S302" s="23" t="n">
        <f>O302*R302</f>
        <v>5</v>
      </c>
      <c r="T302" s="23" t="n">
        <f>MIN(P302,S302)</f>
        <v>0</v>
      </c>
      <c r="U302" s="23" t="n">
        <f>O302-S302</f>
        <v>0</v>
      </c>
      <c r="V302" s="23" t="n">
        <f>MAX(P302-O302,0)</f>
        <v>0</v>
      </c>
    </row>
    <row r="303">
      <c r="A303" s="19" t="str">
        <v>德国区</v>
      </c>
      <c r="B303" s="19" t="str">
        <v>杜塞尔多夫3号仓</v>
      </c>
      <c r="C303" s="19" t="str">
        <v>包装组</v>
      </c>
      <c r="D303" s="21" t="n">
        <v>46199</v>
      </c>
      <c r="E303" s="19" t="str">
        <v>2026-06</v>
      </c>
      <c r="F303" s="19" t="str">
        <v>操作员</v>
      </c>
      <c r="G303" s="19" t="str">
        <v>德国区-灵活班次 / DE FLEX</v>
      </c>
      <c r="H303" s="19" t="str">
        <v>S000279</v>
      </c>
      <c r="I303" s="19" t="str">
        <v>Armz GmbH</v>
      </c>
      <c r="J303" s="23" t="n">
        <v>5</v>
      </c>
      <c r="K303" s="23" t="n">
        <v>0</v>
      </c>
      <c r="L303" s="23" t="n">
        <f>J303+K303</f>
        <v>5</v>
      </c>
      <c r="M303" s="23" t="n">
        <v>5</v>
      </c>
      <c r="N303" s="23" t="n">
        <v>0</v>
      </c>
      <c r="O303" s="23" t="n">
        <v>5</v>
      </c>
      <c r="P303" s="23" t="n">
        <v>0</v>
      </c>
      <c r="Q303" s="23" t="n">
        <f>MIN(O303,P303)</f>
        <v>0</v>
      </c>
      <c r="R303" s="25" t="n">
        <f>IF(M303=0,0,MIN(1,L303/M303))</f>
        <v>1</v>
      </c>
      <c r="S303" s="23" t="n">
        <f>O303*R303</f>
        <v>5</v>
      </c>
      <c r="T303" s="23" t="n">
        <f>MIN(P303,S303)</f>
        <v>0</v>
      </c>
      <c r="U303" s="23" t="n">
        <f>O303-S303</f>
        <v>0</v>
      </c>
      <c r="V303" s="23" t="n">
        <f>MAX(P303-O303,0)</f>
        <v>0</v>
      </c>
    </row>
    <row r="304">
      <c r="A304" s="19" t="str">
        <v>德国区</v>
      </c>
      <c r="B304" s="19" t="str">
        <v>杜塞尔多夫3号仓</v>
      </c>
      <c r="C304" s="19" t="str">
        <v>包装组</v>
      </c>
      <c r="D304" s="21" t="n">
        <v>46202</v>
      </c>
      <c r="E304" s="19" t="str">
        <v>2026-06</v>
      </c>
      <c r="F304" s="19" t="str">
        <v>操作员</v>
      </c>
      <c r="G304" s="19" t="str">
        <v>德国区-灵活班次 / DE FLEX</v>
      </c>
      <c r="H304" s="19" t="str">
        <v>S000276</v>
      </c>
      <c r="I304" s="19" t="str">
        <v>Go4PrimeJobs GmbH</v>
      </c>
      <c r="J304" s="23" t="n">
        <v>1</v>
      </c>
      <c r="K304" s="23" t="n">
        <v>0</v>
      </c>
      <c r="L304" s="23" t="n">
        <f>J304+K304</f>
        <v>1</v>
      </c>
      <c r="M304" s="23" t="n">
        <v>1</v>
      </c>
      <c r="N304" s="23" t="n">
        <v>1</v>
      </c>
      <c r="O304" s="23" t="n">
        <v>1</v>
      </c>
      <c r="P304" s="23" t="n">
        <v>1</v>
      </c>
      <c r="Q304" s="23" t="n">
        <f>MIN(O304,P304)</f>
        <v>1</v>
      </c>
      <c r="R304" s="25" t="n">
        <f>IF(M304=0,0,MIN(1,L304/M304))</f>
        <v>1</v>
      </c>
      <c r="S304" s="23" t="n">
        <f>O304*R304</f>
        <v>1</v>
      </c>
      <c r="T304" s="23" t="n">
        <f>MIN(P304,S304)</f>
        <v>1</v>
      </c>
      <c r="U304" s="23" t="n">
        <f>O304-S304</f>
        <v>0</v>
      </c>
      <c r="V304" s="23" t="n">
        <f>MAX(P304-O304,0)</f>
        <v>0</v>
      </c>
    </row>
    <row r="305">
      <c r="A305" s="19" t="str">
        <v>德国区</v>
      </c>
      <c r="B305" s="19" t="str">
        <v>杜塞尔多夫3号仓</v>
      </c>
      <c r="C305" s="19" t="str">
        <v>售后组</v>
      </c>
      <c r="D305" s="21" t="n">
        <v>46191</v>
      </c>
      <c r="E305" s="19" t="str">
        <v>2026-06</v>
      </c>
      <c r="F305" s="19" t="str">
        <v>操作员</v>
      </c>
      <c r="G305" s="19" t="str">
        <v>德国区-灵活班次 / DE FLEX</v>
      </c>
      <c r="H305" s="19" t="str">
        <v>S000276</v>
      </c>
      <c r="I305" s="19" t="str">
        <v>Go4PrimeJobs GmbH</v>
      </c>
      <c r="J305" s="23" t="n">
        <v>1</v>
      </c>
      <c r="K305" s="23" t="n">
        <v>0</v>
      </c>
      <c r="L305" s="23" t="n">
        <f>J305+K305</f>
        <v>1</v>
      </c>
      <c r="M305" s="23" t="n">
        <v>1</v>
      </c>
      <c r="N305" s="23" t="n">
        <v>0</v>
      </c>
      <c r="O305" s="23" t="n">
        <v>1</v>
      </c>
      <c r="P305" s="23" t="n">
        <v>0</v>
      </c>
      <c r="Q305" s="23" t="n">
        <f>MIN(O305,P305)</f>
        <v>0</v>
      </c>
      <c r="R305" s="25" t="n">
        <f>IF(M305=0,0,MIN(1,L305/M305))</f>
        <v>1</v>
      </c>
      <c r="S305" s="23" t="n">
        <f>O305*R305</f>
        <v>1</v>
      </c>
      <c r="T305" s="23" t="n">
        <f>MIN(P305,S305)</f>
        <v>0</v>
      </c>
      <c r="U305" s="23" t="n">
        <f>O305-S305</f>
        <v>0</v>
      </c>
      <c r="V305" s="23" t="n">
        <f>MAX(P305-O305,0)</f>
        <v>0</v>
      </c>
    </row>
    <row r="306">
      <c r="A306" s="19" t="str">
        <v>德国区</v>
      </c>
      <c r="B306" s="19" t="str">
        <v>杜塞尔多夫3号仓</v>
      </c>
      <c r="C306" s="19" t="str">
        <v>拣货组</v>
      </c>
      <c r="D306" s="21" t="n">
        <v>46189</v>
      </c>
      <c r="E306" s="19" t="str">
        <v>2026-06</v>
      </c>
      <c r="F306" s="19" t="str">
        <v>操作员</v>
      </c>
      <c r="G306" s="19" t="str">
        <v>德国区-灵活班次 / DE FLEX</v>
      </c>
      <c r="H306" s="19" t="str">
        <v>S000276</v>
      </c>
      <c r="I306" s="19" t="str">
        <v>Go4PrimeJobs GmbH</v>
      </c>
      <c r="J306" s="23" t="n">
        <v>4</v>
      </c>
      <c r="K306" s="23" t="n">
        <v>0</v>
      </c>
      <c r="L306" s="23" t="n">
        <f>J306+K306</f>
        <v>4</v>
      </c>
      <c r="M306" s="23" t="n">
        <v>5</v>
      </c>
      <c r="N306" s="23" t="n">
        <v>3</v>
      </c>
      <c r="O306" s="23" t="n">
        <v>5</v>
      </c>
      <c r="P306" s="23" t="n">
        <v>3</v>
      </c>
      <c r="Q306" s="23" t="n">
        <f>MIN(O306,P306)</f>
        <v>3</v>
      </c>
      <c r="R306" s="25" t="n">
        <f>IF(M306=0,0,MIN(1,L306/M306))</f>
        <v>0.8</v>
      </c>
      <c r="S306" s="23" t="n">
        <f>O306*R306</f>
        <v>4</v>
      </c>
      <c r="T306" s="23" t="n">
        <f>MIN(P306,S306)</f>
        <v>3</v>
      </c>
      <c r="U306" s="23" t="n">
        <f>O306-S306</f>
        <v>1</v>
      </c>
      <c r="V306" s="23" t="n">
        <f>MAX(P306-O306,0)</f>
        <v>0</v>
      </c>
    </row>
    <row r="307">
      <c r="A307" s="19" t="str">
        <v>德国区</v>
      </c>
      <c r="B307" s="19" t="str">
        <v>杜塞尔多夫3号仓</v>
      </c>
      <c r="C307" s="19" t="str">
        <v>拣货组</v>
      </c>
      <c r="D307" s="21" t="n">
        <v>46190</v>
      </c>
      <c r="E307" s="19" t="str">
        <v>2026-06</v>
      </c>
      <c r="F307" s="19" t="str">
        <v>操作员</v>
      </c>
      <c r="G307" s="19" t="str">
        <v>德国区-灵活班次 / DE FLEX</v>
      </c>
      <c r="H307" s="19" t="str">
        <v>S000276</v>
      </c>
      <c r="I307" s="19" t="str">
        <v>Go4PrimeJobs GmbH</v>
      </c>
      <c r="J307" s="23" t="n">
        <v>4</v>
      </c>
      <c r="K307" s="23" t="n">
        <v>0</v>
      </c>
      <c r="L307" s="23" t="n">
        <f>J307+K307</f>
        <v>4</v>
      </c>
      <c r="M307" s="23" t="n">
        <v>5</v>
      </c>
      <c r="N307" s="23" t="n">
        <v>3</v>
      </c>
      <c r="O307" s="23" t="n">
        <v>5</v>
      </c>
      <c r="P307" s="23" t="n">
        <v>3</v>
      </c>
      <c r="Q307" s="23" t="n">
        <f>MIN(O307,P307)</f>
        <v>3</v>
      </c>
      <c r="R307" s="25" t="n">
        <f>IF(M307=0,0,MIN(1,L307/M307))</f>
        <v>0.8</v>
      </c>
      <c r="S307" s="23" t="n">
        <f>O307*R307</f>
        <v>4</v>
      </c>
      <c r="T307" s="23" t="n">
        <f>MIN(P307,S307)</f>
        <v>3</v>
      </c>
      <c r="U307" s="23" t="n">
        <f>O307-S307</f>
        <v>1</v>
      </c>
      <c r="V307" s="23" t="n">
        <f>MAX(P307-O307,0)</f>
        <v>0</v>
      </c>
    </row>
    <row r="308">
      <c r="A308" s="19" t="str">
        <v>德国区</v>
      </c>
      <c r="B308" s="19" t="str">
        <v>杜塞尔多夫3号仓</v>
      </c>
      <c r="C308" s="19" t="str">
        <v>拣货组</v>
      </c>
      <c r="D308" s="21" t="n">
        <v>46192</v>
      </c>
      <c r="E308" s="19" t="str">
        <v>2026-06</v>
      </c>
      <c r="F308" s="19" t="str">
        <v>操作员</v>
      </c>
      <c r="G308" s="19" t="str">
        <v>德国区-灵活班次 / DE FLEX</v>
      </c>
      <c r="H308" s="19" t="str">
        <v>S000279</v>
      </c>
      <c r="I308" s="19" t="str">
        <v>Armz GmbH</v>
      </c>
      <c r="J308" s="23" t="n">
        <v>5</v>
      </c>
      <c r="K308" s="23" t="n">
        <v>0</v>
      </c>
      <c r="L308" s="23" t="n">
        <f>J308+K308</f>
        <v>5</v>
      </c>
      <c r="M308" s="23" t="n">
        <v>1</v>
      </c>
      <c r="N308" s="23" t="n">
        <v>0</v>
      </c>
      <c r="O308" s="23" t="n">
        <v>1</v>
      </c>
      <c r="P308" s="23" t="n">
        <v>0</v>
      </c>
      <c r="Q308" s="23" t="n">
        <f>MIN(O308,P308)</f>
        <v>0</v>
      </c>
      <c r="R308" s="25" t="n">
        <f>IF(M308=0,0,MIN(1,L308/M308))</f>
        <v>1</v>
      </c>
      <c r="S308" s="23" t="n">
        <f>O308*R308</f>
        <v>1</v>
      </c>
      <c r="T308" s="23" t="n">
        <f>MIN(P308,S308)</f>
        <v>0</v>
      </c>
      <c r="U308" s="23" t="n">
        <f>O308-S308</f>
        <v>0</v>
      </c>
      <c r="V308" s="23" t="n">
        <f>MAX(P308-O308,0)</f>
        <v>0</v>
      </c>
    </row>
    <row r="309">
      <c r="A309" s="19" t="str">
        <v>德国区</v>
      </c>
      <c r="B309" s="19" t="str">
        <v>杜塞尔多夫3号仓</v>
      </c>
      <c r="C309" s="19" t="str">
        <v>拣货组</v>
      </c>
      <c r="D309" s="21" t="n">
        <v>46202</v>
      </c>
      <c r="E309" s="19" t="str">
        <v>2026-06</v>
      </c>
      <c r="F309" s="19" t="str">
        <v>操作员</v>
      </c>
      <c r="G309" s="19" t="str">
        <v>德国区-灵活班次 / DE FLEX</v>
      </c>
      <c r="H309" s="19" t="str">
        <v>S000276</v>
      </c>
      <c r="I309" s="19" t="str">
        <v>Go4PrimeJobs GmbH</v>
      </c>
      <c r="J309" s="23" t="n">
        <v>5</v>
      </c>
      <c r="K309" s="23" t="n">
        <v>0</v>
      </c>
      <c r="L309" s="23" t="n">
        <f>J309+K309</f>
        <v>5</v>
      </c>
      <c r="M309" s="23" t="n">
        <v>5</v>
      </c>
      <c r="N309" s="23" t="n">
        <v>5</v>
      </c>
      <c r="O309" s="23" t="n">
        <v>2</v>
      </c>
      <c r="P309" s="23" t="n">
        <v>2</v>
      </c>
      <c r="Q309" s="23" t="n">
        <f>MIN(O309,P309)</f>
        <v>2</v>
      </c>
      <c r="R309" s="25" t="n">
        <f>IF(M309=0,0,MIN(1,L309/M309))</f>
        <v>1</v>
      </c>
      <c r="S309" s="23" t="n">
        <f>O309*R309</f>
        <v>2</v>
      </c>
      <c r="T309" s="23" t="n">
        <f>MIN(P309,S309)</f>
        <v>2</v>
      </c>
      <c r="U309" s="23" t="n">
        <f>O309-S309</f>
        <v>0</v>
      </c>
      <c r="V309" s="23" t="n">
        <f>MAX(P309-O309,0)</f>
        <v>0</v>
      </c>
    </row>
    <row r="310">
      <c r="A310" s="19" t="str">
        <v>德国区</v>
      </c>
      <c r="B310" s="19" t="str">
        <v>杜塞尔多夫3号仓</v>
      </c>
      <c r="C310" s="19" t="str">
        <v>拣货组</v>
      </c>
      <c r="D310" s="21" t="n">
        <v>46202</v>
      </c>
      <c r="E310" s="19" t="str">
        <v>2026-06</v>
      </c>
      <c r="F310" s="19" t="str">
        <v>操作员</v>
      </c>
      <c r="G310" s="19" t="str">
        <v>德国区-灵活班次 / DE FLEX</v>
      </c>
      <c r="H310" s="19" t="str">
        <v>S000300</v>
      </c>
      <c r="I310" s="19" t="str">
        <v>LeXpersonal GmbH</v>
      </c>
      <c r="J310" s="23" t="n">
        <v>5</v>
      </c>
      <c r="K310" s="23" t="n">
        <v>0</v>
      </c>
      <c r="L310" s="23" t="n">
        <f>J310+K310</f>
        <v>5</v>
      </c>
      <c r="M310" s="23" t="n">
        <v>5</v>
      </c>
      <c r="N310" s="23" t="n">
        <v>5</v>
      </c>
      <c r="O310" s="23" t="n">
        <v>3</v>
      </c>
      <c r="P310" s="23" t="n">
        <v>3</v>
      </c>
      <c r="Q310" s="23" t="n">
        <f>MIN(O310,P310)</f>
        <v>3</v>
      </c>
      <c r="R310" s="25" t="n">
        <f>IF(M310=0,0,MIN(1,L310/M310))</f>
        <v>1</v>
      </c>
      <c r="S310" s="23" t="n">
        <f>O310*R310</f>
        <v>3</v>
      </c>
      <c r="T310" s="23" t="n">
        <f>MIN(P310,S310)</f>
        <v>3</v>
      </c>
      <c r="U310" s="23" t="n">
        <f>O310-S310</f>
        <v>0</v>
      </c>
      <c r="V310" s="23" t="n">
        <f>MAX(P310-O310,0)</f>
        <v>0</v>
      </c>
    </row>
    <row r="311">
      <c r="A311" s="19" t="str">
        <v>德国区</v>
      </c>
      <c r="B311" s="19" t="str">
        <v>杜塞尔多夫3号仓</v>
      </c>
      <c r="C311" s="19" t="str">
        <v>拣货组</v>
      </c>
      <c r="D311" s="21" t="n">
        <v>46203</v>
      </c>
      <c r="E311" s="19" t="str">
        <v>2026-06</v>
      </c>
      <c r="F311" s="19" t="str">
        <v>操作员</v>
      </c>
      <c r="G311" s="19" t="str">
        <v>德国区-灵活班次 / DE FLEX</v>
      </c>
      <c r="H311" s="19" t="str">
        <v>S000276</v>
      </c>
      <c r="I311" s="19" t="str">
        <v>Go4PrimeJobs GmbH</v>
      </c>
      <c r="J311" s="23" t="n">
        <v>5</v>
      </c>
      <c r="K311" s="23" t="n">
        <v>0</v>
      </c>
      <c r="L311" s="23" t="n">
        <f>J311+K311</f>
        <v>5</v>
      </c>
      <c r="M311" s="23" t="n">
        <v>5</v>
      </c>
      <c r="N311" s="23" t="n">
        <v>5</v>
      </c>
      <c r="O311" s="23" t="n">
        <v>2</v>
      </c>
      <c r="P311" s="23" t="n">
        <v>2</v>
      </c>
      <c r="Q311" s="23" t="n">
        <f>MIN(O311,P311)</f>
        <v>2</v>
      </c>
      <c r="R311" s="25" t="n">
        <f>IF(M311=0,0,MIN(1,L311/M311))</f>
        <v>1</v>
      </c>
      <c r="S311" s="23" t="n">
        <f>O311*R311</f>
        <v>2</v>
      </c>
      <c r="T311" s="23" t="n">
        <f>MIN(P311,S311)</f>
        <v>2</v>
      </c>
      <c r="U311" s="23" t="n">
        <f>O311-S311</f>
        <v>0</v>
      </c>
      <c r="V311" s="23" t="n">
        <f>MAX(P311-O311,0)</f>
        <v>0</v>
      </c>
    </row>
    <row r="312">
      <c r="A312" s="19" t="str">
        <v>德国区</v>
      </c>
      <c r="B312" s="19" t="str">
        <v>杜塞尔多夫3号仓</v>
      </c>
      <c r="C312" s="19" t="str">
        <v>拣货组</v>
      </c>
      <c r="D312" s="21" t="n">
        <v>46203</v>
      </c>
      <c r="E312" s="19" t="str">
        <v>2026-06</v>
      </c>
      <c r="F312" s="19" t="str">
        <v>操作员</v>
      </c>
      <c r="G312" s="19" t="str">
        <v>德国区-灵活班次 / DE FLEX</v>
      </c>
      <c r="H312" s="19" t="str">
        <v>S000300</v>
      </c>
      <c r="I312" s="19" t="str">
        <v>LeXpersonal GmbH</v>
      </c>
      <c r="J312" s="23" t="n">
        <v>5</v>
      </c>
      <c r="K312" s="23" t="n">
        <v>0</v>
      </c>
      <c r="L312" s="23" t="n">
        <f>J312+K312</f>
        <v>5</v>
      </c>
      <c r="M312" s="23" t="n">
        <v>5</v>
      </c>
      <c r="N312" s="23" t="n">
        <v>5</v>
      </c>
      <c r="O312" s="23" t="n">
        <v>3</v>
      </c>
      <c r="P312" s="23" t="n">
        <v>3</v>
      </c>
      <c r="Q312" s="23" t="n">
        <f>MIN(O312,P312)</f>
        <v>3</v>
      </c>
      <c r="R312" s="25" t="n">
        <f>IF(M312=0,0,MIN(1,L312/M312))</f>
        <v>1</v>
      </c>
      <c r="S312" s="23" t="n">
        <f>O312*R312</f>
        <v>3</v>
      </c>
      <c r="T312" s="23" t="n">
        <f>MIN(P312,S312)</f>
        <v>3</v>
      </c>
      <c r="U312" s="23" t="n">
        <f>O312-S312</f>
        <v>0</v>
      </c>
      <c r="V312" s="23" t="n">
        <f>MAX(P312-O312,0)</f>
        <v>0</v>
      </c>
    </row>
    <row r="313">
      <c r="A313" s="19" t="str">
        <v>德国区</v>
      </c>
      <c r="B313" s="19" t="str">
        <v>杜塞尔多夫3号仓</v>
      </c>
      <c r="C313" s="19" t="str">
        <v>理货组</v>
      </c>
      <c r="D313" s="21" t="n">
        <v>46150</v>
      </c>
      <c r="E313" s="19" t="str">
        <v>2026-05</v>
      </c>
      <c r="F313" s="19" t="str">
        <v>操作员</v>
      </c>
      <c r="G313" s="19" t="str">
        <v>德国区-灵活班次 / DE FLEX</v>
      </c>
      <c r="H313" s="19" t="str">
        <v>S000279</v>
      </c>
      <c r="I313" s="19" t="str">
        <v>Armz GmbH</v>
      </c>
      <c r="J313" s="23" t="n">
        <v>1</v>
      </c>
      <c r="K313" s="23" t="n">
        <v>0</v>
      </c>
      <c r="L313" s="23" t="n">
        <f>J313+K313</f>
        <v>1</v>
      </c>
      <c r="M313" s="23" t="n">
        <v>1</v>
      </c>
      <c r="N313" s="23" t="n">
        <v>0</v>
      </c>
      <c r="O313" s="23" t="n">
        <v>1</v>
      </c>
      <c r="P313" s="23" t="n">
        <v>0</v>
      </c>
      <c r="Q313" s="23" t="n">
        <f>MIN(O313,P313)</f>
        <v>0</v>
      </c>
      <c r="R313" s="25" t="n">
        <f>IF(M313=0,0,MIN(1,L313/M313))</f>
        <v>1</v>
      </c>
      <c r="S313" s="23" t="n">
        <f>O313*R313</f>
        <v>1</v>
      </c>
      <c r="T313" s="23" t="n">
        <f>MIN(P313,S313)</f>
        <v>0</v>
      </c>
      <c r="U313" s="23" t="n">
        <f>O313-S313</f>
        <v>0</v>
      </c>
      <c r="V313" s="23" t="n">
        <f>MAX(P313-O313,0)</f>
        <v>0</v>
      </c>
    </row>
    <row r="314">
      <c r="A314" s="19" t="str">
        <v>德国区</v>
      </c>
      <c r="B314" s="19" t="str">
        <v>杜塞尔多夫5号仓</v>
      </c>
      <c r="C314" s="19" t="str">
        <v>入库组</v>
      </c>
      <c r="D314" s="21" t="n">
        <v>46169</v>
      </c>
      <c r="E314" s="19" t="str">
        <v>2026-05</v>
      </c>
      <c r="F314" s="19" t="str">
        <v>操作员</v>
      </c>
      <c r="G314" s="19" t="str">
        <v>德国区-灵活班次 / DE FLEX</v>
      </c>
      <c r="H314" s="19" t="str">
        <v>S000327</v>
      </c>
      <c r="I314" s="19" t="str">
        <v>Gohar GmbH</v>
      </c>
      <c r="J314" s="23" t="n">
        <v>5</v>
      </c>
      <c r="K314" s="23" t="n">
        <v>0</v>
      </c>
      <c r="L314" s="23" t="n">
        <f>J314+K314</f>
        <v>5</v>
      </c>
      <c r="M314" s="23" t="n">
        <v>5</v>
      </c>
      <c r="N314" s="23" t="n">
        <v>5</v>
      </c>
      <c r="O314" s="23" t="n">
        <v>5</v>
      </c>
      <c r="P314" s="23" t="n">
        <v>5</v>
      </c>
      <c r="Q314" s="23" t="n">
        <f>MIN(O314,P314)</f>
        <v>5</v>
      </c>
      <c r="R314" s="25" t="n">
        <f>IF(M314=0,0,MIN(1,L314/M314))</f>
        <v>1</v>
      </c>
      <c r="S314" s="23" t="n">
        <f>O314*R314</f>
        <v>5</v>
      </c>
      <c r="T314" s="23" t="n">
        <f>MIN(P314,S314)</f>
        <v>5</v>
      </c>
      <c r="U314" s="23" t="n">
        <f>O314-S314</f>
        <v>0</v>
      </c>
      <c r="V314" s="23" t="n">
        <f>MAX(P314-O314,0)</f>
        <v>0</v>
      </c>
    </row>
    <row r="315">
      <c r="A315" s="19" t="str">
        <v>德国区</v>
      </c>
      <c r="B315" s="19" t="str">
        <v>杜塞尔多夫5号仓</v>
      </c>
      <c r="C315" s="19" t="str">
        <v>入库组</v>
      </c>
      <c r="D315" s="21" t="n">
        <v>46182</v>
      </c>
      <c r="E315" s="19" t="str">
        <v>2026-06</v>
      </c>
      <c r="F315" s="19" t="str">
        <v>操作员</v>
      </c>
      <c r="G315" s="19" t="str">
        <v>德国区-灵活班次 / DE FLEX</v>
      </c>
      <c r="H315" s="19" t="str">
        <v>S000316</v>
      </c>
      <c r="I315" s="19" t="str">
        <v>Nivux Estate e.Kfm</v>
      </c>
      <c r="J315" s="23" t="n">
        <v>5</v>
      </c>
      <c r="K315" s="23" t="n">
        <v>0</v>
      </c>
      <c r="L315" s="23" t="n">
        <f>J315+K315</f>
        <v>5</v>
      </c>
      <c r="M315" s="23" t="n">
        <v>6</v>
      </c>
      <c r="N315" s="23" t="n">
        <v>6</v>
      </c>
      <c r="O315" s="23" t="n">
        <v>6</v>
      </c>
      <c r="P315" s="23" t="n">
        <v>6</v>
      </c>
      <c r="Q315" s="23" t="n">
        <f>MIN(O315,P315)</f>
        <v>6</v>
      </c>
      <c r="R315" s="25" t="n">
        <f>IF(M315=0,0,MIN(1,L315/M315))</f>
        <v>0.8333333333333334</v>
      </c>
      <c r="S315" s="23" t="n">
        <f>O315*R315</f>
        <v>5</v>
      </c>
      <c r="T315" s="23" t="n">
        <f>MIN(P315,S315)</f>
        <v>5</v>
      </c>
      <c r="U315" s="23" t="n">
        <f>O315-S315</f>
        <v>1</v>
      </c>
      <c r="V315" s="23" t="n">
        <f>MAX(P315-O315,0)</f>
        <v>0</v>
      </c>
    </row>
    <row r="316">
      <c r="A316" s="19" t="str">
        <v>德国区</v>
      </c>
      <c r="B316" s="19" t="str">
        <v>杜塞尔多夫5号仓</v>
      </c>
      <c r="C316" s="19" t="str">
        <v>入库组</v>
      </c>
      <c r="D316" s="21" t="n">
        <v>46189</v>
      </c>
      <c r="E316" s="19" t="str">
        <v>2026-06</v>
      </c>
      <c r="F316" s="19" t="str">
        <v>操作员</v>
      </c>
      <c r="G316" s="19" t="str">
        <v>德国区-灵活班次 / DE FLEX</v>
      </c>
      <c r="H316" s="19" t="str">
        <v>S000086</v>
      </c>
      <c r="I316" s="19" t="str">
        <v>Topjob Zeitarbeit GmbH</v>
      </c>
      <c r="J316" s="23" t="n">
        <v>3</v>
      </c>
      <c r="K316" s="23" t="n">
        <v>0</v>
      </c>
      <c r="L316" s="23" t="n">
        <f>J316+K316</f>
        <v>3</v>
      </c>
      <c r="M316" s="23" t="n">
        <v>5</v>
      </c>
      <c r="N316" s="23" t="n">
        <v>5</v>
      </c>
      <c r="O316" s="23" t="n">
        <v>5</v>
      </c>
      <c r="P316" s="23" t="n">
        <v>5</v>
      </c>
      <c r="Q316" s="23" t="n">
        <f>MIN(O316,P316)</f>
        <v>5</v>
      </c>
      <c r="R316" s="25" t="n">
        <f>IF(M316=0,0,MIN(1,L316/M316))</f>
        <v>0.6</v>
      </c>
      <c r="S316" s="23" t="n">
        <f>O316*R316</f>
        <v>3</v>
      </c>
      <c r="T316" s="23" t="n">
        <f>MIN(P316,S316)</f>
        <v>3</v>
      </c>
      <c r="U316" s="23" t="n">
        <f>O316-S316</f>
        <v>2</v>
      </c>
      <c r="V316" s="23" t="n">
        <f>MAX(P316-O316,0)</f>
        <v>0</v>
      </c>
    </row>
    <row r="317">
      <c r="A317" s="19" t="str">
        <v>德国区</v>
      </c>
      <c r="B317" s="19" t="str">
        <v>杜塞尔多夫5号仓</v>
      </c>
      <c r="C317" s="19" t="str">
        <v>入库组</v>
      </c>
      <c r="D317" s="21" t="n">
        <v>46192</v>
      </c>
      <c r="E317" s="19" t="str">
        <v>2026-06</v>
      </c>
      <c r="F317" s="19" t="str">
        <v>操作员</v>
      </c>
      <c r="G317" s="19" t="str">
        <v>德国区-灵活班次 / DE FLEX</v>
      </c>
      <c r="H317" s="19" t="str">
        <v>S000327</v>
      </c>
      <c r="I317" s="19" t="str">
        <v>Gohar GmbH</v>
      </c>
      <c r="J317" s="23" t="n">
        <v>2</v>
      </c>
      <c r="K317" s="23" t="n">
        <v>0</v>
      </c>
      <c r="L317" s="23" t="n">
        <f>J317+K317</f>
        <v>2</v>
      </c>
      <c r="M317" s="23" t="n">
        <v>2</v>
      </c>
      <c r="N317" s="23" t="n">
        <v>2</v>
      </c>
      <c r="O317" s="23" t="n">
        <v>2</v>
      </c>
      <c r="P317" s="23" t="n">
        <v>2</v>
      </c>
      <c r="Q317" s="23" t="n">
        <f>MIN(O317,P317)</f>
        <v>2</v>
      </c>
      <c r="R317" s="25" t="n">
        <f>IF(M317=0,0,MIN(1,L317/M317))</f>
        <v>1</v>
      </c>
      <c r="S317" s="23" t="n">
        <f>O317*R317</f>
        <v>2</v>
      </c>
      <c r="T317" s="23" t="n">
        <f>MIN(P317,S317)</f>
        <v>2</v>
      </c>
      <c r="U317" s="23" t="n">
        <f>O317-S317</f>
        <v>0</v>
      </c>
      <c r="V317" s="23" t="n">
        <f>MAX(P317-O317,0)</f>
        <v>0</v>
      </c>
    </row>
    <row r="318">
      <c r="A318" s="19" t="str">
        <v>德国区</v>
      </c>
      <c r="B318" s="19" t="str">
        <v>杜塞尔多夫5号仓</v>
      </c>
      <c r="C318" s="19" t="str">
        <v>包装组</v>
      </c>
      <c r="D318" s="21" t="n">
        <v>46136</v>
      </c>
      <c r="E318" s="19" t="str">
        <v>2026-04</v>
      </c>
      <c r="F318" s="19" t="str">
        <v>操作员</v>
      </c>
      <c r="G318" s="19" t="str">
        <v>德国区-灵活班次 / DE FLEX</v>
      </c>
      <c r="H318" s="19" t="str">
        <v>S000279</v>
      </c>
      <c r="I318" s="19" t="str">
        <v>Armz GmbH</v>
      </c>
      <c r="J318" s="23" t="n">
        <v>4</v>
      </c>
      <c r="K318" s="23" t="n">
        <v>0</v>
      </c>
      <c r="L318" s="23" t="n">
        <f>J318+K318</f>
        <v>4</v>
      </c>
      <c r="M318" s="23" t="n">
        <v>4</v>
      </c>
      <c r="N318" s="23" t="n">
        <v>4</v>
      </c>
      <c r="O318" s="23" t="n">
        <v>2</v>
      </c>
      <c r="P318" s="23" t="n">
        <v>2</v>
      </c>
      <c r="Q318" s="23" t="n">
        <f>MIN(O318,P318)</f>
        <v>2</v>
      </c>
      <c r="R318" s="25" t="n">
        <f>IF(M318=0,0,MIN(1,L318/M318))</f>
        <v>1</v>
      </c>
      <c r="S318" s="23" t="n">
        <f>O318*R318</f>
        <v>2</v>
      </c>
      <c r="T318" s="23" t="n">
        <f>MIN(P318,S318)</f>
        <v>2</v>
      </c>
      <c r="U318" s="23" t="n">
        <f>O318-S318</f>
        <v>0</v>
      </c>
      <c r="V318" s="23" t="n">
        <f>MAX(P318-O318,0)</f>
        <v>0</v>
      </c>
    </row>
    <row r="319">
      <c r="A319" s="19" t="str">
        <v>德国区</v>
      </c>
      <c r="B319" s="19" t="str">
        <v>杜塞尔多夫5号仓</v>
      </c>
      <c r="C319" s="19" t="str">
        <v>包装组</v>
      </c>
      <c r="D319" s="21" t="n">
        <v>46136</v>
      </c>
      <c r="E319" s="19" t="str">
        <v>2026-04</v>
      </c>
      <c r="F319" s="19" t="str">
        <v>操作员</v>
      </c>
      <c r="G319" s="19" t="str">
        <v>德国区-灵活班次 / DE FLEX</v>
      </c>
      <c r="H319" s="19" t="str">
        <v>S000316</v>
      </c>
      <c r="I319" s="19" t="str">
        <v>Nivux Estate e.Kfm</v>
      </c>
      <c r="J319" s="23" t="n">
        <v>4</v>
      </c>
      <c r="K319" s="23" t="n">
        <v>0</v>
      </c>
      <c r="L319" s="23" t="n">
        <f>J319+K319</f>
        <v>4</v>
      </c>
      <c r="M319" s="23" t="n">
        <v>4</v>
      </c>
      <c r="N319" s="23" t="n">
        <v>4</v>
      </c>
      <c r="O319" s="23" t="n">
        <v>2</v>
      </c>
      <c r="P319" s="23" t="n">
        <v>2</v>
      </c>
      <c r="Q319" s="23" t="n">
        <f>MIN(O319,P319)</f>
        <v>2</v>
      </c>
      <c r="R319" s="25" t="n">
        <f>IF(M319=0,0,MIN(1,L319/M319))</f>
        <v>1</v>
      </c>
      <c r="S319" s="23" t="n">
        <f>O319*R319</f>
        <v>2</v>
      </c>
      <c r="T319" s="23" t="n">
        <f>MIN(P319,S319)</f>
        <v>2</v>
      </c>
      <c r="U319" s="23" t="n">
        <f>O319-S319</f>
        <v>0</v>
      </c>
      <c r="V319" s="23" t="n">
        <f>MAX(P319-O319,0)</f>
        <v>0</v>
      </c>
    </row>
    <row r="320">
      <c r="A320" s="19" t="str">
        <v>德国区</v>
      </c>
      <c r="B320" s="19" t="str">
        <v>杜塞尔多夫5号仓</v>
      </c>
      <c r="C320" s="19" t="str">
        <v>包装组</v>
      </c>
      <c r="D320" s="21" t="n">
        <v>46178</v>
      </c>
      <c r="E320" s="19" t="str">
        <v>2026-06</v>
      </c>
      <c r="F320" s="19" t="str">
        <v>操作员</v>
      </c>
      <c r="G320" s="19" t="str">
        <v>德国区5仓7:00出库组班次</v>
      </c>
      <c r="H320" s="19" t="str">
        <v>S000279</v>
      </c>
      <c r="I320" s="19" t="str">
        <v>Armz GmbH</v>
      </c>
      <c r="J320" s="23" t="n">
        <v>2</v>
      </c>
      <c r="K320" s="23" t="n">
        <v>0</v>
      </c>
      <c r="L320" s="23" t="n">
        <f>J320+K320</f>
        <v>2</v>
      </c>
      <c r="M320" s="23" t="n">
        <v>5</v>
      </c>
      <c r="N320" s="23" t="n">
        <v>5</v>
      </c>
      <c r="O320" s="23" t="n">
        <v>5</v>
      </c>
      <c r="P320" s="23" t="n">
        <v>5</v>
      </c>
      <c r="Q320" s="23" t="n">
        <f>MIN(O320,P320)</f>
        <v>5</v>
      </c>
      <c r="R320" s="25" t="n">
        <f>IF(M320=0,0,MIN(1,L320/M320))</f>
        <v>0.4</v>
      </c>
      <c r="S320" s="23" t="n">
        <f>O320*R320</f>
        <v>2</v>
      </c>
      <c r="T320" s="23" t="n">
        <f>MIN(P320,S320)</f>
        <v>2</v>
      </c>
      <c r="U320" s="23" t="n">
        <f>O320-S320</f>
        <v>3</v>
      </c>
      <c r="V320" s="23" t="n">
        <f>MAX(P320-O320,0)</f>
        <v>0</v>
      </c>
    </row>
    <row r="321">
      <c r="A321" s="19" t="str">
        <v>德国区</v>
      </c>
      <c r="B321" s="19" t="str">
        <v>杜塞尔多夫5号仓</v>
      </c>
      <c r="C321" s="19" t="str">
        <v>包装组</v>
      </c>
      <c r="D321" s="21" t="n">
        <v>46179</v>
      </c>
      <c r="E321" s="19" t="str">
        <v>2026-06</v>
      </c>
      <c r="F321" s="19" t="str">
        <v>操作员</v>
      </c>
      <c r="G321" s="19" t="str">
        <v>德国区5仓7:00出库组班次</v>
      </c>
      <c r="H321" s="19" t="str">
        <v>S000316</v>
      </c>
      <c r="I321" s="19" t="str">
        <v>Nivux Estate e.Kfm</v>
      </c>
      <c r="J321" s="23" t="n">
        <v>2</v>
      </c>
      <c r="K321" s="23" t="n">
        <v>0</v>
      </c>
      <c r="L321" s="23" t="n">
        <f>J321+K321</f>
        <v>2</v>
      </c>
      <c r="M321" s="23" t="n">
        <v>2</v>
      </c>
      <c r="N321" s="23" t="n">
        <v>2</v>
      </c>
      <c r="O321" s="23" t="n">
        <v>2</v>
      </c>
      <c r="P321" s="23" t="n">
        <v>2</v>
      </c>
      <c r="Q321" s="23" t="n">
        <f>MIN(O321,P321)</f>
        <v>2</v>
      </c>
      <c r="R321" s="25" t="n">
        <f>IF(M321=0,0,MIN(1,L321/M321))</f>
        <v>1</v>
      </c>
      <c r="S321" s="23" t="n">
        <f>O321*R321</f>
        <v>2</v>
      </c>
      <c r="T321" s="23" t="n">
        <f>MIN(P321,S321)</f>
        <v>2</v>
      </c>
      <c r="U321" s="23" t="n">
        <f>O321-S321</f>
        <v>0</v>
      </c>
      <c r="V321" s="23" t="n">
        <f>MAX(P321-O321,0)</f>
        <v>0</v>
      </c>
    </row>
    <row r="322">
      <c r="A322" s="19" t="str">
        <v>德国区</v>
      </c>
      <c r="B322" s="19" t="str">
        <v>杜塞尔多夫5号仓</v>
      </c>
      <c r="C322" s="19" t="str">
        <v>包装组</v>
      </c>
      <c r="D322" s="21" t="n">
        <v>46197</v>
      </c>
      <c r="E322" s="19" t="str">
        <v>2026-06</v>
      </c>
      <c r="F322" s="19" t="str">
        <v>操作员</v>
      </c>
      <c r="G322" s="19" t="str">
        <v>德国区-灵活班次 / DE FLEX</v>
      </c>
      <c r="H322" s="19" t="str">
        <v>S000261</v>
      </c>
      <c r="I322" s="19" t="str">
        <v>ProQuality GmbH</v>
      </c>
      <c r="J322" s="23" t="n">
        <v>2</v>
      </c>
      <c r="K322" s="23" t="n">
        <v>0</v>
      </c>
      <c r="L322" s="23" t="n">
        <f>J322+K322</f>
        <v>2</v>
      </c>
      <c r="M322" s="23" t="n">
        <v>2</v>
      </c>
      <c r="N322" s="23" t="n">
        <v>2</v>
      </c>
      <c r="O322" s="23" t="n">
        <v>2</v>
      </c>
      <c r="P322" s="23" t="n">
        <v>2</v>
      </c>
      <c r="Q322" s="23" t="n">
        <f>MIN(O322,P322)</f>
        <v>2</v>
      </c>
      <c r="R322" s="25" t="n">
        <f>IF(M322=0,0,MIN(1,L322/M322))</f>
        <v>1</v>
      </c>
      <c r="S322" s="23" t="n">
        <f>O322*R322</f>
        <v>2</v>
      </c>
      <c r="T322" s="23" t="n">
        <f>MIN(P322,S322)</f>
        <v>2</v>
      </c>
      <c r="U322" s="23" t="n">
        <f>O322-S322</f>
        <v>0</v>
      </c>
      <c r="V322" s="23" t="n">
        <f>MAX(P322-O322,0)</f>
        <v>0</v>
      </c>
    </row>
    <row r="323">
      <c r="A323" s="19" t="str">
        <v>德国区</v>
      </c>
      <c r="B323" s="19" t="str">
        <v>杜塞尔多夫5号仓</v>
      </c>
      <c r="C323" s="19" t="str">
        <v>包装组</v>
      </c>
      <c r="D323" s="21" t="n">
        <v>46199</v>
      </c>
      <c r="E323" s="19" t="str">
        <v>2026-06</v>
      </c>
      <c r="F323" s="19" t="str">
        <v>操作员</v>
      </c>
      <c r="G323" s="19" t="str">
        <v>德国区-灵活班次 / DE FLEX</v>
      </c>
      <c r="H323" s="19" t="str">
        <v>S000261</v>
      </c>
      <c r="I323" s="19" t="str">
        <v>ProQuality GmbH</v>
      </c>
      <c r="J323" s="23" t="n">
        <v>2</v>
      </c>
      <c r="K323" s="23" t="n">
        <v>0</v>
      </c>
      <c r="L323" s="23" t="n">
        <f>J323+K323</f>
        <v>2</v>
      </c>
      <c r="M323" s="23" t="n">
        <v>2</v>
      </c>
      <c r="N323" s="23" t="n">
        <v>2</v>
      </c>
      <c r="O323" s="23" t="n">
        <v>2</v>
      </c>
      <c r="P323" s="23" t="n">
        <v>2</v>
      </c>
      <c r="Q323" s="23" t="n">
        <f>MIN(O323,P323)</f>
        <v>2</v>
      </c>
      <c r="R323" s="25" t="n">
        <f>IF(M323=0,0,MIN(1,L323/M323))</f>
        <v>1</v>
      </c>
      <c r="S323" s="23" t="n">
        <f>O323*R323</f>
        <v>2</v>
      </c>
      <c r="T323" s="23" t="n">
        <f>MIN(P323,S323)</f>
        <v>2</v>
      </c>
      <c r="U323" s="23" t="n">
        <f>O323-S323</f>
        <v>0</v>
      </c>
      <c r="V323" s="23" t="n">
        <f>MAX(P323-O323,0)</f>
        <v>0</v>
      </c>
    </row>
    <row r="324">
      <c r="A324" s="19" t="str">
        <v>德国区</v>
      </c>
      <c r="B324" s="19" t="str">
        <v>杜塞尔多夫5号仓</v>
      </c>
      <c r="C324" s="19" t="str">
        <v>打包组</v>
      </c>
      <c r="D324" s="21" t="n">
        <v>46134</v>
      </c>
      <c r="E324" s="19" t="str">
        <v>2026-04</v>
      </c>
      <c r="F324" s="19" t="str">
        <v>操作员</v>
      </c>
      <c r="G324" s="19" t="str">
        <v>德国区-灵活班次 / DE FLEX</v>
      </c>
      <c r="H324" s="19" t="str">
        <v>S000316</v>
      </c>
      <c r="I324" s="19" t="str">
        <v>Nivux Estate e.Kfm</v>
      </c>
      <c r="J324" s="23" t="n">
        <v>5</v>
      </c>
      <c r="K324" s="23" t="n">
        <v>0</v>
      </c>
      <c r="L324" s="23" t="n">
        <f>J324+K324</f>
        <v>5</v>
      </c>
      <c r="M324" s="23" t="n">
        <v>5</v>
      </c>
      <c r="N324" s="23" t="n">
        <v>4</v>
      </c>
      <c r="O324" s="23" t="n">
        <v>5</v>
      </c>
      <c r="P324" s="23" t="n">
        <v>4</v>
      </c>
      <c r="Q324" s="23" t="n">
        <f>MIN(O324,P324)</f>
        <v>4</v>
      </c>
      <c r="R324" s="25" t="n">
        <f>IF(M324=0,0,MIN(1,L324/M324))</f>
        <v>1</v>
      </c>
      <c r="S324" s="23" t="n">
        <f>O324*R324</f>
        <v>5</v>
      </c>
      <c r="T324" s="23" t="n">
        <f>MIN(P324,S324)</f>
        <v>4</v>
      </c>
      <c r="U324" s="23" t="n">
        <f>O324-S324</f>
        <v>0</v>
      </c>
      <c r="V324" s="23" t="n">
        <f>MAX(P324-O324,0)</f>
        <v>0</v>
      </c>
    </row>
    <row r="325">
      <c r="A325" s="19" t="str">
        <v>德国区</v>
      </c>
      <c r="B325" s="19" t="str">
        <v>杜塞尔多夫5号仓</v>
      </c>
      <c r="C325" s="19" t="str">
        <v>打包组</v>
      </c>
      <c r="D325" s="21" t="n">
        <v>46135</v>
      </c>
      <c r="E325" s="19" t="str">
        <v>2026-04</v>
      </c>
      <c r="F325" s="19" t="str">
        <v>操作员</v>
      </c>
      <c r="G325" s="19" t="str">
        <v>德国区-灵活班次 / DE FLEX</v>
      </c>
      <c r="H325" s="19" t="str">
        <v>S000327</v>
      </c>
      <c r="I325" s="19" t="str">
        <v>Gohar GmbH</v>
      </c>
      <c r="J325" s="23" t="n">
        <v>2</v>
      </c>
      <c r="K325" s="23" t="n">
        <v>0</v>
      </c>
      <c r="L325" s="23" t="n">
        <f>J325+K325</f>
        <v>2</v>
      </c>
      <c r="M325" s="23" t="n">
        <v>2</v>
      </c>
      <c r="N325" s="23" t="n">
        <v>2</v>
      </c>
      <c r="O325" s="23" t="n">
        <v>2</v>
      </c>
      <c r="P325" s="23" t="n">
        <v>2</v>
      </c>
      <c r="Q325" s="23" t="n">
        <f>MIN(O325,P325)</f>
        <v>2</v>
      </c>
      <c r="R325" s="25" t="n">
        <f>IF(M325=0,0,MIN(1,L325/M325))</f>
        <v>1</v>
      </c>
      <c r="S325" s="23" t="n">
        <f>O325*R325</f>
        <v>2</v>
      </c>
      <c r="T325" s="23" t="n">
        <f>MIN(P325,S325)</f>
        <v>2</v>
      </c>
      <c r="U325" s="23" t="n">
        <f>O325-S325</f>
        <v>0</v>
      </c>
      <c r="V325" s="23" t="n">
        <f>MAX(P325-O325,0)</f>
        <v>0</v>
      </c>
    </row>
    <row r="326">
      <c r="A326" s="19" t="str">
        <v>德国区</v>
      </c>
      <c r="B326" s="19" t="str">
        <v>杜塞尔多夫5号仓</v>
      </c>
      <c r="C326" s="19" t="str">
        <v>打包组</v>
      </c>
      <c r="D326" s="21" t="n">
        <v>46149</v>
      </c>
      <c r="E326" s="19" t="str">
        <v>2026-05</v>
      </c>
      <c r="F326" s="19" t="str">
        <v>操作员</v>
      </c>
      <c r="G326" s="19" t="str">
        <v>德国区-灵活班次 / DE FLEX</v>
      </c>
      <c r="H326" s="19" t="str">
        <v>S000279</v>
      </c>
      <c r="I326" s="19" t="str">
        <v>Armz GmbH</v>
      </c>
      <c r="J326" s="23" t="n">
        <v>2</v>
      </c>
      <c r="K326" s="23" t="n">
        <v>0</v>
      </c>
      <c r="L326" s="23" t="n">
        <f>J326+K326</f>
        <v>2</v>
      </c>
      <c r="M326" s="23" t="n">
        <v>3</v>
      </c>
      <c r="N326" s="23" t="n">
        <v>3</v>
      </c>
      <c r="O326" s="23" t="n">
        <v>1</v>
      </c>
      <c r="P326" s="23" t="n">
        <v>1</v>
      </c>
      <c r="Q326" s="23" t="n">
        <f>MIN(O326,P326)</f>
        <v>1</v>
      </c>
      <c r="R326" s="25" t="n">
        <f>IF(M326=0,0,MIN(1,L326/M326))</f>
        <v>0.6666666666666666</v>
      </c>
      <c r="S326" s="23" t="n">
        <f>O326*R326</f>
        <v>0.6666666666666666</v>
      </c>
      <c r="T326" s="23" t="n">
        <f>MIN(P326,S326)</f>
        <v>0.6666666666666666</v>
      </c>
      <c r="U326" s="23" t="n">
        <f>O326-S326</f>
        <v>0.33333333333333337</v>
      </c>
      <c r="V326" s="23" t="n">
        <f>MAX(P326-O326,0)</f>
        <v>0</v>
      </c>
    </row>
    <row r="327">
      <c r="A327" s="19" t="str">
        <v>德国区</v>
      </c>
      <c r="B327" s="19" t="str">
        <v>杜塞尔多夫5号仓</v>
      </c>
      <c r="C327" s="19" t="str">
        <v>打包组</v>
      </c>
      <c r="D327" s="21" t="n">
        <v>46149</v>
      </c>
      <c r="E327" s="19" t="str">
        <v>2026-05</v>
      </c>
      <c r="F327" s="19" t="str">
        <v>操作员</v>
      </c>
      <c r="G327" s="19" t="str">
        <v>德国区-灵活班次 / DE FLEX</v>
      </c>
      <c r="H327" s="19" t="str">
        <v>S000316</v>
      </c>
      <c r="I327" s="19" t="str">
        <v>Nivux Estate e.Kfm</v>
      </c>
      <c r="J327" s="23" t="n">
        <v>2</v>
      </c>
      <c r="K327" s="23" t="n">
        <v>0</v>
      </c>
      <c r="L327" s="23" t="n">
        <f>J327+K327</f>
        <v>2</v>
      </c>
      <c r="M327" s="23" t="n">
        <v>3</v>
      </c>
      <c r="N327" s="23" t="n">
        <v>3</v>
      </c>
      <c r="O327" s="23" t="n">
        <v>2</v>
      </c>
      <c r="P327" s="23" t="n">
        <v>2</v>
      </c>
      <c r="Q327" s="23" t="n">
        <f>MIN(O327,P327)</f>
        <v>2</v>
      </c>
      <c r="R327" s="25" t="n">
        <f>IF(M327=0,0,MIN(1,L327/M327))</f>
        <v>0.6666666666666666</v>
      </c>
      <c r="S327" s="23" t="n">
        <f>O327*R327</f>
        <v>1.3333333333333333</v>
      </c>
      <c r="T327" s="23" t="n">
        <f>MIN(P327,S327)</f>
        <v>1.3333333333333333</v>
      </c>
      <c r="U327" s="23" t="n">
        <f>O327-S327</f>
        <v>0.6666666666666667</v>
      </c>
      <c r="V327" s="23" t="n">
        <f>MAX(P327-O327,0)</f>
        <v>0</v>
      </c>
    </row>
    <row r="328">
      <c r="A328" s="19" t="str">
        <v>德国区</v>
      </c>
      <c r="B328" s="19" t="str">
        <v>杜塞尔多夫5号仓</v>
      </c>
      <c r="C328" s="19" t="str">
        <v>打包组</v>
      </c>
      <c r="D328" s="21" t="n">
        <v>46155</v>
      </c>
      <c r="E328" s="19" t="str">
        <v>2026-05</v>
      </c>
      <c r="F328" s="19" t="str">
        <v>操作员</v>
      </c>
      <c r="G328" s="19" t="str">
        <v>德国区-灵活班次 / DE FLEX</v>
      </c>
      <c r="H328" s="19" t="str">
        <v>S000316</v>
      </c>
      <c r="I328" s="19" t="str">
        <v>Nivux Estate e.Kfm</v>
      </c>
      <c r="J328" s="23" t="n">
        <v>2</v>
      </c>
      <c r="K328" s="23" t="n">
        <v>0</v>
      </c>
      <c r="L328" s="23" t="n">
        <f>J328+K328</f>
        <v>2</v>
      </c>
      <c r="M328" s="23" t="n">
        <v>3</v>
      </c>
      <c r="N328" s="23" t="n">
        <v>3</v>
      </c>
      <c r="O328" s="23" t="n">
        <v>3</v>
      </c>
      <c r="P328" s="23" t="n">
        <v>3</v>
      </c>
      <c r="Q328" s="23" t="n">
        <f>MIN(O328,P328)</f>
        <v>3</v>
      </c>
      <c r="R328" s="25" t="n">
        <f>IF(M328=0,0,MIN(1,L328/M328))</f>
        <v>0.6666666666666666</v>
      </c>
      <c r="S328" s="23" t="n">
        <f>O328*R328</f>
        <v>2</v>
      </c>
      <c r="T328" s="23" t="n">
        <f>MIN(P328,S328)</f>
        <v>2</v>
      </c>
      <c r="U328" s="23" t="n">
        <f>O328-S328</f>
        <v>1</v>
      </c>
      <c r="V328" s="23" t="n">
        <f>MAX(P328-O328,0)</f>
        <v>0</v>
      </c>
    </row>
    <row r="329">
      <c r="A329" s="19" t="str">
        <v>德国区</v>
      </c>
      <c r="B329" s="19" t="str">
        <v>杜塞尔多夫5号仓</v>
      </c>
      <c r="C329" s="19" t="str">
        <v>打包组</v>
      </c>
      <c r="D329" s="21" t="n">
        <v>46161</v>
      </c>
      <c r="E329" s="19" t="str">
        <v>2026-05</v>
      </c>
      <c r="F329" s="19" t="str">
        <v>操作员</v>
      </c>
      <c r="G329" s="19" t="str">
        <v>德国区-灵活班次 / DE FLEX</v>
      </c>
      <c r="H329" s="19" t="str">
        <v>S000316</v>
      </c>
      <c r="I329" s="19" t="str">
        <v>Nivux Estate e.Kfm</v>
      </c>
      <c r="J329" s="23" t="n">
        <v>3</v>
      </c>
      <c r="K329" s="23" t="n">
        <v>0</v>
      </c>
      <c r="L329" s="23" t="n">
        <f>J329+K329</f>
        <v>3</v>
      </c>
      <c r="M329" s="23" t="n">
        <v>3</v>
      </c>
      <c r="N329" s="23" t="n">
        <v>3</v>
      </c>
      <c r="O329" s="23" t="n">
        <v>3</v>
      </c>
      <c r="P329" s="23" t="n">
        <v>3</v>
      </c>
      <c r="Q329" s="23" t="n">
        <f>MIN(O329,P329)</f>
        <v>3</v>
      </c>
      <c r="R329" s="25" t="n">
        <f>IF(M329=0,0,MIN(1,L329/M329))</f>
        <v>1</v>
      </c>
      <c r="S329" s="23" t="n">
        <f>O329*R329</f>
        <v>3</v>
      </c>
      <c r="T329" s="23" t="n">
        <f>MIN(P329,S329)</f>
        <v>3</v>
      </c>
      <c r="U329" s="23" t="n">
        <f>O329-S329</f>
        <v>0</v>
      </c>
      <c r="V329" s="23" t="n">
        <f>MAX(P329-O329,0)</f>
        <v>0</v>
      </c>
    </row>
    <row r="330">
      <c r="A330" s="19" t="str">
        <v>德国区</v>
      </c>
      <c r="B330" s="19" t="str">
        <v>杜塞尔多夫5号仓</v>
      </c>
      <c r="C330" s="19" t="str">
        <v>拣货组</v>
      </c>
      <c r="D330" s="21" t="n">
        <v>46140</v>
      </c>
      <c r="E330" s="19" t="str">
        <v>2026-04</v>
      </c>
      <c r="F330" s="19" t="str">
        <v>操作员</v>
      </c>
      <c r="G330" s="19" t="str">
        <v>德国区-灵活班次 / DE FLEX</v>
      </c>
      <c r="H330" s="19" t="str">
        <v>S000279</v>
      </c>
      <c r="I330" s="19" t="str">
        <v>Armz GmbH</v>
      </c>
      <c r="J330" s="23" t="n">
        <v>5</v>
      </c>
      <c r="K330" s="23" t="n">
        <v>0</v>
      </c>
      <c r="L330" s="23" t="n">
        <f>J330+K330</f>
        <v>5</v>
      </c>
      <c r="M330" s="23" t="n">
        <v>5</v>
      </c>
      <c r="N330" s="23" t="n">
        <v>5</v>
      </c>
      <c r="O330" s="23" t="n">
        <v>2</v>
      </c>
      <c r="P330" s="23" t="n">
        <v>2</v>
      </c>
      <c r="Q330" s="23" t="n">
        <f>MIN(O330,P330)</f>
        <v>2</v>
      </c>
      <c r="R330" s="25" t="n">
        <f>IF(M330=0,0,MIN(1,L330/M330))</f>
        <v>1</v>
      </c>
      <c r="S330" s="23" t="n">
        <f>O330*R330</f>
        <v>2</v>
      </c>
      <c r="T330" s="23" t="n">
        <f>MIN(P330,S330)</f>
        <v>2</v>
      </c>
      <c r="U330" s="23" t="n">
        <f>O330-S330</f>
        <v>0</v>
      </c>
      <c r="V330" s="23" t="n">
        <f>MAX(P330-O330,0)</f>
        <v>0</v>
      </c>
    </row>
    <row r="331">
      <c r="A331" s="19" t="str">
        <v>德国区</v>
      </c>
      <c r="B331" s="19" t="str">
        <v>杜塞尔多夫5号仓</v>
      </c>
      <c r="C331" s="19" t="str">
        <v>拣货组</v>
      </c>
      <c r="D331" s="21" t="n">
        <v>46140</v>
      </c>
      <c r="E331" s="19" t="str">
        <v>2026-04</v>
      </c>
      <c r="F331" s="19" t="str">
        <v>操作员</v>
      </c>
      <c r="G331" s="19" t="str">
        <v>德国区-灵活班次 / DE FLEX</v>
      </c>
      <c r="H331" s="19" t="str">
        <v>S000316</v>
      </c>
      <c r="I331" s="19" t="str">
        <v>Nivux Estate e.Kfm</v>
      </c>
      <c r="J331" s="23" t="n">
        <v>5</v>
      </c>
      <c r="K331" s="23" t="n">
        <v>0</v>
      </c>
      <c r="L331" s="23" t="n">
        <f>J331+K331</f>
        <v>5</v>
      </c>
      <c r="M331" s="23" t="n">
        <v>5</v>
      </c>
      <c r="N331" s="23" t="n">
        <v>5</v>
      </c>
      <c r="O331" s="23" t="n">
        <v>3</v>
      </c>
      <c r="P331" s="23" t="n">
        <v>3</v>
      </c>
      <c r="Q331" s="23" t="n">
        <f>MIN(O331,P331)</f>
        <v>3</v>
      </c>
      <c r="R331" s="25" t="n">
        <f>IF(M331=0,0,MIN(1,L331/M331))</f>
        <v>1</v>
      </c>
      <c r="S331" s="23" t="n">
        <f>O331*R331</f>
        <v>3</v>
      </c>
      <c r="T331" s="23" t="n">
        <f>MIN(P331,S331)</f>
        <v>3</v>
      </c>
      <c r="U331" s="23" t="n">
        <f>O331-S331</f>
        <v>0</v>
      </c>
      <c r="V331" s="23" t="n">
        <f>MAX(P331-O331,0)</f>
        <v>0</v>
      </c>
    </row>
    <row r="332">
      <c r="A332" s="19" t="str">
        <v>德国区</v>
      </c>
      <c r="B332" s="19" t="str">
        <v>杜塞尔多夫5号仓</v>
      </c>
      <c r="C332" s="19" t="str">
        <v>拣货组</v>
      </c>
      <c r="D332" s="21" t="n">
        <v>46171</v>
      </c>
      <c r="E332" s="19" t="str">
        <v>2026-05</v>
      </c>
      <c r="F332" s="19" t="str">
        <v>操作员</v>
      </c>
      <c r="G332" s="19" t="str">
        <v>德国区-灵活班次 / DE FLEX</v>
      </c>
      <c r="H332" s="19" t="str">
        <v>S000327</v>
      </c>
      <c r="I332" s="19" t="str">
        <v>Gohar GmbH</v>
      </c>
      <c r="J332" s="23" t="n">
        <v>5</v>
      </c>
      <c r="K332" s="23" t="n">
        <v>0</v>
      </c>
      <c r="L332" s="23" t="n">
        <f>J332+K332</f>
        <v>5</v>
      </c>
      <c r="M332" s="23" t="n">
        <v>5</v>
      </c>
      <c r="N332" s="23" t="n">
        <v>5</v>
      </c>
      <c r="O332" s="23" t="n">
        <v>5</v>
      </c>
      <c r="P332" s="23" t="n">
        <v>5</v>
      </c>
      <c r="Q332" s="23" t="n">
        <f>MIN(O332,P332)</f>
        <v>5</v>
      </c>
      <c r="R332" s="25" t="n">
        <f>IF(M332=0,0,MIN(1,L332/M332))</f>
        <v>1</v>
      </c>
      <c r="S332" s="23" t="n">
        <f>O332*R332</f>
        <v>5</v>
      </c>
      <c r="T332" s="23" t="n">
        <f>MIN(P332,S332)</f>
        <v>5</v>
      </c>
      <c r="U332" s="23" t="n">
        <f>O332-S332</f>
        <v>0</v>
      </c>
      <c r="V332" s="23" t="n">
        <f>MAX(P332-O332,0)</f>
        <v>0</v>
      </c>
    </row>
    <row r="333">
      <c r="A333" s="19" t="str">
        <v>德国区</v>
      </c>
      <c r="B333" s="19" t="str">
        <v>杜塞尔多夫5号仓</v>
      </c>
      <c r="C333" s="19" t="str">
        <v>拣货组</v>
      </c>
      <c r="D333" s="21" t="n">
        <v>46175</v>
      </c>
      <c r="E333" s="19" t="str">
        <v>2026-06</v>
      </c>
      <c r="F333" s="19" t="str">
        <v>操作员</v>
      </c>
      <c r="G333" s="19" t="str">
        <v>德国区-灵活班次 / DE FLEX</v>
      </c>
      <c r="H333" s="19" t="str">
        <v>S000316</v>
      </c>
      <c r="I333" s="19" t="str">
        <v>Nivux Estate e.Kfm</v>
      </c>
      <c r="J333" s="23" t="n">
        <v>5</v>
      </c>
      <c r="K333" s="23" t="n">
        <v>0</v>
      </c>
      <c r="L333" s="23" t="n">
        <f>J333+K333</f>
        <v>5</v>
      </c>
      <c r="M333" s="23" t="n">
        <v>6</v>
      </c>
      <c r="N333" s="23" t="n">
        <v>6</v>
      </c>
      <c r="O333" s="23" t="n">
        <v>6</v>
      </c>
      <c r="P333" s="23" t="n">
        <v>6</v>
      </c>
      <c r="Q333" s="23" t="n">
        <f>MIN(O333,P333)</f>
        <v>6</v>
      </c>
      <c r="R333" s="25" t="n">
        <f>IF(M333=0,0,MIN(1,L333/M333))</f>
        <v>0.8333333333333334</v>
      </c>
      <c r="S333" s="23" t="n">
        <f>O333*R333</f>
        <v>5</v>
      </c>
      <c r="T333" s="23" t="n">
        <f>MIN(P333,S333)</f>
        <v>5</v>
      </c>
      <c r="U333" s="23" t="n">
        <f>O333-S333</f>
        <v>1</v>
      </c>
      <c r="V333" s="23" t="n">
        <f>MAX(P333-O333,0)</f>
        <v>0</v>
      </c>
    </row>
    <row r="334">
      <c r="A334" s="19" t="str">
        <v>德国区</v>
      </c>
      <c r="B334" s="19" t="str">
        <v>杜塞尔多夫5号仓</v>
      </c>
      <c r="C334" s="19" t="str">
        <v>拣货组</v>
      </c>
      <c r="D334" s="21" t="n">
        <v>46176</v>
      </c>
      <c r="E334" s="19" t="str">
        <v>2026-06</v>
      </c>
      <c r="F334" s="19" t="str">
        <v>操作员</v>
      </c>
      <c r="G334" s="19" t="str">
        <v>德国区-灵活班次 / DE FLEX</v>
      </c>
      <c r="H334" s="19" t="str">
        <v>S000316</v>
      </c>
      <c r="I334" s="19" t="str">
        <v>Nivux Estate e.Kfm</v>
      </c>
      <c r="J334" s="23" t="n">
        <v>5</v>
      </c>
      <c r="K334" s="23" t="n">
        <v>0</v>
      </c>
      <c r="L334" s="23" t="n">
        <f>J334+K334</f>
        <v>5</v>
      </c>
      <c r="M334" s="23" t="n">
        <v>5</v>
      </c>
      <c r="N334" s="23" t="n">
        <v>4</v>
      </c>
      <c r="O334" s="23" t="n">
        <v>5</v>
      </c>
      <c r="P334" s="23" t="n">
        <v>4</v>
      </c>
      <c r="Q334" s="23" t="n">
        <f>MIN(O334,P334)</f>
        <v>4</v>
      </c>
      <c r="R334" s="25" t="n">
        <f>IF(M334=0,0,MIN(1,L334/M334))</f>
        <v>1</v>
      </c>
      <c r="S334" s="23" t="n">
        <f>O334*R334</f>
        <v>5</v>
      </c>
      <c r="T334" s="23" t="n">
        <f>MIN(P334,S334)</f>
        <v>4</v>
      </c>
      <c r="U334" s="23" t="n">
        <f>O334-S334</f>
        <v>0</v>
      </c>
      <c r="V334" s="23" t="n">
        <f>MAX(P334-O334,0)</f>
        <v>0</v>
      </c>
    </row>
    <row r="335">
      <c r="A335" s="19" t="str">
        <v>德国区</v>
      </c>
      <c r="B335" s="19" t="str">
        <v>杜塞尔多夫5号仓</v>
      </c>
      <c r="C335" s="19" t="str">
        <v>拣货组</v>
      </c>
      <c r="D335" s="21" t="n">
        <v>46178</v>
      </c>
      <c r="E335" s="19" t="str">
        <v>2026-06</v>
      </c>
      <c r="F335" s="19" t="str">
        <v>操作员</v>
      </c>
      <c r="G335" s="19" t="str">
        <v>德国区5仓7:00出库组班次</v>
      </c>
      <c r="H335" s="19" t="str">
        <v>S000316</v>
      </c>
      <c r="I335" s="19" t="str">
        <v>Nivux Estate e.Kfm</v>
      </c>
      <c r="J335" s="23" t="n">
        <v>2</v>
      </c>
      <c r="K335" s="23" t="n">
        <v>0</v>
      </c>
      <c r="L335" s="23" t="n">
        <f>J335+K335</f>
        <v>2</v>
      </c>
      <c r="M335" s="23" t="n">
        <v>2</v>
      </c>
      <c r="N335" s="23" t="n">
        <v>2</v>
      </c>
      <c r="O335" s="23" t="n">
        <v>2</v>
      </c>
      <c r="P335" s="23" t="n">
        <v>2</v>
      </c>
      <c r="Q335" s="23" t="n">
        <f>MIN(O335,P335)</f>
        <v>2</v>
      </c>
      <c r="R335" s="25" t="n">
        <f>IF(M335=0,0,MIN(1,L335/M335))</f>
        <v>1</v>
      </c>
      <c r="S335" s="23" t="n">
        <f>O335*R335</f>
        <v>2</v>
      </c>
      <c r="T335" s="23" t="n">
        <f>MIN(P335,S335)</f>
        <v>2</v>
      </c>
      <c r="U335" s="23" t="n">
        <f>O335-S335</f>
        <v>0</v>
      </c>
      <c r="V335" s="23" t="n">
        <f>MAX(P335-O335,0)</f>
        <v>0</v>
      </c>
    </row>
    <row r="336">
      <c r="A336" s="19" t="str">
        <v>德国区</v>
      </c>
      <c r="B336" s="19" t="str">
        <v>杜塞尔多夫5号仓</v>
      </c>
      <c r="C336" s="19" t="str">
        <v>拣货组</v>
      </c>
      <c r="D336" s="21" t="n">
        <v>46179</v>
      </c>
      <c r="E336" s="19" t="str">
        <v>2026-06</v>
      </c>
      <c r="F336" s="19" t="str">
        <v>操作员</v>
      </c>
      <c r="G336" s="19" t="str">
        <v>德国区5仓7:00出库组班次</v>
      </c>
      <c r="H336" s="19" t="str">
        <v>S000316</v>
      </c>
      <c r="I336" s="19" t="str">
        <v>Nivux Estate e.Kfm</v>
      </c>
      <c r="J336" s="23" t="n">
        <v>2</v>
      </c>
      <c r="K336" s="23" t="n">
        <v>0</v>
      </c>
      <c r="L336" s="23" t="n">
        <f>J336+K336</f>
        <v>2</v>
      </c>
      <c r="M336" s="23" t="n">
        <v>2</v>
      </c>
      <c r="N336" s="23" t="n">
        <v>2</v>
      </c>
      <c r="O336" s="23" t="n">
        <v>2</v>
      </c>
      <c r="P336" s="23" t="n">
        <v>2</v>
      </c>
      <c r="Q336" s="23" t="n">
        <f>MIN(O336,P336)</f>
        <v>2</v>
      </c>
      <c r="R336" s="25" t="n">
        <f>IF(M336=0,0,MIN(1,L336/M336))</f>
        <v>1</v>
      </c>
      <c r="S336" s="23" t="n">
        <f>O336*R336</f>
        <v>2</v>
      </c>
      <c r="T336" s="23" t="n">
        <f>MIN(P336,S336)</f>
        <v>2</v>
      </c>
      <c r="U336" s="23" t="n">
        <f>O336-S336</f>
        <v>0</v>
      </c>
      <c r="V336" s="23" t="n">
        <f>MAX(P336-O336,0)</f>
        <v>0</v>
      </c>
    </row>
    <row r="337">
      <c r="A337" s="19" t="str">
        <v>德国区</v>
      </c>
      <c r="B337" s="19" t="str">
        <v>杜塞尔多夫5号仓</v>
      </c>
      <c r="C337" s="19" t="str">
        <v>拣货组</v>
      </c>
      <c r="D337" s="21" t="n">
        <v>46182</v>
      </c>
      <c r="E337" s="19" t="str">
        <v>2026-06</v>
      </c>
      <c r="F337" s="19" t="str">
        <v>操作员</v>
      </c>
      <c r="G337" s="19" t="str">
        <v>德国区-灵活班次 / DE FLEX</v>
      </c>
      <c r="H337" s="19" t="str">
        <v>S000279</v>
      </c>
      <c r="I337" s="19" t="str">
        <v>Armz GmbH</v>
      </c>
      <c r="J337" s="23" t="n">
        <v>6</v>
      </c>
      <c r="K337" s="23" t="n">
        <v>0</v>
      </c>
      <c r="L337" s="23" t="n">
        <f>J337+K337</f>
        <v>6</v>
      </c>
      <c r="M337" s="23" t="n">
        <v>6</v>
      </c>
      <c r="N337" s="23" t="n">
        <v>6</v>
      </c>
      <c r="O337" s="23" t="n">
        <v>6</v>
      </c>
      <c r="P337" s="23" t="n">
        <v>6</v>
      </c>
      <c r="Q337" s="23" t="n">
        <f>MIN(O337,P337)</f>
        <v>6</v>
      </c>
      <c r="R337" s="25" t="n">
        <f>IF(M337=0,0,MIN(1,L337/M337))</f>
        <v>1</v>
      </c>
      <c r="S337" s="23" t="n">
        <f>O337*R337</f>
        <v>6</v>
      </c>
      <c r="T337" s="23" t="n">
        <f>MIN(P337,S337)</f>
        <v>6</v>
      </c>
      <c r="U337" s="23" t="n">
        <f>O337-S337</f>
        <v>0</v>
      </c>
      <c r="V337" s="23" t="n">
        <f>MAX(P337-O337,0)</f>
        <v>0</v>
      </c>
    </row>
    <row r="338">
      <c r="A338" s="19" t="str">
        <v>德国区</v>
      </c>
      <c r="B338" s="19" t="str">
        <v>杜塞尔多夫5号仓</v>
      </c>
      <c r="C338" s="19" t="str">
        <v>拣货组</v>
      </c>
      <c r="D338" s="21" t="n">
        <v>46191</v>
      </c>
      <c r="E338" s="19" t="str">
        <v>2026-06</v>
      </c>
      <c r="F338" s="19" t="str">
        <v>操作员</v>
      </c>
      <c r="G338" s="19" t="str">
        <v>德国区-灵活班次 / DE FLEX</v>
      </c>
      <c r="H338" s="19" t="str">
        <v>S000086</v>
      </c>
      <c r="I338" s="19" t="str">
        <v>Topjob Zeitarbeit GmbH</v>
      </c>
      <c r="J338" s="23" t="n">
        <v>5</v>
      </c>
      <c r="K338" s="23" t="n">
        <v>0</v>
      </c>
      <c r="L338" s="23" t="n">
        <f>J338+K338</f>
        <v>5</v>
      </c>
      <c r="M338" s="23" t="n">
        <v>6</v>
      </c>
      <c r="N338" s="23" t="n">
        <v>6</v>
      </c>
      <c r="O338" s="23" t="n">
        <v>3</v>
      </c>
      <c r="P338" s="23" t="n">
        <v>3</v>
      </c>
      <c r="Q338" s="23" t="n">
        <f>MIN(O338,P338)</f>
        <v>3</v>
      </c>
      <c r="R338" s="25" t="n">
        <f>IF(M338=0,0,MIN(1,L338/M338))</f>
        <v>0.8333333333333334</v>
      </c>
      <c r="S338" s="23" t="n">
        <f>O338*R338</f>
        <v>2.5</v>
      </c>
      <c r="T338" s="23" t="n">
        <f>MIN(P338,S338)</f>
        <v>2.5</v>
      </c>
      <c r="U338" s="23" t="n">
        <f>O338-S338</f>
        <v>0.5</v>
      </c>
      <c r="V338" s="23" t="n">
        <f>MAX(P338-O338,0)</f>
        <v>0</v>
      </c>
    </row>
    <row r="339">
      <c r="A339" s="19" t="str">
        <v>德国区</v>
      </c>
      <c r="B339" s="19" t="str">
        <v>杜塞尔多夫5号仓</v>
      </c>
      <c r="C339" s="19" t="str">
        <v>拣货组</v>
      </c>
      <c r="D339" s="21" t="n">
        <v>46191</v>
      </c>
      <c r="E339" s="19" t="str">
        <v>2026-06</v>
      </c>
      <c r="F339" s="19" t="str">
        <v>操作员</v>
      </c>
      <c r="G339" s="19" t="str">
        <v>德国区-灵活班次 / DE FLEX</v>
      </c>
      <c r="H339" s="19" t="str">
        <v>S000191</v>
      </c>
      <c r="I339" s="19" t="str">
        <v>TimePartner Personalmanagement GmbH</v>
      </c>
      <c r="J339" s="23" t="n">
        <v>5</v>
      </c>
      <c r="K339" s="23" t="n">
        <v>0</v>
      </c>
      <c r="L339" s="23" t="n">
        <f>J339+K339</f>
        <v>5</v>
      </c>
      <c r="M339" s="23" t="n">
        <v>6</v>
      </c>
      <c r="N339" s="23" t="n">
        <v>6</v>
      </c>
      <c r="O339" s="23" t="n">
        <v>3</v>
      </c>
      <c r="P339" s="23" t="n">
        <v>3</v>
      </c>
      <c r="Q339" s="23" t="n">
        <f>MIN(O339,P339)</f>
        <v>3</v>
      </c>
      <c r="R339" s="25" t="n">
        <f>IF(M339=0,0,MIN(1,L339/M339))</f>
        <v>0.8333333333333334</v>
      </c>
      <c r="S339" s="23" t="n">
        <f>O339*R339</f>
        <v>2.5</v>
      </c>
      <c r="T339" s="23" t="n">
        <f>MIN(P339,S339)</f>
        <v>2.5</v>
      </c>
      <c r="U339" s="23" t="n">
        <f>O339-S339</f>
        <v>0.5</v>
      </c>
      <c r="V339" s="23" t="n">
        <f>MAX(P339-O339,0)</f>
        <v>0</v>
      </c>
    </row>
    <row r="340">
      <c r="A340" s="19" t="str">
        <v>德国区</v>
      </c>
      <c r="B340" s="19" t="str">
        <v>杜塞尔多夫5号仓</v>
      </c>
      <c r="C340" s="19" t="str">
        <v>理货组</v>
      </c>
      <c r="D340" s="21" t="n">
        <v>46133</v>
      </c>
      <c r="E340" s="19" t="str">
        <v>2026-04</v>
      </c>
      <c r="F340" s="19" t="str">
        <v>操作员</v>
      </c>
      <c r="G340" s="19" t="str">
        <v>德国区-灵活班次 / DE FLEX</v>
      </c>
      <c r="H340" s="19" t="str">
        <v>S000316</v>
      </c>
      <c r="I340" s="19" t="str">
        <v>Nivux Estate e.Kfm</v>
      </c>
      <c r="J340" s="23" t="n">
        <v>2</v>
      </c>
      <c r="K340" s="23" t="n">
        <v>0</v>
      </c>
      <c r="L340" s="23" t="n">
        <f>J340+K340</f>
        <v>2</v>
      </c>
      <c r="M340" s="23" t="n">
        <v>2</v>
      </c>
      <c r="N340" s="23" t="n">
        <v>2</v>
      </c>
      <c r="O340" s="23" t="n">
        <v>2</v>
      </c>
      <c r="P340" s="23" t="n">
        <v>2</v>
      </c>
      <c r="Q340" s="23" t="n">
        <f>MIN(O340,P340)</f>
        <v>2</v>
      </c>
      <c r="R340" s="25" t="n">
        <f>IF(M340=0,0,MIN(1,L340/M340))</f>
        <v>1</v>
      </c>
      <c r="S340" s="23" t="n">
        <f>O340*R340</f>
        <v>2</v>
      </c>
      <c r="T340" s="23" t="n">
        <f>MIN(P340,S340)</f>
        <v>2</v>
      </c>
      <c r="U340" s="23" t="n">
        <f>O340-S340</f>
        <v>0</v>
      </c>
      <c r="V340" s="23" t="n">
        <f>MAX(P340-O340,0)</f>
        <v>0</v>
      </c>
    </row>
    <row r="341">
      <c r="A341" s="19" t="str">
        <v>德国区</v>
      </c>
      <c r="B341" s="19" t="str">
        <v>杜塞尔多夫5号仓</v>
      </c>
      <c r="C341" s="19" t="str">
        <v>理货组</v>
      </c>
      <c r="D341" s="21" t="n">
        <v>46140</v>
      </c>
      <c r="E341" s="19" t="str">
        <v>2026-04</v>
      </c>
      <c r="F341" s="19" t="str">
        <v>操作员</v>
      </c>
      <c r="G341" s="19" t="str">
        <v>德国区-灵活班次 / DE FLEX</v>
      </c>
      <c r="H341" s="19" t="str">
        <v>S000327</v>
      </c>
      <c r="I341" s="19" t="str">
        <v>Gohar GmbH</v>
      </c>
      <c r="J341" s="23" t="n">
        <v>2</v>
      </c>
      <c r="K341" s="23" t="n">
        <v>0</v>
      </c>
      <c r="L341" s="23" t="n">
        <f>J341+K341</f>
        <v>2</v>
      </c>
      <c r="M341" s="23" t="n">
        <v>3</v>
      </c>
      <c r="N341" s="23" t="n">
        <v>3</v>
      </c>
      <c r="O341" s="23" t="n">
        <v>3</v>
      </c>
      <c r="P341" s="23" t="n">
        <v>3</v>
      </c>
      <c r="Q341" s="23" t="n">
        <f>MIN(O341,P341)</f>
        <v>3</v>
      </c>
      <c r="R341" s="25" t="n">
        <f>IF(M341=0,0,MIN(1,L341/M341))</f>
        <v>0.6666666666666666</v>
      </c>
      <c r="S341" s="23" t="n">
        <f>O341*R341</f>
        <v>2</v>
      </c>
      <c r="T341" s="23" t="n">
        <f>MIN(P341,S341)</f>
        <v>2</v>
      </c>
      <c r="U341" s="23" t="n">
        <f>O341-S341</f>
        <v>1</v>
      </c>
      <c r="V341" s="23" t="n">
        <f>MAX(P341-O341,0)</f>
        <v>0</v>
      </c>
    </row>
    <row r="342">
      <c r="A342" s="19" t="str">
        <v>德国区</v>
      </c>
      <c r="B342" s="19" t="str">
        <v>杜塞尔多夫5号仓</v>
      </c>
      <c r="C342" s="19" t="str">
        <v>理货组</v>
      </c>
      <c r="D342" s="21" t="n">
        <v>46147</v>
      </c>
      <c r="E342" s="19" t="str">
        <v>2026-05</v>
      </c>
      <c r="F342" s="19" t="str">
        <v>操作员</v>
      </c>
      <c r="G342" s="19" t="str">
        <v>德国区-灵活班次 / DE FLEX</v>
      </c>
      <c r="H342" s="19" t="str">
        <v>S000086</v>
      </c>
      <c r="I342" s="19" t="str">
        <v>Topjob Zeitarbeit GmbH</v>
      </c>
      <c r="J342" s="23" t="n">
        <v>2</v>
      </c>
      <c r="K342" s="23" t="n">
        <v>0</v>
      </c>
      <c r="L342" s="23" t="n">
        <f>J342+K342</f>
        <v>2</v>
      </c>
      <c r="M342" s="23" t="n">
        <v>3</v>
      </c>
      <c r="N342" s="23" t="n">
        <v>3</v>
      </c>
      <c r="O342" s="23" t="n">
        <v>3</v>
      </c>
      <c r="P342" s="23" t="n">
        <v>3</v>
      </c>
      <c r="Q342" s="23" t="n">
        <f>MIN(O342,P342)</f>
        <v>3</v>
      </c>
      <c r="R342" s="25" t="n">
        <f>IF(M342=0,0,MIN(1,L342/M342))</f>
        <v>0.6666666666666666</v>
      </c>
      <c r="S342" s="23" t="n">
        <f>O342*R342</f>
        <v>2</v>
      </c>
      <c r="T342" s="23" t="n">
        <f>MIN(P342,S342)</f>
        <v>2</v>
      </c>
      <c r="U342" s="23" t="n">
        <f>O342-S342</f>
        <v>1</v>
      </c>
      <c r="V342" s="23" t="n">
        <f>MAX(P342-O342,0)</f>
        <v>0</v>
      </c>
    </row>
    <row r="343">
      <c r="A343" s="19" t="str">
        <v>德国区</v>
      </c>
      <c r="B343" s="19" t="str">
        <v>杜塞尔多夫6号仓</v>
      </c>
      <c r="C343" s="19" t="str">
        <v>入库组</v>
      </c>
      <c r="D343" s="21" t="n">
        <v>46129</v>
      </c>
      <c r="E343" s="19" t="str">
        <v>2026-04</v>
      </c>
      <c r="F343" s="19" t="str">
        <v>操作员</v>
      </c>
      <c r="G343" s="19" t="str">
        <v>德国区-灵活班次 / DE FLEX</v>
      </c>
      <c r="H343" s="19" t="str">
        <v>S000086</v>
      </c>
      <c r="I343" s="19" t="str">
        <v>Topjob Zeitarbeit GmbH</v>
      </c>
      <c r="J343" s="23" t="n">
        <v>0</v>
      </c>
      <c r="K343" s="23" t="n">
        <v>0</v>
      </c>
      <c r="L343" s="23" t="n">
        <f>J343+K343</f>
        <v>0</v>
      </c>
      <c r="M343" s="23" t="n">
        <v>5</v>
      </c>
      <c r="N343" s="23" t="n">
        <v>4</v>
      </c>
      <c r="O343" s="23" t="n">
        <v>5</v>
      </c>
      <c r="P343" s="23" t="n">
        <v>4</v>
      </c>
      <c r="Q343" s="23" t="n">
        <f>MIN(O343,P343)</f>
        <v>4</v>
      </c>
      <c r="R343" s="25" t="n">
        <f>IF(M343=0,0,MIN(1,L343/M343))</f>
        <v>0</v>
      </c>
      <c r="S343" s="23" t="n">
        <f>O343*R343</f>
        <v>0</v>
      </c>
      <c r="T343" s="23" t="n">
        <f>MIN(P343,S343)</f>
        <v>0</v>
      </c>
      <c r="U343" s="23" t="n">
        <f>O343-S343</f>
        <v>5</v>
      </c>
      <c r="V343" s="23" t="n">
        <f>MAX(P343-O343,0)</f>
        <v>0</v>
      </c>
    </row>
    <row r="344">
      <c r="A344" s="19" t="str">
        <v>德国区</v>
      </c>
      <c r="B344" s="19" t="str">
        <v>杜塞尔多夫6号仓</v>
      </c>
      <c r="C344" s="19" t="str">
        <v>入库组</v>
      </c>
      <c r="D344" s="21" t="n">
        <v>46134</v>
      </c>
      <c r="E344" s="19" t="str">
        <v>2026-04</v>
      </c>
      <c r="F344" s="19" t="str">
        <v>售后处理员</v>
      </c>
      <c r="G344" s="19" t="str">
        <v>德国区-灵活班次 / DE FLEX</v>
      </c>
      <c r="H344" s="19" t="str">
        <v>S000316</v>
      </c>
      <c r="I344" s="19" t="str">
        <v>Nivux Estate e.Kfm</v>
      </c>
      <c r="J344" s="23" t="n">
        <v>3</v>
      </c>
      <c r="K344" s="23" t="n">
        <v>0</v>
      </c>
      <c r="L344" s="23" t="n">
        <f>J344+K344</f>
        <v>3</v>
      </c>
      <c r="M344" s="23" t="n">
        <v>3</v>
      </c>
      <c r="N344" s="23" t="n">
        <v>0</v>
      </c>
      <c r="O344" s="23" t="n">
        <v>3</v>
      </c>
      <c r="P344" s="23" t="n">
        <v>0</v>
      </c>
      <c r="Q344" s="23" t="n">
        <f>MIN(O344,P344)</f>
        <v>0</v>
      </c>
      <c r="R344" s="25" t="n">
        <f>IF(M344=0,0,MIN(1,L344/M344))</f>
        <v>1</v>
      </c>
      <c r="S344" s="23" t="n">
        <f>O344*R344</f>
        <v>3</v>
      </c>
      <c r="T344" s="23" t="n">
        <f>MIN(P344,S344)</f>
        <v>0</v>
      </c>
      <c r="U344" s="23" t="n">
        <f>O344-S344</f>
        <v>0</v>
      </c>
      <c r="V344" s="23" t="n">
        <f>MAX(P344-O344,0)</f>
        <v>0</v>
      </c>
    </row>
    <row r="345">
      <c r="A345" s="19" t="str">
        <v>德国区</v>
      </c>
      <c r="B345" s="19" t="str">
        <v>杜塞尔多夫6号仓</v>
      </c>
      <c r="C345" s="19" t="str">
        <v>入库组</v>
      </c>
      <c r="D345" s="21" t="n">
        <v>46183</v>
      </c>
      <c r="E345" s="19" t="str">
        <v>2026-06</v>
      </c>
      <c r="F345" s="19" t="str">
        <v>操作员</v>
      </c>
      <c r="G345" s="19" t="str">
        <v>德国区7仓8:30班次</v>
      </c>
      <c r="H345" s="19" t="str">
        <v>S000020</v>
      </c>
      <c r="I345" s="19" t="str">
        <v>HP Personalmanagement</v>
      </c>
      <c r="J345" s="23" t="n">
        <v>4</v>
      </c>
      <c r="K345" s="23" t="n">
        <v>0</v>
      </c>
      <c r="L345" s="23" t="n">
        <f>J345+K345</f>
        <v>4</v>
      </c>
      <c r="M345" s="23" t="n">
        <v>5</v>
      </c>
      <c r="N345" s="23" t="n">
        <v>3</v>
      </c>
      <c r="O345" s="23" t="n">
        <v>2</v>
      </c>
      <c r="P345" s="23" t="n">
        <v>0</v>
      </c>
      <c r="Q345" s="23" t="n">
        <f>MIN(O345,P345)</f>
        <v>0</v>
      </c>
      <c r="R345" s="25" t="n">
        <f>IF(M345=0,0,MIN(1,L345/M345))</f>
        <v>0.8</v>
      </c>
      <c r="S345" s="23" t="n">
        <f>O345*R345</f>
        <v>1.6</v>
      </c>
      <c r="T345" s="23" t="n">
        <f>MIN(P345,S345)</f>
        <v>0</v>
      </c>
      <c r="U345" s="23" t="n">
        <f>O345-S345</f>
        <v>0.3999999999999999</v>
      </c>
      <c r="V345" s="23" t="n">
        <f>MAX(P345-O345,0)</f>
        <v>0</v>
      </c>
    </row>
    <row r="346">
      <c r="A346" s="19" t="str">
        <v>德国区</v>
      </c>
      <c r="B346" s="19" t="str">
        <v>杜塞尔多夫6号仓</v>
      </c>
      <c r="C346" s="19" t="str">
        <v>入库组</v>
      </c>
      <c r="D346" s="21" t="n">
        <v>46183</v>
      </c>
      <c r="E346" s="19" t="str">
        <v>2026-06</v>
      </c>
      <c r="F346" s="19" t="str">
        <v>操作员</v>
      </c>
      <c r="G346" s="19" t="str">
        <v>德国区7仓8:30班次</v>
      </c>
      <c r="H346" s="19" t="str">
        <v>S000279</v>
      </c>
      <c r="I346" s="19" t="str">
        <v>Armz GmbH</v>
      </c>
      <c r="J346" s="23" t="n">
        <v>4</v>
      </c>
      <c r="K346" s="23" t="n">
        <v>0</v>
      </c>
      <c r="L346" s="23" t="n">
        <f>J346+K346</f>
        <v>4</v>
      </c>
      <c r="M346" s="23" t="n">
        <v>5</v>
      </c>
      <c r="N346" s="23" t="n">
        <v>3</v>
      </c>
      <c r="O346" s="23" t="n">
        <v>3</v>
      </c>
      <c r="P346" s="23" t="n">
        <v>3</v>
      </c>
      <c r="Q346" s="23" t="n">
        <f>MIN(O346,P346)</f>
        <v>3</v>
      </c>
      <c r="R346" s="25" t="n">
        <f>IF(M346=0,0,MIN(1,L346/M346))</f>
        <v>0.8</v>
      </c>
      <c r="S346" s="23" t="n">
        <f>O346*R346</f>
        <v>2.4000000000000004</v>
      </c>
      <c r="T346" s="23" t="n">
        <f>MIN(P346,S346)</f>
        <v>2.4000000000000004</v>
      </c>
      <c r="U346" s="23" t="n">
        <f>O346-S346</f>
        <v>0.5999999999999996</v>
      </c>
      <c r="V346" s="23" t="n">
        <f>MAX(P346-O346,0)</f>
        <v>0</v>
      </c>
    </row>
    <row r="347">
      <c r="A347" s="19" t="str">
        <v>德国区</v>
      </c>
      <c r="B347" s="19" t="str">
        <v>杜塞尔多夫6号仓</v>
      </c>
      <c r="C347" s="19" t="str">
        <v>入库组</v>
      </c>
      <c r="D347" s="21" t="n">
        <v>46191</v>
      </c>
      <c r="E347" s="19" t="str">
        <v>2026-06</v>
      </c>
      <c r="F347" s="19" t="str">
        <v>操作员</v>
      </c>
      <c r="G347" s="19" t="str">
        <v>德国区-灵活班次 / DE FLEX</v>
      </c>
      <c r="H347" s="19" t="str">
        <v>S000191</v>
      </c>
      <c r="I347" s="19" t="str">
        <v>TimePartner Personalmanagement GmbH</v>
      </c>
      <c r="J347" s="23" t="n">
        <v>1</v>
      </c>
      <c r="K347" s="23" t="n">
        <v>0</v>
      </c>
      <c r="L347" s="23" t="n">
        <f>J347+K347</f>
        <v>1</v>
      </c>
      <c r="M347" s="23" t="n">
        <v>1</v>
      </c>
      <c r="N347" s="23" t="n">
        <v>0</v>
      </c>
      <c r="O347" s="23" t="n">
        <v>1</v>
      </c>
      <c r="P347" s="23" t="n">
        <v>0</v>
      </c>
      <c r="Q347" s="23" t="n">
        <f>MIN(O347,P347)</f>
        <v>0</v>
      </c>
      <c r="R347" s="25" t="n">
        <f>IF(M347=0,0,MIN(1,L347/M347))</f>
        <v>1</v>
      </c>
      <c r="S347" s="23" t="n">
        <f>O347*R347</f>
        <v>1</v>
      </c>
      <c r="T347" s="23" t="n">
        <f>MIN(P347,S347)</f>
        <v>0</v>
      </c>
      <c r="U347" s="23" t="n">
        <f>O347-S347</f>
        <v>0</v>
      </c>
      <c r="V347" s="23" t="n">
        <f>MAX(P347-O347,0)</f>
        <v>0</v>
      </c>
    </row>
    <row r="348">
      <c r="A348" s="19" t="str">
        <v>德国区</v>
      </c>
      <c r="B348" s="19" t="str">
        <v>杜塞尔多夫6号仓</v>
      </c>
      <c r="C348" s="19" t="str">
        <v>入库组</v>
      </c>
      <c r="D348" s="21" t="n">
        <v>46197</v>
      </c>
      <c r="E348" s="19" t="str">
        <v>2026-06</v>
      </c>
      <c r="F348" s="19" t="str">
        <v>操作员</v>
      </c>
      <c r="G348" s="19" t="str">
        <v>德国区-灵活班次 / DE FLEX</v>
      </c>
      <c r="H348" s="19" t="str">
        <v>S000086</v>
      </c>
      <c r="I348" s="19" t="str">
        <v>Topjob Zeitarbeit GmbH</v>
      </c>
      <c r="J348" s="23" t="n">
        <v>4</v>
      </c>
      <c r="K348" s="23" t="n">
        <v>0</v>
      </c>
      <c r="L348" s="23" t="n">
        <f>J348+K348</f>
        <v>4</v>
      </c>
      <c r="M348" s="23" t="n">
        <v>4</v>
      </c>
      <c r="N348" s="23" t="n">
        <v>4</v>
      </c>
      <c r="O348" s="23" t="n">
        <v>1</v>
      </c>
      <c r="P348" s="23" t="n">
        <v>1</v>
      </c>
      <c r="Q348" s="23" t="n">
        <f>MIN(O348,P348)</f>
        <v>1</v>
      </c>
      <c r="R348" s="25" t="n">
        <f>IF(M348=0,0,MIN(1,L348/M348))</f>
        <v>1</v>
      </c>
      <c r="S348" s="23" t="n">
        <f>O348*R348</f>
        <v>1</v>
      </c>
      <c r="T348" s="23" t="n">
        <f>MIN(P348,S348)</f>
        <v>1</v>
      </c>
      <c r="U348" s="23" t="n">
        <f>O348-S348</f>
        <v>0</v>
      </c>
      <c r="V348" s="23" t="n">
        <f>MAX(P348-O348,0)</f>
        <v>0</v>
      </c>
    </row>
    <row r="349">
      <c r="A349" s="19" t="str">
        <v>德国区</v>
      </c>
      <c r="B349" s="19" t="str">
        <v>杜塞尔多夫6号仓</v>
      </c>
      <c r="C349" s="19" t="str">
        <v>入库组</v>
      </c>
      <c r="D349" s="21" t="n">
        <v>46197</v>
      </c>
      <c r="E349" s="19" t="str">
        <v>2026-06</v>
      </c>
      <c r="F349" s="19" t="str">
        <v>操作员</v>
      </c>
      <c r="G349" s="19" t="str">
        <v>德国区-灵活班次 / DE FLEX</v>
      </c>
      <c r="H349" s="19" t="str">
        <v>S000316</v>
      </c>
      <c r="I349" s="19" t="str">
        <v>Nivux Estate e.Kfm</v>
      </c>
      <c r="J349" s="23" t="n">
        <v>4</v>
      </c>
      <c r="K349" s="23" t="n">
        <v>0</v>
      </c>
      <c r="L349" s="23" t="n">
        <f>J349+K349</f>
        <v>4</v>
      </c>
      <c r="M349" s="23" t="n">
        <v>4</v>
      </c>
      <c r="N349" s="23" t="n">
        <v>4</v>
      </c>
      <c r="O349" s="23" t="n">
        <v>3</v>
      </c>
      <c r="P349" s="23" t="n">
        <v>3</v>
      </c>
      <c r="Q349" s="23" t="n">
        <f>MIN(O349,P349)</f>
        <v>3</v>
      </c>
      <c r="R349" s="25" t="n">
        <f>IF(M349=0,0,MIN(1,L349/M349))</f>
        <v>1</v>
      </c>
      <c r="S349" s="23" t="n">
        <f>O349*R349</f>
        <v>3</v>
      </c>
      <c r="T349" s="23" t="n">
        <f>MIN(P349,S349)</f>
        <v>3</v>
      </c>
      <c r="U349" s="23" t="n">
        <f>O349-S349</f>
        <v>0</v>
      </c>
      <c r="V349" s="23" t="n">
        <f>MAX(P349-O349,0)</f>
        <v>0</v>
      </c>
    </row>
    <row r="350">
      <c r="A350" s="19" t="str">
        <v>德国区</v>
      </c>
      <c r="B350" s="19" t="str">
        <v>杜塞尔多夫6号仓</v>
      </c>
      <c r="C350" s="19" t="str">
        <v>入库组</v>
      </c>
      <c r="D350" s="21" t="n">
        <v>46198</v>
      </c>
      <c r="E350" s="19" t="str">
        <v>2026-06</v>
      </c>
      <c r="F350" s="19" t="str">
        <v>操作员</v>
      </c>
      <c r="G350" s="19" t="str">
        <v>德国区-灵活班次 / DE FLEX</v>
      </c>
      <c r="H350" s="19" t="str">
        <v>S000086</v>
      </c>
      <c r="I350" s="19" t="str">
        <v>Topjob Zeitarbeit GmbH</v>
      </c>
      <c r="J350" s="23" t="n">
        <v>4</v>
      </c>
      <c r="K350" s="23" t="n">
        <v>0</v>
      </c>
      <c r="L350" s="23" t="n">
        <f>J350+K350</f>
        <v>4</v>
      </c>
      <c r="M350" s="23" t="n">
        <v>4</v>
      </c>
      <c r="N350" s="23" t="n">
        <v>4</v>
      </c>
      <c r="O350" s="23" t="n">
        <v>1</v>
      </c>
      <c r="P350" s="23" t="n">
        <v>1</v>
      </c>
      <c r="Q350" s="23" t="n">
        <f>MIN(O350,P350)</f>
        <v>1</v>
      </c>
      <c r="R350" s="25" t="n">
        <f>IF(M350=0,0,MIN(1,L350/M350))</f>
        <v>1</v>
      </c>
      <c r="S350" s="23" t="n">
        <f>O350*R350</f>
        <v>1</v>
      </c>
      <c r="T350" s="23" t="n">
        <f>MIN(P350,S350)</f>
        <v>1</v>
      </c>
      <c r="U350" s="23" t="n">
        <f>O350-S350</f>
        <v>0</v>
      </c>
      <c r="V350" s="23" t="n">
        <f>MAX(P350-O350,0)</f>
        <v>0</v>
      </c>
    </row>
    <row r="351">
      <c r="A351" s="19" t="str">
        <v>德国区</v>
      </c>
      <c r="B351" s="19" t="str">
        <v>杜塞尔多夫6号仓</v>
      </c>
      <c r="C351" s="19" t="str">
        <v>入库组</v>
      </c>
      <c r="D351" s="21" t="n">
        <v>46198</v>
      </c>
      <c r="E351" s="19" t="str">
        <v>2026-06</v>
      </c>
      <c r="F351" s="19" t="str">
        <v>操作员</v>
      </c>
      <c r="G351" s="19" t="str">
        <v>德国区-灵活班次 / DE FLEX</v>
      </c>
      <c r="H351" s="19" t="str">
        <v>S000316</v>
      </c>
      <c r="I351" s="19" t="str">
        <v>Nivux Estate e.Kfm</v>
      </c>
      <c r="J351" s="23" t="n">
        <v>4</v>
      </c>
      <c r="K351" s="23" t="n">
        <v>0</v>
      </c>
      <c r="L351" s="23" t="n">
        <f>J351+K351</f>
        <v>4</v>
      </c>
      <c r="M351" s="23" t="n">
        <v>4</v>
      </c>
      <c r="N351" s="23" t="n">
        <v>4</v>
      </c>
      <c r="O351" s="23" t="n">
        <v>3</v>
      </c>
      <c r="P351" s="23" t="n">
        <v>3</v>
      </c>
      <c r="Q351" s="23" t="n">
        <f>MIN(O351,P351)</f>
        <v>3</v>
      </c>
      <c r="R351" s="25" t="n">
        <f>IF(M351=0,0,MIN(1,L351/M351))</f>
        <v>1</v>
      </c>
      <c r="S351" s="23" t="n">
        <f>O351*R351</f>
        <v>3</v>
      </c>
      <c r="T351" s="23" t="n">
        <f>MIN(P351,S351)</f>
        <v>3</v>
      </c>
      <c r="U351" s="23" t="n">
        <f>O351-S351</f>
        <v>0</v>
      </c>
      <c r="V351" s="23" t="n">
        <f>MAX(P351-O351,0)</f>
        <v>0</v>
      </c>
    </row>
    <row r="352">
      <c r="A352" s="19" t="str">
        <v>德国区</v>
      </c>
      <c r="B352" s="19" t="str">
        <v>杜塞尔多夫6号仓</v>
      </c>
      <c r="C352" s="19" t="str">
        <v>入库组</v>
      </c>
      <c r="D352" s="21" t="n">
        <v>46199</v>
      </c>
      <c r="E352" s="19" t="str">
        <v>2026-06</v>
      </c>
      <c r="F352" s="19" t="str">
        <v>操作员</v>
      </c>
      <c r="G352" s="19" t="str">
        <v>德国区-灵活班次 / DE FLEX</v>
      </c>
      <c r="H352" s="19" t="str">
        <v>S000086</v>
      </c>
      <c r="I352" s="19" t="str">
        <v>Topjob Zeitarbeit GmbH</v>
      </c>
      <c r="J352" s="23" t="n">
        <v>4</v>
      </c>
      <c r="K352" s="23" t="n">
        <v>0</v>
      </c>
      <c r="L352" s="23" t="n">
        <f>J352+K352</f>
        <v>4</v>
      </c>
      <c r="M352" s="23" t="n">
        <v>4</v>
      </c>
      <c r="N352" s="23" t="n">
        <v>4</v>
      </c>
      <c r="O352" s="23" t="n">
        <v>1</v>
      </c>
      <c r="P352" s="23" t="n">
        <v>1</v>
      </c>
      <c r="Q352" s="23" t="n">
        <f>MIN(O352,P352)</f>
        <v>1</v>
      </c>
      <c r="R352" s="25" t="n">
        <f>IF(M352=0,0,MIN(1,L352/M352))</f>
        <v>1</v>
      </c>
      <c r="S352" s="23" t="n">
        <f>O352*R352</f>
        <v>1</v>
      </c>
      <c r="T352" s="23" t="n">
        <f>MIN(P352,S352)</f>
        <v>1</v>
      </c>
      <c r="U352" s="23" t="n">
        <f>O352-S352</f>
        <v>0</v>
      </c>
      <c r="V352" s="23" t="n">
        <f>MAX(P352-O352,0)</f>
        <v>0</v>
      </c>
    </row>
    <row r="353">
      <c r="A353" s="19" t="str">
        <v>德国区</v>
      </c>
      <c r="B353" s="19" t="str">
        <v>杜塞尔多夫6号仓</v>
      </c>
      <c r="C353" s="19" t="str">
        <v>入库组</v>
      </c>
      <c r="D353" s="21" t="n">
        <v>46199</v>
      </c>
      <c r="E353" s="19" t="str">
        <v>2026-06</v>
      </c>
      <c r="F353" s="19" t="str">
        <v>操作员</v>
      </c>
      <c r="G353" s="19" t="str">
        <v>德国区-灵活班次 / DE FLEX</v>
      </c>
      <c r="H353" s="19" t="str">
        <v>S000316</v>
      </c>
      <c r="I353" s="19" t="str">
        <v>Nivux Estate e.Kfm</v>
      </c>
      <c r="J353" s="23" t="n">
        <v>4</v>
      </c>
      <c r="K353" s="23" t="n">
        <v>0</v>
      </c>
      <c r="L353" s="23" t="n">
        <f>J353+K353</f>
        <v>4</v>
      </c>
      <c r="M353" s="23" t="n">
        <v>4</v>
      </c>
      <c r="N353" s="23" t="n">
        <v>4</v>
      </c>
      <c r="O353" s="23" t="n">
        <v>3</v>
      </c>
      <c r="P353" s="23" t="n">
        <v>3</v>
      </c>
      <c r="Q353" s="23" t="n">
        <f>MIN(O353,P353)</f>
        <v>3</v>
      </c>
      <c r="R353" s="25" t="n">
        <f>IF(M353=0,0,MIN(1,L353/M353))</f>
        <v>1</v>
      </c>
      <c r="S353" s="23" t="n">
        <f>O353*R353</f>
        <v>3</v>
      </c>
      <c r="T353" s="23" t="n">
        <f>MIN(P353,S353)</f>
        <v>3</v>
      </c>
      <c r="U353" s="23" t="n">
        <f>O353-S353</f>
        <v>0</v>
      </c>
      <c r="V353" s="23" t="n">
        <f>MAX(P353-O353,0)</f>
        <v>0</v>
      </c>
    </row>
    <row r="354">
      <c r="A354" s="19" t="str">
        <v>德国区</v>
      </c>
      <c r="B354" s="19" t="str">
        <v>杜塞尔多夫6号仓</v>
      </c>
      <c r="C354" s="19" t="str">
        <v>包装组</v>
      </c>
      <c r="D354" s="21" t="n">
        <v>46181</v>
      </c>
      <c r="E354" s="19" t="str">
        <v>2026-06</v>
      </c>
      <c r="F354" s="19" t="str">
        <v>操作员</v>
      </c>
      <c r="G354" s="19" t="str">
        <v>德国区-灵活班次 / DE FLEX</v>
      </c>
      <c r="H354" s="19" t="str">
        <v>S000279</v>
      </c>
      <c r="I354" s="19" t="str">
        <v>Armz GmbH</v>
      </c>
      <c r="J354" s="23" t="n">
        <v>1</v>
      </c>
      <c r="K354" s="23" t="n">
        <v>0</v>
      </c>
      <c r="L354" s="23" t="n">
        <f>J354+K354</f>
        <v>1</v>
      </c>
      <c r="M354" s="23" t="n">
        <v>1</v>
      </c>
      <c r="N354" s="23" t="n">
        <v>1</v>
      </c>
      <c r="O354" s="23" t="n">
        <v>1</v>
      </c>
      <c r="P354" s="23" t="n">
        <v>1</v>
      </c>
      <c r="Q354" s="23" t="n">
        <f>MIN(O354,P354)</f>
        <v>1</v>
      </c>
      <c r="R354" s="25" t="n">
        <f>IF(M354=0,0,MIN(1,L354/M354))</f>
        <v>1</v>
      </c>
      <c r="S354" s="23" t="n">
        <f>O354*R354</f>
        <v>1</v>
      </c>
      <c r="T354" s="23" t="n">
        <f>MIN(P354,S354)</f>
        <v>1</v>
      </c>
      <c r="U354" s="23" t="n">
        <f>O354-S354</f>
        <v>0</v>
      </c>
      <c r="V354" s="23" t="n">
        <f>MAX(P354-O354,0)</f>
        <v>0</v>
      </c>
    </row>
    <row r="355">
      <c r="A355" s="19" t="str">
        <v>德国区</v>
      </c>
      <c r="B355" s="19" t="str">
        <v>杜塞尔多夫6号仓</v>
      </c>
      <c r="C355" s="19" t="str">
        <v>包装组(自动化)</v>
      </c>
      <c r="D355" s="21" t="n">
        <v>46182</v>
      </c>
      <c r="E355" s="19" t="str">
        <v>2026-06</v>
      </c>
      <c r="F355" s="19" t="str">
        <v>操作员</v>
      </c>
      <c r="G355" s="19" t="str">
        <v>德国区6仓7点班次</v>
      </c>
      <c r="H355" s="19" t="str">
        <v>S000316</v>
      </c>
      <c r="I355" s="19" t="str">
        <v>Nivux Estate e.Kfm</v>
      </c>
      <c r="J355" s="23" t="n">
        <v>2</v>
      </c>
      <c r="K355" s="23" t="n">
        <v>0</v>
      </c>
      <c r="L355" s="23" t="n">
        <f>J355+K355</f>
        <v>2</v>
      </c>
      <c r="M355" s="23" t="n">
        <v>2</v>
      </c>
      <c r="N355" s="23" t="n">
        <v>2</v>
      </c>
      <c r="O355" s="23" t="n">
        <v>2</v>
      </c>
      <c r="P355" s="23" t="n">
        <v>2</v>
      </c>
      <c r="Q355" s="23" t="n">
        <f>MIN(O355,P355)</f>
        <v>2</v>
      </c>
      <c r="R355" s="25" t="n">
        <f>IF(M355=0,0,MIN(1,L355/M355))</f>
        <v>1</v>
      </c>
      <c r="S355" s="23" t="n">
        <f>O355*R355</f>
        <v>2</v>
      </c>
      <c r="T355" s="23" t="n">
        <f>MIN(P355,S355)</f>
        <v>2</v>
      </c>
      <c r="U355" s="23" t="n">
        <f>O355-S355</f>
        <v>0</v>
      </c>
      <c r="V355" s="23" t="n">
        <f>MAX(P355-O355,0)</f>
        <v>0</v>
      </c>
    </row>
    <row r="356">
      <c r="A356" s="19" t="str">
        <v>德国区</v>
      </c>
      <c r="B356" s="19" t="str">
        <v>杜塞尔多夫6号仓</v>
      </c>
      <c r="C356" s="19" t="str">
        <v>包装组(自动化)</v>
      </c>
      <c r="D356" s="21" t="n">
        <v>46192</v>
      </c>
      <c r="E356" s="19" t="str">
        <v>2026-06</v>
      </c>
      <c r="F356" s="19" t="str">
        <v>操作员</v>
      </c>
      <c r="G356" s="19" t="str">
        <v>德国区6仓7点班次</v>
      </c>
      <c r="H356" s="19" t="str">
        <v>S000276</v>
      </c>
      <c r="I356" s="19" t="str">
        <v>Go4PrimeJobs GmbH</v>
      </c>
      <c r="J356" s="23" t="n">
        <v>3</v>
      </c>
      <c r="K356" s="23" t="n">
        <v>0</v>
      </c>
      <c r="L356" s="23" t="n">
        <f>J356+K356</f>
        <v>3</v>
      </c>
      <c r="M356" s="23" t="n">
        <v>4</v>
      </c>
      <c r="N356" s="23" t="n">
        <v>2</v>
      </c>
      <c r="O356" s="23" t="n">
        <v>2</v>
      </c>
      <c r="P356" s="23" t="n">
        <v>0</v>
      </c>
      <c r="Q356" s="23" t="n">
        <f>MIN(O356,P356)</f>
        <v>0</v>
      </c>
      <c r="R356" s="25" t="n">
        <f>IF(M356=0,0,MIN(1,L356/M356))</f>
        <v>0.75</v>
      </c>
      <c r="S356" s="23" t="n">
        <f>O356*R356</f>
        <v>1.5</v>
      </c>
      <c r="T356" s="23" t="n">
        <f>MIN(P356,S356)</f>
        <v>0</v>
      </c>
      <c r="U356" s="23" t="n">
        <f>O356-S356</f>
        <v>0.5</v>
      </c>
      <c r="V356" s="23" t="n">
        <f>MAX(P356-O356,0)</f>
        <v>0</v>
      </c>
    </row>
    <row r="357">
      <c r="A357" s="19" t="str">
        <v>德国区</v>
      </c>
      <c r="B357" s="19" t="str">
        <v>杜塞尔多夫6号仓</v>
      </c>
      <c r="C357" s="19" t="str">
        <v>包装组(自动化)</v>
      </c>
      <c r="D357" s="21" t="n">
        <v>46192</v>
      </c>
      <c r="E357" s="19" t="str">
        <v>2026-06</v>
      </c>
      <c r="F357" s="19" t="str">
        <v>操作员</v>
      </c>
      <c r="G357" s="19" t="str">
        <v>德国区6仓7点班次</v>
      </c>
      <c r="H357" s="19" t="str">
        <v>S000279</v>
      </c>
      <c r="I357" s="19" t="str">
        <v>Armz GmbH</v>
      </c>
      <c r="J357" s="23" t="n">
        <v>3</v>
      </c>
      <c r="K357" s="23" t="n">
        <v>0</v>
      </c>
      <c r="L357" s="23" t="n">
        <f>J357+K357</f>
        <v>3</v>
      </c>
      <c r="M357" s="23" t="n">
        <v>4</v>
      </c>
      <c r="N357" s="23" t="n">
        <v>2</v>
      </c>
      <c r="O357" s="23" t="n">
        <v>2</v>
      </c>
      <c r="P357" s="23" t="n">
        <v>2</v>
      </c>
      <c r="Q357" s="23" t="n">
        <f>MIN(O357,P357)</f>
        <v>2</v>
      </c>
      <c r="R357" s="25" t="n">
        <f>IF(M357=0,0,MIN(1,L357/M357))</f>
        <v>0.75</v>
      </c>
      <c r="S357" s="23" t="n">
        <f>O357*R357</f>
        <v>1.5</v>
      </c>
      <c r="T357" s="23" t="n">
        <f>MIN(P357,S357)</f>
        <v>1.5</v>
      </c>
      <c r="U357" s="23" t="n">
        <f>O357-S357</f>
        <v>0.5</v>
      </c>
      <c r="V357" s="23" t="n">
        <f>MAX(P357-O357,0)</f>
        <v>0</v>
      </c>
    </row>
    <row r="358">
      <c r="A358" s="19" t="str">
        <v>德国区</v>
      </c>
      <c r="B358" s="19" t="str">
        <v>杜塞尔多夫6号仓</v>
      </c>
      <c r="C358" s="19" t="str">
        <v>售后组</v>
      </c>
      <c r="D358" s="21" t="n">
        <v>46202</v>
      </c>
      <c r="E358" s="19" t="str">
        <v>2026-06</v>
      </c>
      <c r="F358" s="19" t="str">
        <v>操作员</v>
      </c>
      <c r="G358" s="19" t="str">
        <v>德国区-灵活班次 / DE FLEX</v>
      </c>
      <c r="H358" s="19" t="str">
        <v>S000110</v>
      </c>
      <c r="I358" s="19" t="str">
        <v>Koetter Personal Service SE Co. KG</v>
      </c>
      <c r="J358" s="23" t="n">
        <v>4</v>
      </c>
      <c r="K358" s="23" t="n">
        <v>0</v>
      </c>
      <c r="L358" s="23" t="n">
        <f>J358+K358</f>
        <v>4</v>
      </c>
      <c r="M358" s="23" t="n">
        <v>5</v>
      </c>
      <c r="N358" s="23" t="n">
        <v>5</v>
      </c>
      <c r="O358" s="23" t="n">
        <v>5</v>
      </c>
      <c r="P358" s="23" t="n">
        <v>5</v>
      </c>
      <c r="Q358" s="23" t="n">
        <f>MIN(O358,P358)</f>
        <v>5</v>
      </c>
      <c r="R358" s="25" t="n">
        <f>IF(M358=0,0,MIN(1,L358/M358))</f>
        <v>0.8</v>
      </c>
      <c r="S358" s="23" t="n">
        <f>O358*R358</f>
        <v>4</v>
      </c>
      <c r="T358" s="23" t="n">
        <f>MIN(P358,S358)</f>
        <v>4</v>
      </c>
      <c r="U358" s="23" t="n">
        <f>O358-S358</f>
        <v>1</v>
      </c>
      <c r="V358" s="23" t="n">
        <f>MAX(P358-O358,0)</f>
        <v>0</v>
      </c>
    </row>
    <row r="359">
      <c r="A359" s="19" t="str">
        <v>德国区</v>
      </c>
      <c r="B359" s="19" t="str">
        <v>杜塞尔多夫6号仓</v>
      </c>
      <c r="C359" s="19" t="str">
        <v>售后组</v>
      </c>
      <c r="D359" s="21" t="n">
        <v>46203</v>
      </c>
      <c r="E359" s="19" t="str">
        <v>2026-06</v>
      </c>
      <c r="F359" s="19" t="str">
        <v>操作员</v>
      </c>
      <c r="G359" s="19" t="str">
        <v>德国区-灵活班次 / DE FLEX</v>
      </c>
      <c r="H359" s="19" t="str">
        <v>S000110</v>
      </c>
      <c r="I359" s="19" t="str">
        <v>Koetter Personal Service SE Co. KG</v>
      </c>
      <c r="J359" s="23" t="n">
        <v>4</v>
      </c>
      <c r="K359" s="23" t="n">
        <v>0</v>
      </c>
      <c r="L359" s="23" t="n">
        <f>J359+K359</f>
        <v>4</v>
      </c>
      <c r="M359" s="23" t="n">
        <v>5</v>
      </c>
      <c r="N359" s="23" t="n">
        <v>5</v>
      </c>
      <c r="O359" s="23" t="n">
        <v>5</v>
      </c>
      <c r="P359" s="23" t="n">
        <v>5</v>
      </c>
      <c r="Q359" s="23" t="n">
        <f>MIN(O359,P359)</f>
        <v>5</v>
      </c>
      <c r="R359" s="25" t="n">
        <f>IF(M359=0,0,MIN(1,L359/M359))</f>
        <v>0.8</v>
      </c>
      <c r="S359" s="23" t="n">
        <f>O359*R359</f>
        <v>4</v>
      </c>
      <c r="T359" s="23" t="n">
        <f>MIN(P359,S359)</f>
        <v>4</v>
      </c>
      <c r="U359" s="23" t="n">
        <f>O359-S359</f>
        <v>1</v>
      </c>
      <c r="V359" s="23" t="n">
        <f>MAX(P359-O359,0)</f>
        <v>0</v>
      </c>
    </row>
    <row r="360">
      <c r="A360" s="19" t="str">
        <v>德国区</v>
      </c>
      <c r="B360" s="19" t="str">
        <v>杜塞尔多夫6号仓</v>
      </c>
      <c r="C360" s="19" t="str">
        <v>拣货组</v>
      </c>
      <c r="D360" s="21" t="n">
        <v>46150</v>
      </c>
      <c r="E360" s="19" t="str">
        <v>2026-05</v>
      </c>
      <c r="F360" s="19" t="str">
        <v>操作员</v>
      </c>
      <c r="G360" s="19" t="str">
        <v>德国区-灵活班次 / DE FLEX</v>
      </c>
      <c r="H360" s="19" t="str">
        <v>S000276</v>
      </c>
      <c r="I360" s="19" t="str">
        <v>Go4PrimeJobs GmbH</v>
      </c>
      <c r="J360" s="23" t="n">
        <v>4</v>
      </c>
      <c r="K360" s="23" t="n">
        <v>0</v>
      </c>
      <c r="L360" s="23" t="n">
        <f>J360+K360</f>
        <v>4</v>
      </c>
      <c r="M360" s="23" t="n">
        <v>4</v>
      </c>
      <c r="N360" s="23" t="n">
        <v>2</v>
      </c>
      <c r="O360" s="23" t="n">
        <v>4</v>
      </c>
      <c r="P360" s="23" t="n">
        <v>2</v>
      </c>
      <c r="Q360" s="23" t="n">
        <f>MIN(O360,P360)</f>
        <v>2</v>
      </c>
      <c r="R360" s="25" t="n">
        <f>IF(M360=0,0,MIN(1,L360/M360))</f>
        <v>1</v>
      </c>
      <c r="S360" s="23" t="n">
        <f>O360*R360</f>
        <v>4</v>
      </c>
      <c r="T360" s="23" t="n">
        <f>MIN(P360,S360)</f>
        <v>2</v>
      </c>
      <c r="U360" s="23" t="n">
        <f>O360-S360</f>
        <v>0</v>
      </c>
      <c r="V360" s="23" t="n">
        <f>MAX(P360-O360,0)</f>
        <v>0</v>
      </c>
    </row>
    <row r="361">
      <c r="A361" s="19" t="str">
        <v>德国区</v>
      </c>
      <c r="B361" s="19" t="str">
        <v>杜塞尔多夫6号仓</v>
      </c>
      <c r="C361" s="19" t="str">
        <v>拣货组</v>
      </c>
      <c r="D361" s="21" t="n">
        <v>46154</v>
      </c>
      <c r="E361" s="19" t="str">
        <v>2026-05</v>
      </c>
      <c r="F361" s="19" t="str">
        <v>操作员</v>
      </c>
      <c r="G361" s="19" t="str">
        <v>德国区-灵活班次 / DE FLEX</v>
      </c>
      <c r="H361" s="19" t="str">
        <v>S000327</v>
      </c>
      <c r="I361" s="19" t="str">
        <v>Gohar GmbH</v>
      </c>
      <c r="J361" s="23" t="n">
        <v>2</v>
      </c>
      <c r="K361" s="23" t="n">
        <v>0</v>
      </c>
      <c r="L361" s="23" t="n">
        <f>J361+K361</f>
        <v>2</v>
      </c>
      <c r="M361" s="23" t="n">
        <v>2</v>
      </c>
      <c r="N361" s="23" t="n">
        <v>2</v>
      </c>
      <c r="O361" s="23" t="n">
        <v>2</v>
      </c>
      <c r="P361" s="23" t="n">
        <v>2</v>
      </c>
      <c r="Q361" s="23" t="n">
        <f>MIN(O361,P361)</f>
        <v>2</v>
      </c>
      <c r="R361" s="25" t="n">
        <f>IF(M361=0,0,MIN(1,L361/M361))</f>
        <v>1</v>
      </c>
      <c r="S361" s="23" t="n">
        <f>O361*R361</f>
        <v>2</v>
      </c>
      <c r="T361" s="23" t="n">
        <f>MIN(P361,S361)</f>
        <v>2</v>
      </c>
      <c r="U361" s="23" t="n">
        <f>O361-S361</f>
        <v>0</v>
      </c>
      <c r="V361" s="23" t="n">
        <f>MAX(P361-O361,0)</f>
        <v>0</v>
      </c>
    </row>
    <row r="362">
      <c r="A362" s="19" t="str">
        <v>德国区</v>
      </c>
      <c r="B362" s="19" t="str">
        <v>杜塞尔多夫6号仓</v>
      </c>
      <c r="C362" s="19" t="str">
        <v>拣货组</v>
      </c>
      <c r="D362" s="21" t="n">
        <v>46182</v>
      </c>
      <c r="E362" s="19" t="str">
        <v>2026-06</v>
      </c>
      <c r="F362" s="19" t="str">
        <v>操作员</v>
      </c>
      <c r="G362" s="19" t="str">
        <v>德国区-灵活班次 / DE FLEX</v>
      </c>
      <c r="H362" s="19" t="str">
        <v>S000191</v>
      </c>
      <c r="I362" s="19" t="str">
        <v>TimePartner Personalmanagement GmbH</v>
      </c>
      <c r="J362" s="23" t="n">
        <v>4</v>
      </c>
      <c r="K362" s="23" t="n">
        <v>0</v>
      </c>
      <c r="L362" s="23" t="n">
        <f>J362+K362</f>
        <v>4</v>
      </c>
      <c r="M362" s="23" t="n">
        <v>4</v>
      </c>
      <c r="N362" s="23" t="n">
        <v>4</v>
      </c>
      <c r="O362" s="23" t="n">
        <v>2</v>
      </c>
      <c r="P362" s="23" t="n">
        <v>2</v>
      </c>
      <c r="Q362" s="23" t="n">
        <f>MIN(O362,P362)</f>
        <v>2</v>
      </c>
      <c r="R362" s="25" t="n">
        <f>IF(M362=0,0,MIN(1,L362/M362))</f>
        <v>1</v>
      </c>
      <c r="S362" s="23" t="n">
        <f>O362*R362</f>
        <v>2</v>
      </c>
      <c r="T362" s="23" t="n">
        <f>MIN(P362,S362)</f>
        <v>2</v>
      </c>
      <c r="U362" s="23" t="n">
        <f>O362-S362</f>
        <v>0</v>
      </c>
      <c r="V362" s="23" t="n">
        <f>MAX(P362-O362,0)</f>
        <v>0</v>
      </c>
    </row>
    <row r="363">
      <c r="A363" s="19" t="str">
        <v>德国区</v>
      </c>
      <c r="B363" s="19" t="str">
        <v>杜塞尔多夫6号仓</v>
      </c>
      <c r="C363" s="19" t="str">
        <v>拣货组</v>
      </c>
      <c r="D363" s="21" t="n">
        <v>46182</v>
      </c>
      <c r="E363" s="19" t="str">
        <v>2026-06</v>
      </c>
      <c r="F363" s="19" t="str">
        <v>操作员</v>
      </c>
      <c r="G363" s="19" t="str">
        <v>德国区-灵活班次 / DE FLEX</v>
      </c>
      <c r="H363" s="19" t="str">
        <v>S000316</v>
      </c>
      <c r="I363" s="19" t="str">
        <v>Nivux Estate e.Kfm</v>
      </c>
      <c r="J363" s="23" t="n">
        <v>4</v>
      </c>
      <c r="K363" s="23" t="n">
        <v>0</v>
      </c>
      <c r="L363" s="23" t="n">
        <f>J363+K363</f>
        <v>4</v>
      </c>
      <c r="M363" s="23" t="n">
        <v>4</v>
      </c>
      <c r="N363" s="23" t="n">
        <v>4</v>
      </c>
      <c r="O363" s="23" t="n">
        <v>2</v>
      </c>
      <c r="P363" s="23" t="n">
        <v>2</v>
      </c>
      <c r="Q363" s="23" t="n">
        <f>MIN(O363,P363)</f>
        <v>2</v>
      </c>
      <c r="R363" s="25" t="n">
        <f>IF(M363=0,0,MIN(1,L363/M363))</f>
        <v>1</v>
      </c>
      <c r="S363" s="23" t="n">
        <f>O363*R363</f>
        <v>2</v>
      </c>
      <c r="T363" s="23" t="n">
        <f>MIN(P363,S363)</f>
        <v>2</v>
      </c>
      <c r="U363" s="23" t="n">
        <f>O363-S363</f>
        <v>0</v>
      </c>
      <c r="V363" s="23" t="n">
        <f>MAX(P363-O363,0)</f>
        <v>0</v>
      </c>
    </row>
    <row r="364">
      <c r="A364" s="19" t="str">
        <v>德国区</v>
      </c>
      <c r="B364" s="19" t="str">
        <v>杜塞尔多夫6号仓</v>
      </c>
      <c r="C364" s="19" t="str">
        <v>拣货组</v>
      </c>
      <c r="D364" s="21" t="n">
        <v>46183</v>
      </c>
      <c r="E364" s="19" t="str">
        <v>2026-06</v>
      </c>
      <c r="F364" s="19" t="str">
        <v>操作员</v>
      </c>
      <c r="G364" s="19" t="str">
        <v>德国区-灵活班次 / DE FLEX</v>
      </c>
      <c r="H364" s="19" t="str">
        <v>S000020</v>
      </c>
      <c r="I364" s="19" t="str">
        <v>HP Personalmanagement</v>
      </c>
      <c r="J364" s="23" t="n">
        <v>3</v>
      </c>
      <c r="K364" s="23" t="n">
        <v>0</v>
      </c>
      <c r="L364" s="23" t="n">
        <f>J364+K364</f>
        <v>3</v>
      </c>
      <c r="M364" s="23" t="n">
        <v>4</v>
      </c>
      <c r="N364" s="23" t="n">
        <v>4</v>
      </c>
      <c r="O364" s="23" t="n">
        <v>2</v>
      </c>
      <c r="P364" s="23" t="n">
        <v>2</v>
      </c>
      <c r="Q364" s="23" t="n">
        <f>MIN(O364,P364)</f>
        <v>2</v>
      </c>
      <c r="R364" s="25" t="n">
        <f>IF(M364=0,0,MIN(1,L364/M364))</f>
        <v>0.75</v>
      </c>
      <c r="S364" s="23" t="n">
        <f>O364*R364</f>
        <v>1.5</v>
      </c>
      <c r="T364" s="23" t="n">
        <f>MIN(P364,S364)</f>
        <v>1.5</v>
      </c>
      <c r="U364" s="23" t="n">
        <f>O364-S364</f>
        <v>0.5</v>
      </c>
      <c r="V364" s="23" t="n">
        <f>MAX(P364-O364,0)</f>
        <v>0</v>
      </c>
    </row>
    <row r="365">
      <c r="A365" s="19" t="str">
        <v>德国区</v>
      </c>
      <c r="B365" s="19" t="str">
        <v>杜塞尔多夫6号仓</v>
      </c>
      <c r="C365" s="19" t="str">
        <v>拣货组</v>
      </c>
      <c r="D365" s="21" t="n">
        <v>46183</v>
      </c>
      <c r="E365" s="19" t="str">
        <v>2026-06</v>
      </c>
      <c r="F365" s="19" t="str">
        <v>操作员</v>
      </c>
      <c r="G365" s="19" t="str">
        <v>德国区-灵活班次 / DE FLEX</v>
      </c>
      <c r="H365" s="19" t="str">
        <v>S000191</v>
      </c>
      <c r="I365" s="19" t="str">
        <v>TimePartner Personalmanagement GmbH</v>
      </c>
      <c r="J365" s="23" t="n">
        <v>3</v>
      </c>
      <c r="K365" s="23" t="n">
        <v>0</v>
      </c>
      <c r="L365" s="23" t="n">
        <f>J365+K365</f>
        <v>3</v>
      </c>
      <c r="M365" s="23" t="n">
        <v>4</v>
      </c>
      <c r="N365" s="23" t="n">
        <v>4</v>
      </c>
      <c r="O365" s="23" t="n">
        <v>2</v>
      </c>
      <c r="P365" s="23" t="n">
        <v>2</v>
      </c>
      <c r="Q365" s="23" t="n">
        <f>MIN(O365,P365)</f>
        <v>2</v>
      </c>
      <c r="R365" s="25" t="n">
        <f>IF(M365=0,0,MIN(1,L365/M365))</f>
        <v>0.75</v>
      </c>
      <c r="S365" s="23" t="n">
        <f>O365*R365</f>
        <v>1.5</v>
      </c>
      <c r="T365" s="23" t="n">
        <f>MIN(P365,S365)</f>
        <v>1.5</v>
      </c>
      <c r="U365" s="23" t="n">
        <f>O365-S365</f>
        <v>0.5</v>
      </c>
      <c r="V365" s="23" t="n">
        <f>MAX(P365-O365,0)</f>
        <v>0</v>
      </c>
    </row>
    <row r="366">
      <c r="A366" s="19" t="str">
        <v>德国区</v>
      </c>
      <c r="B366" s="19" t="str">
        <v>杜塞尔多夫6号仓</v>
      </c>
      <c r="C366" s="19" t="str">
        <v>拣货组</v>
      </c>
      <c r="D366" s="21" t="n">
        <v>46184</v>
      </c>
      <c r="E366" s="19" t="str">
        <v>2026-06</v>
      </c>
      <c r="F366" s="19" t="str">
        <v>操作员</v>
      </c>
      <c r="G366" s="19" t="str">
        <v>德国区-灵活班次 / DE FLEX</v>
      </c>
      <c r="H366" s="19" t="str">
        <v>S000191</v>
      </c>
      <c r="I366" s="19" t="str">
        <v>TimePartner Personalmanagement GmbH</v>
      </c>
      <c r="J366" s="23" t="n">
        <v>3</v>
      </c>
      <c r="K366" s="23" t="n">
        <v>0</v>
      </c>
      <c r="L366" s="23" t="n">
        <f>J366+K366</f>
        <v>3</v>
      </c>
      <c r="M366" s="23" t="n">
        <v>3</v>
      </c>
      <c r="N366" s="23" t="n">
        <v>1</v>
      </c>
      <c r="O366" s="23" t="n">
        <v>1</v>
      </c>
      <c r="P366" s="23" t="n">
        <v>1</v>
      </c>
      <c r="Q366" s="23" t="n">
        <f>MIN(O366,P366)</f>
        <v>1</v>
      </c>
      <c r="R366" s="25" t="n">
        <f>IF(M366=0,0,MIN(1,L366/M366))</f>
        <v>1</v>
      </c>
      <c r="S366" s="23" t="n">
        <f>O366*R366</f>
        <v>1</v>
      </c>
      <c r="T366" s="23" t="n">
        <f>MIN(P366,S366)</f>
        <v>1</v>
      </c>
      <c r="U366" s="23" t="n">
        <f>O366-S366</f>
        <v>0</v>
      </c>
      <c r="V366" s="23" t="n">
        <f>MAX(P366-O366,0)</f>
        <v>0</v>
      </c>
    </row>
    <row r="367">
      <c r="A367" s="19" t="str">
        <v>德国区</v>
      </c>
      <c r="B367" s="19" t="str">
        <v>杜塞尔多夫6号仓</v>
      </c>
      <c r="C367" s="19" t="str">
        <v>拣货组</v>
      </c>
      <c r="D367" s="21" t="n">
        <v>46184</v>
      </c>
      <c r="E367" s="19" t="str">
        <v>2026-06</v>
      </c>
      <c r="F367" s="19" t="str">
        <v>操作员</v>
      </c>
      <c r="G367" s="19" t="str">
        <v>德国区-灵活班次 / DE FLEX</v>
      </c>
      <c r="H367" s="19" t="str">
        <v>S000276</v>
      </c>
      <c r="I367" s="19" t="str">
        <v>Go4PrimeJobs GmbH</v>
      </c>
      <c r="J367" s="23" t="n">
        <v>3</v>
      </c>
      <c r="K367" s="23" t="n">
        <v>0</v>
      </c>
      <c r="L367" s="23" t="n">
        <f>J367+K367</f>
        <v>3</v>
      </c>
      <c r="M367" s="23" t="n">
        <v>3</v>
      </c>
      <c r="N367" s="23" t="n">
        <v>1</v>
      </c>
      <c r="O367" s="23" t="n">
        <v>2</v>
      </c>
      <c r="P367" s="23" t="n">
        <v>0</v>
      </c>
      <c r="Q367" s="23" t="n">
        <f>MIN(O367,P367)</f>
        <v>0</v>
      </c>
      <c r="R367" s="25" t="n">
        <f>IF(M367=0,0,MIN(1,L367/M367))</f>
        <v>1</v>
      </c>
      <c r="S367" s="23" t="n">
        <f>O367*R367</f>
        <v>2</v>
      </c>
      <c r="T367" s="23" t="n">
        <f>MIN(P367,S367)</f>
        <v>0</v>
      </c>
      <c r="U367" s="23" t="n">
        <f>O367-S367</f>
        <v>0</v>
      </c>
      <c r="V367" s="23" t="n">
        <f>MAX(P367-O367,0)</f>
        <v>0</v>
      </c>
    </row>
    <row r="368">
      <c r="A368" s="19" t="str">
        <v>德国区</v>
      </c>
      <c r="B368" s="19" t="str">
        <v>杜塞尔多夫6号仓</v>
      </c>
      <c r="C368" s="19" t="str">
        <v>拣货组</v>
      </c>
      <c r="D368" s="21" t="n">
        <v>46198</v>
      </c>
      <c r="E368" s="19" t="str">
        <v>2026-06</v>
      </c>
      <c r="F368" s="19" t="str">
        <v>操作员</v>
      </c>
      <c r="G368" s="19" t="str">
        <v>德国区6仓7点班次</v>
      </c>
      <c r="H368" s="19" t="str">
        <v>S000020</v>
      </c>
      <c r="I368" s="19" t="str">
        <v>HP Personalmanagement</v>
      </c>
      <c r="J368" s="23" t="n">
        <v>3</v>
      </c>
      <c r="K368" s="23" t="n">
        <v>0</v>
      </c>
      <c r="L368" s="23" t="n">
        <f>J368+K368</f>
        <v>3</v>
      </c>
      <c r="M368" s="23" t="n">
        <v>4</v>
      </c>
      <c r="N368" s="23" t="n">
        <v>3</v>
      </c>
      <c r="O368" s="23" t="n">
        <v>4</v>
      </c>
      <c r="P368" s="23" t="n">
        <v>3</v>
      </c>
      <c r="Q368" s="23" t="n">
        <f>MIN(O368,P368)</f>
        <v>3</v>
      </c>
      <c r="R368" s="25" t="n">
        <f>IF(M368=0,0,MIN(1,L368/M368))</f>
        <v>0.75</v>
      </c>
      <c r="S368" s="23" t="n">
        <f>O368*R368</f>
        <v>3</v>
      </c>
      <c r="T368" s="23" t="n">
        <f>MIN(P368,S368)</f>
        <v>3</v>
      </c>
      <c r="U368" s="23" t="n">
        <f>O368-S368</f>
        <v>1</v>
      </c>
      <c r="V368" s="23" t="n">
        <f>MAX(P368-O368,0)</f>
        <v>0</v>
      </c>
    </row>
    <row r="369">
      <c r="A369" s="19" t="str">
        <v>德国区</v>
      </c>
      <c r="B369" s="19" t="str">
        <v>杜塞尔多夫6号仓</v>
      </c>
      <c r="C369" s="19" t="str">
        <v>拣货组</v>
      </c>
      <c r="D369" s="21" t="n">
        <v>46199</v>
      </c>
      <c r="E369" s="19" t="str">
        <v>2026-06</v>
      </c>
      <c r="F369" s="19" t="str">
        <v>操作员</v>
      </c>
      <c r="G369" s="19" t="str">
        <v>德国区6仓7点班次</v>
      </c>
      <c r="H369" s="19" t="str">
        <v>S000020</v>
      </c>
      <c r="I369" s="19" t="str">
        <v>HP Personalmanagement</v>
      </c>
      <c r="J369" s="23" t="n">
        <v>4</v>
      </c>
      <c r="K369" s="23" t="n">
        <v>0</v>
      </c>
      <c r="L369" s="23" t="n">
        <f>J369+K369</f>
        <v>4</v>
      </c>
      <c r="M369" s="23" t="n">
        <v>4</v>
      </c>
      <c r="N369" s="23" t="n">
        <v>3</v>
      </c>
      <c r="O369" s="23" t="n">
        <v>4</v>
      </c>
      <c r="P369" s="23" t="n">
        <v>3</v>
      </c>
      <c r="Q369" s="23" t="n">
        <f>MIN(O369,P369)</f>
        <v>3</v>
      </c>
      <c r="R369" s="25" t="n">
        <f>IF(M369=0,0,MIN(1,L369/M369))</f>
        <v>1</v>
      </c>
      <c r="S369" s="23" t="n">
        <f>O369*R369</f>
        <v>4</v>
      </c>
      <c r="T369" s="23" t="n">
        <f>MIN(P369,S369)</f>
        <v>3</v>
      </c>
      <c r="U369" s="23" t="n">
        <f>O369-S369</f>
        <v>0</v>
      </c>
      <c r="V369" s="23" t="n">
        <f>MAX(P369-O369,0)</f>
        <v>0</v>
      </c>
    </row>
    <row r="370">
      <c r="A370" s="19" t="str">
        <v>德国区</v>
      </c>
      <c r="B370" s="19" t="str">
        <v>杜塞尔多夫6号仓</v>
      </c>
      <c r="C370" s="19" t="str">
        <v>拣货组(自动化)</v>
      </c>
      <c r="D370" s="21" t="n">
        <v>46203</v>
      </c>
      <c r="E370" s="19" t="str">
        <v>2026-06</v>
      </c>
      <c r="F370" s="19" t="str">
        <v>操作员</v>
      </c>
      <c r="G370" s="19" t="str">
        <v>德国区6仓7点班次</v>
      </c>
      <c r="H370" s="19" t="str">
        <v>S000261</v>
      </c>
      <c r="I370" s="19" t="str">
        <v>ProQuality GmbH</v>
      </c>
      <c r="J370" s="23" t="n">
        <v>3</v>
      </c>
      <c r="K370" s="23" t="n">
        <v>0</v>
      </c>
      <c r="L370" s="23" t="n">
        <f>J370+K370</f>
        <v>3</v>
      </c>
      <c r="M370" s="23" t="n">
        <v>4</v>
      </c>
      <c r="N370" s="23" t="n">
        <v>3</v>
      </c>
      <c r="O370" s="23" t="n">
        <v>2</v>
      </c>
      <c r="P370" s="23" t="n">
        <v>1</v>
      </c>
      <c r="Q370" s="23" t="n">
        <f>MIN(O370,P370)</f>
        <v>1</v>
      </c>
      <c r="R370" s="25" t="n">
        <f>IF(M370=0,0,MIN(1,L370/M370))</f>
        <v>0.75</v>
      </c>
      <c r="S370" s="23" t="n">
        <f>O370*R370</f>
        <v>1.5</v>
      </c>
      <c r="T370" s="23" t="n">
        <f>MIN(P370,S370)</f>
        <v>1</v>
      </c>
      <c r="U370" s="23" t="n">
        <f>O370-S370</f>
        <v>0.5</v>
      </c>
      <c r="V370" s="23" t="n">
        <f>MAX(P370-O370,0)</f>
        <v>0</v>
      </c>
    </row>
    <row r="371">
      <c r="A371" s="19" t="str">
        <v>德国区</v>
      </c>
      <c r="B371" s="19" t="str">
        <v>杜塞尔多夫6号仓</v>
      </c>
      <c r="C371" s="19" t="str">
        <v>拣货组(自动化)</v>
      </c>
      <c r="D371" s="21" t="n">
        <v>46203</v>
      </c>
      <c r="E371" s="19" t="str">
        <v>2026-06</v>
      </c>
      <c r="F371" s="19" t="str">
        <v>操作员</v>
      </c>
      <c r="G371" s="19" t="str">
        <v>德国区6仓7点班次</v>
      </c>
      <c r="H371" s="19" t="str">
        <v>S000316</v>
      </c>
      <c r="I371" s="19" t="str">
        <v>Nivux Estate e.Kfm</v>
      </c>
      <c r="J371" s="23" t="n">
        <v>3</v>
      </c>
      <c r="K371" s="23" t="n">
        <v>0</v>
      </c>
      <c r="L371" s="23" t="n">
        <f>J371+K371</f>
        <v>3</v>
      </c>
      <c r="M371" s="23" t="n">
        <v>4</v>
      </c>
      <c r="N371" s="23" t="n">
        <v>3</v>
      </c>
      <c r="O371" s="23" t="n">
        <v>2</v>
      </c>
      <c r="P371" s="23" t="n">
        <v>2</v>
      </c>
      <c r="Q371" s="23" t="n">
        <f>MIN(O371,P371)</f>
        <v>2</v>
      </c>
      <c r="R371" s="25" t="n">
        <f>IF(M371=0,0,MIN(1,L371/M371))</f>
        <v>0.75</v>
      </c>
      <c r="S371" s="23" t="n">
        <f>O371*R371</f>
        <v>1.5</v>
      </c>
      <c r="T371" s="23" t="n">
        <f>MIN(P371,S371)</f>
        <v>1.5</v>
      </c>
      <c r="U371" s="23" t="n">
        <f>O371-S371</f>
        <v>0.5</v>
      </c>
      <c r="V371" s="23" t="n">
        <f>MAX(P371-O371,0)</f>
        <v>0</v>
      </c>
    </row>
    <row r="372">
      <c r="A372" s="19" t="str">
        <v>德国区</v>
      </c>
      <c r="B372" s="19" t="str">
        <v>杜塞尔多夫6号仓</v>
      </c>
      <c r="C372" s="19" t="str">
        <v>理货组</v>
      </c>
      <c r="D372" s="21" t="n">
        <v>46192</v>
      </c>
      <c r="E372" s="19" t="str">
        <v>2026-06</v>
      </c>
      <c r="F372" s="19" t="str">
        <v>操作员</v>
      </c>
      <c r="G372" s="19" t="str">
        <v>德国区6仓8:30班次</v>
      </c>
      <c r="H372" s="19" t="str">
        <v>S000279</v>
      </c>
      <c r="I372" s="19" t="str">
        <v>Armz GmbH</v>
      </c>
      <c r="J372" s="23" t="n">
        <v>2</v>
      </c>
      <c r="K372" s="23" t="n">
        <v>0</v>
      </c>
      <c r="L372" s="23" t="n">
        <f>J372+K372</f>
        <v>2</v>
      </c>
      <c r="M372" s="23" t="n">
        <v>2</v>
      </c>
      <c r="N372" s="23" t="n">
        <v>1</v>
      </c>
      <c r="O372" s="23" t="n">
        <v>2</v>
      </c>
      <c r="P372" s="23" t="n">
        <v>1</v>
      </c>
      <c r="Q372" s="23" t="n">
        <f>MIN(O372,P372)</f>
        <v>1</v>
      </c>
      <c r="R372" s="25" t="n">
        <f>IF(M372=0,0,MIN(1,L372/M372))</f>
        <v>1</v>
      </c>
      <c r="S372" s="23" t="n">
        <f>O372*R372</f>
        <v>2</v>
      </c>
      <c r="T372" s="23" t="n">
        <f>MIN(P372,S372)</f>
        <v>1</v>
      </c>
      <c r="U372" s="23" t="n">
        <f>O372-S372</f>
        <v>0</v>
      </c>
      <c r="V372" s="23" t="n">
        <f>MAX(P372-O372,0)</f>
        <v>0</v>
      </c>
    </row>
    <row r="373">
      <c r="A373" s="19" t="str">
        <v>德国区</v>
      </c>
      <c r="B373" s="19" t="str">
        <v>杜塞尔多夫6号仓</v>
      </c>
      <c r="C373" s="19" t="str">
        <v>理货组</v>
      </c>
      <c r="D373" s="21" t="n">
        <v>46202</v>
      </c>
      <c r="E373" s="19" t="str">
        <v>2026-06</v>
      </c>
      <c r="F373" s="19" t="str">
        <v>操作员</v>
      </c>
      <c r="G373" s="19" t="str">
        <v>德国区7仓8:30班次</v>
      </c>
      <c r="H373" s="19" t="str">
        <v>S000261</v>
      </c>
      <c r="I373" s="19" t="str">
        <v>ProQuality GmbH</v>
      </c>
      <c r="J373" s="23" t="n">
        <v>2</v>
      </c>
      <c r="K373" s="23" t="n">
        <v>0</v>
      </c>
      <c r="L373" s="23" t="n">
        <f>J373+K373</f>
        <v>2</v>
      </c>
      <c r="M373" s="23" t="n">
        <v>2</v>
      </c>
      <c r="N373" s="23" t="n">
        <v>2</v>
      </c>
      <c r="O373" s="23" t="n">
        <v>2</v>
      </c>
      <c r="P373" s="23" t="n">
        <v>2</v>
      </c>
      <c r="Q373" s="23" t="n">
        <f>MIN(O373,P373)</f>
        <v>2</v>
      </c>
      <c r="R373" s="25" t="n">
        <f>IF(M373=0,0,MIN(1,L373/M373))</f>
        <v>1</v>
      </c>
      <c r="S373" s="23" t="n">
        <f>O373*R373</f>
        <v>2</v>
      </c>
      <c r="T373" s="23" t="n">
        <f>MIN(P373,S373)</f>
        <v>2</v>
      </c>
      <c r="U373" s="23" t="n">
        <f>O373-S373</f>
        <v>0</v>
      </c>
      <c r="V373" s="23" t="n">
        <f>MAX(P373-O373,0)</f>
        <v>0</v>
      </c>
    </row>
    <row r="374">
      <c r="A374" s="19" t="str">
        <v>德国区</v>
      </c>
      <c r="B374" s="19" t="str">
        <v>杜塞尔多夫6号仓</v>
      </c>
      <c r="C374" s="19" t="str">
        <v>理货组</v>
      </c>
      <c r="D374" s="21" t="n">
        <v>46203</v>
      </c>
      <c r="E374" s="19" t="str">
        <v>2026-06</v>
      </c>
      <c r="F374" s="19" t="str">
        <v>操作员</v>
      </c>
      <c r="G374" s="19" t="str">
        <v>德国区6仓7点班次</v>
      </c>
      <c r="H374" s="19" t="str">
        <v>S000191</v>
      </c>
      <c r="I374" s="19" t="str">
        <v>TimePartner Personalmanagement GmbH</v>
      </c>
      <c r="J374" s="23" t="n">
        <v>2</v>
      </c>
      <c r="K374" s="23" t="n">
        <v>0</v>
      </c>
      <c r="L374" s="23" t="n">
        <f>J374+K374</f>
        <v>2</v>
      </c>
      <c r="M374" s="23" t="n">
        <v>4</v>
      </c>
      <c r="N374" s="23" t="n">
        <v>2</v>
      </c>
      <c r="O374" s="23" t="n">
        <v>2</v>
      </c>
      <c r="P374" s="23" t="n">
        <v>2</v>
      </c>
      <c r="Q374" s="23" t="n">
        <f>MIN(O374,P374)</f>
        <v>2</v>
      </c>
      <c r="R374" s="25" t="n">
        <f>IF(M374=0,0,MIN(1,L374/M374))</f>
        <v>0.5</v>
      </c>
      <c r="S374" s="23" t="n">
        <f>O374*R374</f>
        <v>1</v>
      </c>
      <c r="T374" s="23" t="n">
        <f>MIN(P374,S374)</f>
        <v>1</v>
      </c>
      <c r="U374" s="23" t="n">
        <f>O374-S374</f>
        <v>1</v>
      </c>
      <c r="V374" s="23" t="n">
        <f>MAX(P374-O374,0)</f>
        <v>0</v>
      </c>
    </row>
    <row r="375">
      <c r="A375" s="19" t="str">
        <v>德国区</v>
      </c>
      <c r="B375" s="19" t="str">
        <v>杜塞尔多夫6号仓</v>
      </c>
      <c r="C375" s="19" t="str">
        <v>理货组</v>
      </c>
      <c r="D375" s="21" t="n">
        <v>46203</v>
      </c>
      <c r="E375" s="19" t="str">
        <v>2026-06</v>
      </c>
      <c r="F375" s="19" t="str">
        <v>操作员</v>
      </c>
      <c r="G375" s="19" t="str">
        <v>德国区6仓7点班次</v>
      </c>
      <c r="H375" s="19" t="str">
        <v>S000279</v>
      </c>
      <c r="I375" s="19" t="str">
        <v>Armz GmbH</v>
      </c>
      <c r="J375" s="23" t="n">
        <v>2</v>
      </c>
      <c r="K375" s="23" t="n">
        <v>0</v>
      </c>
      <c r="L375" s="23" t="n">
        <f>J375+K375</f>
        <v>2</v>
      </c>
      <c r="M375" s="23" t="n">
        <v>4</v>
      </c>
      <c r="N375" s="23" t="n">
        <v>2</v>
      </c>
      <c r="O375" s="23" t="n">
        <v>2</v>
      </c>
      <c r="P375" s="23" t="n">
        <v>0</v>
      </c>
      <c r="Q375" s="23" t="n">
        <f>MIN(O375,P375)</f>
        <v>0</v>
      </c>
      <c r="R375" s="25" t="n">
        <f>IF(M375=0,0,MIN(1,L375/M375))</f>
        <v>0.5</v>
      </c>
      <c r="S375" s="23" t="n">
        <f>O375*R375</f>
        <v>1</v>
      </c>
      <c r="T375" s="23" t="n">
        <f>MIN(P375,S375)</f>
        <v>0</v>
      </c>
      <c r="U375" s="23" t="n">
        <f>O375-S375</f>
        <v>1</v>
      </c>
      <c r="V375" s="23" t="n">
        <f>MAX(P375-O375,0)</f>
        <v>0</v>
      </c>
    </row>
    <row r="376">
      <c r="A376" s="19" t="str">
        <v>德国区</v>
      </c>
      <c r="B376" s="19" t="str">
        <v>杜塞尔多夫6号仓</v>
      </c>
      <c r="C376" s="19" t="str">
        <v>理货组</v>
      </c>
      <c r="D376" s="21" t="n">
        <v>46203</v>
      </c>
      <c r="E376" s="19" t="str">
        <v>2026-06</v>
      </c>
      <c r="F376" s="19" t="str">
        <v>操作员</v>
      </c>
      <c r="G376" s="19" t="str">
        <v>德国区7仓8:30班次</v>
      </c>
      <c r="H376" s="19" t="str">
        <v>S000261</v>
      </c>
      <c r="I376" s="19" t="str">
        <v>ProQuality GmbH</v>
      </c>
      <c r="J376" s="23" t="n">
        <v>2</v>
      </c>
      <c r="K376" s="23" t="n">
        <v>0</v>
      </c>
      <c r="L376" s="23" t="n">
        <f>J376+K376</f>
        <v>2</v>
      </c>
      <c r="M376" s="23" t="n">
        <v>2</v>
      </c>
      <c r="N376" s="23" t="n">
        <v>2</v>
      </c>
      <c r="O376" s="23" t="n">
        <v>2</v>
      </c>
      <c r="P376" s="23" t="n">
        <v>2</v>
      </c>
      <c r="Q376" s="23" t="n">
        <f>MIN(O376,P376)</f>
        <v>2</v>
      </c>
      <c r="R376" s="25" t="n">
        <f>IF(M376=0,0,MIN(1,L376/M376))</f>
        <v>1</v>
      </c>
      <c r="S376" s="23" t="n">
        <f>O376*R376</f>
        <v>2</v>
      </c>
      <c r="T376" s="23" t="n">
        <f>MIN(P376,S376)</f>
        <v>2</v>
      </c>
      <c r="U376" s="23" t="n">
        <f>O376-S376</f>
        <v>0</v>
      </c>
      <c r="V376" s="23" t="n">
        <f>MAX(P376-O376,0)</f>
        <v>0</v>
      </c>
    </row>
    <row r="377">
      <c r="A377" s="19" t="str">
        <v>德国区</v>
      </c>
      <c r="B377" s="19" t="str">
        <v>杜塞尔多夫7号仓</v>
      </c>
      <c r="C377" s="19" t="str">
        <v>交运组</v>
      </c>
      <c r="D377" s="21" t="n">
        <v>46174</v>
      </c>
      <c r="E377" s="19" t="str">
        <v>2026-06</v>
      </c>
      <c r="F377" s="19" t="str">
        <v>操作员</v>
      </c>
      <c r="G377" s="19" t="str">
        <v>德国区-灵活班次 / DE FLEX</v>
      </c>
      <c r="H377" s="19" t="str">
        <v>S000279</v>
      </c>
      <c r="I377" s="19" t="str">
        <v>Armz GmbH</v>
      </c>
      <c r="J377" s="23" t="n">
        <v>1</v>
      </c>
      <c r="K377" s="23" t="n">
        <v>0</v>
      </c>
      <c r="L377" s="23" t="n">
        <f>J377+K377</f>
        <v>1</v>
      </c>
      <c r="M377" s="23" t="n">
        <v>1</v>
      </c>
      <c r="N377" s="23" t="n">
        <v>1</v>
      </c>
      <c r="O377" s="23" t="n">
        <v>1</v>
      </c>
      <c r="P377" s="23" t="n">
        <v>1</v>
      </c>
      <c r="Q377" s="23" t="n">
        <f>MIN(O377,P377)</f>
        <v>1</v>
      </c>
      <c r="R377" s="25" t="n">
        <f>IF(M377=0,0,MIN(1,L377/M377))</f>
        <v>1</v>
      </c>
      <c r="S377" s="23" t="n">
        <f>O377*R377</f>
        <v>1</v>
      </c>
      <c r="T377" s="23" t="n">
        <f>MIN(P377,S377)</f>
        <v>1</v>
      </c>
      <c r="U377" s="23" t="n">
        <f>O377-S377</f>
        <v>0</v>
      </c>
      <c r="V377" s="23" t="n">
        <f>MAX(P377-O377,0)</f>
        <v>0</v>
      </c>
    </row>
    <row r="378">
      <c r="A378" s="19" t="str">
        <v>德国区</v>
      </c>
      <c r="B378" s="19" t="str">
        <v>杜塞尔多夫7号仓</v>
      </c>
      <c r="C378" s="19" t="str">
        <v>入库组</v>
      </c>
      <c r="D378" s="21" t="n">
        <v>46129</v>
      </c>
      <c r="E378" s="19" t="str">
        <v>2026-04</v>
      </c>
      <c r="F378" s="19" t="str">
        <v>操作员</v>
      </c>
      <c r="G378" s="19" t="str">
        <v>德国区-灵活班次 / DE FLEX</v>
      </c>
      <c r="H378" s="19" t="str">
        <v>S000086</v>
      </c>
      <c r="I378" s="19" t="str">
        <v>Topjob Zeitarbeit GmbH</v>
      </c>
      <c r="J378" s="23" t="n">
        <v>0</v>
      </c>
      <c r="K378" s="23" t="n">
        <v>0</v>
      </c>
      <c r="L378" s="23" t="n">
        <f>J378+K378</f>
        <v>0</v>
      </c>
      <c r="M378" s="23" t="n">
        <v>5</v>
      </c>
      <c r="N378" s="23" t="n">
        <v>0</v>
      </c>
      <c r="O378" s="23" t="n">
        <v>5</v>
      </c>
      <c r="P378" s="23" t="n">
        <v>0</v>
      </c>
      <c r="Q378" s="23" t="n">
        <f>MIN(O378,P378)</f>
        <v>0</v>
      </c>
      <c r="R378" s="25" t="n">
        <f>IF(M378=0,0,MIN(1,L378/M378))</f>
        <v>0</v>
      </c>
      <c r="S378" s="23" t="n">
        <f>O378*R378</f>
        <v>0</v>
      </c>
      <c r="T378" s="23" t="n">
        <f>MIN(P378,S378)</f>
        <v>0</v>
      </c>
      <c r="U378" s="23" t="n">
        <f>O378-S378</f>
        <v>5</v>
      </c>
      <c r="V378" s="23" t="n">
        <f>MAX(P378-O378,0)</f>
        <v>0</v>
      </c>
    </row>
    <row r="379">
      <c r="A379" s="19" t="str">
        <v>德国区</v>
      </c>
      <c r="B379" s="19" t="str">
        <v>杜塞尔多夫7号仓</v>
      </c>
      <c r="C379" s="19" t="str">
        <v>入库组</v>
      </c>
      <c r="D379" s="21" t="n">
        <v>46141</v>
      </c>
      <c r="E379" s="19" t="str">
        <v>2026-04</v>
      </c>
      <c r="F379" s="19" t="str">
        <v>操作员</v>
      </c>
      <c r="G379" s="19" t="str">
        <v>德国区-灵活班次 / DE FLEX</v>
      </c>
      <c r="H379" s="19" t="str">
        <v>S000086</v>
      </c>
      <c r="I379" s="19" t="str">
        <v>Topjob Zeitarbeit GmbH</v>
      </c>
      <c r="J379" s="23" t="n">
        <v>3</v>
      </c>
      <c r="K379" s="23" t="n">
        <v>0</v>
      </c>
      <c r="L379" s="23" t="n">
        <f>J379+K379</f>
        <v>3</v>
      </c>
      <c r="M379" s="23" t="n">
        <v>3</v>
      </c>
      <c r="N379" s="23" t="n">
        <v>0</v>
      </c>
      <c r="O379" s="23" t="n">
        <v>3</v>
      </c>
      <c r="P379" s="23" t="n">
        <v>0</v>
      </c>
      <c r="Q379" s="23" t="n">
        <f>MIN(O379,P379)</f>
        <v>0</v>
      </c>
      <c r="R379" s="25" t="n">
        <f>IF(M379=0,0,MIN(1,L379/M379))</f>
        <v>1</v>
      </c>
      <c r="S379" s="23" t="n">
        <f>O379*R379</f>
        <v>3</v>
      </c>
      <c r="T379" s="23" t="n">
        <f>MIN(P379,S379)</f>
        <v>0</v>
      </c>
      <c r="U379" s="23" t="n">
        <f>O379-S379</f>
        <v>0</v>
      </c>
      <c r="V379" s="23" t="n">
        <f>MAX(P379-O379,0)</f>
        <v>0</v>
      </c>
    </row>
    <row r="380">
      <c r="A380" s="19" t="str">
        <v>德国区</v>
      </c>
      <c r="B380" s="19" t="str">
        <v>杜塞尔多夫7号仓</v>
      </c>
      <c r="C380" s="19" t="str">
        <v>入库组</v>
      </c>
      <c r="D380" s="21" t="n">
        <v>46142</v>
      </c>
      <c r="E380" s="19" t="str">
        <v>2026-04</v>
      </c>
      <c r="F380" s="19" t="str">
        <v>操作员</v>
      </c>
      <c r="G380" s="19" t="str">
        <v>德国区-灵活班次 / DE FLEX</v>
      </c>
      <c r="H380" s="19" t="str">
        <v>S000086</v>
      </c>
      <c r="I380" s="19" t="str">
        <v>Topjob Zeitarbeit GmbH</v>
      </c>
      <c r="J380" s="23" t="n">
        <v>3</v>
      </c>
      <c r="K380" s="23" t="n">
        <v>0</v>
      </c>
      <c r="L380" s="23" t="n">
        <f>J380+K380</f>
        <v>3</v>
      </c>
      <c r="M380" s="23" t="n">
        <v>3</v>
      </c>
      <c r="N380" s="23" t="n">
        <v>3</v>
      </c>
      <c r="O380" s="23" t="n">
        <v>3</v>
      </c>
      <c r="P380" s="23" t="n">
        <v>3</v>
      </c>
      <c r="Q380" s="23" t="n">
        <f>MIN(O380,P380)</f>
        <v>3</v>
      </c>
      <c r="R380" s="25" t="n">
        <f>IF(M380=0,0,MIN(1,L380/M380))</f>
        <v>1</v>
      </c>
      <c r="S380" s="23" t="n">
        <f>O380*R380</f>
        <v>3</v>
      </c>
      <c r="T380" s="23" t="n">
        <f>MIN(P380,S380)</f>
        <v>3</v>
      </c>
      <c r="U380" s="23" t="n">
        <f>O380-S380</f>
        <v>0</v>
      </c>
      <c r="V380" s="23" t="n">
        <f>MAX(P380-O380,0)</f>
        <v>0</v>
      </c>
    </row>
    <row r="381">
      <c r="A381" s="19" t="str">
        <v>德国区</v>
      </c>
      <c r="B381" s="19" t="str">
        <v>杜塞尔多夫7号仓</v>
      </c>
      <c r="C381" s="19" t="str">
        <v>入库组</v>
      </c>
      <c r="D381" s="21" t="n">
        <v>46161</v>
      </c>
      <c r="E381" s="19" t="str">
        <v>2026-05</v>
      </c>
      <c r="F381" s="19" t="str">
        <v>操作员</v>
      </c>
      <c r="G381" s="19" t="str">
        <v>德国区-灵活班次 / DE FLEX</v>
      </c>
      <c r="H381" s="19" t="str">
        <v>S000191</v>
      </c>
      <c r="I381" s="19" t="str">
        <v>TimePartner Personalmanagement GmbH</v>
      </c>
      <c r="J381" s="23" t="n">
        <v>2</v>
      </c>
      <c r="K381" s="23" t="n">
        <v>0</v>
      </c>
      <c r="L381" s="23" t="n">
        <f>J381+K381</f>
        <v>2</v>
      </c>
      <c r="M381" s="23" t="n">
        <v>2</v>
      </c>
      <c r="N381" s="23" t="n">
        <v>2</v>
      </c>
      <c r="O381" s="23" t="n">
        <v>2</v>
      </c>
      <c r="P381" s="23" t="n">
        <v>2</v>
      </c>
      <c r="Q381" s="23" t="n">
        <f>MIN(O381,P381)</f>
        <v>2</v>
      </c>
      <c r="R381" s="25" t="n">
        <f>IF(M381=0,0,MIN(1,L381/M381))</f>
        <v>1</v>
      </c>
      <c r="S381" s="23" t="n">
        <f>O381*R381</f>
        <v>2</v>
      </c>
      <c r="T381" s="23" t="n">
        <f>MIN(P381,S381)</f>
        <v>2</v>
      </c>
      <c r="U381" s="23" t="n">
        <f>O381-S381</f>
        <v>0</v>
      </c>
      <c r="V381" s="23" t="n">
        <f>MAX(P381-O381,0)</f>
        <v>0</v>
      </c>
    </row>
    <row r="382">
      <c r="A382" s="19" t="str">
        <v>德国区</v>
      </c>
      <c r="B382" s="19" t="str">
        <v>杜塞尔多夫7号仓</v>
      </c>
      <c r="C382" s="19" t="str">
        <v>入库组</v>
      </c>
      <c r="D382" s="21" t="n">
        <v>46162</v>
      </c>
      <c r="E382" s="19" t="str">
        <v>2026-05</v>
      </c>
      <c r="F382" s="19" t="str">
        <v>操作员</v>
      </c>
      <c r="G382" s="19" t="str">
        <v>德国区-灵活班次 / DE FLEX</v>
      </c>
      <c r="H382" s="19" t="str">
        <v>S000191</v>
      </c>
      <c r="I382" s="19" t="str">
        <v>TimePartner Personalmanagement GmbH</v>
      </c>
      <c r="J382" s="23" t="n">
        <v>2</v>
      </c>
      <c r="K382" s="23" t="n">
        <v>0</v>
      </c>
      <c r="L382" s="23" t="n">
        <f>J382+K382</f>
        <v>2</v>
      </c>
      <c r="M382" s="23" t="n">
        <v>2</v>
      </c>
      <c r="N382" s="23" t="n">
        <v>2</v>
      </c>
      <c r="O382" s="23" t="n">
        <v>2</v>
      </c>
      <c r="P382" s="23" t="n">
        <v>2</v>
      </c>
      <c r="Q382" s="23" t="n">
        <f>MIN(O382,P382)</f>
        <v>2</v>
      </c>
      <c r="R382" s="25" t="n">
        <f>IF(M382=0,0,MIN(1,L382/M382))</f>
        <v>1</v>
      </c>
      <c r="S382" s="23" t="n">
        <f>O382*R382</f>
        <v>2</v>
      </c>
      <c r="T382" s="23" t="n">
        <f>MIN(P382,S382)</f>
        <v>2</v>
      </c>
      <c r="U382" s="23" t="n">
        <f>O382-S382</f>
        <v>0</v>
      </c>
      <c r="V382" s="23" t="n">
        <f>MAX(P382-O382,0)</f>
        <v>0</v>
      </c>
    </row>
    <row r="383">
      <c r="A383" s="19" t="str">
        <v>德国区</v>
      </c>
      <c r="B383" s="19" t="str">
        <v>杜塞尔多夫7号仓</v>
      </c>
      <c r="C383" s="19" t="str">
        <v>入库组</v>
      </c>
      <c r="D383" s="21" t="n">
        <v>46163</v>
      </c>
      <c r="E383" s="19" t="str">
        <v>2026-05</v>
      </c>
      <c r="F383" s="19" t="str">
        <v>操作员</v>
      </c>
      <c r="G383" s="19" t="str">
        <v>德国区-灵活班次 / DE FLEX</v>
      </c>
      <c r="H383" s="19" t="str">
        <v>S000191</v>
      </c>
      <c r="I383" s="19" t="str">
        <v>TimePartner Personalmanagement GmbH</v>
      </c>
      <c r="J383" s="23" t="n">
        <v>2</v>
      </c>
      <c r="K383" s="23" t="n">
        <v>0</v>
      </c>
      <c r="L383" s="23" t="n">
        <f>J383+K383</f>
        <v>2</v>
      </c>
      <c r="M383" s="23" t="n">
        <v>2</v>
      </c>
      <c r="N383" s="23" t="n">
        <v>2</v>
      </c>
      <c r="O383" s="23" t="n">
        <v>2</v>
      </c>
      <c r="P383" s="23" t="n">
        <v>2</v>
      </c>
      <c r="Q383" s="23" t="n">
        <f>MIN(O383,P383)</f>
        <v>2</v>
      </c>
      <c r="R383" s="25" t="n">
        <f>IF(M383=0,0,MIN(1,L383/M383))</f>
        <v>1</v>
      </c>
      <c r="S383" s="23" t="n">
        <f>O383*R383</f>
        <v>2</v>
      </c>
      <c r="T383" s="23" t="n">
        <f>MIN(P383,S383)</f>
        <v>2</v>
      </c>
      <c r="U383" s="23" t="n">
        <f>O383-S383</f>
        <v>0</v>
      </c>
      <c r="V383" s="23" t="n">
        <f>MAX(P383-O383,0)</f>
        <v>0</v>
      </c>
    </row>
    <row r="384">
      <c r="A384" s="19" t="str">
        <v>德国区</v>
      </c>
      <c r="B384" s="19" t="str">
        <v>杜塞尔多夫7号仓</v>
      </c>
      <c r="C384" s="19" t="str">
        <v>入库组</v>
      </c>
      <c r="D384" s="21" t="n">
        <v>46168</v>
      </c>
      <c r="E384" s="19" t="str">
        <v>2026-05</v>
      </c>
      <c r="F384" s="19" t="str">
        <v>操作员</v>
      </c>
      <c r="G384" s="19" t="str">
        <v>德国区-灵活班次 / DE FLEX</v>
      </c>
      <c r="H384" s="19" t="str">
        <v>S000276</v>
      </c>
      <c r="I384" s="19" t="str">
        <v>Go4PrimeJobs GmbH</v>
      </c>
      <c r="J384" s="23" t="n">
        <v>2</v>
      </c>
      <c r="K384" s="23" t="n">
        <v>0</v>
      </c>
      <c r="L384" s="23" t="n">
        <f>J384+K384</f>
        <v>2</v>
      </c>
      <c r="M384" s="23" t="n">
        <v>3</v>
      </c>
      <c r="N384" s="23" t="n">
        <v>0</v>
      </c>
      <c r="O384" s="23" t="n">
        <v>3</v>
      </c>
      <c r="P384" s="23" t="n">
        <v>0</v>
      </c>
      <c r="Q384" s="23" t="n">
        <f>MIN(O384,P384)</f>
        <v>0</v>
      </c>
      <c r="R384" s="25" t="n">
        <f>IF(M384=0,0,MIN(1,L384/M384))</f>
        <v>0.6666666666666666</v>
      </c>
      <c r="S384" s="23" t="n">
        <f>O384*R384</f>
        <v>2</v>
      </c>
      <c r="T384" s="23" t="n">
        <f>MIN(P384,S384)</f>
        <v>0</v>
      </c>
      <c r="U384" s="23" t="n">
        <f>O384-S384</f>
        <v>1</v>
      </c>
      <c r="V384" s="23" t="n">
        <f>MAX(P384-O384,0)</f>
        <v>0</v>
      </c>
    </row>
    <row r="385">
      <c r="A385" s="19" t="str">
        <v>德国区</v>
      </c>
      <c r="B385" s="19" t="str">
        <v>杜塞尔多夫7号仓</v>
      </c>
      <c r="C385" s="19" t="str">
        <v>入库组</v>
      </c>
      <c r="D385" s="21" t="n">
        <v>46169</v>
      </c>
      <c r="E385" s="19" t="str">
        <v>2026-05</v>
      </c>
      <c r="F385" s="19" t="str">
        <v>操作员</v>
      </c>
      <c r="G385" s="19" t="str">
        <v>德国区-灵活班次 / DE FLEX</v>
      </c>
      <c r="H385" s="19" t="str">
        <v>S000276</v>
      </c>
      <c r="I385" s="19" t="str">
        <v>Go4PrimeJobs GmbH</v>
      </c>
      <c r="J385" s="23" t="n">
        <v>2</v>
      </c>
      <c r="K385" s="23" t="n">
        <v>0</v>
      </c>
      <c r="L385" s="23" t="n">
        <f>J385+K385</f>
        <v>2</v>
      </c>
      <c r="M385" s="23" t="n">
        <v>3</v>
      </c>
      <c r="N385" s="23" t="n">
        <v>0</v>
      </c>
      <c r="O385" s="23" t="n">
        <v>3</v>
      </c>
      <c r="P385" s="23" t="n">
        <v>0</v>
      </c>
      <c r="Q385" s="23" t="n">
        <f>MIN(O385,P385)</f>
        <v>0</v>
      </c>
      <c r="R385" s="25" t="n">
        <f>IF(M385=0,0,MIN(1,L385/M385))</f>
        <v>0.6666666666666666</v>
      </c>
      <c r="S385" s="23" t="n">
        <f>O385*R385</f>
        <v>2</v>
      </c>
      <c r="T385" s="23" t="n">
        <f>MIN(P385,S385)</f>
        <v>0</v>
      </c>
      <c r="U385" s="23" t="n">
        <f>O385-S385</f>
        <v>1</v>
      </c>
      <c r="V385" s="23" t="n">
        <f>MAX(P385-O385,0)</f>
        <v>0</v>
      </c>
    </row>
    <row r="386">
      <c r="A386" s="19" t="str">
        <v>德国区</v>
      </c>
      <c r="B386" s="19" t="str">
        <v>杜塞尔多夫7号仓</v>
      </c>
      <c r="C386" s="19" t="str">
        <v>入库组</v>
      </c>
      <c r="D386" s="21" t="n">
        <v>46170</v>
      </c>
      <c r="E386" s="19" t="str">
        <v>2026-05</v>
      </c>
      <c r="F386" s="19" t="str">
        <v>操作员</v>
      </c>
      <c r="G386" s="19" t="str">
        <v>德国区-灵活班次 / DE FLEX</v>
      </c>
      <c r="H386" s="19" t="str">
        <v>S000110</v>
      </c>
      <c r="I386" s="19" t="str">
        <v>Koetter Personal Service SE Co. KG</v>
      </c>
      <c r="J386" s="23" t="n">
        <v>5</v>
      </c>
      <c r="K386" s="23" t="n">
        <v>0</v>
      </c>
      <c r="L386" s="23" t="n">
        <f>J386+K386</f>
        <v>5</v>
      </c>
      <c r="M386" s="23" t="n">
        <v>8</v>
      </c>
      <c r="N386" s="23" t="n">
        <v>6</v>
      </c>
      <c r="O386" s="23" t="n">
        <v>5</v>
      </c>
      <c r="P386" s="23" t="n">
        <v>5</v>
      </c>
      <c r="Q386" s="23" t="n">
        <f>MIN(O386,P386)</f>
        <v>5</v>
      </c>
      <c r="R386" s="25" t="n">
        <f>IF(M386=0,0,MIN(1,L386/M386))</f>
        <v>0.625</v>
      </c>
      <c r="S386" s="23" t="n">
        <f>O386*R386</f>
        <v>3.125</v>
      </c>
      <c r="T386" s="23" t="n">
        <f>MIN(P386,S386)</f>
        <v>3.125</v>
      </c>
      <c r="U386" s="23" t="n">
        <f>O386-S386</f>
        <v>1.875</v>
      </c>
      <c r="V386" s="23" t="n">
        <f>MAX(P386-O386,0)</f>
        <v>0</v>
      </c>
    </row>
    <row r="387">
      <c r="A387" s="19" t="str">
        <v>德国区</v>
      </c>
      <c r="B387" s="19" t="str">
        <v>杜塞尔多夫7号仓</v>
      </c>
      <c r="C387" s="19" t="str">
        <v>入库组</v>
      </c>
      <c r="D387" s="21" t="n">
        <v>46170</v>
      </c>
      <c r="E387" s="19" t="str">
        <v>2026-05</v>
      </c>
      <c r="F387" s="19" t="str">
        <v>操作员</v>
      </c>
      <c r="G387" s="19" t="str">
        <v>德国区-灵活班次 / DE FLEX</v>
      </c>
      <c r="H387" s="19" t="str">
        <v>S000276</v>
      </c>
      <c r="I387" s="19" t="str">
        <v>Go4PrimeJobs GmbH</v>
      </c>
      <c r="J387" s="23" t="n">
        <v>5</v>
      </c>
      <c r="K387" s="23" t="n">
        <v>0</v>
      </c>
      <c r="L387" s="23" t="n">
        <f>J387+K387</f>
        <v>5</v>
      </c>
      <c r="M387" s="23" t="n">
        <v>8</v>
      </c>
      <c r="N387" s="23" t="n">
        <v>6</v>
      </c>
      <c r="O387" s="23" t="n">
        <v>2</v>
      </c>
      <c r="P387" s="23" t="n">
        <v>0</v>
      </c>
      <c r="Q387" s="23" t="n">
        <f>MIN(O387,P387)</f>
        <v>0</v>
      </c>
      <c r="R387" s="25" t="n">
        <f>IF(M387=0,0,MIN(1,L387/M387))</f>
        <v>0.625</v>
      </c>
      <c r="S387" s="23" t="n">
        <f>O387*R387</f>
        <v>1.25</v>
      </c>
      <c r="T387" s="23" t="n">
        <f>MIN(P387,S387)</f>
        <v>0</v>
      </c>
      <c r="U387" s="23" t="n">
        <f>O387-S387</f>
        <v>0.75</v>
      </c>
      <c r="V387" s="23" t="n">
        <f>MAX(P387-O387,0)</f>
        <v>0</v>
      </c>
    </row>
    <row r="388">
      <c r="A388" s="19" t="str">
        <v>德国区</v>
      </c>
      <c r="B388" s="19" t="str">
        <v>杜塞尔多夫7号仓</v>
      </c>
      <c r="C388" s="19" t="str">
        <v>入库组</v>
      </c>
      <c r="D388" s="21" t="n">
        <v>46170</v>
      </c>
      <c r="E388" s="19" t="str">
        <v>2026-05</v>
      </c>
      <c r="F388" s="19" t="str">
        <v>操作员</v>
      </c>
      <c r="G388" s="19" t="str">
        <v>德国区-灵活班次 / DE FLEX</v>
      </c>
      <c r="H388" s="19" t="str">
        <v>S000279</v>
      </c>
      <c r="I388" s="19" t="str">
        <v>Armz GmbH</v>
      </c>
      <c r="J388" s="23" t="n">
        <v>5</v>
      </c>
      <c r="K388" s="23" t="n">
        <v>0</v>
      </c>
      <c r="L388" s="23" t="n">
        <f>J388+K388</f>
        <v>5</v>
      </c>
      <c r="M388" s="23" t="n">
        <v>8</v>
      </c>
      <c r="N388" s="23" t="n">
        <v>6</v>
      </c>
      <c r="O388" s="23" t="n">
        <v>1</v>
      </c>
      <c r="P388" s="23" t="n">
        <v>1</v>
      </c>
      <c r="Q388" s="23" t="n">
        <f>MIN(O388,P388)</f>
        <v>1</v>
      </c>
      <c r="R388" s="25" t="n">
        <f>IF(M388=0,0,MIN(1,L388/M388))</f>
        <v>0.625</v>
      </c>
      <c r="S388" s="23" t="n">
        <f>O388*R388</f>
        <v>0.625</v>
      </c>
      <c r="T388" s="23" t="n">
        <f>MIN(P388,S388)</f>
        <v>0.625</v>
      </c>
      <c r="U388" s="23" t="n">
        <f>O388-S388</f>
        <v>0.375</v>
      </c>
      <c r="V388" s="23" t="n">
        <f>MAX(P388-O388,0)</f>
        <v>0</v>
      </c>
    </row>
    <row r="389">
      <c r="A389" s="19" t="str">
        <v>德国区</v>
      </c>
      <c r="B389" s="19" t="str">
        <v>杜塞尔多夫7号仓</v>
      </c>
      <c r="C389" s="19" t="str">
        <v>入库组</v>
      </c>
      <c r="D389" s="21" t="n">
        <v>46171</v>
      </c>
      <c r="E389" s="19" t="str">
        <v>2026-05</v>
      </c>
      <c r="F389" s="19" t="str">
        <v>操作员</v>
      </c>
      <c r="G389" s="19" t="str">
        <v>德国区-灵活班次 / DE FLEX</v>
      </c>
      <c r="H389" s="19" t="str">
        <v>S000110</v>
      </c>
      <c r="I389" s="19" t="str">
        <v>Koetter Personal Service SE Co. KG</v>
      </c>
      <c r="J389" s="23" t="n">
        <v>2</v>
      </c>
      <c r="K389" s="23" t="n">
        <v>0</v>
      </c>
      <c r="L389" s="23" t="n">
        <f>J389+K389</f>
        <v>2</v>
      </c>
      <c r="M389" s="23" t="n">
        <v>4</v>
      </c>
      <c r="N389" s="23" t="n">
        <v>4</v>
      </c>
      <c r="O389" s="23" t="n">
        <v>4</v>
      </c>
      <c r="P389" s="23" t="n">
        <v>4</v>
      </c>
      <c r="Q389" s="23" t="n">
        <f>MIN(O389,P389)</f>
        <v>4</v>
      </c>
      <c r="R389" s="25" t="n">
        <f>IF(M389=0,0,MIN(1,L389/M389))</f>
        <v>0.5</v>
      </c>
      <c r="S389" s="23" t="n">
        <f>O389*R389</f>
        <v>2</v>
      </c>
      <c r="T389" s="23" t="n">
        <f>MIN(P389,S389)</f>
        <v>2</v>
      </c>
      <c r="U389" s="23" t="n">
        <f>O389-S389</f>
        <v>2</v>
      </c>
      <c r="V389" s="23" t="n">
        <f>MAX(P389-O389,0)</f>
        <v>0</v>
      </c>
    </row>
    <row r="390">
      <c r="A390" s="19" t="str">
        <v>德国区</v>
      </c>
      <c r="B390" s="19" t="str">
        <v>杜塞尔多夫7号仓</v>
      </c>
      <c r="C390" s="19" t="str">
        <v>入库组</v>
      </c>
      <c r="D390" s="21" t="n">
        <v>46175</v>
      </c>
      <c r="E390" s="19" t="str">
        <v>2026-06</v>
      </c>
      <c r="F390" s="19" t="str">
        <v>操作员</v>
      </c>
      <c r="G390" s="19" t="str">
        <v>德国区-灵活班次 / DE FLEX</v>
      </c>
      <c r="H390" s="19" t="str">
        <v>S000276</v>
      </c>
      <c r="I390" s="19" t="str">
        <v>Go4PrimeJobs GmbH</v>
      </c>
      <c r="J390" s="23" t="n">
        <v>1</v>
      </c>
      <c r="K390" s="23" t="n">
        <v>0</v>
      </c>
      <c r="L390" s="23" t="n">
        <f>J390+K390</f>
        <v>1</v>
      </c>
      <c r="M390" s="23" t="n">
        <v>1</v>
      </c>
      <c r="N390" s="23" t="n">
        <v>1</v>
      </c>
      <c r="O390" s="23" t="n">
        <v>1</v>
      </c>
      <c r="P390" s="23" t="n">
        <v>1</v>
      </c>
      <c r="Q390" s="23" t="n">
        <f>MIN(O390,P390)</f>
        <v>1</v>
      </c>
      <c r="R390" s="25" t="n">
        <f>IF(M390=0,0,MIN(1,L390/M390))</f>
        <v>1</v>
      </c>
      <c r="S390" s="23" t="n">
        <f>O390*R390</f>
        <v>1</v>
      </c>
      <c r="T390" s="23" t="n">
        <f>MIN(P390,S390)</f>
        <v>1</v>
      </c>
      <c r="U390" s="23" t="n">
        <f>O390-S390</f>
        <v>0</v>
      </c>
      <c r="V390" s="23" t="n">
        <f>MAX(P390-O390,0)</f>
        <v>0</v>
      </c>
    </row>
    <row r="391">
      <c r="A391" s="19" t="str">
        <v>德国区</v>
      </c>
      <c r="B391" s="19" t="str">
        <v>杜塞尔多夫7号仓</v>
      </c>
      <c r="C391" s="19" t="str">
        <v>入库组</v>
      </c>
      <c r="D391" s="21" t="n">
        <v>46181</v>
      </c>
      <c r="E391" s="19" t="str">
        <v>2026-06</v>
      </c>
      <c r="F391" s="19" t="str">
        <v>操作员</v>
      </c>
      <c r="G391" s="19" t="str">
        <v>德国区-灵活班次 / DE FLEX</v>
      </c>
      <c r="H391" s="19" t="str">
        <v>S000110</v>
      </c>
      <c r="I391" s="19" t="str">
        <v>Koetter Personal Service SE Co. KG</v>
      </c>
      <c r="J391" s="23" t="n">
        <v>1</v>
      </c>
      <c r="K391" s="23" t="n">
        <v>0</v>
      </c>
      <c r="L391" s="23" t="n">
        <f>J391+K391</f>
        <v>1</v>
      </c>
      <c r="M391" s="23" t="n">
        <v>1</v>
      </c>
      <c r="N391" s="23" t="n">
        <v>1</v>
      </c>
      <c r="O391" s="23" t="n">
        <v>1</v>
      </c>
      <c r="P391" s="23" t="n">
        <v>1</v>
      </c>
      <c r="Q391" s="23" t="n">
        <f>MIN(O391,P391)</f>
        <v>1</v>
      </c>
      <c r="R391" s="25" t="n">
        <f>IF(M391=0,0,MIN(1,L391/M391))</f>
        <v>1</v>
      </c>
      <c r="S391" s="23" t="n">
        <f>O391*R391</f>
        <v>1</v>
      </c>
      <c r="T391" s="23" t="n">
        <f>MIN(P391,S391)</f>
        <v>1</v>
      </c>
      <c r="U391" s="23" t="n">
        <f>O391-S391</f>
        <v>0</v>
      </c>
      <c r="V391" s="23" t="n">
        <f>MAX(P391-O391,0)</f>
        <v>0</v>
      </c>
    </row>
    <row r="392">
      <c r="A392" s="19" t="str">
        <v>德国区</v>
      </c>
      <c r="B392" s="19" t="str">
        <v>杜塞尔多夫7号仓</v>
      </c>
      <c r="C392" s="19" t="str">
        <v>入库组</v>
      </c>
      <c r="D392" s="21" t="n">
        <v>46182</v>
      </c>
      <c r="E392" s="19" t="str">
        <v>2026-06</v>
      </c>
      <c r="F392" s="19" t="str">
        <v>操作员</v>
      </c>
      <c r="G392" s="19" t="str">
        <v>德国区-灵活班次 / DE FLEX</v>
      </c>
      <c r="H392" s="19" t="str">
        <v>S000191</v>
      </c>
      <c r="I392" s="19" t="str">
        <v>TimePartner Personalmanagement GmbH</v>
      </c>
      <c r="J392" s="23" t="n">
        <v>2</v>
      </c>
      <c r="K392" s="23" t="n">
        <v>0</v>
      </c>
      <c r="L392" s="23" t="n">
        <f>J392+K392</f>
        <v>2</v>
      </c>
      <c r="M392" s="23" t="n">
        <v>2</v>
      </c>
      <c r="N392" s="23" t="n">
        <v>2</v>
      </c>
      <c r="O392" s="23" t="n">
        <v>2</v>
      </c>
      <c r="P392" s="23" t="n">
        <v>2</v>
      </c>
      <c r="Q392" s="23" t="n">
        <f>MIN(O392,P392)</f>
        <v>2</v>
      </c>
      <c r="R392" s="25" t="n">
        <f>IF(M392=0,0,MIN(1,L392/M392))</f>
        <v>1</v>
      </c>
      <c r="S392" s="23" t="n">
        <f>O392*R392</f>
        <v>2</v>
      </c>
      <c r="T392" s="23" t="n">
        <f>MIN(P392,S392)</f>
        <v>2</v>
      </c>
      <c r="U392" s="23" t="n">
        <f>O392-S392</f>
        <v>0</v>
      </c>
      <c r="V392" s="23" t="n">
        <f>MAX(P392-O392,0)</f>
        <v>0</v>
      </c>
    </row>
    <row r="393">
      <c r="A393" s="19" t="str">
        <v>德国区</v>
      </c>
      <c r="B393" s="19" t="str">
        <v>杜塞尔多夫7号仓</v>
      </c>
      <c r="C393" s="19" t="str">
        <v>入库组</v>
      </c>
      <c r="D393" s="21" t="n">
        <v>46183</v>
      </c>
      <c r="E393" s="19" t="str">
        <v>2026-06</v>
      </c>
      <c r="F393" s="19" t="str">
        <v>操作员</v>
      </c>
      <c r="G393" s="19" t="str">
        <v>德国区-灵活班次 / DE FLEX</v>
      </c>
      <c r="H393" s="19" t="str">
        <v>S000191</v>
      </c>
      <c r="I393" s="19" t="str">
        <v>TimePartner Personalmanagement GmbH</v>
      </c>
      <c r="J393" s="23" t="n">
        <v>2</v>
      </c>
      <c r="K393" s="23" t="n">
        <v>0</v>
      </c>
      <c r="L393" s="23" t="n">
        <f>J393+K393</f>
        <v>2</v>
      </c>
      <c r="M393" s="23" t="n">
        <v>2</v>
      </c>
      <c r="N393" s="23" t="n">
        <v>2</v>
      </c>
      <c r="O393" s="23" t="n">
        <v>2</v>
      </c>
      <c r="P393" s="23" t="n">
        <v>2</v>
      </c>
      <c r="Q393" s="23" t="n">
        <f>MIN(O393,P393)</f>
        <v>2</v>
      </c>
      <c r="R393" s="25" t="n">
        <f>IF(M393=0,0,MIN(1,L393/M393))</f>
        <v>1</v>
      </c>
      <c r="S393" s="23" t="n">
        <f>O393*R393</f>
        <v>2</v>
      </c>
      <c r="T393" s="23" t="n">
        <f>MIN(P393,S393)</f>
        <v>2</v>
      </c>
      <c r="U393" s="23" t="n">
        <f>O393-S393</f>
        <v>0</v>
      </c>
      <c r="V393" s="23" t="n">
        <f>MAX(P393-O393,0)</f>
        <v>0</v>
      </c>
    </row>
    <row r="394">
      <c r="A394" s="19" t="str">
        <v>德国区</v>
      </c>
      <c r="B394" s="19" t="str">
        <v>杜塞尔多夫7号仓</v>
      </c>
      <c r="C394" s="19" t="str">
        <v>包装组</v>
      </c>
      <c r="D394" s="21" t="n">
        <v>46147</v>
      </c>
      <c r="E394" s="19" t="str">
        <v>2026-05</v>
      </c>
      <c r="F394" s="19" t="str">
        <v>操作员</v>
      </c>
      <c r="G394" s="19" t="str">
        <v>德国区-灵活班次 / DE FLEX</v>
      </c>
      <c r="H394" s="19" t="str">
        <v>S000276</v>
      </c>
      <c r="I394" s="19" t="str">
        <v>Go4PrimeJobs GmbH</v>
      </c>
      <c r="J394" s="23" t="n">
        <v>0</v>
      </c>
      <c r="K394" s="23" t="n">
        <v>1</v>
      </c>
      <c r="L394" s="23" t="n">
        <f>J394+K394</f>
        <v>1</v>
      </c>
      <c r="M394" s="23" t="n">
        <v>2</v>
      </c>
      <c r="N394" s="23" t="n">
        <v>2</v>
      </c>
      <c r="O394" s="23" t="n">
        <v>1</v>
      </c>
      <c r="P394" s="23" t="n">
        <v>1</v>
      </c>
      <c r="Q394" s="23" t="n">
        <f>MIN(O394,P394)</f>
        <v>1</v>
      </c>
      <c r="R394" s="25" t="n">
        <f>IF(M394=0,0,MIN(1,L394/M394))</f>
        <v>0.5</v>
      </c>
      <c r="S394" s="23" t="n">
        <f>O394*R394</f>
        <v>0.5</v>
      </c>
      <c r="T394" s="23" t="n">
        <f>MIN(P394,S394)</f>
        <v>0.5</v>
      </c>
      <c r="U394" s="23" t="n">
        <f>O394-S394</f>
        <v>0.5</v>
      </c>
      <c r="V394" s="23" t="n">
        <f>MAX(P394-O394,0)</f>
        <v>0</v>
      </c>
    </row>
    <row r="395">
      <c r="A395" s="19" t="str">
        <v>德国区</v>
      </c>
      <c r="B395" s="19" t="str">
        <v>杜塞尔多夫7号仓</v>
      </c>
      <c r="C395" s="19" t="str">
        <v>包装组</v>
      </c>
      <c r="D395" s="21" t="n">
        <v>46147</v>
      </c>
      <c r="E395" s="19" t="str">
        <v>2026-05</v>
      </c>
      <c r="F395" s="19" t="str">
        <v>操作员</v>
      </c>
      <c r="G395" s="19" t="str">
        <v>德国区-灵活班次 / DE FLEX</v>
      </c>
      <c r="H395" s="19" t="str">
        <v>S000279</v>
      </c>
      <c r="I395" s="19" t="str">
        <v>Armz GmbH</v>
      </c>
      <c r="J395" s="23" t="n">
        <v>0</v>
      </c>
      <c r="K395" s="23" t="n">
        <v>1</v>
      </c>
      <c r="L395" s="23" t="n">
        <f>J395+K395</f>
        <v>1</v>
      </c>
      <c r="M395" s="23" t="n">
        <v>2</v>
      </c>
      <c r="N395" s="23" t="n">
        <v>2</v>
      </c>
      <c r="O395" s="23" t="n">
        <v>1</v>
      </c>
      <c r="P395" s="23" t="n">
        <v>1</v>
      </c>
      <c r="Q395" s="23" t="n">
        <f>MIN(O395,P395)</f>
        <v>1</v>
      </c>
      <c r="R395" s="25" t="n">
        <f>IF(M395=0,0,MIN(1,L395/M395))</f>
        <v>0.5</v>
      </c>
      <c r="S395" s="23" t="n">
        <f>O395*R395</f>
        <v>0.5</v>
      </c>
      <c r="T395" s="23" t="n">
        <f>MIN(P395,S395)</f>
        <v>0.5</v>
      </c>
      <c r="U395" s="23" t="n">
        <f>O395-S395</f>
        <v>0.5</v>
      </c>
      <c r="V395" s="23" t="n">
        <f>MAX(P395-O395,0)</f>
        <v>0</v>
      </c>
    </row>
    <row r="396">
      <c r="A396" s="19" t="str">
        <v>德国区</v>
      </c>
      <c r="B396" s="19" t="str">
        <v>杜塞尔多夫7号仓</v>
      </c>
      <c r="C396" s="19" t="str">
        <v>包装组</v>
      </c>
      <c r="D396" s="21" t="n">
        <v>46190</v>
      </c>
      <c r="E396" s="19" t="str">
        <v>2026-06</v>
      </c>
      <c r="F396" s="19" t="str">
        <v>操作员</v>
      </c>
      <c r="G396" s="19" t="str">
        <v>德国区-灵活班次 / DE FLEX</v>
      </c>
      <c r="H396" s="19" t="str">
        <v>S000110</v>
      </c>
      <c r="I396" s="19" t="str">
        <v>Koetter Personal Service SE Co. KG</v>
      </c>
      <c r="J396" s="23" t="n">
        <v>2</v>
      </c>
      <c r="K396" s="23" t="n">
        <v>0</v>
      </c>
      <c r="L396" s="23" t="n">
        <f>J396+K396</f>
        <v>2</v>
      </c>
      <c r="M396" s="23" t="n">
        <v>2</v>
      </c>
      <c r="N396" s="23" t="n">
        <v>2</v>
      </c>
      <c r="O396" s="23" t="n">
        <v>2</v>
      </c>
      <c r="P396" s="23" t="n">
        <v>2</v>
      </c>
      <c r="Q396" s="23" t="n">
        <f>MIN(O396,P396)</f>
        <v>2</v>
      </c>
      <c r="R396" s="25" t="n">
        <f>IF(M396=0,0,MIN(1,L396/M396))</f>
        <v>1</v>
      </c>
      <c r="S396" s="23" t="n">
        <f>O396*R396</f>
        <v>2</v>
      </c>
      <c r="T396" s="23" t="n">
        <f>MIN(P396,S396)</f>
        <v>2</v>
      </c>
      <c r="U396" s="23" t="n">
        <f>O396-S396</f>
        <v>0</v>
      </c>
      <c r="V396" s="23" t="n">
        <f>MAX(P396-O396,0)</f>
        <v>0</v>
      </c>
    </row>
    <row r="397">
      <c r="A397" s="19" t="str">
        <v>德国区</v>
      </c>
      <c r="B397" s="19" t="str">
        <v>杜塞尔多夫7号仓</v>
      </c>
      <c r="C397" s="19" t="str">
        <v>名创组</v>
      </c>
      <c r="D397" s="21" t="n">
        <v>46175</v>
      </c>
      <c r="E397" s="19" t="str">
        <v>2026-06</v>
      </c>
      <c r="F397" s="19" t="str">
        <v>操作员</v>
      </c>
      <c r="G397" s="19" t="str">
        <v>德国区-灵活班次 / DE FLEX</v>
      </c>
      <c r="H397" s="19" t="str">
        <v>S000276</v>
      </c>
      <c r="I397" s="19" t="str">
        <v>Go4PrimeJobs GmbH</v>
      </c>
      <c r="J397" s="23" t="n">
        <v>2</v>
      </c>
      <c r="K397" s="23" t="n">
        <v>0</v>
      </c>
      <c r="L397" s="23" t="n">
        <f>J397+K397</f>
        <v>2</v>
      </c>
      <c r="M397" s="23" t="n">
        <v>3</v>
      </c>
      <c r="N397" s="23" t="n">
        <v>3</v>
      </c>
      <c r="O397" s="23" t="n">
        <v>1</v>
      </c>
      <c r="P397" s="23" t="n">
        <v>1</v>
      </c>
      <c r="Q397" s="23" t="n">
        <f>MIN(O397,P397)</f>
        <v>1</v>
      </c>
      <c r="R397" s="25" t="n">
        <f>IF(M397=0,0,MIN(1,L397/M397))</f>
        <v>0.6666666666666666</v>
      </c>
      <c r="S397" s="23" t="n">
        <f>O397*R397</f>
        <v>0.6666666666666666</v>
      </c>
      <c r="T397" s="23" t="n">
        <f>MIN(P397,S397)</f>
        <v>0.6666666666666666</v>
      </c>
      <c r="U397" s="23" t="n">
        <f>O397-S397</f>
        <v>0.33333333333333337</v>
      </c>
      <c r="V397" s="23" t="n">
        <f>MAX(P397-O397,0)</f>
        <v>0</v>
      </c>
    </row>
    <row r="398">
      <c r="A398" s="19" t="str">
        <v>德国区</v>
      </c>
      <c r="B398" s="19" t="str">
        <v>杜塞尔多夫7号仓</v>
      </c>
      <c r="C398" s="19" t="str">
        <v>名创组</v>
      </c>
      <c r="D398" s="21" t="n">
        <v>46175</v>
      </c>
      <c r="E398" s="19" t="str">
        <v>2026-06</v>
      </c>
      <c r="F398" s="19" t="str">
        <v>操作员</v>
      </c>
      <c r="G398" s="19" t="str">
        <v>德国区-灵活班次 / DE FLEX</v>
      </c>
      <c r="H398" s="19" t="str">
        <v>S000279</v>
      </c>
      <c r="I398" s="19" t="str">
        <v>Armz GmbH</v>
      </c>
      <c r="J398" s="23" t="n">
        <v>2</v>
      </c>
      <c r="K398" s="23" t="n">
        <v>0</v>
      </c>
      <c r="L398" s="23" t="n">
        <f>J398+K398</f>
        <v>2</v>
      </c>
      <c r="M398" s="23" t="n">
        <v>3</v>
      </c>
      <c r="N398" s="23" t="n">
        <v>3</v>
      </c>
      <c r="O398" s="23" t="n">
        <v>2</v>
      </c>
      <c r="P398" s="23" t="n">
        <v>2</v>
      </c>
      <c r="Q398" s="23" t="n">
        <f>MIN(O398,P398)</f>
        <v>2</v>
      </c>
      <c r="R398" s="25" t="n">
        <f>IF(M398=0,0,MIN(1,L398/M398))</f>
        <v>0.6666666666666666</v>
      </c>
      <c r="S398" s="23" t="n">
        <f>O398*R398</f>
        <v>1.3333333333333333</v>
      </c>
      <c r="T398" s="23" t="n">
        <f>MIN(P398,S398)</f>
        <v>1.3333333333333333</v>
      </c>
      <c r="U398" s="23" t="n">
        <f>O398-S398</f>
        <v>0.6666666666666667</v>
      </c>
      <c r="V398" s="23" t="n">
        <f>MAX(P398-O398,0)</f>
        <v>0</v>
      </c>
    </row>
    <row r="399">
      <c r="A399" s="19" t="str">
        <v>德国区</v>
      </c>
      <c r="B399" s="19" t="str">
        <v>杜塞尔多夫7号仓</v>
      </c>
      <c r="C399" s="19" t="str">
        <v>名创组</v>
      </c>
      <c r="D399" s="21" t="n">
        <v>46189</v>
      </c>
      <c r="E399" s="19" t="str">
        <v>2026-06</v>
      </c>
      <c r="F399" s="19" t="str">
        <v>操作员</v>
      </c>
      <c r="G399" s="19" t="str">
        <v>德国区-灵活班次 / DE FLEX</v>
      </c>
      <c r="H399" s="19" t="str">
        <v>S000279</v>
      </c>
      <c r="I399" s="19" t="str">
        <v>Armz GmbH</v>
      </c>
      <c r="J399" s="23" t="n">
        <v>2</v>
      </c>
      <c r="K399" s="23" t="n">
        <v>0</v>
      </c>
      <c r="L399" s="23" t="n">
        <f>J399+K399</f>
        <v>2</v>
      </c>
      <c r="M399" s="23" t="n">
        <v>2</v>
      </c>
      <c r="N399" s="23" t="n">
        <v>0</v>
      </c>
      <c r="O399" s="23" t="n">
        <v>2</v>
      </c>
      <c r="P399" s="23" t="n">
        <v>0</v>
      </c>
      <c r="Q399" s="23" t="n">
        <f>MIN(O399,P399)</f>
        <v>0</v>
      </c>
      <c r="R399" s="25" t="n">
        <f>IF(M399=0,0,MIN(1,L399/M399))</f>
        <v>1</v>
      </c>
      <c r="S399" s="23" t="n">
        <f>O399*R399</f>
        <v>2</v>
      </c>
      <c r="T399" s="23" t="n">
        <f>MIN(P399,S399)</f>
        <v>0</v>
      </c>
      <c r="U399" s="23" t="n">
        <f>O399-S399</f>
        <v>0</v>
      </c>
      <c r="V399" s="23" t="n">
        <f>MAX(P399-O399,0)</f>
        <v>0</v>
      </c>
    </row>
    <row r="400">
      <c r="A400" s="19" t="str">
        <v>德国区</v>
      </c>
      <c r="B400" s="19" t="str">
        <v>杜塞尔多夫7号仓</v>
      </c>
      <c r="C400" s="19" t="str">
        <v>拣货组</v>
      </c>
      <c r="D400" s="21" t="n">
        <v>46140</v>
      </c>
      <c r="E400" s="19" t="str">
        <v>2026-04</v>
      </c>
      <c r="F400" s="19" t="str">
        <v>操作员</v>
      </c>
      <c r="G400" s="19" t="str">
        <v>德国区-灵活班次 / DE FLEX</v>
      </c>
      <c r="H400" s="19" t="str">
        <v>S000276</v>
      </c>
      <c r="I400" s="19" t="str">
        <v>Go4PrimeJobs GmbH</v>
      </c>
      <c r="J400" s="23" t="n">
        <v>2</v>
      </c>
      <c r="K400" s="23" t="n">
        <v>0</v>
      </c>
      <c r="L400" s="23" t="n">
        <f>J400+K400</f>
        <v>2</v>
      </c>
      <c r="M400" s="23" t="n">
        <v>4</v>
      </c>
      <c r="N400" s="23" t="n">
        <v>0</v>
      </c>
      <c r="O400" s="23" t="n">
        <v>4</v>
      </c>
      <c r="P400" s="23" t="n">
        <v>0</v>
      </c>
      <c r="Q400" s="23" t="n">
        <f>MIN(O400,P400)</f>
        <v>0</v>
      </c>
      <c r="R400" s="25" t="n">
        <f>IF(M400=0,0,MIN(1,L400/M400))</f>
        <v>0.5</v>
      </c>
      <c r="S400" s="23" t="n">
        <f>O400*R400</f>
        <v>2</v>
      </c>
      <c r="T400" s="23" t="n">
        <f>MIN(P400,S400)</f>
        <v>0</v>
      </c>
      <c r="U400" s="23" t="n">
        <f>O400-S400</f>
        <v>2</v>
      </c>
      <c r="V400" s="23" t="n">
        <f>MAX(P400-O400,0)</f>
        <v>0</v>
      </c>
    </row>
    <row r="401">
      <c r="A401" s="19" t="str">
        <v>德国区</v>
      </c>
      <c r="B401" s="19" t="str">
        <v>杜塞尔多夫7号仓</v>
      </c>
      <c r="C401" s="19" t="str">
        <v>拣货组</v>
      </c>
      <c r="D401" s="21" t="n">
        <v>46154</v>
      </c>
      <c r="E401" s="19" t="str">
        <v>2026-05</v>
      </c>
      <c r="F401" s="19" t="str">
        <v>操作员</v>
      </c>
      <c r="G401" s="19" t="str">
        <v>德国区-灵活班次 / DE FLEX</v>
      </c>
      <c r="H401" s="19" t="str">
        <v>S000110</v>
      </c>
      <c r="I401" s="19" t="str">
        <v>Koetter Personal Service SE Co. KG</v>
      </c>
      <c r="J401" s="23" t="n">
        <v>2</v>
      </c>
      <c r="K401" s="23" t="n">
        <v>0</v>
      </c>
      <c r="L401" s="23" t="n">
        <f>J401+K401</f>
        <v>2</v>
      </c>
      <c r="M401" s="23" t="n">
        <v>2</v>
      </c>
      <c r="N401" s="23" t="n">
        <v>2</v>
      </c>
      <c r="O401" s="23" t="n">
        <v>2</v>
      </c>
      <c r="P401" s="23" t="n">
        <v>2</v>
      </c>
      <c r="Q401" s="23" t="n">
        <f>MIN(O401,P401)</f>
        <v>2</v>
      </c>
      <c r="R401" s="25" t="n">
        <f>IF(M401=0,0,MIN(1,L401/M401))</f>
        <v>1</v>
      </c>
      <c r="S401" s="23" t="n">
        <f>O401*R401</f>
        <v>2</v>
      </c>
      <c r="T401" s="23" t="n">
        <f>MIN(P401,S401)</f>
        <v>2</v>
      </c>
      <c r="U401" s="23" t="n">
        <f>O401-S401</f>
        <v>0</v>
      </c>
      <c r="V401" s="23" t="n">
        <f>MAX(P401-O401,0)</f>
        <v>0</v>
      </c>
    </row>
    <row r="402">
      <c r="A402" s="19" t="str">
        <v>德国区</v>
      </c>
      <c r="B402" s="19" t="str">
        <v>杜塞尔多夫7号仓</v>
      </c>
      <c r="C402" s="19" t="str">
        <v>拣货组</v>
      </c>
      <c r="D402" s="21" t="n">
        <v>46189</v>
      </c>
      <c r="E402" s="19" t="str">
        <v>2026-06</v>
      </c>
      <c r="F402" s="19" t="str">
        <v>操作员</v>
      </c>
      <c r="G402" s="19" t="str">
        <v>德国区-灵活班次 / DE FLEX</v>
      </c>
      <c r="H402" s="19" t="str">
        <v>S000191</v>
      </c>
      <c r="I402" s="19" t="str">
        <v>TimePartner Personalmanagement GmbH</v>
      </c>
      <c r="J402" s="23" t="n">
        <v>3</v>
      </c>
      <c r="K402" s="23" t="n">
        <v>0</v>
      </c>
      <c r="L402" s="23" t="n">
        <f>J402+K402</f>
        <v>3</v>
      </c>
      <c r="M402" s="23" t="n">
        <v>3</v>
      </c>
      <c r="N402" s="23" t="n">
        <v>3</v>
      </c>
      <c r="O402" s="23" t="n">
        <v>2</v>
      </c>
      <c r="P402" s="23" t="n">
        <v>2</v>
      </c>
      <c r="Q402" s="23" t="n">
        <f>MIN(O402,P402)</f>
        <v>2</v>
      </c>
      <c r="R402" s="25" t="n">
        <f>IF(M402=0,0,MIN(1,L402/M402))</f>
        <v>1</v>
      </c>
      <c r="S402" s="23" t="n">
        <f>O402*R402</f>
        <v>2</v>
      </c>
      <c r="T402" s="23" t="n">
        <f>MIN(P402,S402)</f>
        <v>2</v>
      </c>
      <c r="U402" s="23" t="n">
        <f>O402-S402</f>
        <v>0</v>
      </c>
      <c r="V402" s="23" t="n">
        <f>MAX(P402-O402,0)</f>
        <v>0</v>
      </c>
    </row>
    <row r="403">
      <c r="A403" s="19" t="str">
        <v>德国区</v>
      </c>
      <c r="B403" s="19" t="str">
        <v>杜塞尔多夫7号仓</v>
      </c>
      <c r="C403" s="19" t="str">
        <v>拣货组</v>
      </c>
      <c r="D403" s="21" t="n">
        <v>46189</v>
      </c>
      <c r="E403" s="19" t="str">
        <v>2026-06</v>
      </c>
      <c r="F403" s="19" t="str">
        <v>操作员</v>
      </c>
      <c r="G403" s="19" t="str">
        <v>德国区-灵活班次 / DE FLEX</v>
      </c>
      <c r="H403" s="19" t="str">
        <v>S000276</v>
      </c>
      <c r="I403" s="19" t="str">
        <v>Go4PrimeJobs GmbH</v>
      </c>
      <c r="J403" s="23" t="n">
        <v>3</v>
      </c>
      <c r="K403" s="23" t="n">
        <v>0</v>
      </c>
      <c r="L403" s="23" t="n">
        <f>J403+K403</f>
        <v>3</v>
      </c>
      <c r="M403" s="23" t="n">
        <v>3</v>
      </c>
      <c r="N403" s="23" t="n">
        <v>3</v>
      </c>
      <c r="O403" s="23" t="n">
        <v>1</v>
      </c>
      <c r="P403" s="23" t="n">
        <v>1</v>
      </c>
      <c r="Q403" s="23" t="n">
        <f>MIN(O403,P403)</f>
        <v>1</v>
      </c>
      <c r="R403" s="25" t="n">
        <f>IF(M403=0,0,MIN(1,L403/M403))</f>
        <v>1</v>
      </c>
      <c r="S403" s="23" t="n">
        <f>O403*R403</f>
        <v>1</v>
      </c>
      <c r="T403" s="23" t="n">
        <f>MIN(P403,S403)</f>
        <v>1</v>
      </c>
      <c r="U403" s="23" t="n">
        <f>O403-S403</f>
        <v>0</v>
      </c>
      <c r="V403" s="23" t="n">
        <f>MAX(P403-O403,0)</f>
        <v>0</v>
      </c>
    </row>
    <row r="404">
      <c r="A404" s="19" t="str">
        <v>德国区</v>
      </c>
      <c r="B404" s="19" t="str">
        <v>杜塞尔多夫7号仓</v>
      </c>
      <c r="C404" s="19" t="str">
        <v>理货组</v>
      </c>
      <c r="D404" s="21" t="n">
        <v>46147</v>
      </c>
      <c r="E404" s="19" t="str">
        <v>2026-05</v>
      </c>
      <c r="F404" s="19" t="str">
        <v>操作员</v>
      </c>
      <c r="G404" s="19" t="str">
        <v>德国区-灵活班次 / DE FLEX</v>
      </c>
      <c r="H404" s="19" t="str">
        <v>S000276</v>
      </c>
      <c r="I404" s="19" t="str">
        <v>Go4PrimeJobs GmbH</v>
      </c>
      <c r="J404" s="23" t="n">
        <v>2</v>
      </c>
      <c r="K404" s="23" t="n">
        <v>0</v>
      </c>
      <c r="L404" s="23" t="n">
        <f>J404+K404</f>
        <v>2</v>
      </c>
      <c r="M404" s="23" t="n">
        <v>2</v>
      </c>
      <c r="N404" s="23" t="n">
        <v>2</v>
      </c>
      <c r="O404" s="23" t="n">
        <v>2</v>
      </c>
      <c r="P404" s="23" t="n">
        <v>2</v>
      </c>
      <c r="Q404" s="23" t="n">
        <f>MIN(O404,P404)</f>
        <v>2</v>
      </c>
      <c r="R404" s="25" t="n">
        <f>IF(M404=0,0,MIN(1,L404/M404))</f>
        <v>1</v>
      </c>
      <c r="S404" s="23" t="n">
        <f>O404*R404</f>
        <v>2</v>
      </c>
      <c r="T404" s="23" t="n">
        <f>MIN(P404,S404)</f>
        <v>2</v>
      </c>
      <c r="U404" s="23" t="n">
        <f>O404-S404</f>
        <v>0</v>
      </c>
      <c r="V404" s="23" t="n">
        <f>MAX(P404-O404,0)</f>
        <v>0</v>
      </c>
    </row>
    <row r="405">
      <c r="A405" s="19" t="str">
        <v>德国区</v>
      </c>
      <c r="B405" s="19" t="str">
        <v>杜塞尔多夫7号仓</v>
      </c>
      <c r="C405" s="19" t="str">
        <v>理货组</v>
      </c>
      <c r="D405" s="21" t="n">
        <v>46148</v>
      </c>
      <c r="E405" s="19" t="str">
        <v>2026-05</v>
      </c>
      <c r="F405" s="19" t="str">
        <v>操作员</v>
      </c>
      <c r="G405" s="19" t="str">
        <v>德国区-灵活班次 / DE FLEX</v>
      </c>
      <c r="H405" s="19" t="str">
        <v>S000276</v>
      </c>
      <c r="I405" s="19" t="str">
        <v>Go4PrimeJobs GmbH</v>
      </c>
      <c r="J405" s="23" t="n">
        <v>2</v>
      </c>
      <c r="K405" s="23" t="n">
        <v>0</v>
      </c>
      <c r="L405" s="23" t="n">
        <f>J405+K405</f>
        <v>2</v>
      </c>
      <c r="M405" s="23" t="n">
        <v>2</v>
      </c>
      <c r="N405" s="23" t="n">
        <v>1</v>
      </c>
      <c r="O405" s="23" t="n">
        <v>2</v>
      </c>
      <c r="P405" s="23" t="n">
        <v>1</v>
      </c>
      <c r="Q405" s="23" t="n">
        <f>MIN(O405,P405)</f>
        <v>1</v>
      </c>
      <c r="R405" s="25" t="n">
        <f>IF(M405=0,0,MIN(1,L405/M405))</f>
        <v>1</v>
      </c>
      <c r="S405" s="23" t="n">
        <f>O405*R405</f>
        <v>2</v>
      </c>
      <c r="T405" s="23" t="n">
        <f>MIN(P405,S405)</f>
        <v>1</v>
      </c>
      <c r="U405" s="23" t="n">
        <f>O405-S405</f>
        <v>0</v>
      </c>
      <c r="V405" s="23" t="n">
        <f>MAX(P405-O405,0)</f>
        <v>0</v>
      </c>
    </row>
    <row r="406">
      <c r="A406" s="19" t="str">
        <v>德国区</v>
      </c>
      <c r="B406" s="19" t="str">
        <v>杜塞尔多夫7号仓</v>
      </c>
      <c r="C406" s="19" t="str">
        <v>理货组</v>
      </c>
      <c r="D406" s="21" t="n">
        <v>46168</v>
      </c>
      <c r="E406" s="19" t="str">
        <v>2026-05</v>
      </c>
      <c r="F406" s="19" t="str">
        <v>保洁员</v>
      </c>
      <c r="G406" s="19" t="str">
        <v>德国区-灵活班次 / DE FLEX</v>
      </c>
      <c r="H406" s="19" t="str">
        <v>S000086</v>
      </c>
      <c r="I406" s="19" t="str">
        <v>Topjob Zeitarbeit GmbH</v>
      </c>
      <c r="J406" s="23" t="n">
        <v>1</v>
      </c>
      <c r="K406" s="23" t="n">
        <v>0</v>
      </c>
      <c r="L406" s="23" t="n">
        <f>J406+K406</f>
        <v>1</v>
      </c>
      <c r="M406" s="23" t="n">
        <v>1</v>
      </c>
      <c r="N406" s="23" t="n">
        <v>1</v>
      </c>
      <c r="O406" s="23" t="n">
        <v>1</v>
      </c>
      <c r="P406" s="23" t="n">
        <v>1</v>
      </c>
      <c r="Q406" s="23" t="n">
        <f>MIN(O406,P406)</f>
        <v>1</v>
      </c>
      <c r="R406" s="25" t="n">
        <f>IF(M406=0,0,MIN(1,L406/M406))</f>
        <v>1</v>
      </c>
      <c r="S406" s="23" t="n">
        <f>O406*R406</f>
        <v>1</v>
      </c>
      <c r="T406" s="23" t="n">
        <f>MIN(P406,S406)</f>
        <v>1</v>
      </c>
      <c r="U406" s="23" t="n">
        <f>O406-S406</f>
        <v>0</v>
      </c>
      <c r="V406" s="23" t="n">
        <f>MAX(P406-O406,0)</f>
        <v>0</v>
      </c>
    </row>
    <row r="407">
      <c r="A407" s="19" t="str">
        <v>德国区</v>
      </c>
      <c r="B407" s="19" t="str">
        <v>杜塞尔多夫7号仓</v>
      </c>
      <c r="C407" s="19" t="str">
        <v>理货组</v>
      </c>
      <c r="D407" s="21" t="n">
        <v>46175</v>
      </c>
      <c r="E407" s="19" t="str">
        <v>2026-06</v>
      </c>
      <c r="F407" s="19" t="str">
        <v>保洁员</v>
      </c>
      <c r="G407" s="19" t="str">
        <v>德国区-灵活班次 / DE FLEX</v>
      </c>
      <c r="H407" s="19" t="str">
        <v>S000279</v>
      </c>
      <c r="I407" s="19" t="str">
        <v>Armz GmbH</v>
      </c>
      <c r="J407" s="23" t="n">
        <v>1</v>
      </c>
      <c r="K407" s="23" t="n">
        <v>0</v>
      </c>
      <c r="L407" s="23" t="n">
        <f>J407+K407</f>
        <v>1</v>
      </c>
      <c r="M407" s="23" t="n">
        <v>1</v>
      </c>
      <c r="N407" s="23" t="n">
        <v>1</v>
      </c>
      <c r="O407" s="23" t="n">
        <v>1</v>
      </c>
      <c r="P407" s="23" t="n">
        <v>1</v>
      </c>
      <c r="Q407" s="23" t="n">
        <f>MIN(O407,P407)</f>
        <v>1</v>
      </c>
      <c r="R407" s="25" t="n">
        <f>IF(M407=0,0,MIN(1,L407/M407))</f>
        <v>1</v>
      </c>
      <c r="S407" s="23" t="n">
        <f>O407*R407</f>
        <v>1</v>
      </c>
      <c r="T407" s="23" t="n">
        <f>MIN(P407,S407)</f>
        <v>1</v>
      </c>
      <c r="U407" s="23" t="n">
        <f>O407-S407</f>
        <v>0</v>
      </c>
      <c r="V407" s="23" t="n">
        <f>MAX(P407-O407,0)</f>
        <v>0</v>
      </c>
    </row>
    <row r="408">
      <c r="A408" s="19" t="str">
        <v>德国区</v>
      </c>
      <c r="B408" s="19" t="str">
        <v>杜塞尔多夫7号仓</v>
      </c>
      <c r="C408" s="19" t="str">
        <v>理货组</v>
      </c>
      <c r="D408" s="21" t="n">
        <v>46188</v>
      </c>
      <c r="E408" s="19" t="str">
        <v>2026-06</v>
      </c>
      <c r="F408" s="19" t="str">
        <v>操作员</v>
      </c>
      <c r="G408" s="19" t="str">
        <v>德国区-灵活班次 / DE FLEX</v>
      </c>
      <c r="H408" s="19" t="str">
        <v>S000279</v>
      </c>
      <c r="I408" s="19" t="str">
        <v>Armz GmbH</v>
      </c>
      <c r="J408" s="23" t="n">
        <v>2</v>
      </c>
      <c r="K408" s="23" t="n">
        <v>0</v>
      </c>
      <c r="L408" s="23" t="n">
        <f>J408+K408</f>
        <v>2</v>
      </c>
      <c r="M408" s="23" t="n">
        <v>2</v>
      </c>
      <c r="N408" s="23" t="n">
        <v>2</v>
      </c>
      <c r="O408" s="23" t="n">
        <v>2</v>
      </c>
      <c r="P408" s="23" t="n">
        <v>2</v>
      </c>
      <c r="Q408" s="23" t="n">
        <f>MIN(O408,P408)</f>
        <v>2</v>
      </c>
      <c r="R408" s="25" t="n">
        <f>IF(M408=0,0,MIN(1,L408/M408))</f>
        <v>1</v>
      </c>
      <c r="S408" s="23" t="n">
        <f>O408*R408</f>
        <v>2</v>
      </c>
      <c r="T408" s="23" t="n">
        <f>MIN(P408,S408)</f>
        <v>2</v>
      </c>
      <c r="U408" s="23" t="n">
        <f>O408-S408</f>
        <v>0</v>
      </c>
      <c r="V408" s="23" t="n">
        <f>MAX(P408-O408,0)</f>
        <v>0</v>
      </c>
    </row>
    <row r="409">
      <c r="A409" s="19" t="str">
        <v>德国区</v>
      </c>
      <c r="B409" s="19" t="str">
        <v>杜塞尔多夫7号仓</v>
      </c>
      <c r="C409" s="19" t="str">
        <v>理货组</v>
      </c>
      <c r="D409" s="21" t="n">
        <v>46192</v>
      </c>
      <c r="E409" s="19" t="str">
        <v>2026-06</v>
      </c>
      <c r="F409" s="19" t="str">
        <v>操作员</v>
      </c>
      <c r="G409" s="19" t="str">
        <v>德国区-灵活班次 / DE FLEX</v>
      </c>
      <c r="H409" s="19" t="str">
        <v>S000110</v>
      </c>
      <c r="I409" s="19" t="str">
        <v>Koetter Personal Service SE Co. KG</v>
      </c>
      <c r="J409" s="23" t="n">
        <v>1</v>
      </c>
      <c r="K409" s="23" t="n">
        <v>0</v>
      </c>
      <c r="L409" s="23" t="n">
        <f>J409+K409</f>
        <v>1</v>
      </c>
      <c r="M409" s="23" t="n">
        <v>2</v>
      </c>
      <c r="N409" s="23" t="n">
        <v>2</v>
      </c>
      <c r="O409" s="23" t="n">
        <v>2</v>
      </c>
      <c r="P409" s="23" t="n">
        <v>2</v>
      </c>
      <c r="Q409" s="23" t="n">
        <f>MIN(O409,P409)</f>
        <v>2</v>
      </c>
      <c r="R409" s="25" t="n">
        <f>IF(M409=0,0,MIN(1,L409/M409))</f>
        <v>0.5</v>
      </c>
      <c r="S409" s="23" t="n">
        <f>O409*R409</f>
        <v>1</v>
      </c>
      <c r="T409" s="23" t="n">
        <f>MIN(P409,S409)</f>
        <v>1</v>
      </c>
      <c r="U409" s="23" t="n">
        <f>O409-S409</f>
        <v>1</v>
      </c>
      <c r="V409" s="23" t="n">
        <f>MAX(P409-O409,0)</f>
        <v>0</v>
      </c>
    </row>
    <row r="410">
      <c r="A410" s="19" t="str">
        <v>德国区</v>
      </c>
      <c r="B410" s="19" t="str">
        <v>杜塞尔多夫7号仓</v>
      </c>
      <c r="C410" s="19" t="str">
        <v>理货组</v>
      </c>
      <c r="D410" s="21" t="n">
        <v>46195</v>
      </c>
      <c r="E410" s="19" t="str">
        <v>2026-06</v>
      </c>
      <c r="F410" s="19" t="str">
        <v>操作员</v>
      </c>
      <c r="G410" s="19" t="str">
        <v>德国区-灵活班次 / DE FLEX</v>
      </c>
      <c r="H410" s="19" t="str">
        <v>S000279</v>
      </c>
      <c r="I410" s="19" t="str">
        <v>Armz GmbH</v>
      </c>
      <c r="J410" s="23" t="n">
        <v>2</v>
      </c>
      <c r="K410" s="23" t="n">
        <v>0</v>
      </c>
      <c r="L410" s="23" t="n">
        <f>J410+K410</f>
        <v>2</v>
      </c>
      <c r="M410" s="23" t="n">
        <v>2</v>
      </c>
      <c r="N410" s="23" t="n">
        <v>1</v>
      </c>
      <c r="O410" s="23" t="n">
        <v>2</v>
      </c>
      <c r="P410" s="23" t="n">
        <v>1</v>
      </c>
      <c r="Q410" s="23" t="n">
        <f>MIN(O410,P410)</f>
        <v>1</v>
      </c>
      <c r="R410" s="25" t="n">
        <f>IF(M410=0,0,MIN(1,L410/M410))</f>
        <v>1</v>
      </c>
      <c r="S410" s="23" t="n">
        <f>O410*R410</f>
        <v>2</v>
      </c>
      <c r="T410" s="23" t="n">
        <f>MIN(P410,S410)</f>
        <v>1</v>
      </c>
      <c r="U410" s="23" t="n">
        <f>O410-S410</f>
        <v>0</v>
      </c>
      <c r="V410" s="23" t="n">
        <f>MAX(P410-O410,0)</f>
        <v>0</v>
      </c>
    </row>
    <row r="411">
      <c r="A411" s="19" t="str">
        <v>德国区</v>
      </c>
      <c r="B411" s="19" t="str">
        <v>杜塞尔多夫7号仓</v>
      </c>
      <c r="C411" s="19" t="str">
        <v>理货组</v>
      </c>
      <c r="D411" s="21" t="n">
        <v>46197</v>
      </c>
      <c r="E411" s="19" t="str">
        <v>2026-06</v>
      </c>
      <c r="F411" s="19" t="str">
        <v>操作员</v>
      </c>
      <c r="G411" s="19" t="str">
        <v>德国区-灵活班次 / DE FLEX</v>
      </c>
      <c r="H411" s="19" t="str">
        <v>S000110</v>
      </c>
      <c r="I411" s="19" t="str">
        <v>Koetter Personal Service SE Co. KG</v>
      </c>
      <c r="J411" s="23" t="n">
        <v>2</v>
      </c>
      <c r="K411" s="23" t="n">
        <v>0</v>
      </c>
      <c r="L411" s="23" t="n">
        <f>J411+K411</f>
        <v>2</v>
      </c>
      <c r="M411" s="23" t="n">
        <v>3</v>
      </c>
      <c r="N411" s="23" t="n">
        <v>3</v>
      </c>
      <c r="O411" s="23" t="n">
        <v>3</v>
      </c>
      <c r="P411" s="23" t="n">
        <v>3</v>
      </c>
      <c r="Q411" s="23" t="n">
        <f>MIN(O411,P411)</f>
        <v>3</v>
      </c>
      <c r="R411" s="25" t="n">
        <f>IF(M411=0,0,MIN(1,L411/M411))</f>
        <v>0.6666666666666666</v>
      </c>
      <c r="S411" s="23" t="n">
        <f>O411*R411</f>
        <v>2</v>
      </c>
      <c r="T411" s="23" t="n">
        <f>MIN(P411,S411)</f>
        <v>2</v>
      </c>
      <c r="U411" s="23" t="n">
        <f>O411-S411</f>
        <v>1</v>
      </c>
      <c r="V411" s="23" t="n">
        <f>MAX(P411-O411,0)</f>
        <v>0</v>
      </c>
    </row>
    <row r="412">
      <c r="A412" s="19" t="str">
        <v>德国区</v>
      </c>
      <c r="B412" s="19" t="str">
        <v>杜塞尔多夫7号仓</v>
      </c>
      <c r="C412" s="19" t="str">
        <v>理货组</v>
      </c>
      <c r="D412" s="21" t="n">
        <v>46202</v>
      </c>
      <c r="E412" s="19" t="str">
        <v>2026-06</v>
      </c>
      <c r="F412" s="19" t="str">
        <v>操作员</v>
      </c>
      <c r="G412" s="19" t="str">
        <v>德国区-灵活班次 / DE FLEX</v>
      </c>
      <c r="H412" s="19" t="str">
        <v>S000110</v>
      </c>
      <c r="I412" s="19" t="str">
        <v>Koetter Personal Service SE Co. KG</v>
      </c>
      <c r="J412" s="23" t="n">
        <v>3</v>
      </c>
      <c r="K412" s="23" t="n">
        <v>0</v>
      </c>
      <c r="L412" s="23" t="n">
        <f>J412+K412</f>
        <v>3</v>
      </c>
      <c r="M412" s="23" t="n">
        <v>3</v>
      </c>
      <c r="N412" s="23" t="n">
        <v>3</v>
      </c>
      <c r="O412" s="23" t="n">
        <v>3</v>
      </c>
      <c r="P412" s="23" t="n">
        <v>3</v>
      </c>
      <c r="Q412" s="23" t="n">
        <f>MIN(O412,P412)</f>
        <v>3</v>
      </c>
      <c r="R412" s="25" t="n">
        <f>IF(M412=0,0,MIN(1,L412/M412))</f>
        <v>1</v>
      </c>
      <c r="S412" s="23" t="n">
        <f>O412*R412</f>
        <v>3</v>
      </c>
      <c r="T412" s="23" t="n">
        <f>MIN(P412,S412)</f>
        <v>3</v>
      </c>
      <c r="U412" s="23" t="n">
        <f>O412-S412</f>
        <v>0</v>
      </c>
      <c r="V412" s="23" t="n">
        <f>MAX(P412-O412,0)</f>
        <v>0</v>
      </c>
    </row>
    <row r="413">
      <c r="A413" s="19" t="str">
        <v>德国区</v>
      </c>
      <c r="B413" s="19" t="str">
        <v>杜塞尔多夫7号仓</v>
      </c>
      <c r="C413" s="19" t="str">
        <v>理货组</v>
      </c>
      <c r="D413" s="21" t="n">
        <v>46203</v>
      </c>
      <c r="E413" s="19" t="str">
        <v>2026-06</v>
      </c>
      <c r="F413" s="19" t="str">
        <v>操作员</v>
      </c>
      <c r="G413" s="19" t="str">
        <v>德国区-灵活班次 / DE FLEX</v>
      </c>
      <c r="H413" s="19" t="str">
        <v>S000110</v>
      </c>
      <c r="I413" s="19" t="str">
        <v>Koetter Personal Service SE Co. KG</v>
      </c>
      <c r="J413" s="23" t="n">
        <v>2</v>
      </c>
      <c r="K413" s="23" t="n">
        <v>0</v>
      </c>
      <c r="L413" s="23" t="n">
        <f>J413+K413</f>
        <v>2</v>
      </c>
      <c r="M413" s="23" t="n">
        <v>2</v>
      </c>
      <c r="N413" s="23" t="n">
        <v>2</v>
      </c>
      <c r="O413" s="23" t="n">
        <v>2</v>
      </c>
      <c r="P413" s="23" t="n">
        <v>2</v>
      </c>
      <c r="Q413" s="23" t="n">
        <f>MIN(O413,P413)</f>
        <v>2</v>
      </c>
      <c r="R413" s="25" t="n">
        <f>IF(M413=0,0,MIN(1,L413/M413))</f>
        <v>1</v>
      </c>
      <c r="S413" s="23" t="n">
        <f>O413*R413</f>
        <v>2</v>
      </c>
      <c r="T413" s="23" t="n">
        <f>MIN(P413,S413)</f>
        <v>2</v>
      </c>
      <c r="U413" s="23" t="n">
        <f>O413-S413</f>
        <v>0</v>
      </c>
      <c r="V413" s="23" t="n">
        <f>MAX(P413-O413,0)</f>
        <v>0</v>
      </c>
    </row>
    <row r="414">
      <c r="A414" s="19" t="str">
        <v>德国区</v>
      </c>
      <c r="B414" s="19" t="str">
        <v>杜塞尔多夫9号仓</v>
      </c>
      <c r="C414" s="19" t="str">
        <v>交运组</v>
      </c>
      <c r="D414" s="21" t="n">
        <v>46176</v>
      </c>
      <c r="E414" s="19" t="str">
        <v>2026-06</v>
      </c>
      <c r="F414" s="19" t="str">
        <v>操作员</v>
      </c>
      <c r="G414" s="19" t="str">
        <v>德国区-灵活班次 / DE FLEX</v>
      </c>
      <c r="H414" s="19" t="str">
        <v>S000191</v>
      </c>
      <c r="I414" s="19" t="str">
        <v>TimePartner Personalmanagement GmbH</v>
      </c>
      <c r="J414" s="23" t="n">
        <v>8</v>
      </c>
      <c r="K414" s="23" t="n">
        <v>0</v>
      </c>
      <c r="L414" s="23" t="n">
        <f>J414+K414</f>
        <v>8</v>
      </c>
      <c r="M414" s="23" t="n">
        <v>11</v>
      </c>
      <c r="N414" s="23" t="n">
        <v>8</v>
      </c>
      <c r="O414" s="23" t="n">
        <v>8</v>
      </c>
      <c r="P414" s="23" t="n">
        <v>8</v>
      </c>
      <c r="Q414" s="23" t="n">
        <f>MIN(O414,P414)</f>
        <v>8</v>
      </c>
      <c r="R414" s="25" t="n">
        <f>IF(M414=0,0,MIN(1,L414/M414))</f>
        <v>0.7272727272727273</v>
      </c>
      <c r="S414" s="23" t="n">
        <f>O414*R414</f>
        <v>5.818181818181818</v>
      </c>
      <c r="T414" s="23" t="n">
        <f>MIN(P414,S414)</f>
        <v>5.818181818181818</v>
      </c>
      <c r="U414" s="23" t="n">
        <f>O414-S414</f>
        <v>2.1818181818181817</v>
      </c>
      <c r="V414" s="23" t="n">
        <f>MAX(P414-O414,0)</f>
        <v>0</v>
      </c>
    </row>
    <row r="415">
      <c r="A415" s="19" t="str">
        <v>德国区</v>
      </c>
      <c r="B415" s="19" t="str">
        <v>杜塞尔多夫9号仓</v>
      </c>
      <c r="C415" s="19" t="str">
        <v>交运组</v>
      </c>
      <c r="D415" s="21" t="n">
        <v>46176</v>
      </c>
      <c r="E415" s="19" t="str">
        <v>2026-06</v>
      </c>
      <c r="F415" s="19" t="str">
        <v>操作员</v>
      </c>
      <c r="G415" s="19" t="str">
        <v>德国区-灵活班次 / DE FLEX</v>
      </c>
      <c r="H415" s="19" t="str">
        <v>S000279</v>
      </c>
      <c r="I415" s="19" t="str">
        <v>Armz GmbH</v>
      </c>
      <c r="J415" s="23" t="n">
        <v>8</v>
      </c>
      <c r="K415" s="23" t="n">
        <v>0</v>
      </c>
      <c r="L415" s="23" t="n">
        <f>J415+K415</f>
        <v>8</v>
      </c>
      <c r="M415" s="23" t="n">
        <v>11</v>
      </c>
      <c r="N415" s="23" t="n">
        <v>8</v>
      </c>
      <c r="O415" s="23" t="n">
        <v>3</v>
      </c>
      <c r="P415" s="23" t="n">
        <v>0</v>
      </c>
      <c r="Q415" s="23" t="n">
        <f>MIN(O415,P415)</f>
        <v>0</v>
      </c>
      <c r="R415" s="25" t="n">
        <f>IF(M415=0,0,MIN(1,L415/M415))</f>
        <v>0.7272727272727273</v>
      </c>
      <c r="S415" s="23" t="n">
        <f>O415*R415</f>
        <v>2.1818181818181817</v>
      </c>
      <c r="T415" s="23" t="n">
        <f>MIN(P415,S415)</f>
        <v>0</v>
      </c>
      <c r="U415" s="23" t="n">
        <f>O415-S415</f>
        <v>0.8181818181818183</v>
      </c>
      <c r="V415" s="23" t="n">
        <f>MAX(P415-O415,0)</f>
        <v>0</v>
      </c>
    </row>
    <row r="416">
      <c r="A416" s="19" t="str">
        <v>德国区</v>
      </c>
      <c r="B416" s="19" t="str">
        <v>杜塞尔多夫9号仓</v>
      </c>
      <c r="C416" s="19" t="str">
        <v>交运组</v>
      </c>
      <c r="D416" s="21" t="n">
        <v>46178</v>
      </c>
      <c r="E416" s="19" t="str">
        <v>2026-06</v>
      </c>
      <c r="F416" s="19" t="str">
        <v>操作员</v>
      </c>
      <c r="G416" s="19" t="str">
        <v>德国区-灵活班次 / DE FLEX</v>
      </c>
      <c r="H416" s="19" t="str">
        <v>S000279</v>
      </c>
      <c r="I416" s="19" t="str">
        <v>Armz GmbH</v>
      </c>
      <c r="J416" s="23" t="n">
        <v>7</v>
      </c>
      <c r="K416" s="23" t="n">
        <v>0</v>
      </c>
      <c r="L416" s="23" t="n">
        <f>J416+K416</f>
        <v>7</v>
      </c>
      <c r="M416" s="23" t="n">
        <v>9</v>
      </c>
      <c r="N416" s="23" t="n">
        <v>8</v>
      </c>
      <c r="O416" s="23" t="n">
        <v>2</v>
      </c>
      <c r="P416" s="23" t="n">
        <v>1</v>
      </c>
      <c r="Q416" s="23" t="n">
        <f>MIN(O416,P416)</f>
        <v>1</v>
      </c>
      <c r="R416" s="25" t="n">
        <f>IF(M416=0,0,MIN(1,L416/M416))</f>
        <v>0.7777777777777778</v>
      </c>
      <c r="S416" s="23" t="n">
        <f>O416*R416</f>
        <v>1.5555555555555556</v>
      </c>
      <c r="T416" s="23" t="n">
        <f>MIN(P416,S416)</f>
        <v>1</v>
      </c>
      <c r="U416" s="23" t="n">
        <f>O416-S416</f>
        <v>0.4444444444444444</v>
      </c>
      <c r="V416" s="23" t="n">
        <f>MAX(P416-O416,0)</f>
        <v>0</v>
      </c>
    </row>
    <row r="417">
      <c r="A417" s="19" t="str">
        <v>德国区</v>
      </c>
      <c r="B417" s="19" t="str">
        <v>杜塞尔多夫9号仓</v>
      </c>
      <c r="C417" s="19" t="str">
        <v>交运组</v>
      </c>
      <c r="D417" s="21" t="n">
        <v>46178</v>
      </c>
      <c r="E417" s="19" t="str">
        <v>2026-06</v>
      </c>
      <c r="F417" s="19" t="str">
        <v>操作员</v>
      </c>
      <c r="G417" s="19" t="str">
        <v>德国区-灵活班次 / DE FLEX</v>
      </c>
      <c r="H417" s="19" t="str">
        <v>S000327</v>
      </c>
      <c r="I417" s="19" t="str">
        <v>Gohar GmbH</v>
      </c>
      <c r="J417" s="23" t="n">
        <v>7</v>
      </c>
      <c r="K417" s="23" t="n">
        <v>0</v>
      </c>
      <c r="L417" s="23" t="n">
        <f>J417+K417</f>
        <v>7</v>
      </c>
      <c r="M417" s="23" t="n">
        <v>9</v>
      </c>
      <c r="N417" s="23" t="n">
        <v>8</v>
      </c>
      <c r="O417" s="23" t="n">
        <v>7</v>
      </c>
      <c r="P417" s="23" t="n">
        <v>7</v>
      </c>
      <c r="Q417" s="23" t="n">
        <f>MIN(O417,P417)</f>
        <v>7</v>
      </c>
      <c r="R417" s="25" t="n">
        <f>IF(M417=0,0,MIN(1,L417/M417))</f>
        <v>0.7777777777777778</v>
      </c>
      <c r="S417" s="23" t="n">
        <f>O417*R417</f>
        <v>5.444444444444445</v>
      </c>
      <c r="T417" s="23" t="n">
        <f>MIN(P417,S417)</f>
        <v>5.444444444444445</v>
      </c>
      <c r="U417" s="23" t="n">
        <f>O417-S417</f>
        <v>1.5555555555555554</v>
      </c>
      <c r="V417" s="23" t="n">
        <f>MAX(P417-O417,0)</f>
        <v>0</v>
      </c>
    </row>
    <row r="418">
      <c r="A418" s="19" t="str">
        <v>德国区</v>
      </c>
      <c r="B418" s="19" t="str">
        <v>杜塞尔多夫9号仓</v>
      </c>
      <c r="C418" s="19" t="str">
        <v>入库组</v>
      </c>
      <c r="D418" s="21" t="n">
        <v>46140</v>
      </c>
      <c r="E418" s="19" t="str">
        <v>2026-04</v>
      </c>
      <c r="F418" s="19" t="str">
        <v>操作员</v>
      </c>
      <c r="G418" s="19" t="str">
        <v>德国区-灵活班次 / DE FLEX</v>
      </c>
      <c r="H418" s="19" t="str">
        <v>S000316</v>
      </c>
      <c r="I418" s="19" t="str">
        <v>Nivux Estate e.Kfm</v>
      </c>
      <c r="J418" s="23" t="n">
        <v>3</v>
      </c>
      <c r="K418" s="23" t="n">
        <v>0</v>
      </c>
      <c r="L418" s="23" t="n">
        <f>J418+K418</f>
        <v>3</v>
      </c>
      <c r="M418" s="23" t="n">
        <v>4</v>
      </c>
      <c r="N418" s="23" t="n">
        <v>4</v>
      </c>
      <c r="O418" s="23" t="n">
        <v>2</v>
      </c>
      <c r="P418" s="23" t="n">
        <v>2</v>
      </c>
      <c r="Q418" s="23" t="n">
        <f>MIN(O418,P418)</f>
        <v>2</v>
      </c>
      <c r="R418" s="25" t="n">
        <f>IF(M418=0,0,MIN(1,L418/M418))</f>
        <v>0.75</v>
      </c>
      <c r="S418" s="23" t="n">
        <f>O418*R418</f>
        <v>1.5</v>
      </c>
      <c r="T418" s="23" t="n">
        <f>MIN(P418,S418)</f>
        <v>1.5</v>
      </c>
      <c r="U418" s="23" t="n">
        <f>O418-S418</f>
        <v>0.5</v>
      </c>
      <c r="V418" s="23" t="n">
        <f>MAX(P418-O418,0)</f>
        <v>0</v>
      </c>
    </row>
    <row r="419">
      <c r="A419" s="19" t="str">
        <v>德国区</v>
      </c>
      <c r="B419" s="19" t="str">
        <v>杜塞尔多夫9号仓</v>
      </c>
      <c r="C419" s="19" t="str">
        <v>入库组</v>
      </c>
      <c r="D419" s="21" t="n">
        <v>46140</v>
      </c>
      <c r="E419" s="19" t="str">
        <v>2026-04</v>
      </c>
      <c r="F419" s="19" t="str">
        <v>操作员</v>
      </c>
      <c r="G419" s="19" t="str">
        <v>德国区-灵活班次 / DE FLEX</v>
      </c>
      <c r="H419" s="19" t="str">
        <v>S000327</v>
      </c>
      <c r="I419" s="19" t="str">
        <v>Gohar GmbH</v>
      </c>
      <c r="J419" s="23" t="n">
        <v>3</v>
      </c>
      <c r="K419" s="23" t="n">
        <v>0</v>
      </c>
      <c r="L419" s="23" t="n">
        <f>J419+K419</f>
        <v>3</v>
      </c>
      <c r="M419" s="23" t="n">
        <v>4</v>
      </c>
      <c r="N419" s="23" t="n">
        <v>4</v>
      </c>
      <c r="O419" s="23" t="n">
        <v>2</v>
      </c>
      <c r="P419" s="23" t="n">
        <v>2</v>
      </c>
      <c r="Q419" s="23" t="n">
        <f>MIN(O419,P419)</f>
        <v>2</v>
      </c>
      <c r="R419" s="25" t="n">
        <f>IF(M419=0,0,MIN(1,L419/M419))</f>
        <v>0.75</v>
      </c>
      <c r="S419" s="23" t="n">
        <f>O419*R419</f>
        <v>1.5</v>
      </c>
      <c r="T419" s="23" t="n">
        <f>MIN(P419,S419)</f>
        <v>1.5</v>
      </c>
      <c r="U419" s="23" t="n">
        <f>O419-S419</f>
        <v>0.5</v>
      </c>
      <c r="V419" s="23" t="n">
        <f>MAX(P419-O419,0)</f>
        <v>0</v>
      </c>
    </row>
    <row r="420">
      <c r="A420" s="19" t="str">
        <v>德国区</v>
      </c>
      <c r="B420" s="19" t="str">
        <v>杜塞尔多夫9号仓</v>
      </c>
      <c r="C420" s="19" t="str">
        <v>入库组</v>
      </c>
      <c r="D420" s="21" t="n">
        <v>46141</v>
      </c>
      <c r="E420" s="19" t="str">
        <v>2026-04</v>
      </c>
      <c r="F420" s="19" t="str">
        <v>操作员</v>
      </c>
      <c r="G420" s="19" t="str">
        <v>德国区-灵活班次 / DE FLEX</v>
      </c>
      <c r="H420" s="19" t="str">
        <v>S000316</v>
      </c>
      <c r="I420" s="19" t="str">
        <v>Nivux Estate e.Kfm</v>
      </c>
      <c r="J420" s="23" t="n">
        <v>0</v>
      </c>
      <c r="K420" s="23" t="n">
        <v>0</v>
      </c>
      <c r="L420" s="23" t="n">
        <f>J420+K420</f>
        <v>0</v>
      </c>
      <c r="M420" s="23" t="n">
        <v>3</v>
      </c>
      <c r="N420" s="23" t="n">
        <v>3</v>
      </c>
      <c r="O420" s="23" t="n">
        <v>2</v>
      </c>
      <c r="P420" s="23" t="n">
        <v>2</v>
      </c>
      <c r="Q420" s="23" t="n">
        <f>MIN(O420,P420)</f>
        <v>2</v>
      </c>
      <c r="R420" s="25" t="n">
        <f>IF(M420=0,0,MIN(1,L420/M420))</f>
        <v>0</v>
      </c>
      <c r="S420" s="23" t="n">
        <f>O420*R420</f>
        <v>0</v>
      </c>
      <c r="T420" s="23" t="n">
        <f>MIN(P420,S420)</f>
        <v>0</v>
      </c>
      <c r="U420" s="23" t="n">
        <f>O420-S420</f>
        <v>2</v>
      </c>
      <c r="V420" s="23" t="n">
        <f>MAX(P420-O420,0)</f>
        <v>0</v>
      </c>
    </row>
    <row r="421">
      <c r="A421" s="19" t="str">
        <v>德国区</v>
      </c>
      <c r="B421" s="19" t="str">
        <v>杜塞尔多夫9号仓</v>
      </c>
      <c r="C421" s="19" t="str">
        <v>入库组</v>
      </c>
      <c r="D421" s="21" t="n">
        <v>46141</v>
      </c>
      <c r="E421" s="19" t="str">
        <v>2026-04</v>
      </c>
      <c r="F421" s="19" t="str">
        <v>操作员</v>
      </c>
      <c r="G421" s="19" t="str">
        <v>德国区-灵活班次 / DE FLEX</v>
      </c>
      <c r="H421" s="19" t="str">
        <v>S000327</v>
      </c>
      <c r="I421" s="19" t="str">
        <v>Gohar GmbH</v>
      </c>
      <c r="J421" s="23" t="n">
        <v>0</v>
      </c>
      <c r="K421" s="23" t="n">
        <v>0</v>
      </c>
      <c r="L421" s="23" t="n">
        <f>J421+K421</f>
        <v>0</v>
      </c>
      <c r="M421" s="23" t="n">
        <v>3</v>
      </c>
      <c r="N421" s="23" t="n">
        <v>3</v>
      </c>
      <c r="O421" s="23" t="n">
        <v>1</v>
      </c>
      <c r="P421" s="23" t="n">
        <v>1</v>
      </c>
      <c r="Q421" s="23" t="n">
        <f>MIN(O421,P421)</f>
        <v>1</v>
      </c>
      <c r="R421" s="25" t="n">
        <f>IF(M421=0,0,MIN(1,L421/M421))</f>
        <v>0</v>
      </c>
      <c r="S421" s="23" t="n">
        <f>O421*R421</f>
        <v>0</v>
      </c>
      <c r="T421" s="23" t="n">
        <f>MIN(P421,S421)</f>
        <v>0</v>
      </c>
      <c r="U421" s="23" t="n">
        <f>O421-S421</f>
        <v>1</v>
      </c>
      <c r="V421" s="23" t="n">
        <f>MAX(P421-O421,0)</f>
        <v>0</v>
      </c>
    </row>
    <row r="422">
      <c r="A422" s="19" t="str">
        <v>德国区</v>
      </c>
      <c r="B422" s="19" t="str">
        <v>杜塞尔多夫9号仓</v>
      </c>
      <c r="C422" s="19" t="str">
        <v>入库组</v>
      </c>
      <c r="D422" s="21" t="n">
        <v>46142</v>
      </c>
      <c r="E422" s="19" t="str">
        <v>2026-04</v>
      </c>
      <c r="F422" s="19" t="str">
        <v>操作员</v>
      </c>
      <c r="G422" s="19" t="str">
        <v>德国区-灵活班次 / DE FLEX</v>
      </c>
      <c r="H422" s="19" t="str">
        <v>S000316</v>
      </c>
      <c r="I422" s="19" t="str">
        <v>Nivux Estate e.Kfm</v>
      </c>
      <c r="J422" s="23" t="n">
        <v>2</v>
      </c>
      <c r="K422" s="23" t="n">
        <v>0</v>
      </c>
      <c r="L422" s="23" t="n">
        <f>J422+K422</f>
        <v>2</v>
      </c>
      <c r="M422" s="23" t="n">
        <v>2</v>
      </c>
      <c r="N422" s="23" t="n">
        <v>2</v>
      </c>
      <c r="O422" s="23" t="n">
        <v>2</v>
      </c>
      <c r="P422" s="23" t="n">
        <v>2</v>
      </c>
      <c r="Q422" s="23" t="n">
        <f>MIN(O422,P422)</f>
        <v>2</v>
      </c>
      <c r="R422" s="25" t="n">
        <f>IF(M422=0,0,MIN(1,L422/M422))</f>
        <v>1</v>
      </c>
      <c r="S422" s="23" t="n">
        <f>O422*R422</f>
        <v>2</v>
      </c>
      <c r="T422" s="23" t="n">
        <f>MIN(P422,S422)</f>
        <v>2</v>
      </c>
      <c r="U422" s="23" t="n">
        <f>O422-S422</f>
        <v>0</v>
      </c>
      <c r="V422" s="23" t="n">
        <f>MAX(P422-O422,0)</f>
        <v>0</v>
      </c>
    </row>
    <row r="423">
      <c r="A423" s="19" t="str">
        <v>德国区</v>
      </c>
      <c r="B423" s="19" t="str">
        <v>杜塞尔多夫9号仓</v>
      </c>
      <c r="C423" s="19" t="str">
        <v>入库组</v>
      </c>
      <c r="D423" s="21" t="n">
        <v>46164</v>
      </c>
      <c r="E423" s="19" t="str">
        <v>2026-05</v>
      </c>
      <c r="F423" s="19" t="str">
        <v>操作员</v>
      </c>
      <c r="G423" s="19" t="str">
        <v>德国区-灵活班次 / DE FLEX</v>
      </c>
      <c r="H423" s="19" t="str">
        <v>S000191</v>
      </c>
      <c r="I423" s="19" t="str">
        <v>TimePartner Personalmanagement GmbH</v>
      </c>
      <c r="J423" s="23" t="n">
        <v>1</v>
      </c>
      <c r="K423" s="23" t="n">
        <v>0</v>
      </c>
      <c r="L423" s="23" t="n">
        <f>J423+K423</f>
        <v>1</v>
      </c>
      <c r="M423" s="23" t="n">
        <v>1</v>
      </c>
      <c r="N423" s="23" t="n">
        <v>1</v>
      </c>
      <c r="O423" s="23" t="n">
        <v>1</v>
      </c>
      <c r="P423" s="23" t="n">
        <v>1</v>
      </c>
      <c r="Q423" s="23" t="n">
        <f>MIN(O423,P423)</f>
        <v>1</v>
      </c>
      <c r="R423" s="25" t="n">
        <f>IF(M423=0,0,MIN(1,L423/M423))</f>
        <v>1</v>
      </c>
      <c r="S423" s="23" t="n">
        <f>O423*R423</f>
        <v>1</v>
      </c>
      <c r="T423" s="23" t="n">
        <f>MIN(P423,S423)</f>
        <v>1</v>
      </c>
      <c r="U423" s="23" t="n">
        <f>O423-S423</f>
        <v>0</v>
      </c>
      <c r="V423" s="23" t="n">
        <f>MAX(P423-O423,0)</f>
        <v>0</v>
      </c>
    </row>
    <row r="424">
      <c r="A424" s="19" t="str">
        <v>德国区</v>
      </c>
      <c r="B424" s="19" t="str">
        <v>杜塞尔多夫9号仓</v>
      </c>
      <c r="C424" s="19" t="str">
        <v>入库组</v>
      </c>
      <c r="D424" s="21" t="n">
        <v>46165</v>
      </c>
      <c r="E424" s="19" t="str">
        <v>2026-05</v>
      </c>
      <c r="F424" s="19" t="str">
        <v>操作员</v>
      </c>
      <c r="G424" s="19" t="str">
        <v>德国区-灵活班次 / DE FLEX</v>
      </c>
      <c r="H424" s="19" t="str">
        <v>S000191</v>
      </c>
      <c r="I424" s="19" t="str">
        <v>TimePartner Personalmanagement GmbH</v>
      </c>
      <c r="J424" s="23" t="n">
        <v>0</v>
      </c>
      <c r="K424" s="23" t="n">
        <v>0</v>
      </c>
      <c r="L424" s="23" t="n">
        <f>J424+K424</f>
        <v>0</v>
      </c>
      <c r="M424" s="23" t="n">
        <v>1</v>
      </c>
      <c r="N424" s="23" t="n">
        <v>1</v>
      </c>
      <c r="O424" s="23" t="n">
        <v>1</v>
      </c>
      <c r="P424" s="23" t="n">
        <v>1</v>
      </c>
      <c r="Q424" s="23" t="n">
        <f>MIN(O424,P424)</f>
        <v>1</v>
      </c>
      <c r="R424" s="25" t="n">
        <f>IF(M424=0,0,MIN(1,L424/M424))</f>
        <v>0</v>
      </c>
      <c r="S424" s="23" t="n">
        <f>O424*R424</f>
        <v>0</v>
      </c>
      <c r="T424" s="23" t="n">
        <f>MIN(P424,S424)</f>
        <v>0</v>
      </c>
      <c r="U424" s="23" t="n">
        <f>O424-S424</f>
        <v>1</v>
      </c>
      <c r="V424" s="23" t="n">
        <f>MAX(P424-O424,0)</f>
        <v>0</v>
      </c>
    </row>
    <row r="425">
      <c r="A425" s="19" t="str">
        <v>德国区</v>
      </c>
      <c r="B425" s="19" t="str">
        <v>杜塞尔多夫9号仓</v>
      </c>
      <c r="C425" s="19" t="str">
        <v>入库组</v>
      </c>
      <c r="D425" s="21" t="n">
        <v>46166</v>
      </c>
      <c r="E425" s="19" t="str">
        <v>2026-05</v>
      </c>
      <c r="F425" s="19" t="str">
        <v>操作员</v>
      </c>
      <c r="G425" s="19" t="str">
        <v>德国区-灵活班次 / DE FLEX</v>
      </c>
      <c r="H425" s="19" t="str">
        <v>S000191</v>
      </c>
      <c r="I425" s="19" t="str">
        <v>TimePartner Personalmanagement GmbH</v>
      </c>
      <c r="J425" s="23" t="n">
        <v>0</v>
      </c>
      <c r="K425" s="23" t="n">
        <v>0</v>
      </c>
      <c r="L425" s="23" t="n">
        <f>J425+K425</f>
        <v>0</v>
      </c>
      <c r="M425" s="23" t="n">
        <v>1</v>
      </c>
      <c r="N425" s="23" t="n">
        <v>1</v>
      </c>
      <c r="O425" s="23" t="n">
        <v>1</v>
      </c>
      <c r="P425" s="23" t="n">
        <v>1</v>
      </c>
      <c r="Q425" s="23" t="n">
        <f>MIN(O425,P425)</f>
        <v>1</v>
      </c>
      <c r="R425" s="25" t="n">
        <f>IF(M425=0,0,MIN(1,L425/M425))</f>
        <v>0</v>
      </c>
      <c r="S425" s="23" t="n">
        <f>O425*R425</f>
        <v>0</v>
      </c>
      <c r="T425" s="23" t="n">
        <f>MIN(P425,S425)</f>
        <v>0</v>
      </c>
      <c r="U425" s="23" t="n">
        <f>O425-S425</f>
        <v>1</v>
      </c>
      <c r="V425" s="23" t="n">
        <f>MAX(P425-O425,0)</f>
        <v>0</v>
      </c>
    </row>
    <row r="426">
      <c r="A426" s="19" t="str">
        <v>德国区</v>
      </c>
      <c r="B426" s="19" t="str">
        <v>杜塞尔多夫9号仓</v>
      </c>
      <c r="C426" s="19" t="str">
        <v>入库组</v>
      </c>
      <c r="D426" s="21" t="n">
        <v>46167</v>
      </c>
      <c r="E426" s="19" t="str">
        <v>2026-05</v>
      </c>
      <c r="F426" s="19" t="str">
        <v>操作员</v>
      </c>
      <c r="G426" s="19" t="str">
        <v>德国区-灵活班次 / DE FLEX</v>
      </c>
      <c r="H426" s="19" t="str">
        <v>S000191</v>
      </c>
      <c r="I426" s="19" t="str">
        <v>TimePartner Personalmanagement GmbH</v>
      </c>
      <c r="J426" s="23" t="n">
        <v>0</v>
      </c>
      <c r="K426" s="23" t="n">
        <v>0</v>
      </c>
      <c r="L426" s="23" t="n">
        <f>J426+K426</f>
        <v>0</v>
      </c>
      <c r="M426" s="23" t="n">
        <v>1</v>
      </c>
      <c r="N426" s="23" t="n">
        <v>0</v>
      </c>
      <c r="O426" s="23" t="n">
        <v>1</v>
      </c>
      <c r="P426" s="23" t="n">
        <v>0</v>
      </c>
      <c r="Q426" s="23" t="n">
        <f>MIN(O426,P426)</f>
        <v>0</v>
      </c>
      <c r="R426" s="25" t="n">
        <f>IF(M426=0,0,MIN(1,L426/M426))</f>
        <v>0</v>
      </c>
      <c r="S426" s="23" t="n">
        <f>O426*R426</f>
        <v>0</v>
      </c>
      <c r="T426" s="23" t="n">
        <f>MIN(P426,S426)</f>
        <v>0</v>
      </c>
      <c r="U426" s="23" t="n">
        <f>O426-S426</f>
        <v>1</v>
      </c>
      <c r="V426" s="23" t="n">
        <f>MAX(P426-O426,0)</f>
        <v>0</v>
      </c>
    </row>
    <row r="427">
      <c r="A427" s="19" t="str">
        <v>德国区</v>
      </c>
      <c r="B427" s="19" t="str">
        <v>杜塞尔多夫9号仓</v>
      </c>
      <c r="C427" s="19" t="str">
        <v>入库组</v>
      </c>
      <c r="D427" s="21" t="n">
        <v>46168</v>
      </c>
      <c r="E427" s="19" t="str">
        <v>2026-05</v>
      </c>
      <c r="F427" s="19" t="str">
        <v>操作员</v>
      </c>
      <c r="G427" s="19" t="str">
        <v>德国区-灵活班次 / DE FLEX</v>
      </c>
      <c r="H427" s="19" t="str">
        <v>S000191</v>
      </c>
      <c r="I427" s="19" t="str">
        <v>TimePartner Personalmanagement GmbH</v>
      </c>
      <c r="J427" s="23" t="n">
        <v>0</v>
      </c>
      <c r="K427" s="23" t="n">
        <v>0</v>
      </c>
      <c r="L427" s="23" t="n">
        <f>J427+K427</f>
        <v>0</v>
      </c>
      <c r="M427" s="23" t="n">
        <v>1</v>
      </c>
      <c r="N427" s="23" t="n">
        <v>0</v>
      </c>
      <c r="O427" s="23" t="n">
        <v>1</v>
      </c>
      <c r="P427" s="23" t="n">
        <v>0</v>
      </c>
      <c r="Q427" s="23" t="n">
        <f>MIN(O427,P427)</f>
        <v>0</v>
      </c>
      <c r="R427" s="25" t="n">
        <f>IF(M427=0,0,MIN(1,L427/M427))</f>
        <v>0</v>
      </c>
      <c r="S427" s="23" t="n">
        <f>O427*R427</f>
        <v>0</v>
      </c>
      <c r="T427" s="23" t="n">
        <f>MIN(P427,S427)</f>
        <v>0</v>
      </c>
      <c r="U427" s="23" t="n">
        <f>O427-S427</f>
        <v>1</v>
      </c>
      <c r="V427" s="23" t="n">
        <f>MAX(P427-O427,0)</f>
        <v>0</v>
      </c>
    </row>
    <row r="428">
      <c r="A428" s="19" t="str">
        <v>德国区</v>
      </c>
      <c r="B428" s="19" t="str">
        <v>杜塞尔多夫9号仓</v>
      </c>
      <c r="C428" s="19" t="str">
        <v>入库组</v>
      </c>
      <c r="D428" s="21" t="n">
        <v>46169</v>
      </c>
      <c r="E428" s="19" t="str">
        <v>2026-05</v>
      </c>
      <c r="F428" s="19" t="str">
        <v>操作员</v>
      </c>
      <c r="G428" s="19" t="str">
        <v>德国区-灵活班次 / DE FLEX</v>
      </c>
      <c r="H428" s="19" t="str">
        <v>S000191</v>
      </c>
      <c r="I428" s="19" t="str">
        <v>TimePartner Personalmanagement GmbH</v>
      </c>
      <c r="J428" s="23" t="n">
        <v>0</v>
      </c>
      <c r="K428" s="23" t="n">
        <v>0</v>
      </c>
      <c r="L428" s="23" t="n">
        <f>J428+K428</f>
        <v>0</v>
      </c>
      <c r="M428" s="23" t="n">
        <v>1</v>
      </c>
      <c r="N428" s="23" t="n">
        <v>0</v>
      </c>
      <c r="O428" s="23" t="n">
        <v>1</v>
      </c>
      <c r="P428" s="23" t="n">
        <v>0</v>
      </c>
      <c r="Q428" s="23" t="n">
        <f>MIN(O428,P428)</f>
        <v>0</v>
      </c>
      <c r="R428" s="25" t="n">
        <f>IF(M428=0,0,MIN(1,L428/M428))</f>
        <v>0</v>
      </c>
      <c r="S428" s="23" t="n">
        <f>O428*R428</f>
        <v>0</v>
      </c>
      <c r="T428" s="23" t="n">
        <f>MIN(P428,S428)</f>
        <v>0</v>
      </c>
      <c r="U428" s="23" t="n">
        <f>O428-S428</f>
        <v>1</v>
      </c>
      <c r="V428" s="23" t="n">
        <f>MAX(P428-O428,0)</f>
        <v>0</v>
      </c>
    </row>
    <row r="429">
      <c r="A429" s="19" t="str">
        <v>德国区</v>
      </c>
      <c r="B429" s="19" t="str">
        <v>杜塞尔多夫9号仓</v>
      </c>
      <c r="C429" s="19" t="str">
        <v>入库组</v>
      </c>
      <c r="D429" s="21" t="n">
        <v>46170</v>
      </c>
      <c r="E429" s="19" t="str">
        <v>2026-05</v>
      </c>
      <c r="F429" s="19" t="str">
        <v>操作员</v>
      </c>
      <c r="G429" s="19" t="str">
        <v>德国区-灵活班次 / DE FLEX</v>
      </c>
      <c r="H429" s="19" t="str">
        <v>S000191</v>
      </c>
      <c r="I429" s="19" t="str">
        <v>TimePartner Personalmanagement GmbH</v>
      </c>
      <c r="J429" s="23" t="n">
        <v>0</v>
      </c>
      <c r="K429" s="23" t="n">
        <v>0</v>
      </c>
      <c r="L429" s="23" t="n">
        <f>J429+K429</f>
        <v>0</v>
      </c>
      <c r="M429" s="23" t="n">
        <v>1</v>
      </c>
      <c r="N429" s="23" t="n">
        <v>1</v>
      </c>
      <c r="O429" s="23" t="n">
        <v>1</v>
      </c>
      <c r="P429" s="23" t="n">
        <v>1</v>
      </c>
      <c r="Q429" s="23" t="n">
        <f>MIN(O429,P429)</f>
        <v>1</v>
      </c>
      <c r="R429" s="25" t="n">
        <f>IF(M429=0,0,MIN(1,L429/M429))</f>
        <v>0</v>
      </c>
      <c r="S429" s="23" t="n">
        <f>O429*R429</f>
        <v>0</v>
      </c>
      <c r="T429" s="23" t="n">
        <f>MIN(P429,S429)</f>
        <v>0</v>
      </c>
      <c r="U429" s="23" t="n">
        <f>O429-S429</f>
        <v>1</v>
      </c>
      <c r="V429" s="23" t="n">
        <f>MAX(P429-O429,0)</f>
        <v>0</v>
      </c>
    </row>
    <row r="430">
      <c r="A430" s="19" t="str">
        <v>德国区</v>
      </c>
      <c r="B430" s="19" t="str">
        <v>杜塞尔多夫9号仓</v>
      </c>
      <c r="C430" s="19" t="str">
        <v>入库组</v>
      </c>
      <c r="D430" s="21" t="n">
        <v>46171</v>
      </c>
      <c r="E430" s="19" t="str">
        <v>2026-05</v>
      </c>
      <c r="F430" s="19" t="str">
        <v>操作员</v>
      </c>
      <c r="G430" s="19" t="str">
        <v>德国区-灵活班次 / DE FLEX</v>
      </c>
      <c r="H430" s="19" t="str">
        <v>S000191</v>
      </c>
      <c r="I430" s="19" t="str">
        <v>TimePartner Personalmanagement GmbH</v>
      </c>
      <c r="J430" s="23" t="n">
        <v>0</v>
      </c>
      <c r="K430" s="23" t="n">
        <v>0</v>
      </c>
      <c r="L430" s="23" t="n">
        <f>J430+K430</f>
        <v>0</v>
      </c>
      <c r="M430" s="23" t="n">
        <v>1</v>
      </c>
      <c r="N430" s="23" t="n">
        <v>0</v>
      </c>
      <c r="O430" s="23" t="n">
        <v>1</v>
      </c>
      <c r="P430" s="23" t="n">
        <v>0</v>
      </c>
      <c r="Q430" s="23" t="n">
        <f>MIN(O430,P430)</f>
        <v>0</v>
      </c>
      <c r="R430" s="25" t="n">
        <f>IF(M430=0,0,MIN(1,L430/M430))</f>
        <v>0</v>
      </c>
      <c r="S430" s="23" t="n">
        <f>O430*R430</f>
        <v>0</v>
      </c>
      <c r="T430" s="23" t="n">
        <f>MIN(P430,S430)</f>
        <v>0</v>
      </c>
      <c r="U430" s="23" t="n">
        <f>O430-S430</f>
        <v>1</v>
      </c>
      <c r="V430" s="23" t="n">
        <f>MAX(P430-O430,0)</f>
        <v>0</v>
      </c>
    </row>
    <row r="431">
      <c r="A431" s="19" t="str">
        <v>德国区</v>
      </c>
      <c r="B431" s="19" t="str">
        <v>杜塞尔多夫9号仓</v>
      </c>
      <c r="C431" s="19" t="str">
        <v>入库组</v>
      </c>
      <c r="D431" s="21" t="n">
        <v>46172</v>
      </c>
      <c r="E431" s="19" t="str">
        <v>2026-05</v>
      </c>
      <c r="F431" s="19" t="str">
        <v>操作员</v>
      </c>
      <c r="G431" s="19" t="str">
        <v>德国区-灵活班次 / DE FLEX</v>
      </c>
      <c r="H431" s="19" t="str">
        <v>S000191</v>
      </c>
      <c r="I431" s="19" t="str">
        <v>TimePartner Personalmanagement GmbH</v>
      </c>
      <c r="J431" s="23" t="n">
        <v>0</v>
      </c>
      <c r="K431" s="23" t="n">
        <v>0</v>
      </c>
      <c r="L431" s="23" t="n">
        <f>J431+K431</f>
        <v>0</v>
      </c>
      <c r="M431" s="23" t="n">
        <v>1</v>
      </c>
      <c r="N431" s="23" t="n">
        <v>0</v>
      </c>
      <c r="O431" s="23" t="n">
        <v>1</v>
      </c>
      <c r="P431" s="23" t="n">
        <v>0</v>
      </c>
      <c r="Q431" s="23" t="n">
        <f>MIN(O431,P431)</f>
        <v>0</v>
      </c>
      <c r="R431" s="25" t="n">
        <f>IF(M431=0,0,MIN(1,L431/M431))</f>
        <v>0</v>
      </c>
      <c r="S431" s="23" t="n">
        <f>O431*R431</f>
        <v>0</v>
      </c>
      <c r="T431" s="23" t="n">
        <f>MIN(P431,S431)</f>
        <v>0</v>
      </c>
      <c r="U431" s="23" t="n">
        <f>O431-S431</f>
        <v>1</v>
      </c>
      <c r="V431" s="23" t="n">
        <f>MAX(P431-O431,0)</f>
        <v>0</v>
      </c>
    </row>
    <row r="432">
      <c r="A432" s="19" t="str">
        <v>德国区</v>
      </c>
      <c r="B432" s="19" t="str">
        <v>杜塞尔多夫9号仓</v>
      </c>
      <c r="C432" s="19" t="str">
        <v>入库组</v>
      </c>
      <c r="D432" s="21" t="n">
        <v>46196</v>
      </c>
      <c r="E432" s="19" t="str">
        <v>2026-06</v>
      </c>
      <c r="F432" s="19" t="str">
        <v>操作员</v>
      </c>
      <c r="G432" s="19" t="str">
        <v>德国区-灵活班次 / DE FLEX</v>
      </c>
      <c r="H432" s="19" t="str">
        <v>S000279</v>
      </c>
      <c r="I432" s="19" t="str">
        <v>Armz GmbH</v>
      </c>
      <c r="J432" s="23" t="n">
        <v>5</v>
      </c>
      <c r="K432" s="23" t="n">
        <v>0</v>
      </c>
      <c r="L432" s="23" t="n">
        <f>J432+K432</f>
        <v>5</v>
      </c>
      <c r="M432" s="23" t="n">
        <v>6</v>
      </c>
      <c r="N432" s="23" t="n">
        <v>6</v>
      </c>
      <c r="O432" s="23" t="n">
        <v>5</v>
      </c>
      <c r="P432" s="23" t="n">
        <v>5</v>
      </c>
      <c r="Q432" s="23" t="n">
        <f>MIN(O432,P432)</f>
        <v>5</v>
      </c>
      <c r="R432" s="25" t="n">
        <f>IF(M432=0,0,MIN(1,L432/M432))</f>
        <v>0.8333333333333334</v>
      </c>
      <c r="S432" s="23" t="n">
        <f>O432*R432</f>
        <v>4.166666666666667</v>
      </c>
      <c r="T432" s="23" t="n">
        <f>MIN(P432,S432)</f>
        <v>4.166666666666667</v>
      </c>
      <c r="U432" s="23" t="n">
        <f>O432-S432</f>
        <v>0.833333333333333</v>
      </c>
      <c r="V432" s="23" t="n">
        <f>MAX(P432-O432,0)</f>
        <v>0</v>
      </c>
    </row>
    <row r="433">
      <c r="A433" s="19" t="str">
        <v>德国区</v>
      </c>
      <c r="B433" s="19" t="str">
        <v>杜塞尔多夫9号仓</v>
      </c>
      <c r="C433" s="19" t="str">
        <v>入库组</v>
      </c>
      <c r="D433" s="21" t="n">
        <v>46196</v>
      </c>
      <c r="E433" s="19" t="str">
        <v>2026-06</v>
      </c>
      <c r="F433" s="19" t="str">
        <v>操作员</v>
      </c>
      <c r="G433" s="19" t="str">
        <v>德国区-灵活班次 / DE FLEX</v>
      </c>
      <c r="H433" s="19" t="str">
        <v>S000327</v>
      </c>
      <c r="I433" s="19" t="str">
        <v>Gohar GmbH</v>
      </c>
      <c r="J433" s="23" t="n">
        <v>5</v>
      </c>
      <c r="K433" s="23" t="n">
        <v>0</v>
      </c>
      <c r="L433" s="23" t="n">
        <f>J433+K433</f>
        <v>5</v>
      </c>
      <c r="M433" s="23" t="n">
        <v>6</v>
      </c>
      <c r="N433" s="23" t="n">
        <v>6</v>
      </c>
      <c r="O433" s="23" t="n">
        <v>1</v>
      </c>
      <c r="P433" s="23" t="n">
        <v>1</v>
      </c>
      <c r="Q433" s="23" t="n">
        <f>MIN(O433,P433)</f>
        <v>1</v>
      </c>
      <c r="R433" s="25" t="n">
        <f>IF(M433=0,0,MIN(1,L433/M433))</f>
        <v>0.8333333333333334</v>
      </c>
      <c r="S433" s="23" t="n">
        <f>O433*R433</f>
        <v>0.8333333333333334</v>
      </c>
      <c r="T433" s="23" t="n">
        <f>MIN(P433,S433)</f>
        <v>0.8333333333333334</v>
      </c>
      <c r="U433" s="23" t="n">
        <f>O433-S433</f>
        <v>0.16666666666666663</v>
      </c>
      <c r="V433" s="23" t="n">
        <f>MAX(P433-O433,0)</f>
        <v>0</v>
      </c>
    </row>
    <row r="434">
      <c r="A434" s="19" t="str">
        <v>德国区</v>
      </c>
      <c r="B434" s="19" t="str">
        <v>杜塞尔多夫9号仓</v>
      </c>
      <c r="C434" s="19" t="str">
        <v>包装组</v>
      </c>
      <c r="D434" s="21" t="n">
        <v>46149</v>
      </c>
      <c r="E434" s="19" t="str">
        <v>2026-05</v>
      </c>
      <c r="F434" s="19" t="str">
        <v>操作员</v>
      </c>
      <c r="G434" s="19" t="str">
        <v>德国区-灵活班次 / DE FLEX</v>
      </c>
      <c r="H434" s="19" t="str">
        <v>S000316</v>
      </c>
      <c r="I434" s="19" t="str">
        <v>Nivux Estate e.Kfm</v>
      </c>
      <c r="J434" s="23" t="n">
        <v>5</v>
      </c>
      <c r="K434" s="23" t="n">
        <v>0</v>
      </c>
      <c r="L434" s="23" t="n">
        <f>J434+K434</f>
        <v>5</v>
      </c>
      <c r="M434" s="23" t="n">
        <v>5</v>
      </c>
      <c r="N434" s="23" t="n">
        <v>4</v>
      </c>
      <c r="O434" s="23" t="n">
        <v>5</v>
      </c>
      <c r="P434" s="23" t="n">
        <v>4</v>
      </c>
      <c r="Q434" s="23" t="n">
        <f>MIN(O434,P434)</f>
        <v>4</v>
      </c>
      <c r="R434" s="25" t="n">
        <f>IF(M434=0,0,MIN(1,L434/M434))</f>
        <v>1</v>
      </c>
      <c r="S434" s="23" t="n">
        <f>O434*R434</f>
        <v>5</v>
      </c>
      <c r="T434" s="23" t="n">
        <f>MIN(P434,S434)</f>
        <v>4</v>
      </c>
      <c r="U434" s="23" t="n">
        <f>O434-S434</f>
        <v>0</v>
      </c>
      <c r="V434" s="23" t="n">
        <f>MAX(P434-O434,0)</f>
        <v>0</v>
      </c>
    </row>
    <row r="435">
      <c r="A435" s="19" t="str">
        <v>德国区</v>
      </c>
      <c r="B435" s="19" t="str">
        <v>杜塞尔多夫9号仓</v>
      </c>
      <c r="C435" s="19" t="str">
        <v>包装组</v>
      </c>
      <c r="D435" s="21" t="n">
        <v>46150</v>
      </c>
      <c r="E435" s="19" t="str">
        <v>2026-05</v>
      </c>
      <c r="F435" s="19" t="str">
        <v>操作员</v>
      </c>
      <c r="G435" s="19" t="str">
        <v>德国区-灵活班次 / DE FLEX</v>
      </c>
      <c r="H435" s="19" t="str">
        <v>S000316</v>
      </c>
      <c r="I435" s="19" t="str">
        <v>Nivux Estate e.Kfm</v>
      </c>
      <c r="J435" s="23" t="n">
        <v>4</v>
      </c>
      <c r="K435" s="23" t="n">
        <v>0</v>
      </c>
      <c r="L435" s="23" t="n">
        <f>J435+K435</f>
        <v>4</v>
      </c>
      <c r="M435" s="23" t="n">
        <v>4</v>
      </c>
      <c r="N435" s="23" t="n">
        <v>4</v>
      </c>
      <c r="O435" s="23" t="n">
        <v>4</v>
      </c>
      <c r="P435" s="23" t="n">
        <v>4</v>
      </c>
      <c r="Q435" s="23" t="n">
        <f>MIN(O435,P435)</f>
        <v>4</v>
      </c>
      <c r="R435" s="25" t="n">
        <f>IF(M435=0,0,MIN(1,L435/M435))</f>
        <v>1</v>
      </c>
      <c r="S435" s="23" t="n">
        <f>O435*R435</f>
        <v>4</v>
      </c>
      <c r="T435" s="23" t="n">
        <f>MIN(P435,S435)</f>
        <v>4</v>
      </c>
      <c r="U435" s="23" t="n">
        <f>O435-S435</f>
        <v>0</v>
      </c>
      <c r="V435" s="23" t="n">
        <f>MAX(P435-O435,0)</f>
        <v>0</v>
      </c>
    </row>
    <row r="436">
      <c r="A436" s="19" t="str">
        <v>德国区</v>
      </c>
      <c r="B436" s="19" t="str">
        <v>杜塞尔多夫9号仓</v>
      </c>
      <c r="C436" s="19" t="str">
        <v>包装组</v>
      </c>
      <c r="D436" s="21" t="n">
        <v>46154</v>
      </c>
      <c r="E436" s="19" t="str">
        <v>2026-05</v>
      </c>
      <c r="F436" s="19" t="str">
        <v>操作员</v>
      </c>
      <c r="G436" s="19" t="str">
        <v>德国区-灵活班次 / DE FLEX</v>
      </c>
      <c r="H436" s="19" t="str">
        <v>S000316</v>
      </c>
      <c r="I436" s="19" t="str">
        <v>Nivux Estate e.Kfm</v>
      </c>
      <c r="J436" s="23" t="n">
        <v>2</v>
      </c>
      <c r="K436" s="23" t="n">
        <v>0</v>
      </c>
      <c r="L436" s="23" t="n">
        <f>J436+K436</f>
        <v>2</v>
      </c>
      <c r="M436" s="23" t="n">
        <v>2</v>
      </c>
      <c r="N436" s="23" t="n">
        <v>0</v>
      </c>
      <c r="O436" s="23" t="n">
        <v>2</v>
      </c>
      <c r="P436" s="23" t="n">
        <v>0</v>
      </c>
      <c r="Q436" s="23" t="n">
        <f>MIN(O436,P436)</f>
        <v>0</v>
      </c>
      <c r="R436" s="25" t="n">
        <f>IF(M436=0,0,MIN(1,L436/M436))</f>
        <v>1</v>
      </c>
      <c r="S436" s="23" t="n">
        <f>O436*R436</f>
        <v>2</v>
      </c>
      <c r="T436" s="23" t="n">
        <f>MIN(P436,S436)</f>
        <v>0</v>
      </c>
      <c r="U436" s="23" t="n">
        <f>O436-S436</f>
        <v>0</v>
      </c>
      <c r="V436" s="23" t="n">
        <f>MAX(P436-O436,0)</f>
        <v>0</v>
      </c>
    </row>
    <row r="437">
      <c r="A437" s="19" t="str">
        <v>德国区</v>
      </c>
      <c r="B437" s="19" t="str">
        <v>杜塞尔多夫9号仓</v>
      </c>
      <c r="C437" s="19" t="str">
        <v>包装组</v>
      </c>
      <c r="D437" s="21" t="n">
        <v>46155</v>
      </c>
      <c r="E437" s="19" t="str">
        <v>2026-05</v>
      </c>
      <c r="F437" s="19" t="str">
        <v>操作员</v>
      </c>
      <c r="G437" s="19" t="str">
        <v>德国区-灵活班次 / DE FLEX</v>
      </c>
      <c r="H437" s="19" t="str">
        <v>S000316</v>
      </c>
      <c r="I437" s="19" t="str">
        <v>Nivux Estate e.Kfm</v>
      </c>
      <c r="J437" s="23" t="n">
        <v>2</v>
      </c>
      <c r="K437" s="23" t="n">
        <v>0</v>
      </c>
      <c r="L437" s="23" t="n">
        <f>J437+K437</f>
        <v>2</v>
      </c>
      <c r="M437" s="23" t="n">
        <v>2</v>
      </c>
      <c r="N437" s="23" t="n">
        <v>2</v>
      </c>
      <c r="O437" s="23" t="n">
        <v>2</v>
      </c>
      <c r="P437" s="23" t="n">
        <v>2</v>
      </c>
      <c r="Q437" s="23" t="n">
        <f>MIN(O437,P437)</f>
        <v>2</v>
      </c>
      <c r="R437" s="25" t="n">
        <f>IF(M437=0,0,MIN(1,L437/M437))</f>
        <v>1</v>
      </c>
      <c r="S437" s="23" t="n">
        <f>O437*R437</f>
        <v>2</v>
      </c>
      <c r="T437" s="23" t="n">
        <f>MIN(P437,S437)</f>
        <v>2</v>
      </c>
      <c r="U437" s="23" t="n">
        <f>O437-S437</f>
        <v>0</v>
      </c>
      <c r="V437" s="23" t="n">
        <f>MAX(P437-O437,0)</f>
        <v>0</v>
      </c>
    </row>
    <row r="438">
      <c r="A438" s="19" t="str">
        <v>德国区</v>
      </c>
      <c r="B438" s="19" t="str">
        <v>杜塞尔多夫9号仓</v>
      </c>
      <c r="C438" s="19" t="str">
        <v>包装组</v>
      </c>
      <c r="D438" s="21" t="n">
        <v>46156</v>
      </c>
      <c r="E438" s="19" t="str">
        <v>2026-05</v>
      </c>
      <c r="F438" s="19" t="str">
        <v>操作员</v>
      </c>
      <c r="G438" s="19" t="str">
        <v>德国区-灵活班次 / DE FLEX</v>
      </c>
      <c r="H438" s="19" t="str">
        <v>S000316</v>
      </c>
      <c r="I438" s="19" t="str">
        <v>Nivux Estate e.Kfm</v>
      </c>
      <c r="J438" s="23" t="n">
        <v>2</v>
      </c>
      <c r="K438" s="23" t="n">
        <v>0</v>
      </c>
      <c r="L438" s="23" t="n">
        <f>J438+K438</f>
        <v>2</v>
      </c>
      <c r="M438" s="23" t="n">
        <v>2</v>
      </c>
      <c r="N438" s="23" t="n">
        <v>0</v>
      </c>
      <c r="O438" s="23" t="n">
        <v>2</v>
      </c>
      <c r="P438" s="23" t="n">
        <v>0</v>
      </c>
      <c r="Q438" s="23" t="n">
        <f>MIN(O438,P438)</f>
        <v>0</v>
      </c>
      <c r="R438" s="25" t="n">
        <f>IF(M438=0,0,MIN(1,L438/M438))</f>
        <v>1</v>
      </c>
      <c r="S438" s="23" t="n">
        <f>O438*R438</f>
        <v>2</v>
      </c>
      <c r="T438" s="23" t="n">
        <f>MIN(P438,S438)</f>
        <v>0</v>
      </c>
      <c r="U438" s="23" t="n">
        <f>O438-S438</f>
        <v>0</v>
      </c>
      <c r="V438" s="23" t="n">
        <f>MAX(P438-O438,0)</f>
        <v>0</v>
      </c>
    </row>
    <row r="439">
      <c r="A439" s="19" t="str">
        <v>德国区</v>
      </c>
      <c r="B439" s="19" t="str">
        <v>杜塞尔多夫9号仓</v>
      </c>
      <c r="C439" s="19" t="str">
        <v>包装组</v>
      </c>
      <c r="D439" s="21" t="n">
        <v>46157</v>
      </c>
      <c r="E439" s="19" t="str">
        <v>2026-05</v>
      </c>
      <c r="F439" s="19" t="str">
        <v>操作员</v>
      </c>
      <c r="G439" s="19" t="str">
        <v>德国区-灵活班次 / DE FLEX</v>
      </c>
      <c r="H439" s="19" t="str">
        <v>S000316</v>
      </c>
      <c r="I439" s="19" t="str">
        <v>Nivux Estate e.Kfm</v>
      </c>
      <c r="J439" s="23" t="n">
        <v>2</v>
      </c>
      <c r="K439" s="23" t="n">
        <v>0</v>
      </c>
      <c r="L439" s="23" t="n">
        <f>J439+K439</f>
        <v>2</v>
      </c>
      <c r="M439" s="23" t="n">
        <v>2</v>
      </c>
      <c r="N439" s="23" t="n">
        <v>2</v>
      </c>
      <c r="O439" s="23" t="n">
        <v>2</v>
      </c>
      <c r="P439" s="23" t="n">
        <v>2</v>
      </c>
      <c r="Q439" s="23" t="n">
        <f>MIN(O439,P439)</f>
        <v>2</v>
      </c>
      <c r="R439" s="25" t="n">
        <f>IF(M439=0,0,MIN(1,L439/M439))</f>
        <v>1</v>
      </c>
      <c r="S439" s="23" t="n">
        <f>O439*R439</f>
        <v>2</v>
      </c>
      <c r="T439" s="23" t="n">
        <f>MIN(P439,S439)</f>
        <v>2</v>
      </c>
      <c r="U439" s="23" t="n">
        <f>O439-S439</f>
        <v>0</v>
      </c>
      <c r="V439" s="23" t="n">
        <f>MAX(P439-O439,0)</f>
        <v>0</v>
      </c>
    </row>
    <row r="440">
      <c r="A440" s="19" t="str">
        <v>德国区</v>
      </c>
      <c r="B440" s="19" t="str">
        <v>杜塞尔多夫9号仓</v>
      </c>
      <c r="C440" s="19" t="str">
        <v>包装组</v>
      </c>
      <c r="D440" s="21" t="n">
        <v>46175</v>
      </c>
      <c r="E440" s="19" t="str">
        <v>2026-06</v>
      </c>
      <c r="F440" s="19" t="str">
        <v>操作员</v>
      </c>
      <c r="G440" s="19" t="str">
        <v>德国区-灵活班次 / DE FLEX</v>
      </c>
      <c r="H440" s="19" t="str">
        <v>S000279</v>
      </c>
      <c r="I440" s="19" t="str">
        <v>Armz GmbH</v>
      </c>
      <c r="J440" s="23" t="n">
        <v>5</v>
      </c>
      <c r="K440" s="23" t="n">
        <v>0</v>
      </c>
      <c r="L440" s="23" t="n">
        <f>J440+K440</f>
        <v>5</v>
      </c>
      <c r="M440" s="23" t="n">
        <v>6</v>
      </c>
      <c r="N440" s="23" t="n">
        <v>6</v>
      </c>
      <c r="O440" s="23" t="n">
        <v>3</v>
      </c>
      <c r="P440" s="23" t="n">
        <v>3</v>
      </c>
      <c r="Q440" s="23" t="n">
        <f>MIN(O440,P440)</f>
        <v>3</v>
      </c>
      <c r="R440" s="25" t="n">
        <f>IF(M440=0,0,MIN(1,L440/M440))</f>
        <v>0.8333333333333334</v>
      </c>
      <c r="S440" s="23" t="n">
        <f>O440*R440</f>
        <v>2.5</v>
      </c>
      <c r="T440" s="23" t="n">
        <f>MIN(P440,S440)</f>
        <v>2.5</v>
      </c>
      <c r="U440" s="23" t="n">
        <f>O440-S440</f>
        <v>0.5</v>
      </c>
      <c r="V440" s="23" t="n">
        <f>MAX(P440-O440,0)</f>
        <v>0</v>
      </c>
    </row>
    <row r="441">
      <c r="A441" s="19" t="str">
        <v>德国区</v>
      </c>
      <c r="B441" s="19" t="str">
        <v>杜塞尔多夫9号仓</v>
      </c>
      <c r="C441" s="19" t="str">
        <v>包装组</v>
      </c>
      <c r="D441" s="21" t="n">
        <v>46175</v>
      </c>
      <c r="E441" s="19" t="str">
        <v>2026-06</v>
      </c>
      <c r="F441" s="19" t="str">
        <v>操作员</v>
      </c>
      <c r="G441" s="19" t="str">
        <v>德国区-灵活班次 / DE FLEX</v>
      </c>
      <c r="H441" s="19" t="str">
        <v>S000327</v>
      </c>
      <c r="I441" s="19" t="str">
        <v>Gohar GmbH</v>
      </c>
      <c r="J441" s="23" t="n">
        <v>5</v>
      </c>
      <c r="K441" s="23" t="n">
        <v>0</v>
      </c>
      <c r="L441" s="23" t="n">
        <f>J441+K441</f>
        <v>5</v>
      </c>
      <c r="M441" s="23" t="n">
        <v>6</v>
      </c>
      <c r="N441" s="23" t="n">
        <v>6</v>
      </c>
      <c r="O441" s="23" t="n">
        <v>3</v>
      </c>
      <c r="P441" s="23" t="n">
        <v>3</v>
      </c>
      <c r="Q441" s="23" t="n">
        <f>MIN(O441,P441)</f>
        <v>3</v>
      </c>
      <c r="R441" s="25" t="n">
        <f>IF(M441=0,0,MIN(1,L441/M441))</f>
        <v>0.8333333333333334</v>
      </c>
      <c r="S441" s="23" t="n">
        <f>O441*R441</f>
        <v>2.5</v>
      </c>
      <c r="T441" s="23" t="n">
        <f>MIN(P441,S441)</f>
        <v>2.5</v>
      </c>
      <c r="U441" s="23" t="n">
        <f>O441-S441</f>
        <v>0.5</v>
      </c>
      <c r="V441" s="23" t="n">
        <f>MAX(P441-O441,0)</f>
        <v>0</v>
      </c>
    </row>
    <row r="442">
      <c r="A442" s="19" t="str">
        <v>德国区</v>
      </c>
      <c r="B442" s="19" t="str">
        <v>杜塞尔多夫9号仓</v>
      </c>
      <c r="C442" s="19" t="str">
        <v>拣货组</v>
      </c>
      <c r="D442" s="21" t="n">
        <v>46142</v>
      </c>
      <c r="E442" s="19" t="str">
        <v>2026-04</v>
      </c>
      <c r="F442" s="19" t="str">
        <v>操作员</v>
      </c>
      <c r="G442" s="19" t="str">
        <v>德国区-灵活班次 / DE FLEX</v>
      </c>
      <c r="H442" s="19" t="str">
        <v>S000316</v>
      </c>
      <c r="I442" s="19" t="str">
        <v>Nivux Estate e.Kfm</v>
      </c>
      <c r="J442" s="23" t="n">
        <v>4</v>
      </c>
      <c r="K442" s="23" t="n">
        <v>0</v>
      </c>
      <c r="L442" s="23" t="n">
        <f>J442+K442</f>
        <v>4</v>
      </c>
      <c r="M442" s="23" t="n">
        <v>4</v>
      </c>
      <c r="N442" s="23" t="n">
        <v>4</v>
      </c>
      <c r="O442" s="23" t="n">
        <v>4</v>
      </c>
      <c r="P442" s="23" t="n">
        <v>4</v>
      </c>
      <c r="Q442" s="23" t="n">
        <f>MIN(O442,P442)</f>
        <v>4</v>
      </c>
      <c r="R442" s="25" t="n">
        <f>IF(M442=0,0,MIN(1,L442/M442))</f>
        <v>1</v>
      </c>
      <c r="S442" s="23" t="n">
        <f>O442*R442</f>
        <v>4</v>
      </c>
      <c r="T442" s="23" t="n">
        <f>MIN(P442,S442)</f>
        <v>4</v>
      </c>
      <c r="U442" s="23" t="n">
        <f>O442-S442</f>
        <v>0</v>
      </c>
      <c r="V442" s="23" t="n">
        <f>MAX(P442-O442,0)</f>
        <v>0</v>
      </c>
    </row>
    <row r="443">
      <c r="A443" s="19" t="str">
        <v>德国区</v>
      </c>
      <c r="B443" s="19" t="str">
        <v>杜塞尔多夫9号仓</v>
      </c>
      <c r="C443" s="19" t="str">
        <v>拣货组</v>
      </c>
      <c r="D443" s="21" t="n">
        <v>46163</v>
      </c>
      <c r="E443" s="19" t="str">
        <v>2026-05</v>
      </c>
      <c r="F443" s="19" t="str">
        <v>操作员</v>
      </c>
      <c r="G443" s="19" t="str">
        <v>德国区-灵活班次 / DE FLEX</v>
      </c>
      <c r="H443" s="19" t="str">
        <v>S000279</v>
      </c>
      <c r="I443" s="19" t="str">
        <v>Armz GmbH</v>
      </c>
      <c r="J443" s="23" t="n">
        <v>1</v>
      </c>
      <c r="K443" s="23" t="n">
        <v>0</v>
      </c>
      <c r="L443" s="23" t="n">
        <f>J443+K443</f>
        <v>1</v>
      </c>
      <c r="M443" s="23" t="n">
        <v>1</v>
      </c>
      <c r="N443" s="23" t="n">
        <v>1</v>
      </c>
      <c r="O443" s="23" t="n">
        <v>1</v>
      </c>
      <c r="P443" s="23" t="n">
        <v>1</v>
      </c>
      <c r="Q443" s="23" t="n">
        <f>MIN(O443,P443)</f>
        <v>1</v>
      </c>
      <c r="R443" s="25" t="n">
        <f>IF(M443=0,0,MIN(1,L443/M443))</f>
        <v>1</v>
      </c>
      <c r="S443" s="23" t="n">
        <f>O443*R443</f>
        <v>1</v>
      </c>
      <c r="T443" s="23" t="n">
        <f>MIN(P443,S443)</f>
        <v>1</v>
      </c>
      <c r="U443" s="23" t="n">
        <f>O443-S443</f>
        <v>0</v>
      </c>
      <c r="V443" s="23" t="n">
        <f>MAX(P443-O443,0)</f>
        <v>0</v>
      </c>
    </row>
    <row r="444">
      <c r="A444" s="19" t="str">
        <v>德国区</v>
      </c>
      <c r="B444" s="19" t="str">
        <v>杜塞尔多夫9号仓</v>
      </c>
      <c r="C444" s="19" t="str">
        <v>拣货组</v>
      </c>
      <c r="D444" s="21" t="n">
        <v>46203</v>
      </c>
      <c r="E444" s="19" t="str">
        <v>2026-06</v>
      </c>
      <c r="F444" s="19" t="str">
        <v>操作员</v>
      </c>
      <c r="G444" s="19" t="str">
        <v>德国区-灵活班次 / DE FLEX</v>
      </c>
      <c r="H444" s="19" t="str">
        <v>S000279</v>
      </c>
      <c r="I444" s="19" t="str">
        <v>Armz GmbH</v>
      </c>
      <c r="J444" s="23" t="n">
        <v>5</v>
      </c>
      <c r="K444" s="23" t="n">
        <v>0</v>
      </c>
      <c r="L444" s="23" t="n">
        <f>J444+K444</f>
        <v>5</v>
      </c>
      <c r="M444" s="23" t="n">
        <v>5</v>
      </c>
      <c r="N444" s="23" t="n">
        <v>2</v>
      </c>
      <c r="O444" s="23" t="n">
        <v>5</v>
      </c>
      <c r="P444" s="23" t="n">
        <v>2</v>
      </c>
      <c r="Q444" s="23" t="n">
        <f>MIN(O444,P444)</f>
        <v>2</v>
      </c>
      <c r="R444" s="25" t="n">
        <f>IF(M444=0,0,MIN(1,L444/M444))</f>
        <v>1</v>
      </c>
      <c r="S444" s="23" t="n">
        <f>O444*R444</f>
        <v>5</v>
      </c>
      <c r="T444" s="23" t="n">
        <f>MIN(P444,S444)</f>
        <v>2</v>
      </c>
      <c r="U444" s="23" t="n">
        <f>O444-S444</f>
        <v>0</v>
      </c>
      <c r="V444" s="23" t="n">
        <f>MAX(P444-O444,0)</f>
        <v>0</v>
      </c>
    </row>
    <row r="445">
      <c r="A445" s="19" t="str">
        <v>德国区</v>
      </c>
      <c r="B445" s="19" t="str">
        <v>杜塞尔多夫9号仓</v>
      </c>
      <c r="C445" s="19" t="str">
        <v>理货组</v>
      </c>
      <c r="D445" s="21" t="n">
        <v>46140</v>
      </c>
      <c r="E445" s="19" t="str">
        <v>2026-04</v>
      </c>
      <c r="F445" s="19" t="str">
        <v>操作员</v>
      </c>
      <c r="G445" s="19" t="str">
        <v>德国区-灵活班次 / DE FLEX</v>
      </c>
      <c r="H445" s="19" t="str">
        <v>S000086</v>
      </c>
      <c r="I445" s="19" t="str">
        <v>Topjob Zeitarbeit GmbH</v>
      </c>
      <c r="J445" s="23" t="n">
        <v>2</v>
      </c>
      <c r="K445" s="23" t="n">
        <v>0</v>
      </c>
      <c r="L445" s="23" t="n">
        <f>J445+K445</f>
        <v>2</v>
      </c>
      <c r="M445" s="23" t="n">
        <v>2</v>
      </c>
      <c r="N445" s="23" t="n">
        <v>2</v>
      </c>
      <c r="O445" s="23" t="n">
        <v>2</v>
      </c>
      <c r="P445" s="23" t="n">
        <v>2</v>
      </c>
      <c r="Q445" s="23" t="n">
        <f>MIN(O445,P445)</f>
        <v>2</v>
      </c>
      <c r="R445" s="25" t="n">
        <f>IF(M445=0,0,MIN(1,L445/M445))</f>
        <v>1</v>
      </c>
      <c r="S445" s="23" t="n">
        <f>O445*R445</f>
        <v>2</v>
      </c>
      <c r="T445" s="23" t="n">
        <f>MIN(P445,S445)</f>
        <v>2</v>
      </c>
      <c r="U445" s="23" t="n">
        <f>O445-S445</f>
        <v>0</v>
      </c>
      <c r="V445" s="23" t="n">
        <f>MAX(P445-O445,0)</f>
        <v>0</v>
      </c>
    </row>
    <row r="446">
      <c r="A446" s="19" t="str">
        <v>德国区</v>
      </c>
      <c r="B446" s="19" t="str">
        <v>杜塞尔多夫9号仓</v>
      </c>
      <c r="C446" s="19" t="str">
        <v>理货组</v>
      </c>
      <c r="D446" s="21" t="n">
        <v>46146</v>
      </c>
      <c r="E446" s="19" t="str">
        <v>2026-05</v>
      </c>
      <c r="F446" s="19" t="str">
        <v>操作员</v>
      </c>
      <c r="G446" s="19" t="str">
        <v>德国区-灵活班次 / DE FLEX</v>
      </c>
      <c r="H446" s="19" t="str">
        <v>S000261</v>
      </c>
      <c r="I446" s="19" t="str">
        <v>ProQuality GmbH</v>
      </c>
      <c r="J446" s="23" t="n">
        <v>4</v>
      </c>
      <c r="K446" s="23" t="n">
        <v>0</v>
      </c>
      <c r="L446" s="23" t="n">
        <f>J446+K446</f>
        <v>4</v>
      </c>
      <c r="M446" s="23" t="n">
        <v>4</v>
      </c>
      <c r="N446" s="23" t="n">
        <v>2</v>
      </c>
      <c r="O446" s="23" t="n">
        <v>2</v>
      </c>
      <c r="P446" s="23" t="n">
        <v>0</v>
      </c>
      <c r="Q446" s="23" t="n">
        <f>MIN(O446,P446)</f>
        <v>0</v>
      </c>
      <c r="R446" s="25" t="n">
        <f>IF(M446=0,0,MIN(1,L446/M446))</f>
        <v>1</v>
      </c>
      <c r="S446" s="23" t="n">
        <f>O446*R446</f>
        <v>2</v>
      </c>
      <c r="T446" s="23" t="n">
        <f>MIN(P446,S446)</f>
        <v>0</v>
      </c>
      <c r="U446" s="23" t="n">
        <f>O446-S446</f>
        <v>0</v>
      </c>
      <c r="V446" s="23" t="n">
        <f>MAX(P446-O446,0)</f>
        <v>0</v>
      </c>
    </row>
    <row r="447">
      <c r="A447" s="19" t="str">
        <v>德国区</v>
      </c>
      <c r="B447" s="19" t="str">
        <v>杜塞尔多夫9号仓</v>
      </c>
      <c r="C447" s="19" t="str">
        <v>理货组</v>
      </c>
      <c r="D447" s="21" t="n">
        <v>46146</v>
      </c>
      <c r="E447" s="19" t="str">
        <v>2026-05</v>
      </c>
      <c r="F447" s="19" t="str">
        <v>操作员</v>
      </c>
      <c r="G447" s="19" t="str">
        <v>德国区-灵活班次 / DE FLEX</v>
      </c>
      <c r="H447" s="19" t="str">
        <v>S000327</v>
      </c>
      <c r="I447" s="19" t="str">
        <v>Gohar GmbH</v>
      </c>
      <c r="J447" s="23" t="n">
        <v>4</v>
      </c>
      <c r="K447" s="23" t="n">
        <v>0</v>
      </c>
      <c r="L447" s="23" t="n">
        <f>J447+K447</f>
        <v>4</v>
      </c>
      <c r="M447" s="23" t="n">
        <v>4</v>
      </c>
      <c r="N447" s="23" t="n">
        <v>2</v>
      </c>
      <c r="O447" s="23" t="n">
        <v>2</v>
      </c>
      <c r="P447" s="23" t="n">
        <v>2</v>
      </c>
      <c r="Q447" s="23" t="n">
        <f>MIN(O447,P447)</f>
        <v>2</v>
      </c>
      <c r="R447" s="25" t="n">
        <f>IF(M447=0,0,MIN(1,L447/M447))</f>
        <v>1</v>
      </c>
      <c r="S447" s="23" t="n">
        <f>O447*R447</f>
        <v>2</v>
      </c>
      <c r="T447" s="23" t="n">
        <f>MIN(P447,S447)</f>
        <v>2</v>
      </c>
      <c r="U447" s="23" t="n">
        <f>O447-S447</f>
        <v>0</v>
      </c>
      <c r="V447" s="23" t="n">
        <f>MAX(P447-O447,0)</f>
        <v>0</v>
      </c>
    </row>
    <row r="448">
      <c r="A448" s="19" t="str">
        <v>德国区</v>
      </c>
      <c r="B448" s="19" t="str">
        <v>杜塞尔多夫9号仓</v>
      </c>
      <c r="C448" s="19" t="str">
        <v>理货组</v>
      </c>
      <c r="D448" s="21" t="n">
        <v>46154</v>
      </c>
      <c r="E448" s="19" t="str">
        <v>2026-05</v>
      </c>
      <c r="F448" s="19" t="str">
        <v>操作员</v>
      </c>
      <c r="G448" s="19" t="str">
        <v>德国区-灵活班次 / DE FLEX</v>
      </c>
      <c r="H448" s="19" t="str">
        <v>S000316</v>
      </c>
      <c r="I448" s="19" t="str">
        <v>Nivux Estate e.Kfm</v>
      </c>
      <c r="J448" s="23" t="n">
        <v>5</v>
      </c>
      <c r="K448" s="23" t="n">
        <v>0</v>
      </c>
      <c r="L448" s="23" t="n">
        <f>J448+K448</f>
        <v>5</v>
      </c>
      <c r="M448" s="23" t="n">
        <v>5</v>
      </c>
      <c r="N448" s="23" t="n">
        <v>5</v>
      </c>
      <c r="O448" s="23" t="n">
        <v>5</v>
      </c>
      <c r="P448" s="23" t="n">
        <v>5</v>
      </c>
      <c r="Q448" s="23" t="n">
        <f>MIN(O448,P448)</f>
        <v>5</v>
      </c>
      <c r="R448" s="25" t="n">
        <f>IF(M448=0,0,MIN(1,L448/M448))</f>
        <v>1</v>
      </c>
      <c r="S448" s="23" t="n">
        <f>O448*R448</f>
        <v>5</v>
      </c>
      <c r="T448" s="23" t="n">
        <f>MIN(P448,S448)</f>
        <v>5</v>
      </c>
      <c r="U448" s="23" t="n">
        <f>O448-S448</f>
        <v>0</v>
      </c>
      <c r="V448" s="23" t="n">
        <f>MAX(P448-O448,0)</f>
        <v>0</v>
      </c>
    </row>
    <row r="449">
      <c r="A449" s="19" t="str">
        <v>德国区</v>
      </c>
      <c r="B449" s="19" t="str">
        <v>杜塞尔多夫9号仓</v>
      </c>
      <c r="C449" s="19" t="str">
        <v>理货组</v>
      </c>
      <c r="D449" s="21" t="n">
        <v>46195</v>
      </c>
      <c r="E449" s="19" t="str">
        <v>2026-06</v>
      </c>
      <c r="F449" s="19" t="str">
        <v>操作员</v>
      </c>
      <c r="G449" s="19" t="str">
        <v>德国区-灵活班次 / DE FLEX</v>
      </c>
      <c r="H449" s="19" t="str">
        <v>S000316</v>
      </c>
      <c r="I449" s="19" t="str">
        <v>Nivux Estate e.Kfm</v>
      </c>
      <c r="J449" s="23" t="n">
        <v>3</v>
      </c>
      <c r="K449" s="23" t="n">
        <v>0</v>
      </c>
      <c r="L449" s="23" t="n">
        <f>J449+K449</f>
        <v>3</v>
      </c>
      <c r="M449" s="23" t="n">
        <v>3</v>
      </c>
      <c r="N449" s="23" t="n">
        <v>3</v>
      </c>
      <c r="O449" s="23" t="n">
        <v>3</v>
      </c>
      <c r="P449" s="23" t="n">
        <v>3</v>
      </c>
      <c r="Q449" s="23" t="n">
        <f>MIN(O449,P449)</f>
        <v>3</v>
      </c>
      <c r="R449" s="25" t="n">
        <f>IF(M449=0,0,MIN(1,L449/M449))</f>
        <v>1</v>
      </c>
      <c r="S449" s="23" t="n">
        <f>O449*R449</f>
        <v>3</v>
      </c>
      <c r="T449" s="23" t="n">
        <f>MIN(P449,S449)</f>
        <v>3</v>
      </c>
      <c r="U449" s="23" t="n">
        <f>O449-S449</f>
        <v>0</v>
      </c>
      <c r="V449" s="23" t="n">
        <f>MAX(P449-O449,0)</f>
        <v>0</v>
      </c>
    </row>
    <row r="450">
      <c r="A450" s="19" t="str">
        <v>德国区</v>
      </c>
      <c r="B450" s="19" t="str">
        <v>杜塞尔多夫9号仓</v>
      </c>
      <c r="C450" s="19" t="str">
        <v>理货组</v>
      </c>
      <c r="D450" s="21" t="n">
        <v>46196</v>
      </c>
      <c r="E450" s="19" t="str">
        <v>2026-06</v>
      </c>
      <c r="F450" s="19" t="str">
        <v>操作员</v>
      </c>
      <c r="G450" s="19" t="str">
        <v>德国区-灵活班次 / DE FLEX</v>
      </c>
      <c r="H450" s="19" t="str">
        <v>S000316</v>
      </c>
      <c r="I450" s="19" t="str">
        <v>Nivux Estate e.Kfm</v>
      </c>
      <c r="J450" s="23" t="n">
        <v>3</v>
      </c>
      <c r="K450" s="23" t="n">
        <v>0</v>
      </c>
      <c r="L450" s="23" t="n">
        <f>J450+K450</f>
        <v>3</v>
      </c>
      <c r="M450" s="23" t="n">
        <v>3</v>
      </c>
      <c r="N450" s="23" t="n">
        <v>3</v>
      </c>
      <c r="O450" s="23" t="n">
        <v>3</v>
      </c>
      <c r="P450" s="23" t="n">
        <v>3</v>
      </c>
      <c r="Q450" s="23" t="n">
        <f>MIN(O450,P450)</f>
        <v>3</v>
      </c>
      <c r="R450" s="25" t="n">
        <f>IF(M450=0,0,MIN(1,L450/M450))</f>
        <v>1</v>
      </c>
      <c r="S450" s="23" t="n">
        <f>O450*R450</f>
        <v>3</v>
      </c>
      <c r="T450" s="23" t="n">
        <f>MIN(P450,S450)</f>
        <v>3</v>
      </c>
      <c r="U450" s="23" t="n">
        <f>O450-S450</f>
        <v>0</v>
      </c>
      <c r="V450" s="23" t="n">
        <f>MAX(P450-O450,0)</f>
        <v>0</v>
      </c>
    </row>
    <row r="451">
      <c r="A451" s="19" t="str">
        <v>德国区</v>
      </c>
      <c r="B451" s="19" t="str">
        <v>杜塞尔多夫9号仓</v>
      </c>
      <c r="C451" s="19" t="str">
        <v>理货组</v>
      </c>
      <c r="D451" s="21" t="n">
        <v>46197</v>
      </c>
      <c r="E451" s="19" t="str">
        <v>2026-06</v>
      </c>
      <c r="F451" s="19" t="str">
        <v>操作员</v>
      </c>
      <c r="G451" s="19" t="str">
        <v>德国区-灵活班次 / DE FLEX</v>
      </c>
      <c r="H451" s="19" t="str">
        <v>S000316</v>
      </c>
      <c r="I451" s="19" t="str">
        <v>Nivux Estate e.Kfm</v>
      </c>
      <c r="J451" s="23" t="n">
        <v>3</v>
      </c>
      <c r="K451" s="23" t="n">
        <v>0</v>
      </c>
      <c r="L451" s="23" t="n">
        <f>J451+K451</f>
        <v>3</v>
      </c>
      <c r="M451" s="23" t="n">
        <v>3</v>
      </c>
      <c r="N451" s="23" t="n">
        <v>3</v>
      </c>
      <c r="O451" s="23" t="n">
        <v>3</v>
      </c>
      <c r="P451" s="23" t="n">
        <v>3</v>
      </c>
      <c r="Q451" s="23" t="n">
        <f>MIN(O451,P451)</f>
        <v>3</v>
      </c>
      <c r="R451" s="25" t="n">
        <f>IF(M451=0,0,MIN(1,L451/M451))</f>
        <v>1</v>
      </c>
      <c r="S451" s="23" t="n">
        <f>O451*R451</f>
        <v>3</v>
      </c>
      <c r="T451" s="23" t="n">
        <f>MIN(P451,S451)</f>
        <v>3</v>
      </c>
      <c r="U451" s="23" t="n">
        <f>O451-S451</f>
        <v>0</v>
      </c>
      <c r="V451" s="23" t="n">
        <f>MAX(P451-O451,0)</f>
        <v>0</v>
      </c>
    </row>
    <row r="452">
      <c r="A452" s="19" t="str">
        <v>德国区</v>
      </c>
      <c r="B452" s="19" t="str">
        <v>杜塞尔多夫9号仓</v>
      </c>
      <c r="C452" s="19" t="str">
        <v>理货组</v>
      </c>
      <c r="D452" s="21" t="n">
        <v>46198</v>
      </c>
      <c r="E452" s="19" t="str">
        <v>2026-06</v>
      </c>
      <c r="F452" s="19" t="str">
        <v>操作员</v>
      </c>
      <c r="G452" s="19" t="str">
        <v>德国区-灵活班次 / DE FLEX</v>
      </c>
      <c r="H452" s="19" t="str">
        <v>S000316</v>
      </c>
      <c r="I452" s="19" t="str">
        <v>Nivux Estate e.Kfm</v>
      </c>
      <c r="J452" s="23" t="n">
        <v>3</v>
      </c>
      <c r="K452" s="23" t="n">
        <v>0</v>
      </c>
      <c r="L452" s="23" t="n">
        <f>J452+K452</f>
        <v>3</v>
      </c>
      <c r="M452" s="23" t="n">
        <v>3</v>
      </c>
      <c r="N452" s="23" t="n">
        <v>3</v>
      </c>
      <c r="O452" s="23" t="n">
        <v>3</v>
      </c>
      <c r="P452" s="23" t="n">
        <v>3</v>
      </c>
      <c r="Q452" s="23" t="n">
        <f>MIN(O452,P452)</f>
        <v>3</v>
      </c>
      <c r="R452" s="25" t="n">
        <f>IF(M452=0,0,MIN(1,L452/M452))</f>
        <v>1</v>
      </c>
      <c r="S452" s="23" t="n">
        <f>O452*R452</f>
        <v>3</v>
      </c>
      <c r="T452" s="23" t="n">
        <f>MIN(P452,S452)</f>
        <v>3</v>
      </c>
      <c r="U452" s="23" t="n">
        <f>O452-S452</f>
        <v>0</v>
      </c>
      <c r="V452" s="23" t="n">
        <f>MAX(P452-O452,0)</f>
        <v>0</v>
      </c>
    </row>
    <row r="453">
      <c r="A453" s="19" t="str">
        <v>德国区</v>
      </c>
      <c r="B453" s="19" t="str">
        <v>杜塞尔多夫9号仓</v>
      </c>
      <c r="C453" s="19" t="str">
        <v>理货组</v>
      </c>
      <c r="D453" s="21" t="n">
        <v>46199</v>
      </c>
      <c r="E453" s="19" t="str">
        <v>2026-06</v>
      </c>
      <c r="F453" s="19" t="str">
        <v>操作员</v>
      </c>
      <c r="G453" s="19" t="str">
        <v>德国区-灵活班次 / DE FLEX</v>
      </c>
      <c r="H453" s="19" t="str">
        <v>S000316</v>
      </c>
      <c r="I453" s="19" t="str">
        <v>Nivux Estate e.Kfm</v>
      </c>
      <c r="J453" s="23" t="n">
        <v>3</v>
      </c>
      <c r="K453" s="23" t="n">
        <v>0</v>
      </c>
      <c r="L453" s="23" t="n">
        <f>J453+K453</f>
        <v>3</v>
      </c>
      <c r="M453" s="23" t="n">
        <v>3</v>
      </c>
      <c r="N453" s="23" t="n">
        <v>3</v>
      </c>
      <c r="O453" s="23" t="n">
        <v>3</v>
      </c>
      <c r="P453" s="23" t="n">
        <v>3</v>
      </c>
      <c r="Q453" s="23" t="n">
        <f>MIN(O453,P453)</f>
        <v>3</v>
      </c>
      <c r="R453" s="25" t="n">
        <f>IF(M453=0,0,MIN(1,L453/M453))</f>
        <v>1</v>
      </c>
      <c r="S453" s="23" t="n">
        <f>O453*R453</f>
        <v>3</v>
      </c>
      <c r="T453" s="23" t="n">
        <f>MIN(P453,S453)</f>
        <v>3</v>
      </c>
      <c r="U453" s="23" t="n">
        <f>O453-S453</f>
        <v>0</v>
      </c>
      <c r="V453" s="23" t="n">
        <f>MAX(P453-O453,0)</f>
        <v>0</v>
      </c>
    </row>
    <row r="454">
      <c r="A454" s="19" t="str">
        <v>德国区</v>
      </c>
      <c r="B454" s="19" t="str">
        <v>杜塞尔多夫9号仓</v>
      </c>
      <c r="C454" s="19" t="str">
        <v>理货组</v>
      </c>
      <c r="D454" s="21" t="n">
        <v>46200</v>
      </c>
      <c r="E454" s="19" t="str">
        <v>2026-06</v>
      </c>
      <c r="F454" s="19" t="str">
        <v>操作员</v>
      </c>
      <c r="G454" s="19" t="str">
        <v>德国区-灵活班次 / DE FLEX</v>
      </c>
      <c r="H454" s="19" t="str">
        <v>S000316</v>
      </c>
      <c r="I454" s="19" t="str">
        <v>Nivux Estate e.Kfm</v>
      </c>
      <c r="J454" s="23" t="n">
        <v>3</v>
      </c>
      <c r="K454" s="23" t="n">
        <v>0</v>
      </c>
      <c r="L454" s="23" t="n">
        <f>J454+K454</f>
        <v>3</v>
      </c>
      <c r="M454" s="23" t="n">
        <v>3</v>
      </c>
      <c r="N454" s="23" t="n">
        <v>3</v>
      </c>
      <c r="O454" s="23" t="n">
        <v>3</v>
      </c>
      <c r="P454" s="23" t="n">
        <v>3</v>
      </c>
      <c r="Q454" s="23" t="n">
        <f>MIN(O454,P454)</f>
        <v>3</v>
      </c>
      <c r="R454" s="25" t="n">
        <f>IF(M454=0,0,MIN(1,L454/M454))</f>
        <v>1</v>
      </c>
      <c r="S454" s="23" t="n">
        <f>O454*R454</f>
        <v>3</v>
      </c>
      <c r="T454" s="23" t="n">
        <f>MIN(P454,S454)</f>
        <v>3</v>
      </c>
      <c r="U454" s="23" t="n">
        <f>O454-S454</f>
        <v>0</v>
      </c>
      <c r="V454" s="23" t="n">
        <f>MAX(P454-O454,0)</f>
        <v>0</v>
      </c>
    </row>
    <row r="455">
      <c r="A455" s="19" t="str">
        <v>德国区</v>
      </c>
      <c r="B455" s="19" t="str">
        <v>杜塞尔多夫9号仓</v>
      </c>
      <c r="C455" s="19" t="str">
        <v>理货组</v>
      </c>
      <c r="D455" s="21" t="n">
        <v>46201</v>
      </c>
      <c r="E455" s="19" t="str">
        <v>2026-06</v>
      </c>
      <c r="F455" s="19" t="str">
        <v>操作员</v>
      </c>
      <c r="G455" s="19" t="str">
        <v>德国区-灵活班次 / DE FLEX</v>
      </c>
      <c r="H455" s="19" t="str">
        <v>S000316</v>
      </c>
      <c r="I455" s="19" t="str">
        <v>Nivux Estate e.Kfm</v>
      </c>
      <c r="J455" s="23" t="n">
        <v>3</v>
      </c>
      <c r="K455" s="23" t="n">
        <v>0</v>
      </c>
      <c r="L455" s="23" t="n">
        <f>J455+K455</f>
        <v>3</v>
      </c>
      <c r="M455" s="23" t="n">
        <v>3</v>
      </c>
      <c r="N455" s="23" t="n">
        <v>3</v>
      </c>
      <c r="O455" s="23" t="n">
        <v>3</v>
      </c>
      <c r="P455" s="23" t="n">
        <v>3</v>
      </c>
      <c r="Q455" s="23" t="n">
        <f>MIN(O455,P455)</f>
        <v>3</v>
      </c>
      <c r="R455" s="25" t="n">
        <f>IF(M455=0,0,MIN(1,L455/M455))</f>
        <v>1</v>
      </c>
      <c r="S455" s="23" t="n">
        <f>O455*R455</f>
        <v>3</v>
      </c>
      <c r="T455" s="23" t="n">
        <f>MIN(P455,S455)</f>
        <v>3</v>
      </c>
      <c r="U455" s="23" t="n">
        <f>O455-S455</f>
        <v>0</v>
      </c>
      <c r="V455" s="23" t="n">
        <f>MAX(P455-O455,0)</f>
        <v>0</v>
      </c>
    </row>
    <row r="456">
      <c r="A456" s="19" t="str">
        <v>德国区</v>
      </c>
      <c r="B456" s="19" t="str">
        <v>杜塞尔多夫9号仓</v>
      </c>
      <c r="C456" s="19" t="str">
        <v>理货组</v>
      </c>
      <c r="D456" s="21" t="n">
        <v>46202</v>
      </c>
      <c r="E456" s="19" t="str">
        <v>2026-06</v>
      </c>
      <c r="F456" s="19" t="str">
        <v>操作员</v>
      </c>
      <c r="G456" s="19" t="str">
        <v>德国区-灵活班次 / DE FLEX</v>
      </c>
      <c r="H456" s="19" t="str">
        <v>S000316</v>
      </c>
      <c r="I456" s="19" t="str">
        <v>Nivux Estate e.Kfm</v>
      </c>
      <c r="J456" s="23" t="n">
        <v>3</v>
      </c>
      <c r="K456" s="23" t="n">
        <v>0</v>
      </c>
      <c r="L456" s="23" t="n">
        <f>J456+K456</f>
        <v>3</v>
      </c>
      <c r="M456" s="23" t="n">
        <v>3</v>
      </c>
      <c r="N456" s="23" t="n">
        <v>3</v>
      </c>
      <c r="O456" s="23" t="n">
        <v>3</v>
      </c>
      <c r="P456" s="23" t="n">
        <v>3</v>
      </c>
      <c r="Q456" s="23" t="n">
        <f>MIN(O456,P456)</f>
        <v>3</v>
      </c>
      <c r="R456" s="25" t="n">
        <f>IF(M456=0,0,MIN(1,L456/M456))</f>
        <v>1</v>
      </c>
      <c r="S456" s="23" t="n">
        <f>O456*R456</f>
        <v>3</v>
      </c>
      <c r="T456" s="23" t="n">
        <f>MIN(P456,S456)</f>
        <v>3</v>
      </c>
      <c r="U456" s="23" t="n">
        <f>O456-S456</f>
        <v>0</v>
      </c>
      <c r="V456" s="23" t="n">
        <f>MAX(P456-O456,0)</f>
        <v>0</v>
      </c>
    </row>
    <row r="457">
      <c r="A457" s="19" t="str">
        <v>德国区</v>
      </c>
      <c r="B457" s="19" t="str">
        <v>杜塞尔多夫9号仓</v>
      </c>
      <c r="C457" s="19" t="str">
        <v>理货组</v>
      </c>
      <c r="D457" s="21" t="n">
        <v>46203</v>
      </c>
      <c r="E457" s="19" t="str">
        <v>2026-06</v>
      </c>
      <c r="F457" s="19" t="str">
        <v>操作员</v>
      </c>
      <c r="G457" s="19" t="str">
        <v>德国区-灵活班次 / DE FLEX</v>
      </c>
      <c r="H457" s="19" t="str">
        <v>S000279</v>
      </c>
      <c r="I457" s="19" t="str">
        <v>Armz GmbH</v>
      </c>
      <c r="J457" s="23" t="n">
        <v>5</v>
      </c>
      <c r="K457" s="23" t="n">
        <v>0</v>
      </c>
      <c r="L457" s="23" t="n">
        <f>J457+K457</f>
        <v>5</v>
      </c>
      <c r="M457" s="23" t="n">
        <v>5</v>
      </c>
      <c r="N457" s="23" t="n">
        <v>3</v>
      </c>
      <c r="O457" s="23" t="n">
        <v>2</v>
      </c>
      <c r="P457" s="23" t="n">
        <v>0</v>
      </c>
      <c r="Q457" s="23" t="n">
        <f>MIN(O457,P457)</f>
        <v>0</v>
      </c>
      <c r="R457" s="25" t="n">
        <f>IF(M457=0,0,MIN(1,L457/M457))</f>
        <v>1</v>
      </c>
      <c r="S457" s="23" t="n">
        <f>O457*R457</f>
        <v>2</v>
      </c>
      <c r="T457" s="23" t="n">
        <f>MIN(P457,S457)</f>
        <v>0</v>
      </c>
      <c r="U457" s="23" t="n">
        <f>O457-S457</f>
        <v>0</v>
      </c>
      <c r="V457" s="23" t="n">
        <f>MAX(P457-O457,0)</f>
        <v>0</v>
      </c>
    </row>
    <row r="458">
      <c r="A458" s="19" t="str">
        <v>德国区</v>
      </c>
      <c r="B458" s="19" t="str">
        <v>杜塞尔多夫9号仓</v>
      </c>
      <c r="C458" s="19" t="str">
        <v>理货组</v>
      </c>
      <c r="D458" s="21" t="n">
        <v>46203</v>
      </c>
      <c r="E458" s="19" t="str">
        <v>2026-06</v>
      </c>
      <c r="F458" s="19" t="str">
        <v>操作员</v>
      </c>
      <c r="G458" s="19" t="str">
        <v>德国区-灵活班次 / DE FLEX</v>
      </c>
      <c r="H458" s="19" t="str">
        <v>S000316</v>
      </c>
      <c r="I458" s="19" t="str">
        <v>Nivux Estate e.Kfm</v>
      </c>
      <c r="J458" s="23" t="n">
        <v>5</v>
      </c>
      <c r="K458" s="23" t="n">
        <v>0</v>
      </c>
      <c r="L458" s="23" t="n">
        <f>J458+K458</f>
        <v>5</v>
      </c>
      <c r="M458" s="23" t="n">
        <v>5</v>
      </c>
      <c r="N458" s="23" t="n">
        <v>3</v>
      </c>
      <c r="O458" s="23" t="n">
        <v>3</v>
      </c>
      <c r="P458" s="23" t="n">
        <v>3</v>
      </c>
      <c r="Q458" s="23" t="n">
        <f>MIN(O458,P458)</f>
        <v>3</v>
      </c>
      <c r="R458" s="25" t="n">
        <f>IF(M458=0,0,MIN(1,L458/M458))</f>
        <v>1</v>
      </c>
      <c r="S458" s="23" t="n">
        <f>O458*R458</f>
        <v>3</v>
      </c>
      <c r="T458" s="23" t="n">
        <f>MIN(P458,S458)</f>
        <v>3</v>
      </c>
      <c r="U458" s="23" t="n">
        <f>O458-S458</f>
        <v>0</v>
      </c>
      <c r="V458" s="23" t="n">
        <f>MAX(P458-O458,0)</f>
        <v>0</v>
      </c>
    </row>
    <row r="459">
      <c r="A459" s="19" t="str">
        <v>意大利区</v>
      </c>
      <c r="B459" s="19" t="str">
        <v>米兰1号仓</v>
      </c>
      <c r="C459" s="19" t="str">
        <v>售后组</v>
      </c>
      <c r="D459" s="21" t="n">
        <v>46183</v>
      </c>
      <c r="E459" s="19" t="str">
        <v>2026-06</v>
      </c>
      <c r="F459" s="19" t="str">
        <v>操作员</v>
      </c>
      <c r="G459" s="19" t="str">
        <v>IT 08:00-16:30</v>
      </c>
      <c r="H459" s="19" t="str">
        <v>S000337</v>
      </c>
      <c r="I459" s="19" t="str">
        <v>SYNERGIE</v>
      </c>
      <c r="J459" s="23" t="n">
        <v>1</v>
      </c>
      <c r="K459" s="23" t="n">
        <v>0</v>
      </c>
      <c r="L459" s="23" t="n">
        <f>J459+K459</f>
        <v>1</v>
      </c>
      <c r="M459" s="23" t="n">
        <v>1</v>
      </c>
      <c r="N459" s="23" t="n">
        <v>1</v>
      </c>
      <c r="O459" s="23" t="n">
        <v>1</v>
      </c>
      <c r="P459" s="23" t="n">
        <v>1</v>
      </c>
      <c r="Q459" s="23" t="n">
        <f>MIN(O459,P459)</f>
        <v>1</v>
      </c>
      <c r="R459" s="25" t="n">
        <f>IF(M459=0,0,MIN(1,L459/M459))</f>
        <v>1</v>
      </c>
      <c r="S459" s="23" t="n">
        <f>O459*R459</f>
        <v>1</v>
      </c>
      <c r="T459" s="23" t="n">
        <f>MIN(P459,S459)</f>
        <v>1</v>
      </c>
      <c r="U459" s="23" t="n">
        <f>O459-S459</f>
        <v>0</v>
      </c>
      <c r="V459" s="23" t="n">
        <f>MAX(P459-O459,0)</f>
        <v>0</v>
      </c>
    </row>
    <row r="460">
      <c r="A460" s="19" t="str">
        <v>意大利区</v>
      </c>
      <c r="B460" s="19" t="str">
        <v>米兰1号仓</v>
      </c>
      <c r="C460" s="19" t="str">
        <v>拣货组</v>
      </c>
      <c r="D460" s="21" t="n">
        <v>46168</v>
      </c>
      <c r="E460" s="19" t="str">
        <v>2026-05</v>
      </c>
      <c r="F460" s="19" t="str">
        <v>操作员</v>
      </c>
      <c r="G460" s="19" t="str">
        <v>IT 08:00-16:30</v>
      </c>
      <c r="H460" s="19" t="str">
        <v>S000313</v>
      </c>
      <c r="I460" s="19" t="str">
        <v>ATTAL GROUP S.p.A.</v>
      </c>
      <c r="J460" s="23" t="n">
        <v>1</v>
      </c>
      <c r="K460" s="23" t="n">
        <v>0</v>
      </c>
      <c r="L460" s="23" t="n">
        <f>J460+K460</f>
        <v>1</v>
      </c>
      <c r="M460" s="23" t="n">
        <v>1</v>
      </c>
      <c r="N460" s="23" t="n">
        <v>0</v>
      </c>
      <c r="O460" s="23" t="n">
        <v>1</v>
      </c>
      <c r="P460" s="23" t="n">
        <v>0</v>
      </c>
      <c r="Q460" s="23" t="n">
        <f>MIN(O460,P460)</f>
        <v>0</v>
      </c>
      <c r="R460" s="25" t="n">
        <f>IF(M460=0,0,MIN(1,L460/M460))</f>
        <v>1</v>
      </c>
      <c r="S460" s="23" t="n">
        <f>O460*R460</f>
        <v>1</v>
      </c>
      <c r="T460" s="23" t="n">
        <f>MIN(P460,S460)</f>
        <v>0</v>
      </c>
      <c r="U460" s="23" t="n">
        <f>O460-S460</f>
        <v>0</v>
      </c>
      <c r="V460" s="23" t="n">
        <f>MAX(P460-O460,0)</f>
        <v>0</v>
      </c>
    </row>
    <row r="461">
      <c r="A461" s="19" t="str">
        <v>意大利区</v>
      </c>
      <c r="B461" s="19" t="str">
        <v>米兰1号仓</v>
      </c>
      <c r="C461" s="19" t="str">
        <v>拣货组</v>
      </c>
      <c r="D461" s="21" t="n">
        <v>46169</v>
      </c>
      <c r="E461" s="19" t="str">
        <v>2026-05</v>
      </c>
      <c r="F461" s="19" t="str">
        <v>操作员</v>
      </c>
      <c r="G461" s="19" t="str">
        <v>IT 08:00-16:30</v>
      </c>
      <c r="H461" s="19" t="str">
        <v>S000313</v>
      </c>
      <c r="I461" s="19" t="str">
        <v>ATTAL GROUP S.p.A.</v>
      </c>
      <c r="J461" s="23" t="n">
        <v>1</v>
      </c>
      <c r="K461" s="23" t="n">
        <v>0</v>
      </c>
      <c r="L461" s="23" t="n">
        <f>J461+K461</f>
        <v>1</v>
      </c>
      <c r="M461" s="23" t="n">
        <v>1</v>
      </c>
      <c r="N461" s="23" t="n">
        <v>0</v>
      </c>
      <c r="O461" s="23" t="n">
        <v>1</v>
      </c>
      <c r="P461" s="23" t="n">
        <v>0</v>
      </c>
      <c r="Q461" s="23" t="n">
        <f>MIN(O461,P461)</f>
        <v>0</v>
      </c>
      <c r="R461" s="25" t="n">
        <f>IF(M461=0,0,MIN(1,L461/M461))</f>
        <v>1</v>
      </c>
      <c r="S461" s="23" t="n">
        <f>O461*R461</f>
        <v>1</v>
      </c>
      <c r="T461" s="23" t="n">
        <f>MIN(P461,S461)</f>
        <v>0</v>
      </c>
      <c r="U461" s="23" t="n">
        <f>O461-S461</f>
        <v>0</v>
      </c>
      <c r="V461" s="23" t="n">
        <f>MAX(P461-O461,0)</f>
        <v>0</v>
      </c>
    </row>
    <row r="462">
      <c r="A462" s="19" t="str">
        <v>意大利区</v>
      </c>
      <c r="B462" s="19" t="str">
        <v>米兰1号仓</v>
      </c>
      <c r="C462" s="19" t="str">
        <v>拣货组</v>
      </c>
      <c r="D462" s="21" t="n">
        <v>46170</v>
      </c>
      <c r="E462" s="19" t="str">
        <v>2026-05</v>
      </c>
      <c r="F462" s="19" t="str">
        <v>操作员</v>
      </c>
      <c r="G462" s="19" t="str">
        <v>IT 08:00-16:30</v>
      </c>
      <c r="H462" s="19" t="str">
        <v>S000313</v>
      </c>
      <c r="I462" s="19" t="str">
        <v>ATTAL GROUP S.p.A.</v>
      </c>
      <c r="J462" s="23" t="n">
        <v>1</v>
      </c>
      <c r="K462" s="23" t="n">
        <v>0</v>
      </c>
      <c r="L462" s="23" t="n">
        <f>J462+K462</f>
        <v>1</v>
      </c>
      <c r="M462" s="23" t="n">
        <v>1</v>
      </c>
      <c r="N462" s="23" t="n">
        <v>0</v>
      </c>
      <c r="O462" s="23" t="n">
        <v>1</v>
      </c>
      <c r="P462" s="23" t="n">
        <v>0</v>
      </c>
      <c r="Q462" s="23" t="n">
        <f>MIN(O462,P462)</f>
        <v>0</v>
      </c>
      <c r="R462" s="25" t="n">
        <f>IF(M462=0,0,MIN(1,L462/M462))</f>
        <v>1</v>
      </c>
      <c r="S462" s="23" t="n">
        <f>O462*R462</f>
        <v>1</v>
      </c>
      <c r="T462" s="23" t="n">
        <f>MIN(P462,S462)</f>
        <v>0</v>
      </c>
      <c r="U462" s="23" t="n">
        <f>O462-S462</f>
        <v>0</v>
      </c>
      <c r="V462" s="23" t="n">
        <f>MAX(P462-O462,0)</f>
        <v>0</v>
      </c>
    </row>
    <row r="463">
      <c r="A463" s="19" t="str">
        <v>意大利区</v>
      </c>
      <c r="B463" s="19" t="str">
        <v>米兰1号仓</v>
      </c>
      <c r="C463" s="19" t="str">
        <v>拣货组</v>
      </c>
      <c r="D463" s="21" t="n">
        <v>46171</v>
      </c>
      <c r="E463" s="19" t="str">
        <v>2026-05</v>
      </c>
      <c r="F463" s="19" t="str">
        <v>操作员</v>
      </c>
      <c r="G463" s="19" t="str">
        <v>IT 08:00-16:30</v>
      </c>
      <c r="H463" s="19" t="str">
        <v>S000313</v>
      </c>
      <c r="I463" s="19" t="str">
        <v>ATTAL GROUP S.p.A.</v>
      </c>
      <c r="J463" s="23" t="n">
        <v>1</v>
      </c>
      <c r="K463" s="23" t="n">
        <v>0</v>
      </c>
      <c r="L463" s="23" t="n">
        <f>J463+K463</f>
        <v>1</v>
      </c>
      <c r="M463" s="23" t="n">
        <v>1</v>
      </c>
      <c r="N463" s="23" t="n">
        <v>0</v>
      </c>
      <c r="O463" s="23" t="n">
        <v>1</v>
      </c>
      <c r="P463" s="23" t="n">
        <v>0</v>
      </c>
      <c r="Q463" s="23" t="n">
        <f>MIN(O463,P463)</f>
        <v>0</v>
      </c>
      <c r="R463" s="25" t="n">
        <f>IF(M463=0,0,MIN(1,L463/M463))</f>
        <v>1</v>
      </c>
      <c r="S463" s="23" t="n">
        <f>O463*R463</f>
        <v>1</v>
      </c>
      <c r="T463" s="23" t="n">
        <f>MIN(P463,S463)</f>
        <v>0</v>
      </c>
      <c r="U463" s="23" t="n">
        <f>O463-S463</f>
        <v>0</v>
      </c>
      <c r="V463" s="23" t="n">
        <f>MAX(P463-O463,0)</f>
        <v>0</v>
      </c>
    </row>
    <row r="464">
      <c r="A464" s="19" t="str">
        <v>意大利区</v>
      </c>
      <c r="B464" s="19" t="str">
        <v>米兰1号仓</v>
      </c>
      <c r="C464" s="19" t="str">
        <v>拣货组</v>
      </c>
      <c r="D464" s="21" t="n">
        <v>46172</v>
      </c>
      <c r="E464" s="19" t="str">
        <v>2026-05</v>
      </c>
      <c r="F464" s="19" t="str">
        <v>操作员</v>
      </c>
      <c r="G464" s="19" t="str">
        <v>IT 08:00-16:30</v>
      </c>
      <c r="H464" s="19" t="str">
        <v>S000313</v>
      </c>
      <c r="I464" s="19" t="str">
        <v>ATTAL GROUP S.p.A.</v>
      </c>
      <c r="J464" s="23" t="n">
        <v>1</v>
      </c>
      <c r="K464" s="23" t="n">
        <v>0</v>
      </c>
      <c r="L464" s="23" t="n">
        <f>J464+K464</f>
        <v>1</v>
      </c>
      <c r="M464" s="23" t="n">
        <v>1</v>
      </c>
      <c r="N464" s="23" t="n">
        <v>0</v>
      </c>
      <c r="O464" s="23" t="n">
        <v>1</v>
      </c>
      <c r="P464" s="23" t="n">
        <v>0</v>
      </c>
      <c r="Q464" s="23" t="n">
        <f>MIN(O464,P464)</f>
        <v>0</v>
      </c>
      <c r="R464" s="25" t="n">
        <f>IF(M464=0,0,MIN(1,L464/M464))</f>
        <v>1</v>
      </c>
      <c r="S464" s="23" t="n">
        <f>O464*R464</f>
        <v>1</v>
      </c>
      <c r="T464" s="23" t="n">
        <f>MIN(P464,S464)</f>
        <v>0</v>
      </c>
      <c r="U464" s="23" t="n">
        <f>O464-S464</f>
        <v>0</v>
      </c>
      <c r="V464" s="23" t="n">
        <f>MAX(P464-O464,0)</f>
        <v>0</v>
      </c>
    </row>
    <row r="465">
      <c r="A465" s="19" t="str">
        <v>意大利区</v>
      </c>
      <c r="B465" s="19" t="str">
        <v>米兰1号仓</v>
      </c>
      <c r="C465" s="19" t="str">
        <v>拣货组</v>
      </c>
      <c r="D465" s="21" t="n">
        <v>46173</v>
      </c>
      <c r="E465" s="19" t="str">
        <v>2026-05</v>
      </c>
      <c r="F465" s="19" t="str">
        <v>操作员</v>
      </c>
      <c r="G465" s="19" t="str">
        <v>IT 08:00-16:30</v>
      </c>
      <c r="H465" s="19" t="str">
        <v>S000313</v>
      </c>
      <c r="I465" s="19" t="str">
        <v>ATTAL GROUP S.p.A.</v>
      </c>
      <c r="J465" s="23" t="n">
        <v>1</v>
      </c>
      <c r="K465" s="23" t="n">
        <v>0</v>
      </c>
      <c r="L465" s="23" t="n">
        <f>J465+K465</f>
        <v>1</v>
      </c>
      <c r="M465" s="23" t="n">
        <v>1</v>
      </c>
      <c r="N465" s="23" t="n">
        <v>0</v>
      </c>
      <c r="O465" s="23" t="n">
        <v>1</v>
      </c>
      <c r="P465" s="23" t="n">
        <v>0</v>
      </c>
      <c r="Q465" s="23" t="n">
        <f>MIN(O465,P465)</f>
        <v>0</v>
      </c>
      <c r="R465" s="25" t="n">
        <f>IF(M465=0,0,MIN(1,L465/M465))</f>
        <v>1</v>
      </c>
      <c r="S465" s="23" t="n">
        <f>O465*R465</f>
        <v>1</v>
      </c>
      <c r="T465" s="23" t="n">
        <f>MIN(P465,S465)</f>
        <v>0</v>
      </c>
      <c r="U465" s="23" t="n">
        <f>O465-S465</f>
        <v>0</v>
      </c>
      <c r="V465" s="23" t="n">
        <f>MAX(P465-O465,0)</f>
        <v>0</v>
      </c>
    </row>
    <row r="466">
      <c r="A466" s="19" t="str">
        <v>意大利区</v>
      </c>
      <c r="B466" s="19" t="str">
        <v>米兰1号仓</v>
      </c>
      <c r="C466" s="19" t="str">
        <v>拣货组</v>
      </c>
      <c r="D466" s="21" t="n">
        <v>46174</v>
      </c>
      <c r="E466" s="19" t="str">
        <v>2026-06</v>
      </c>
      <c r="F466" s="19" t="str">
        <v>操作员</v>
      </c>
      <c r="G466" s="19" t="str">
        <v>IT 08:00-16:30</v>
      </c>
      <c r="H466" s="19" t="str">
        <v>S000313</v>
      </c>
      <c r="I466" s="19" t="str">
        <v>ATTAL GROUP S.p.A.</v>
      </c>
      <c r="J466" s="23" t="n">
        <v>1</v>
      </c>
      <c r="K466" s="23" t="n">
        <v>0</v>
      </c>
      <c r="L466" s="23" t="n">
        <f>J466+K466</f>
        <v>1</v>
      </c>
      <c r="M466" s="23" t="n">
        <v>1</v>
      </c>
      <c r="N466" s="23" t="n">
        <v>0</v>
      </c>
      <c r="O466" s="23" t="n">
        <v>1</v>
      </c>
      <c r="P466" s="23" t="n">
        <v>0</v>
      </c>
      <c r="Q466" s="23" t="n">
        <f>MIN(O466,P466)</f>
        <v>0</v>
      </c>
      <c r="R466" s="25" t="n">
        <f>IF(M466=0,0,MIN(1,L466/M466))</f>
        <v>1</v>
      </c>
      <c r="S466" s="23" t="n">
        <f>O466*R466</f>
        <v>1</v>
      </c>
      <c r="T466" s="23" t="n">
        <f>MIN(P466,S466)</f>
        <v>0</v>
      </c>
      <c r="U466" s="23" t="n">
        <f>O466-S466</f>
        <v>0</v>
      </c>
      <c r="V466" s="23" t="n">
        <f>MAX(P466-O466,0)</f>
        <v>0</v>
      </c>
    </row>
    <row r="467">
      <c r="A467" s="19" t="str">
        <v>意大利区</v>
      </c>
      <c r="B467" s="19" t="str">
        <v>米兰1号仓</v>
      </c>
      <c r="C467" s="19" t="str">
        <v>拣货组</v>
      </c>
      <c r="D467" s="21" t="n">
        <v>46175</v>
      </c>
      <c r="E467" s="19" t="str">
        <v>2026-06</v>
      </c>
      <c r="F467" s="19" t="str">
        <v>操作员</v>
      </c>
      <c r="G467" s="19" t="str">
        <v>IT 08:00-16:30</v>
      </c>
      <c r="H467" s="19" t="str">
        <v>S000313</v>
      </c>
      <c r="I467" s="19" t="str">
        <v>ATTAL GROUP S.p.A.</v>
      </c>
      <c r="J467" s="23" t="n">
        <v>1</v>
      </c>
      <c r="K467" s="23" t="n">
        <v>0</v>
      </c>
      <c r="L467" s="23" t="n">
        <f>J467+K467</f>
        <v>1</v>
      </c>
      <c r="M467" s="23" t="n">
        <v>1</v>
      </c>
      <c r="N467" s="23" t="n">
        <v>0</v>
      </c>
      <c r="O467" s="23" t="n">
        <v>1</v>
      </c>
      <c r="P467" s="23" t="n">
        <v>0</v>
      </c>
      <c r="Q467" s="23" t="n">
        <f>MIN(O467,P467)</f>
        <v>0</v>
      </c>
      <c r="R467" s="25" t="n">
        <f>IF(M467=0,0,MIN(1,L467/M467))</f>
        <v>1</v>
      </c>
      <c r="S467" s="23" t="n">
        <f>O467*R467</f>
        <v>1</v>
      </c>
      <c r="T467" s="23" t="n">
        <f>MIN(P467,S467)</f>
        <v>0</v>
      </c>
      <c r="U467" s="23" t="n">
        <f>O467-S467</f>
        <v>0</v>
      </c>
      <c r="V467" s="23" t="n">
        <f>MAX(P467-O467,0)</f>
        <v>0</v>
      </c>
    </row>
    <row r="468">
      <c r="A468" s="19" t="str">
        <v>意大利区</v>
      </c>
      <c r="B468" s="19" t="str">
        <v>米兰1号仓</v>
      </c>
      <c r="C468" s="19" t="str">
        <v>拣货组</v>
      </c>
      <c r="D468" s="21" t="n">
        <v>46188</v>
      </c>
      <c r="E468" s="19" t="str">
        <v>2026-06</v>
      </c>
      <c r="F468" s="19" t="str">
        <v>操作员</v>
      </c>
      <c r="G468" s="19" t="str">
        <v>IT 09:00-17:30</v>
      </c>
      <c r="H468" s="19" t="str">
        <v>S000313</v>
      </c>
      <c r="I468" s="19" t="str">
        <v>ATTAL GROUP S.p.A.</v>
      </c>
      <c r="J468" s="23" t="n">
        <v>5</v>
      </c>
      <c r="K468" s="23" t="n">
        <v>0</v>
      </c>
      <c r="L468" s="23" t="n">
        <f>J468+K468</f>
        <v>5</v>
      </c>
      <c r="M468" s="23" t="n">
        <v>5</v>
      </c>
      <c r="N468" s="23" t="n">
        <v>5</v>
      </c>
      <c r="O468" s="23" t="n">
        <v>5</v>
      </c>
      <c r="P468" s="23" t="n">
        <v>5</v>
      </c>
      <c r="Q468" s="23" t="n">
        <f>MIN(O468,P468)</f>
        <v>5</v>
      </c>
      <c r="R468" s="25" t="n">
        <f>IF(M468=0,0,MIN(1,L468/M468))</f>
        <v>1</v>
      </c>
      <c r="S468" s="23" t="n">
        <f>O468*R468</f>
        <v>5</v>
      </c>
      <c r="T468" s="23" t="n">
        <f>MIN(P468,S468)</f>
        <v>5</v>
      </c>
      <c r="U468" s="23" t="n">
        <f>O468-S468</f>
        <v>0</v>
      </c>
      <c r="V468" s="23" t="n">
        <f>MAX(P468-O468,0)</f>
        <v>0</v>
      </c>
    </row>
    <row r="469">
      <c r="A469" s="19" t="str">
        <v>意大利区</v>
      </c>
      <c r="B469" s="19" t="str">
        <v>米兰1号仓</v>
      </c>
      <c r="C469" s="19" t="str">
        <v>拣货组</v>
      </c>
      <c r="D469" s="21" t="n">
        <v>46189</v>
      </c>
      <c r="E469" s="19" t="str">
        <v>2026-06</v>
      </c>
      <c r="F469" s="19" t="str">
        <v>操作员</v>
      </c>
      <c r="G469" s="19" t="str">
        <v>IT 09:00-17:30</v>
      </c>
      <c r="H469" s="19" t="str">
        <v>S000313</v>
      </c>
      <c r="I469" s="19" t="str">
        <v>ATTAL GROUP S.p.A.</v>
      </c>
      <c r="J469" s="23" t="n">
        <v>5</v>
      </c>
      <c r="K469" s="23" t="n">
        <v>0</v>
      </c>
      <c r="L469" s="23" t="n">
        <f>J469+K469</f>
        <v>5</v>
      </c>
      <c r="M469" s="23" t="n">
        <v>5</v>
      </c>
      <c r="N469" s="23" t="n">
        <v>4</v>
      </c>
      <c r="O469" s="23" t="n">
        <v>5</v>
      </c>
      <c r="P469" s="23" t="n">
        <v>4</v>
      </c>
      <c r="Q469" s="23" t="n">
        <f>MIN(O469,P469)</f>
        <v>4</v>
      </c>
      <c r="R469" s="25" t="n">
        <f>IF(M469=0,0,MIN(1,L469/M469))</f>
        <v>1</v>
      </c>
      <c r="S469" s="23" t="n">
        <f>O469*R469</f>
        <v>5</v>
      </c>
      <c r="T469" s="23" t="n">
        <f>MIN(P469,S469)</f>
        <v>4</v>
      </c>
      <c r="U469" s="23" t="n">
        <f>O469-S469</f>
        <v>0</v>
      </c>
      <c r="V469" s="23" t="n">
        <f>MAX(P469-O469,0)</f>
        <v>0</v>
      </c>
    </row>
    <row r="470">
      <c r="A470" s="19" t="str">
        <v>意大利区</v>
      </c>
      <c r="B470" s="19" t="str">
        <v>米兰2号仓</v>
      </c>
      <c r="C470" s="19" t="str">
        <v>交运组</v>
      </c>
      <c r="D470" s="21" t="n">
        <v>46183</v>
      </c>
      <c r="E470" s="19" t="str">
        <v>2026-06</v>
      </c>
      <c r="F470" s="19" t="str">
        <v>操作员</v>
      </c>
      <c r="G470" s="19" t="str">
        <v>IT 09:00-17:30</v>
      </c>
      <c r="H470" s="19" t="str">
        <v>S000313</v>
      </c>
      <c r="I470" s="19" t="str">
        <v>ATTAL GROUP S.p.A.</v>
      </c>
      <c r="J470" s="23" t="n">
        <v>1</v>
      </c>
      <c r="K470" s="23" t="n">
        <v>0</v>
      </c>
      <c r="L470" s="23" t="n">
        <f>J470+K470</f>
        <v>1</v>
      </c>
      <c r="M470" s="23" t="n">
        <v>1</v>
      </c>
      <c r="N470" s="23" t="n">
        <v>1</v>
      </c>
      <c r="O470" s="23" t="n">
        <v>1</v>
      </c>
      <c r="P470" s="23" t="n">
        <v>1</v>
      </c>
      <c r="Q470" s="23" t="n">
        <f>MIN(O470,P470)</f>
        <v>1</v>
      </c>
      <c r="R470" s="25" t="n">
        <f>IF(M470=0,0,MIN(1,L470/M470))</f>
        <v>1</v>
      </c>
      <c r="S470" s="23" t="n">
        <f>O470*R470</f>
        <v>1</v>
      </c>
      <c r="T470" s="23" t="n">
        <f>MIN(P470,S470)</f>
        <v>1</v>
      </c>
      <c r="U470" s="23" t="n">
        <f>O470-S470</f>
        <v>0</v>
      </c>
      <c r="V470" s="23" t="n">
        <f>MAX(P470-O470,0)</f>
        <v>0</v>
      </c>
    </row>
    <row r="471">
      <c r="A471" s="19" t="str">
        <v>意大利区</v>
      </c>
      <c r="B471" s="19" t="str">
        <v>米兰2号仓</v>
      </c>
      <c r="C471" s="19" t="str">
        <v>交运组</v>
      </c>
      <c r="D471" s="21" t="n">
        <v>46196</v>
      </c>
      <c r="E471" s="19" t="str">
        <v>2026-06</v>
      </c>
      <c r="F471" s="19" t="str">
        <v>操作员</v>
      </c>
      <c r="G471" s="19" t="str">
        <v>IT 09:00-17:30</v>
      </c>
      <c r="H471" s="19" t="str">
        <v>S000313</v>
      </c>
      <c r="I471" s="19" t="str">
        <v>ATTAL GROUP S.p.A.</v>
      </c>
      <c r="J471" s="23" t="n">
        <v>4</v>
      </c>
      <c r="K471" s="23" t="n">
        <v>0</v>
      </c>
      <c r="L471" s="23" t="n">
        <f>J471+K471</f>
        <v>4</v>
      </c>
      <c r="M471" s="23" t="n">
        <v>8</v>
      </c>
      <c r="N471" s="23" t="n">
        <v>4</v>
      </c>
      <c r="O471" s="23" t="n">
        <v>8</v>
      </c>
      <c r="P471" s="23" t="n">
        <v>4</v>
      </c>
      <c r="Q471" s="23" t="n">
        <f>MIN(O471,P471)</f>
        <v>4</v>
      </c>
      <c r="R471" s="25" t="n">
        <f>IF(M471=0,0,MIN(1,L471/M471))</f>
        <v>0.5</v>
      </c>
      <c r="S471" s="23" t="n">
        <f>O471*R471</f>
        <v>4</v>
      </c>
      <c r="T471" s="23" t="n">
        <f>MIN(P471,S471)</f>
        <v>4</v>
      </c>
      <c r="U471" s="23" t="n">
        <f>O471-S471</f>
        <v>4</v>
      </c>
      <c r="V471" s="23" t="n">
        <f>MAX(P471-O471,0)</f>
        <v>0</v>
      </c>
    </row>
    <row r="472">
      <c r="A472" s="19" t="str">
        <v>意大利区</v>
      </c>
      <c r="B472" s="19" t="str">
        <v>米兰2号仓</v>
      </c>
      <c r="C472" s="19" t="str">
        <v>交运组</v>
      </c>
      <c r="D472" s="21" t="n">
        <v>46197</v>
      </c>
      <c r="E472" s="19" t="str">
        <v>2026-06</v>
      </c>
      <c r="F472" s="19" t="str">
        <v>操作员</v>
      </c>
      <c r="G472" s="19" t="str">
        <v>IT 09:00-17:30</v>
      </c>
      <c r="H472" s="19" t="str">
        <v>S000313</v>
      </c>
      <c r="I472" s="19" t="str">
        <v>ATTAL GROUP S.p.A.</v>
      </c>
      <c r="J472" s="23" t="n">
        <v>4</v>
      </c>
      <c r="K472" s="23" t="n">
        <v>0</v>
      </c>
      <c r="L472" s="23" t="n">
        <f>J472+K472</f>
        <v>4</v>
      </c>
      <c r="M472" s="23" t="n">
        <v>4</v>
      </c>
      <c r="N472" s="23" t="n">
        <v>0</v>
      </c>
      <c r="O472" s="23" t="n">
        <v>4</v>
      </c>
      <c r="P472" s="23" t="n">
        <v>0</v>
      </c>
      <c r="Q472" s="23" t="n">
        <f>MIN(O472,P472)</f>
        <v>0</v>
      </c>
      <c r="R472" s="25" t="n">
        <f>IF(M472=0,0,MIN(1,L472/M472))</f>
        <v>1</v>
      </c>
      <c r="S472" s="23" t="n">
        <f>O472*R472</f>
        <v>4</v>
      </c>
      <c r="T472" s="23" t="n">
        <f>MIN(P472,S472)</f>
        <v>0</v>
      </c>
      <c r="U472" s="23" t="n">
        <f>O472-S472</f>
        <v>0</v>
      </c>
      <c r="V472" s="23" t="n">
        <f>MAX(P472-O472,0)</f>
        <v>0</v>
      </c>
    </row>
    <row r="473">
      <c r="A473" s="19" t="str">
        <v>意大利区</v>
      </c>
      <c r="B473" s="19" t="str">
        <v>米兰2号仓</v>
      </c>
      <c r="C473" s="19" t="str">
        <v>交运组</v>
      </c>
      <c r="D473" s="21" t="n">
        <v>46198</v>
      </c>
      <c r="E473" s="19" t="str">
        <v>2026-06</v>
      </c>
      <c r="F473" s="19" t="str">
        <v>操作员</v>
      </c>
      <c r="G473" s="19" t="str">
        <v>IT 09:00-17:30</v>
      </c>
      <c r="H473" s="19" t="str">
        <v>S000313</v>
      </c>
      <c r="I473" s="19" t="str">
        <v>ATTAL GROUP S.p.A.</v>
      </c>
      <c r="J473" s="23" t="n">
        <v>4</v>
      </c>
      <c r="K473" s="23" t="n">
        <v>0</v>
      </c>
      <c r="L473" s="23" t="n">
        <f>J473+K473</f>
        <v>4</v>
      </c>
      <c r="M473" s="23" t="n">
        <v>4</v>
      </c>
      <c r="N473" s="23" t="n">
        <v>0</v>
      </c>
      <c r="O473" s="23" t="n">
        <v>4</v>
      </c>
      <c r="P473" s="23" t="n">
        <v>0</v>
      </c>
      <c r="Q473" s="23" t="n">
        <f>MIN(O473,P473)</f>
        <v>0</v>
      </c>
      <c r="R473" s="25" t="n">
        <f>IF(M473=0,0,MIN(1,L473/M473))</f>
        <v>1</v>
      </c>
      <c r="S473" s="23" t="n">
        <f>O473*R473</f>
        <v>4</v>
      </c>
      <c r="T473" s="23" t="n">
        <f>MIN(P473,S473)</f>
        <v>0</v>
      </c>
      <c r="U473" s="23" t="n">
        <f>O473-S473</f>
        <v>0</v>
      </c>
      <c r="V473" s="23" t="n">
        <f>MAX(P473-O473,0)</f>
        <v>0</v>
      </c>
    </row>
    <row r="474">
      <c r="A474" s="19" t="str">
        <v>意大利区</v>
      </c>
      <c r="B474" s="19" t="str">
        <v>米兰2号仓</v>
      </c>
      <c r="C474" s="19" t="str">
        <v>交运组</v>
      </c>
      <c r="D474" s="21" t="n">
        <v>46199</v>
      </c>
      <c r="E474" s="19" t="str">
        <v>2026-06</v>
      </c>
      <c r="F474" s="19" t="str">
        <v>操作员</v>
      </c>
      <c r="G474" s="19" t="str">
        <v>IT 09:00-17:30</v>
      </c>
      <c r="H474" s="19" t="str">
        <v>S000313</v>
      </c>
      <c r="I474" s="19" t="str">
        <v>ATTAL GROUP S.p.A.</v>
      </c>
      <c r="J474" s="23" t="n">
        <v>4</v>
      </c>
      <c r="K474" s="23" t="n">
        <v>0</v>
      </c>
      <c r="L474" s="23" t="n">
        <f>J474+K474</f>
        <v>4</v>
      </c>
      <c r="M474" s="23" t="n">
        <v>4</v>
      </c>
      <c r="N474" s="23" t="n">
        <v>0</v>
      </c>
      <c r="O474" s="23" t="n">
        <v>4</v>
      </c>
      <c r="P474" s="23" t="n">
        <v>0</v>
      </c>
      <c r="Q474" s="23" t="n">
        <f>MIN(O474,P474)</f>
        <v>0</v>
      </c>
      <c r="R474" s="25" t="n">
        <f>IF(M474=0,0,MIN(1,L474/M474))</f>
        <v>1</v>
      </c>
      <c r="S474" s="23" t="n">
        <f>O474*R474</f>
        <v>4</v>
      </c>
      <c r="T474" s="23" t="n">
        <f>MIN(P474,S474)</f>
        <v>0</v>
      </c>
      <c r="U474" s="23" t="n">
        <f>O474-S474</f>
        <v>0</v>
      </c>
      <c r="V474" s="23" t="n">
        <f>MAX(P474-O474,0)</f>
        <v>0</v>
      </c>
    </row>
    <row r="475">
      <c r="A475" s="19" t="str">
        <v>意大利区</v>
      </c>
      <c r="B475" s="19" t="str">
        <v>米兰2号仓</v>
      </c>
      <c r="C475" s="19" t="str">
        <v>包装组</v>
      </c>
      <c r="D475" s="21" t="n">
        <v>46183</v>
      </c>
      <c r="E475" s="19" t="str">
        <v>2026-06</v>
      </c>
      <c r="F475" s="19" t="str">
        <v>操作员</v>
      </c>
      <c r="G475" s="19" t="str">
        <v>IT 08:00-16:30</v>
      </c>
      <c r="H475" s="19" t="str">
        <v>S000337</v>
      </c>
      <c r="I475" s="19" t="str">
        <v>SYNERGIE</v>
      </c>
      <c r="J475" s="23" t="n">
        <v>1</v>
      </c>
      <c r="K475" s="23" t="n">
        <v>0</v>
      </c>
      <c r="L475" s="23" t="n">
        <f>J475+K475</f>
        <v>1</v>
      </c>
      <c r="M475" s="23" t="n">
        <v>1</v>
      </c>
      <c r="N475" s="23" t="n">
        <v>1</v>
      </c>
      <c r="O475" s="23" t="n">
        <v>1</v>
      </c>
      <c r="P475" s="23" t="n">
        <v>1</v>
      </c>
      <c r="Q475" s="23" t="n">
        <f>MIN(O475,P475)</f>
        <v>1</v>
      </c>
      <c r="R475" s="25" t="n">
        <f>IF(M475=0,0,MIN(1,L475/M475))</f>
        <v>1</v>
      </c>
      <c r="S475" s="23" t="n">
        <f>O475*R475</f>
        <v>1</v>
      </c>
      <c r="T475" s="23" t="n">
        <f>MIN(P475,S475)</f>
        <v>1</v>
      </c>
      <c r="U475" s="23" t="n">
        <f>O475-S475</f>
        <v>0</v>
      </c>
      <c r="V475" s="23" t="n">
        <f>MAX(P475-O475,0)</f>
        <v>0</v>
      </c>
    </row>
    <row r="476">
      <c r="A476" s="19" t="str">
        <v>意大利区</v>
      </c>
      <c r="B476" s="19" t="str">
        <v>米兰2号仓</v>
      </c>
      <c r="C476" s="19" t="str">
        <v>包装组</v>
      </c>
      <c r="D476" s="21" t="n">
        <v>46195</v>
      </c>
      <c r="E476" s="19" t="str">
        <v>2026-06</v>
      </c>
      <c r="F476" s="19" t="str">
        <v>操作员</v>
      </c>
      <c r="G476" s="19" t="str">
        <v>IT 08:30-17:00</v>
      </c>
      <c r="H476" s="19" t="str">
        <v>S000313</v>
      </c>
      <c r="I476" s="19" t="str">
        <v>ATTAL GROUP S.p.A.</v>
      </c>
      <c r="J476" s="23" t="n">
        <v>1</v>
      </c>
      <c r="K476" s="23" t="n">
        <v>0</v>
      </c>
      <c r="L476" s="23" t="n">
        <f>J476+K476</f>
        <v>1</v>
      </c>
      <c r="M476" s="23" t="n">
        <v>1</v>
      </c>
      <c r="N476" s="23" t="n">
        <v>1</v>
      </c>
      <c r="O476" s="23" t="n">
        <v>1</v>
      </c>
      <c r="P476" s="23" t="n">
        <v>1</v>
      </c>
      <c r="Q476" s="23" t="n">
        <f>MIN(O476,P476)</f>
        <v>1</v>
      </c>
      <c r="R476" s="25" t="n">
        <f>IF(M476=0,0,MIN(1,L476/M476))</f>
        <v>1</v>
      </c>
      <c r="S476" s="23" t="n">
        <f>O476*R476</f>
        <v>1</v>
      </c>
      <c r="T476" s="23" t="n">
        <f>MIN(P476,S476)</f>
        <v>1</v>
      </c>
      <c r="U476" s="23" t="n">
        <f>O476-S476</f>
        <v>0</v>
      </c>
      <c r="V476" s="23" t="n">
        <f>MAX(P476-O476,0)</f>
        <v>0</v>
      </c>
    </row>
    <row r="477">
      <c r="A477" s="19" t="str">
        <v>意大利区</v>
      </c>
      <c r="B477" s="19" t="str">
        <v>米兰2号仓</v>
      </c>
      <c r="C477" s="19" t="str">
        <v>包装组</v>
      </c>
      <c r="D477" s="21" t="n">
        <v>46196</v>
      </c>
      <c r="E477" s="19" t="str">
        <v>2026-06</v>
      </c>
      <c r="F477" s="19" t="str">
        <v>操作员</v>
      </c>
      <c r="G477" s="19" t="str">
        <v>IT 08:30-17:00</v>
      </c>
      <c r="H477" s="19" t="str">
        <v>S000313</v>
      </c>
      <c r="I477" s="19" t="str">
        <v>ATTAL GROUP S.p.A.</v>
      </c>
      <c r="J477" s="23" t="n">
        <v>1</v>
      </c>
      <c r="K477" s="23" t="n">
        <v>0</v>
      </c>
      <c r="L477" s="23" t="n">
        <f>J477+K477</f>
        <v>1</v>
      </c>
      <c r="M477" s="23" t="n">
        <v>1</v>
      </c>
      <c r="N477" s="23" t="n">
        <v>1</v>
      </c>
      <c r="O477" s="23" t="n">
        <v>1</v>
      </c>
      <c r="P477" s="23" t="n">
        <v>1</v>
      </c>
      <c r="Q477" s="23" t="n">
        <f>MIN(O477,P477)</f>
        <v>1</v>
      </c>
      <c r="R477" s="25" t="n">
        <f>IF(M477=0,0,MIN(1,L477/M477))</f>
        <v>1</v>
      </c>
      <c r="S477" s="23" t="n">
        <f>O477*R477</f>
        <v>1</v>
      </c>
      <c r="T477" s="23" t="n">
        <f>MIN(P477,S477)</f>
        <v>1</v>
      </c>
      <c r="U477" s="23" t="n">
        <f>O477-S477</f>
        <v>0</v>
      </c>
      <c r="V477" s="23" t="n">
        <f>MAX(P477-O477,0)</f>
        <v>0</v>
      </c>
    </row>
    <row r="478">
      <c r="A478" s="19" t="str">
        <v>意大利区</v>
      </c>
      <c r="B478" s="19" t="str">
        <v>米兰2号仓</v>
      </c>
      <c r="C478" s="19" t="str">
        <v>包装组</v>
      </c>
      <c r="D478" s="21" t="n">
        <v>46197</v>
      </c>
      <c r="E478" s="19" t="str">
        <v>2026-06</v>
      </c>
      <c r="F478" s="19" t="str">
        <v>操作员</v>
      </c>
      <c r="G478" s="19" t="str">
        <v>IT 08:30-17:00</v>
      </c>
      <c r="H478" s="19" t="str">
        <v>S000313</v>
      </c>
      <c r="I478" s="19" t="str">
        <v>ATTAL GROUP S.p.A.</v>
      </c>
      <c r="J478" s="23" t="n">
        <v>1</v>
      </c>
      <c r="K478" s="23" t="n">
        <v>0</v>
      </c>
      <c r="L478" s="23" t="n">
        <f>J478+K478</f>
        <v>1</v>
      </c>
      <c r="M478" s="23" t="n">
        <v>1</v>
      </c>
      <c r="N478" s="23" t="n">
        <v>1</v>
      </c>
      <c r="O478" s="23" t="n">
        <v>1</v>
      </c>
      <c r="P478" s="23" t="n">
        <v>1</v>
      </c>
      <c r="Q478" s="23" t="n">
        <f>MIN(O478,P478)</f>
        <v>1</v>
      </c>
      <c r="R478" s="25" t="n">
        <f>IF(M478=0,0,MIN(1,L478/M478))</f>
        <v>1</v>
      </c>
      <c r="S478" s="23" t="n">
        <f>O478*R478</f>
        <v>1</v>
      </c>
      <c r="T478" s="23" t="n">
        <f>MIN(P478,S478)</f>
        <v>1</v>
      </c>
      <c r="U478" s="23" t="n">
        <f>O478-S478</f>
        <v>0</v>
      </c>
      <c r="V478" s="23" t="n">
        <f>MAX(P478-O478,0)</f>
        <v>0</v>
      </c>
    </row>
    <row r="479">
      <c r="A479" s="19" t="str">
        <v>意大利区</v>
      </c>
      <c r="B479" s="19" t="str">
        <v>米兰2号仓</v>
      </c>
      <c r="C479" s="19" t="str">
        <v>包装组</v>
      </c>
      <c r="D479" s="21" t="n">
        <v>46198</v>
      </c>
      <c r="E479" s="19" t="str">
        <v>2026-06</v>
      </c>
      <c r="F479" s="19" t="str">
        <v>操作员</v>
      </c>
      <c r="G479" s="19" t="str">
        <v>IT 08:30-17:00</v>
      </c>
      <c r="H479" s="19" t="str">
        <v>S000313</v>
      </c>
      <c r="I479" s="19" t="str">
        <v>ATTAL GROUP S.p.A.</v>
      </c>
      <c r="J479" s="23" t="n">
        <v>1</v>
      </c>
      <c r="K479" s="23" t="n">
        <v>0</v>
      </c>
      <c r="L479" s="23" t="n">
        <f>J479+K479</f>
        <v>1</v>
      </c>
      <c r="M479" s="23" t="n">
        <v>1</v>
      </c>
      <c r="N479" s="23" t="n">
        <v>1</v>
      </c>
      <c r="O479" s="23" t="n">
        <v>1</v>
      </c>
      <c r="P479" s="23" t="n">
        <v>1</v>
      </c>
      <c r="Q479" s="23" t="n">
        <f>MIN(O479,P479)</f>
        <v>1</v>
      </c>
      <c r="R479" s="25" t="n">
        <f>IF(M479=0,0,MIN(1,L479/M479))</f>
        <v>1</v>
      </c>
      <c r="S479" s="23" t="n">
        <f>O479*R479</f>
        <v>1</v>
      </c>
      <c r="T479" s="23" t="n">
        <f>MIN(P479,S479)</f>
        <v>1</v>
      </c>
      <c r="U479" s="23" t="n">
        <f>O479-S479</f>
        <v>0</v>
      </c>
      <c r="V479" s="23" t="n">
        <f>MAX(P479-O479,0)</f>
        <v>0</v>
      </c>
    </row>
    <row r="480">
      <c r="A480" s="19" t="str">
        <v>意大利区</v>
      </c>
      <c r="B480" s="19" t="str">
        <v>米兰2号仓</v>
      </c>
      <c r="C480" s="19" t="str">
        <v>包装组</v>
      </c>
      <c r="D480" s="21" t="n">
        <v>46199</v>
      </c>
      <c r="E480" s="19" t="str">
        <v>2026-06</v>
      </c>
      <c r="F480" s="19" t="str">
        <v>操作员</v>
      </c>
      <c r="G480" s="19" t="str">
        <v>IT 08:30-17:00</v>
      </c>
      <c r="H480" s="19" t="str">
        <v>S000313</v>
      </c>
      <c r="I480" s="19" t="str">
        <v>ATTAL GROUP S.p.A.</v>
      </c>
      <c r="J480" s="23" t="n">
        <v>1</v>
      </c>
      <c r="K480" s="23" t="n">
        <v>0</v>
      </c>
      <c r="L480" s="23" t="n">
        <f>J480+K480</f>
        <v>1</v>
      </c>
      <c r="M480" s="23" t="n">
        <v>1</v>
      </c>
      <c r="N480" s="23" t="n">
        <v>1</v>
      </c>
      <c r="O480" s="23" t="n">
        <v>1</v>
      </c>
      <c r="P480" s="23" t="n">
        <v>1</v>
      </c>
      <c r="Q480" s="23" t="n">
        <f>MIN(O480,P480)</f>
        <v>1</v>
      </c>
      <c r="R480" s="25" t="n">
        <f>IF(M480=0,0,MIN(1,L480/M480))</f>
        <v>1</v>
      </c>
      <c r="S480" s="23" t="n">
        <f>O480*R480</f>
        <v>1</v>
      </c>
      <c r="T480" s="23" t="n">
        <f>MIN(P480,S480)</f>
        <v>1</v>
      </c>
      <c r="U480" s="23" t="n">
        <f>O480-S480</f>
        <v>0</v>
      </c>
      <c r="V480" s="23" t="n">
        <f>MAX(P480-O480,0)</f>
        <v>0</v>
      </c>
    </row>
    <row r="481">
      <c r="A481" s="19" t="str">
        <v>意大利区</v>
      </c>
      <c r="B481" s="19" t="str">
        <v>米兰2号仓</v>
      </c>
      <c r="C481" s="19" t="str">
        <v>包装组</v>
      </c>
      <c r="D481" s="21" t="n">
        <v>46200</v>
      </c>
      <c r="E481" s="19" t="str">
        <v>2026-06</v>
      </c>
      <c r="F481" s="19" t="str">
        <v>操作员</v>
      </c>
      <c r="G481" s="19" t="str">
        <v>IT 08:00-16:30</v>
      </c>
      <c r="H481" s="19" t="str">
        <v>S000313</v>
      </c>
      <c r="I481" s="19" t="str">
        <v>ATTAL GROUP S.p.A.</v>
      </c>
      <c r="J481" s="23" t="n">
        <v>0</v>
      </c>
      <c r="K481" s="23" t="n">
        <v>0</v>
      </c>
      <c r="L481" s="23" t="n">
        <f>J481+K481</f>
        <v>0</v>
      </c>
      <c r="M481" s="23" t="n">
        <v>1</v>
      </c>
      <c r="N481" s="23" t="n">
        <v>0</v>
      </c>
      <c r="O481" s="23" t="n">
        <v>1</v>
      </c>
      <c r="P481" s="23" t="n">
        <v>0</v>
      </c>
      <c r="Q481" s="23" t="n">
        <f>MIN(O481,P481)</f>
        <v>0</v>
      </c>
      <c r="R481" s="25" t="n">
        <f>IF(M481=0,0,MIN(1,L481/M481))</f>
        <v>0</v>
      </c>
      <c r="S481" s="23" t="n">
        <f>O481*R481</f>
        <v>0</v>
      </c>
      <c r="T481" s="23" t="n">
        <f>MIN(P481,S481)</f>
        <v>0</v>
      </c>
      <c r="U481" s="23" t="n">
        <f>O481-S481</f>
        <v>1</v>
      </c>
      <c r="V481" s="23" t="n">
        <f>MAX(P481-O481,0)</f>
        <v>0</v>
      </c>
    </row>
    <row r="482">
      <c r="A482" s="19" t="str">
        <v>意大利区</v>
      </c>
      <c r="B482" s="19" t="str">
        <v>米兰2号仓</v>
      </c>
      <c r="C482" s="19" t="str">
        <v>包装组</v>
      </c>
      <c r="D482" s="21" t="n">
        <v>46200</v>
      </c>
      <c r="E482" s="19" t="str">
        <v>2026-06</v>
      </c>
      <c r="F482" s="19" t="str">
        <v>操作员</v>
      </c>
      <c r="G482" s="19" t="str">
        <v>IT 08:30-17:00</v>
      </c>
      <c r="H482" s="19" t="str">
        <v>S000313</v>
      </c>
      <c r="I482" s="19" t="str">
        <v>ATTAL GROUP S.p.A.</v>
      </c>
      <c r="J482" s="23" t="n">
        <v>1</v>
      </c>
      <c r="K482" s="23" t="n">
        <v>0</v>
      </c>
      <c r="L482" s="23" t="n">
        <f>J482+K482</f>
        <v>1</v>
      </c>
      <c r="M482" s="23" t="n">
        <v>1</v>
      </c>
      <c r="N482" s="23" t="n">
        <v>1</v>
      </c>
      <c r="O482" s="23" t="n">
        <v>1</v>
      </c>
      <c r="P482" s="23" t="n">
        <v>1</v>
      </c>
      <c r="Q482" s="23" t="n">
        <f>MIN(O482,P482)</f>
        <v>1</v>
      </c>
      <c r="R482" s="25" t="n">
        <f>IF(M482=0,0,MIN(1,L482/M482))</f>
        <v>1</v>
      </c>
      <c r="S482" s="23" t="n">
        <f>O482*R482</f>
        <v>1</v>
      </c>
      <c r="T482" s="23" t="n">
        <f>MIN(P482,S482)</f>
        <v>1</v>
      </c>
      <c r="U482" s="23" t="n">
        <f>O482-S482</f>
        <v>0</v>
      </c>
      <c r="V482" s="23" t="n">
        <f>MAX(P482-O482,0)</f>
        <v>0</v>
      </c>
    </row>
    <row r="483">
      <c r="A483" s="19" t="str">
        <v>意大利区</v>
      </c>
      <c r="B483" s="19" t="str">
        <v>米兰2号仓</v>
      </c>
      <c r="C483" s="19" t="str">
        <v>包装组</v>
      </c>
      <c r="D483" s="21" t="n">
        <v>46201</v>
      </c>
      <c r="E483" s="19" t="str">
        <v>2026-06</v>
      </c>
      <c r="F483" s="19" t="str">
        <v>操作员</v>
      </c>
      <c r="G483" s="19" t="str">
        <v>IT 08:00-16:30</v>
      </c>
      <c r="H483" s="19" t="str">
        <v>S000313</v>
      </c>
      <c r="I483" s="19" t="str">
        <v>ATTAL GROUP S.p.A.</v>
      </c>
      <c r="J483" s="23" t="n">
        <v>0</v>
      </c>
      <c r="K483" s="23" t="n">
        <v>0</v>
      </c>
      <c r="L483" s="23" t="n">
        <f>J483+K483</f>
        <v>0</v>
      </c>
      <c r="M483" s="23" t="n">
        <v>1</v>
      </c>
      <c r="N483" s="23" t="n">
        <v>0</v>
      </c>
      <c r="O483" s="23" t="n">
        <v>1</v>
      </c>
      <c r="P483" s="23" t="n">
        <v>0</v>
      </c>
      <c r="Q483" s="23" t="n">
        <f>MIN(O483,P483)</f>
        <v>0</v>
      </c>
      <c r="R483" s="25" t="n">
        <f>IF(M483=0,0,MIN(1,L483/M483))</f>
        <v>0</v>
      </c>
      <c r="S483" s="23" t="n">
        <f>O483*R483</f>
        <v>0</v>
      </c>
      <c r="T483" s="23" t="n">
        <f>MIN(P483,S483)</f>
        <v>0</v>
      </c>
      <c r="U483" s="23" t="n">
        <f>O483-S483</f>
        <v>1</v>
      </c>
      <c r="V483" s="23" t="n">
        <f>MAX(P483-O483,0)</f>
        <v>0</v>
      </c>
    </row>
    <row r="484">
      <c r="A484" s="19" t="str">
        <v>意大利区</v>
      </c>
      <c r="B484" s="19" t="str">
        <v>米兰2号仓</v>
      </c>
      <c r="C484" s="19" t="str">
        <v>包装组</v>
      </c>
      <c r="D484" s="21" t="n">
        <v>46201</v>
      </c>
      <c r="E484" s="19" t="str">
        <v>2026-06</v>
      </c>
      <c r="F484" s="19" t="str">
        <v>操作员</v>
      </c>
      <c r="G484" s="19" t="str">
        <v>IT 08:30-17:00</v>
      </c>
      <c r="H484" s="19" t="str">
        <v>S000313</v>
      </c>
      <c r="I484" s="19" t="str">
        <v>ATTAL GROUP S.p.A.</v>
      </c>
      <c r="J484" s="23" t="n">
        <v>1</v>
      </c>
      <c r="K484" s="23" t="n">
        <v>0</v>
      </c>
      <c r="L484" s="23" t="n">
        <f>J484+K484</f>
        <v>1</v>
      </c>
      <c r="M484" s="23" t="n">
        <v>1</v>
      </c>
      <c r="N484" s="23" t="n">
        <v>1</v>
      </c>
      <c r="O484" s="23" t="n">
        <v>1</v>
      </c>
      <c r="P484" s="23" t="n">
        <v>1</v>
      </c>
      <c r="Q484" s="23" t="n">
        <f>MIN(O484,P484)</f>
        <v>1</v>
      </c>
      <c r="R484" s="25" t="n">
        <f>IF(M484=0,0,MIN(1,L484/M484))</f>
        <v>1</v>
      </c>
      <c r="S484" s="23" t="n">
        <f>O484*R484</f>
        <v>1</v>
      </c>
      <c r="T484" s="23" t="n">
        <f>MIN(P484,S484)</f>
        <v>1</v>
      </c>
      <c r="U484" s="23" t="n">
        <f>O484-S484</f>
        <v>0</v>
      </c>
      <c r="V484" s="23" t="n">
        <f>MAX(P484-O484,0)</f>
        <v>0</v>
      </c>
    </row>
    <row r="485">
      <c r="A485" s="19" t="str">
        <v>意大利区</v>
      </c>
      <c r="B485" s="19" t="str">
        <v>米兰2号仓</v>
      </c>
      <c r="C485" s="19" t="str">
        <v>拣货组</v>
      </c>
      <c r="D485" s="21" t="n">
        <v>46197</v>
      </c>
      <c r="E485" s="19" t="str">
        <v>2026-06</v>
      </c>
      <c r="F485" s="19" t="str">
        <v>操作员</v>
      </c>
      <c r="G485" s="19" t="str">
        <v>IT 08:00-16:30</v>
      </c>
      <c r="H485" s="19" t="str">
        <v>S000313</v>
      </c>
      <c r="I485" s="19" t="str">
        <v>ATTAL GROUP S.p.A.</v>
      </c>
      <c r="J485" s="23" t="n">
        <v>2</v>
      </c>
      <c r="K485" s="23" t="n">
        <v>0</v>
      </c>
      <c r="L485" s="23" t="n">
        <f>J485+K485</f>
        <v>2</v>
      </c>
      <c r="M485" s="23" t="n">
        <v>2</v>
      </c>
      <c r="N485" s="23" t="n">
        <v>2</v>
      </c>
      <c r="O485" s="23" t="n">
        <v>2</v>
      </c>
      <c r="P485" s="23" t="n">
        <v>2</v>
      </c>
      <c r="Q485" s="23" t="n">
        <f>MIN(O485,P485)</f>
        <v>2</v>
      </c>
      <c r="R485" s="25" t="n">
        <f>IF(M485=0,0,MIN(1,L485/M485))</f>
        <v>1</v>
      </c>
      <c r="S485" s="23" t="n">
        <f>O485*R485</f>
        <v>2</v>
      </c>
      <c r="T485" s="23" t="n">
        <f>MIN(P485,S485)</f>
        <v>2</v>
      </c>
      <c r="U485" s="23" t="n">
        <f>O485-S485</f>
        <v>0</v>
      </c>
      <c r="V485" s="23" t="n">
        <f>MAX(P485-O485,0)</f>
        <v>0</v>
      </c>
    </row>
    <row r="486">
      <c r="A486" s="19" t="str">
        <v>意大利区</v>
      </c>
      <c r="B486" s="19" t="str">
        <v>米兰2号仓</v>
      </c>
      <c r="C486" s="19" t="str">
        <v>拣货组</v>
      </c>
      <c r="D486" s="21" t="n">
        <v>46198</v>
      </c>
      <c r="E486" s="19" t="str">
        <v>2026-06</v>
      </c>
      <c r="F486" s="19" t="str">
        <v>操作员</v>
      </c>
      <c r="G486" s="19" t="str">
        <v>IT 08:00-16:30</v>
      </c>
      <c r="H486" s="19" t="str">
        <v>S000313</v>
      </c>
      <c r="I486" s="19" t="str">
        <v>ATTAL GROUP S.p.A.</v>
      </c>
      <c r="J486" s="23" t="n">
        <v>2</v>
      </c>
      <c r="K486" s="23" t="n">
        <v>0</v>
      </c>
      <c r="L486" s="23" t="n">
        <f>J486+K486</f>
        <v>2</v>
      </c>
      <c r="M486" s="23" t="n">
        <v>2</v>
      </c>
      <c r="N486" s="23" t="n">
        <v>2</v>
      </c>
      <c r="O486" s="23" t="n">
        <v>2</v>
      </c>
      <c r="P486" s="23" t="n">
        <v>2</v>
      </c>
      <c r="Q486" s="23" t="n">
        <f>MIN(O486,P486)</f>
        <v>2</v>
      </c>
      <c r="R486" s="25" t="n">
        <f>IF(M486=0,0,MIN(1,L486/M486))</f>
        <v>1</v>
      </c>
      <c r="S486" s="23" t="n">
        <f>O486*R486</f>
        <v>2</v>
      </c>
      <c r="T486" s="23" t="n">
        <f>MIN(P486,S486)</f>
        <v>2</v>
      </c>
      <c r="U486" s="23" t="n">
        <f>O486-S486</f>
        <v>0</v>
      </c>
      <c r="V486" s="23" t="n">
        <f>MAX(P486-O486,0)</f>
        <v>0</v>
      </c>
    </row>
    <row r="487">
      <c r="A487" s="19" t="str">
        <v>意大利区</v>
      </c>
      <c r="B487" s="19" t="str">
        <v>米兰2号仓</v>
      </c>
      <c r="C487" s="19" t="str">
        <v>拣货组</v>
      </c>
      <c r="D487" s="21" t="n">
        <v>46199</v>
      </c>
      <c r="E487" s="19" t="str">
        <v>2026-06</v>
      </c>
      <c r="F487" s="19" t="str">
        <v>操作员</v>
      </c>
      <c r="G487" s="19" t="str">
        <v>IT 08:00-16:30</v>
      </c>
      <c r="H487" s="19" t="str">
        <v>S000313</v>
      </c>
      <c r="I487" s="19" t="str">
        <v>ATTAL GROUP S.p.A.</v>
      </c>
      <c r="J487" s="23" t="n">
        <v>2</v>
      </c>
      <c r="K487" s="23" t="n">
        <v>0</v>
      </c>
      <c r="L487" s="23" t="n">
        <f>J487+K487</f>
        <v>2</v>
      </c>
      <c r="M487" s="23" t="n">
        <v>2</v>
      </c>
      <c r="N487" s="23" t="n">
        <v>2</v>
      </c>
      <c r="O487" s="23" t="n">
        <v>2</v>
      </c>
      <c r="P487" s="23" t="n">
        <v>2</v>
      </c>
      <c r="Q487" s="23" t="n">
        <f>MIN(O487,P487)</f>
        <v>2</v>
      </c>
      <c r="R487" s="25" t="n">
        <f>IF(M487=0,0,MIN(1,L487/M487))</f>
        <v>1</v>
      </c>
      <c r="S487" s="23" t="n">
        <f>O487*R487</f>
        <v>2</v>
      </c>
      <c r="T487" s="23" t="n">
        <f>MIN(P487,S487)</f>
        <v>2</v>
      </c>
      <c r="U487" s="23" t="n">
        <f>O487-S487</f>
        <v>0</v>
      </c>
      <c r="V487" s="23" t="n">
        <f>MAX(P487-O487,0)</f>
        <v>0</v>
      </c>
    </row>
    <row r="488">
      <c r="A488" s="19" t="str">
        <v>意大利区</v>
      </c>
      <c r="B488" s="19" t="str">
        <v>米兰2号仓</v>
      </c>
      <c r="C488" s="19" t="str">
        <v>拣货组</v>
      </c>
      <c r="D488" s="21" t="n">
        <v>46200</v>
      </c>
      <c r="E488" s="19" t="str">
        <v>2026-06</v>
      </c>
      <c r="F488" s="19" t="str">
        <v>操作员</v>
      </c>
      <c r="G488" s="19" t="str">
        <v>IT 08:00-16:30</v>
      </c>
      <c r="H488" s="19" t="str">
        <v>S000313</v>
      </c>
      <c r="I488" s="19" t="str">
        <v>ATTAL GROUP S.p.A.</v>
      </c>
      <c r="J488" s="23" t="n">
        <v>2</v>
      </c>
      <c r="K488" s="23" t="n">
        <v>0</v>
      </c>
      <c r="L488" s="23" t="n">
        <f>J488+K488</f>
        <v>2</v>
      </c>
      <c r="M488" s="23" t="n">
        <v>2</v>
      </c>
      <c r="N488" s="23" t="n">
        <v>2</v>
      </c>
      <c r="O488" s="23" t="n">
        <v>2</v>
      </c>
      <c r="P488" s="23" t="n">
        <v>2</v>
      </c>
      <c r="Q488" s="23" t="n">
        <f>MIN(O488,P488)</f>
        <v>2</v>
      </c>
      <c r="R488" s="25" t="n">
        <f>IF(M488=0,0,MIN(1,L488/M488))</f>
        <v>1</v>
      </c>
      <c r="S488" s="23" t="n">
        <f>O488*R488</f>
        <v>2</v>
      </c>
      <c r="T488" s="23" t="n">
        <f>MIN(P488,S488)</f>
        <v>2</v>
      </c>
      <c r="U488" s="23" t="n">
        <f>O488-S488</f>
        <v>0</v>
      </c>
      <c r="V488" s="23" t="n">
        <f>MAX(P488-O488,0)</f>
        <v>0</v>
      </c>
    </row>
    <row r="489">
      <c r="A489" s="19" t="str">
        <v>意大利区</v>
      </c>
      <c r="B489" s="19" t="str">
        <v>米兰2号仓</v>
      </c>
      <c r="C489" s="19" t="str">
        <v>拣货组</v>
      </c>
      <c r="D489" s="21" t="n">
        <v>46201</v>
      </c>
      <c r="E489" s="19" t="str">
        <v>2026-06</v>
      </c>
      <c r="F489" s="19" t="str">
        <v>操作员</v>
      </c>
      <c r="G489" s="19" t="str">
        <v>IT 08:00-16:30</v>
      </c>
      <c r="H489" s="19" t="str">
        <v>S000313</v>
      </c>
      <c r="I489" s="19" t="str">
        <v>ATTAL GROUP S.p.A.</v>
      </c>
      <c r="J489" s="23" t="n">
        <v>2</v>
      </c>
      <c r="K489" s="23" t="n">
        <v>0</v>
      </c>
      <c r="L489" s="23" t="n">
        <f>J489+K489</f>
        <v>2</v>
      </c>
      <c r="M489" s="23" t="n">
        <v>2</v>
      </c>
      <c r="N489" s="23" t="n">
        <v>2</v>
      </c>
      <c r="O489" s="23" t="n">
        <v>2</v>
      </c>
      <c r="P489" s="23" t="n">
        <v>2</v>
      </c>
      <c r="Q489" s="23" t="n">
        <f>MIN(O489,P489)</f>
        <v>2</v>
      </c>
      <c r="R489" s="25" t="n">
        <f>IF(M489=0,0,MIN(1,L489/M489))</f>
        <v>1</v>
      </c>
      <c r="S489" s="23" t="n">
        <f>O489*R489</f>
        <v>2</v>
      </c>
      <c r="T489" s="23" t="n">
        <f>MIN(P489,S489)</f>
        <v>2</v>
      </c>
      <c r="U489" s="23" t="n">
        <f>O489-S489</f>
        <v>0</v>
      </c>
      <c r="V489" s="23" t="n">
        <f>MAX(P489-O489,0)</f>
        <v>0</v>
      </c>
    </row>
    <row r="490">
      <c r="A490" s="19" t="str">
        <v>意大利区</v>
      </c>
      <c r="B490" s="19" t="str">
        <v>米兰2号仓</v>
      </c>
      <c r="C490" s="19" t="str">
        <v>拣货组</v>
      </c>
      <c r="D490" s="21" t="n">
        <v>46202</v>
      </c>
      <c r="E490" s="19" t="str">
        <v>2026-06</v>
      </c>
      <c r="F490" s="19" t="str">
        <v>操作员</v>
      </c>
      <c r="G490" s="19" t="str">
        <v>IT 08:00-16:30</v>
      </c>
      <c r="H490" s="19" t="str">
        <v>S000313</v>
      </c>
      <c r="I490" s="19" t="str">
        <v>ATTAL GROUP S.p.A.</v>
      </c>
      <c r="J490" s="23" t="n">
        <v>2</v>
      </c>
      <c r="K490" s="23" t="n">
        <v>0</v>
      </c>
      <c r="L490" s="23" t="n">
        <f>J490+K490</f>
        <v>2</v>
      </c>
      <c r="M490" s="23" t="n">
        <v>2</v>
      </c>
      <c r="N490" s="23" t="n">
        <v>2</v>
      </c>
      <c r="O490" s="23" t="n">
        <v>2</v>
      </c>
      <c r="P490" s="23" t="n">
        <v>2</v>
      </c>
      <c r="Q490" s="23" t="n">
        <f>MIN(O490,P490)</f>
        <v>2</v>
      </c>
      <c r="R490" s="25" t="n">
        <f>IF(M490=0,0,MIN(1,L490/M490))</f>
        <v>1</v>
      </c>
      <c r="S490" s="23" t="n">
        <f>O490*R490</f>
        <v>2</v>
      </c>
      <c r="T490" s="23" t="n">
        <f>MIN(P490,S490)</f>
        <v>2</v>
      </c>
      <c r="U490" s="23" t="n">
        <f>O490-S490</f>
        <v>0</v>
      </c>
      <c r="V490" s="23" t="n">
        <f>MAX(P490-O490,0)</f>
        <v>0</v>
      </c>
    </row>
    <row r="491">
      <c r="A491" s="19" t="str">
        <v>意大利区</v>
      </c>
      <c r="B491" s="19" t="str">
        <v>米兰2号仓</v>
      </c>
      <c r="C491" s="19" t="str">
        <v>拣货组</v>
      </c>
      <c r="D491" s="21" t="n">
        <v>46203</v>
      </c>
      <c r="E491" s="19" t="str">
        <v>2026-06</v>
      </c>
      <c r="F491" s="19" t="str">
        <v>操作员</v>
      </c>
      <c r="G491" s="19" t="str">
        <v>IT 08:00-16:30</v>
      </c>
      <c r="H491" s="19" t="str">
        <v>S000313</v>
      </c>
      <c r="I491" s="19" t="str">
        <v>ATTAL GROUP S.p.A.</v>
      </c>
      <c r="J491" s="23" t="n">
        <v>2</v>
      </c>
      <c r="K491" s="23" t="n">
        <v>0</v>
      </c>
      <c r="L491" s="23" t="n">
        <f>J491+K491</f>
        <v>2</v>
      </c>
      <c r="M491" s="23" t="n">
        <v>2</v>
      </c>
      <c r="N491" s="23" t="n">
        <v>2</v>
      </c>
      <c r="O491" s="23" t="n">
        <v>2</v>
      </c>
      <c r="P491" s="23" t="n">
        <v>2</v>
      </c>
      <c r="Q491" s="23" t="n">
        <f>MIN(O491,P491)</f>
        <v>2</v>
      </c>
      <c r="R491" s="25" t="n">
        <f>IF(M491=0,0,MIN(1,L491/M491))</f>
        <v>1</v>
      </c>
      <c r="S491" s="23" t="n">
        <f>O491*R491</f>
        <v>2</v>
      </c>
      <c r="T491" s="23" t="n">
        <f>MIN(P491,S491)</f>
        <v>2</v>
      </c>
      <c r="U491" s="23" t="n">
        <f>O491-S491</f>
        <v>0</v>
      </c>
      <c r="V491" s="23" t="n">
        <f>MAX(P491-O491,0)</f>
        <v>0</v>
      </c>
    </row>
    <row r="492">
      <c r="A492" s="19" t="str">
        <v>意大利区</v>
      </c>
      <c r="B492" s="19" t="str">
        <v>米兰3号仓(SN)</v>
      </c>
      <c r="C492" s="19" t="str">
        <v>A班组-收货组</v>
      </c>
      <c r="D492" s="21" t="n">
        <v>46193</v>
      </c>
      <c r="E492" s="19" t="str">
        <v>2026-06</v>
      </c>
      <c r="F492" s="19" t="str">
        <v>操作员</v>
      </c>
      <c r="G492" s="19" t="str">
        <v>IT 08:00-16:30</v>
      </c>
      <c r="H492" s="19" t="str">
        <v>S000337</v>
      </c>
      <c r="I492" s="19" t="str">
        <v>SYNERGIE</v>
      </c>
      <c r="J492" s="23" t="n">
        <v>8</v>
      </c>
      <c r="K492" s="23" t="n">
        <v>0</v>
      </c>
      <c r="L492" s="23" t="n">
        <f>J492+K492</f>
        <v>8</v>
      </c>
      <c r="M492" s="23" t="n">
        <v>8</v>
      </c>
      <c r="N492" s="23" t="n">
        <v>8</v>
      </c>
      <c r="O492" s="23" t="n">
        <v>8</v>
      </c>
      <c r="P492" s="23" t="n">
        <v>8</v>
      </c>
      <c r="Q492" s="23" t="n">
        <f>MIN(O492,P492)</f>
        <v>8</v>
      </c>
      <c r="R492" s="25" t="n">
        <f>IF(M492=0,0,MIN(1,L492/M492))</f>
        <v>1</v>
      </c>
      <c r="S492" s="23" t="n">
        <f>O492*R492</f>
        <v>8</v>
      </c>
      <c r="T492" s="23" t="n">
        <f>MIN(P492,S492)</f>
        <v>8</v>
      </c>
      <c r="U492" s="23" t="n">
        <f>O492-S492</f>
        <v>0</v>
      </c>
      <c r="V492" s="23" t="n">
        <f>MAX(P492-O492,0)</f>
        <v>0</v>
      </c>
    </row>
    <row r="493">
      <c r="A493" s="19" t="str">
        <v>意大利区</v>
      </c>
      <c r="B493" s="19" t="str">
        <v>米兰3号仓(SN)</v>
      </c>
      <c r="C493" s="19" t="str">
        <v>A班组-收货组</v>
      </c>
      <c r="D493" s="21" t="n">
        <v>46194</v>
      </c>
      <c r="E493" s="19" t="str">
        <v>2026-06</v>
      </c>
      <c r="F493" s="19" t="str">
        <v>操作员</v>
      </c>
      <c r="G493" s="19" t="str">
        <v>IT 08:00-16:30</v>
      </c>
      <c r="H493" s="19" t="str">
        <v>S000337</v>
      </c>
      <c r="I493" s="19" t="str">
        <v>SYNERGIE</v>
      </c>
      <c r="J493" s="23" t="n">
        <v>18</v>
      </c>
      <c r="K493" s="23" t="n">
        <v>0</v>
      </c>
      <c r="L493" s="23" t="n">
        <f>J493+K493</f>
        <v>18</v>
      </c>
      <c r="M493" s="23" t="n">
        <v>18</v>
      </c>
      <c r="N493" s="23" t="n">
        <v>18</v>
      </c>
      <c r="O493" s="23" t="n">
        <v>18</v>
      </c>
      <c r="P493" s="23" t="n">
        <v>18</v>
      </c>
      <c r="Q493" s="23" t="n">
        <f>MIN(O493,P493)</f>
        <v>18</v>
      </c>
      <c r="R493" s="25" t="n">
        <f>IF(M493=0,0,MIN(1,L493/M493))</f>
        <v>1</v>
      </c>
      <c r="S493" s="23" t="n">
        <f>O493*R493</f>
        <v>18</v>
      </c>
      <c r="T493" s="23" t="n">
        <f>MIN(P493,S493)</f>
        <v>18</v>
      </c>
      <c r="U493" s="23" t="n">
        <f>O493-S493</f>
        <v>0</v>
      </c>
      <c r="V493" s="23" t="n">
        <f>MAX(P493-O493,0)</f>
        <v>0</v>
      </c>
    </row>
    <row r="494">
      <c r="A494" s="19" t="str">
        <v>意大利区</v>
      </c>
      <c r="B494" s="19" t="str">
        <v>米兰3号仓(SN)</v>
      </c>
      <c r="C494" s="19" t="str">
        <v>A班组-收货组</v>
      </c>
      <c r="D494" s="21" t="n">
        <v>46195</v>
      </c>
      <c r="E494" s="19" t="str">
        <v>2026-06</v>
      </c>
      <c r="F494" s="19" t="str">
        <v>操作员</v>
      </c>
      <c r="G494" s="19" t="str">
        <v>IT 08:00-16:30</v>
      </c>
      <c r="H494" s="19" t="str">
        <v>S000337</v>
      </c>
      <c r="I494" s="19" t="str">
        <v>SYNERGIE</v>
      </c>
      <c r="J494" s="23" t="n">
        <v>18</v>
      </c>
      <c r="K494" s="23" t="n">
        <v>0</v>
      </c>
      <c r="L494" s="23" t="n">
        <f>J494+K494</f>
        <v>18</v>
      </c>
      <c r="M494" s="23" t="n">
        <v>18</v>
      </c>
      <c r="N494" s="23" t="n">
        <v>18</v>
      </c>
      <c r="O494" s="23" t="n">
        <v>18</v>
      </c>
      <c r="P494" s="23" t="n">
        <v>18</v>
      </c>
      <c r="Q494" s="23" t="n">
        <f>MIN(O494,P494)</f>
        <v>18</v>
      </c>
      <c r="R494" s="25" t="n">
        <f>IF(M494=0,0,MIN(1,L494/M494))</f>
        <v>1</v>
      </c>
      <c r="S494" s="23" t="n">
        <f>O494*R494</f>
        <v>18</v>
      </c>
      <c r="T494" s="23" t="n">
        <f>MIN(P494,S494)</f>
        <v>18</v>
      </c>
      <c r="U494" s="23" t="n">
        <f>O494-S494</f>
        <v>0</v>
      </c>
      <c r="V494" s="23" t="n">
        <f>MAX(P494-O494,0)</f>
        <v>0</v>
      </c>
    </row>
    <row r="495">
      <c r="A495" s="19" t="str">
        <v>意大利区</v>
      </c>
      <c r="B495" s="19" t="str">
        <v>米兰3号仓(SN)</v>
      </c>
      <c r="C495" s="19" t="str">
        <v>A班组-收货组</v>
      </c>
      <c r="D495" s="21" t="n">
        <v>46196</v>
      </c>
      <c r="E495" s="19" t="str">
        <v>2026-06</v>
      </c>
      <c r="F495" s="19" t="str">
        <v>操作员</v>
      </c>
      <c r="G495" s="19" t="str">
        <v>IT 08:00-16:30</v>
      </c>
      <c r="H495" s="19" t="str">
        <v>S000337</v>
      </c>
      <c r="I495" s="19" t="str">
        <v>SYNERGIE</v>
      </c>
      <c r="J495" s="23" t="n">
        <v>18</v>
      </c>
      <c r="K495" s="23" t="n">
        <v>0</v>
      </c>
      <c r="L495" s="23" t="n">
        <f>J495+K495</f>
        <v>18</v>
      </c>
      <c r="M495" s="23" t="n">
        <v>18</v>
      </c>
      <c r="N495" s="23" t="n">
        <v>18</v>
      </c>
      <c r="O495" s="23" t="n">
        <v>18</v>
      </c>
      <c r="P495" s="23" t="n">
        <v>18</v>
      </c>
      <c r="Q495" s="23" t="n">
        <f>MIN(O495,P495)</f>
        <v>18</v>
      </c>
      <c r="R495" s="25" t="n">
        <f>IF(M495=0,0,MIN(1,L495/M495))</f>
        <v>1</v>
      </c>
      <c r="S495" s="23" t="n">
        <f>O495*R495</f>
        <v>18</v>
      </c>
      <c r="T495" s="23" t="n">
        <f>MIN(P495,S495)</f>
        <v>18</v>
      </c>
      <c r="U495" s="23" t="n">
        <f>O495-S495</f>
        <v>0</v>
      </c>
      <c r="V495" s="23" t="n">
        <f>MAX(P495-O495,0)</f>
        <v>0</v>
      </c>
    </row>
    <row r="496">
      <c r="A496" s="19" t="str">
        <v>意大利区</v>
      </c>
      <c r="B496" s="19" t="str">
        <v>米兰3号仓(SN)</v>
      </c>
      <c r="C496" s="19" t="str">
        <v>A班组-收货组</v>
      </c>
      <c r="D496" s="21" t="n">
        <v>46197</v>
      </c>
      <c r="E496" s="19" t="str">
        <v>2026-06</v>
      </c>
      <c r="F496" s="19" t="str">
        <v>操作员</v>
      </c>
      <c r="G496" s="19" t="str">
        <v>IT 08:00-16:30</v>
      </c>
      <c r="H496" s="19" t="str">
        <v>S000337</v>
      </c>
      <c r="I496" s="19" t="str">
        <v>SYNERGIE</v>
      </c>
      <c r="J496" s="23" t="n">
        <v>18</v>
      </c>
      <c r="K496" s="23" t="n">
        <v>0</v>
      </c>
      <c r="L496" s="23" t="n">
        <f>J496+K496</f>
        <v>18</v>
      </c>
      <c r="M496" s="23" t="n">
        <v>18</v>
      </c>
      <c r="N496" s="23" t="n">
        <v>18</v>
      </c>
      <c r="O496" s="23" t="n">
        <v>18</v>
      </c>
      <c r="P496" s="23" t="n">
        <v>18</v>
      </c>
      <c r="Q496" s="23" t="n">
        <f>MIN(O496,P496)</f>
        <v>18</v>
      </c>
      <c r="R496" s="25" t="n">
        <f>IF(M496=0,0,MIN(1,L496/M496))</f>
        <v>1</v>
      </c>
      <c r="S496" s="23" t="n">
        <f>O496*R496</f>
        <v>18</v>
      </c>
      <c r="T496" s="23" t="n">
        <f>MIN(P496,S496)</f>
        <v>18</v>
      </c>
      <c r="U496" s="23" t="n">
        <f>O496-S496</f>
        <v>0</v>
      </c>
      <c r="V496" s="23" t="n">
        <f>MAX(P496-O496,0)</f>
        <v>0</v>
      </c>
    </row>
    <row r="497">
      <c r="A497" s="19" t="str">
        <v>意大利区</v>
      </c>
      <c r="B497" s="19" t="str">
        <v>米兰3号仓(SN)</v>
      </c>
      <c r="C497" s="19" t="str">
        <v>A班组-收货组</v>
      </c>
      <c r="D497" s="21" t="n">
        <v>46198</v>
      </c>
      <c r="E497" s="19" t="str">
        <v>2026-06</v>
      </c>
      <c r="F497" s="19" t="str">
        <v>操作员</v>
      </c>
      <c r="G497" s="19" t="str">
        <v>IT 08:00-16:30</v>
      </c>
      <c r="H497" s="19" t="str">
        <v>S000337</v>
      </c>
      <c r="I497" s="19" t="str">
        <v>SYNERGIE</v>
      </c>
      <c r="J497" s="23" t="n">
        <v>18</v>
      </c>
      <c r="K497" s="23" t="n">
        <v>0</v>
      </c>
      <c r="L497" s="23" t="n">
        <f>J497+K497</f>
        <v>18</v>
      </c>
      <c r="M497" s="23" t="n">
        <v>18</v>
      </c>
      <c r="N497" s="23" t="n">
        <v>18</v>
      </c>
      <c r="O497" s="23" t="n">
        <v>18</v>
      </c>
      <c r="P497" s="23" t="n">
        <v>18</v>
      </c>
      <c r="Q497" s="23" t="n">
        <f>MIN(O497,P497)</f>
        <v>18</v>
      </c>
      <c r="R497" s="25" t="n">
        <f>IF(M497=0,0,MIN(1,L497/M497))</f>
        <v>1</v>
      </c>
      <c r="S497" s="23" t="n">
        <f>O497*R497</f>
        <v>18</v>
      </c>
      <c r="T497" s="23" t="n">
        <f>MIN(P497,S497)</f>
        <v>18</v>
      </c>
      <c r="U497" s="23" t="n">
        <f>O497-S497</f>
        <v>0</v>
      </c>
      <c r="V497" s="23" t="n">
        <f>MAX(P497-O497,0)</f>
        <v>0</v>
      </c>
    </row>
    <row r="498">
      <c r="A498" s="19" t="str">
        <v>意大利区</v>
      </c>
      <c r="B498" s="19" t="str">
        <v>米兰3号仓(SN)</v>
      </c>
      <c r="C498" s="19" t="str">
        <v>A班组-收货组</v>
      </c>
      <c r="D498" s="21" t="n">
        <v>46199</v>
      </c>
      <c r="E498" s="19" t="str">
        <v>2026-06</v>
      </c>
      <c r="F498" s="19" t="str">
        <v>操作员</v>
      </c>
      <c r="G498" s="19" t="str">
        <v>IT 08:00-16:30</v>
      </c>
      <c r="H498" s="19" t="str">
        <v>S000337</v>
      </c>
      <c r="I498" s="19" t="str">
        <v>SYNERGIE</v>
      </c>
      <c r="J498" s="23" t="n">
        <v>18</v>
      </c>
      <c r="K498" s="23" t="n">
        <v>0</v>
      </c>
      <c r="L498" s="23" t="n">
        <f>J498+K498</f>
        <v>18</v>
      </c>
      <c r="M498" s="23" t="n">
        <v>18</v>
      </c>
      <c r="N498" s="23" t="n">
        <v>18</v>
      </c>
      <c r="O498" s="23" t="n">
        <v>18</v>
      </c>
      <c r="P498" s="23" t="n">
        <v>18</v>
      </c>
      <c r="Q498" s="23" t="n">
        <f>MIN(O498,P498)</f>
        <v>18</v>
      </c>
      <c r="R498" s="25" t="n">
        <f>IF(M498=0,0,MIN(1,L498/M498))</f>
        <v>1</v>
      </c>
      <c r="S498" s="23" t="n">
        <f>O498*R498</f>
        <v>18</v>
      </c>
      <c r="T498" s="23" t="n">
        <f>MIN(P498,S498)</f>
        <v>18</v>
      </c>
      <c r="U498" s="23" t="n">
        <f>O498-S498</f>
        <v>0</v>
      </c>
      <c r="V498" s="23" t="n">
        <f>MAX(P498-O498,0)</f>
        <v>0</v>
      </c>
    </row>
    <row r="499">
      <c r="A499" s="19" t="str">
        <v>意大利区</v>
      </c>
      <c r="B499" s="19" t="str">
        <v>米兰3号仓(SN)</v>
      </c>
      <c r="C499" s="19" t="str">
        <v>A班组-收货组</v>
      </c>
      <c r="D499" s="21" t="n">
        <v>46200</v>
      </c>
      <c r="E499" s="19" t="str">
        <v>2026-06</v>
      </c>
      <c r="F499" s="19" t="str">
        <v>操作员</v>
      </c>
      <c r="G499" s="19" t="str">
        <v>IT 08:00-16:30</v>
      </c>
      <c r="H499" s="19" t="str">
        <v>S000337</v>
      </c>
      <c r="I499" s="19" t="str">
        <v>SYNERGIE</v>
      </c>
      <c r="J499" s="23" t="n">
        <v>18</v>
      </c>
      <c r="K499" s="23" t="n">
        <v>0</v>
      </c>
      <c r="L499" s="23" t="n">
        <f>J499+K499</f>
        <v>18</v>
      </c>
      <c r="M499" s="23" t="n">
        <v>18</v>
      </c>
      <c r="N499" s="23" t="n">
        <v>18</v>
      </c>
      <c r="O499" s="23" t="n">
        <v>18</v>
      </c>
      <c r="P499" s="23" t="n">
        <v>18</v>
      </c>
      <c r="Q499" s="23" t="n">
        <f>MIN(O499,P499)</f>
        <v>18</v>
      </c>
      <c r="R499" s="25" t="n">
        <f>IF(M499=0,0,MIN(1,L499/M499))</f>
        <v>1</v>
      </c>
      <c r="S499" s="23" t="n">
        <f>O499*R499</f>
        <v>18</v>
      </c>
      <c r="T499" s="23" t="n">
        <f>MIN(P499,S499)</f>
        <v>18</v>
      </c>
      <c r="U499" s="23" t="n">
        <f>O499-S499</f>
        <v>0</v>
      </c>
      <c r="V499" s="23" t="n">
        <f>MAX(P499-O499,0)</f>
        <v>0</v>
      </c>
    </row>
    <row r="500">
      <c r="A500" s="19" t="str">
        <v>意大利区</v>
      </c>
      <c r="B500" s="19" t="str">
        <v>米兰3号仓(SN)</v>
      </c>
      <c r="C500" s="19" t="str">
        <v>A班组-收货组</v>
      </c>
      <c r="D500" s="21" t="n">
        <v>46201</v>
      </c>
      <c r="E500" s="19" t="str">
        <v>2026-06</v>
      </c>
      <c r="F500" s="19" t="str">
        <v>操作员</v>
      </c>
      <c r="G500" s="19" t="str">
        <v>IT 08:00-16:30</v>
      </c>
      <c r="H500" s="19" t="str">
        <v>S000337</v>
      </c>
      <c r="I500" s="19" t="str">
        <v>SYNERGIE</v>
      </c>
      <c r="J500" s="23" t="n">
        <v>18</v>
      </c>
      <c r="K500" s="23" t="n">
        <v>0</v>
      </c>
      <c r="L500" s="23" t="n">
        <f>J500+K500</f>
        <v>18</v>
      </c>
      <c r="M500" s="23" t="n">
        <v>18</v>
      </c>
      <c r="N500" s="23" t="n">
        <v>18</v>
      </c>
      <c r="O500" s="23" t="n">
        <v>18</v>
      </c>
      <c r="P500" s="23" t="n">
        <v>18</v>
      </c>
      <c r="Q500" s="23" t="n">
        <f>MIN(O500,P500)</f>
        <v>18</v>
      </c>
      <c r="R500" s="25" t="n">
        <f>IF(M500=0,0,MIN(1,L500/M500))</f>
        <v>1</v>
      </c>
      <c r="S500" s="23" t="n">
        <f>O500*R500</f>
        <v>18</v>
      </c>
      <c r="T500" s="23" t="n">
        <f>MIN(P500,S500)</f>
        <v>18</v>
      </c>
      <c r="U500" s="23" t="n">
        <f>O500-S500</f>
        <v>0</v>
      </c>
      <c r="V500" s="23" t="n">
        <f>MAX(P500-O500,0)</f>
        <v>0</v>
      </c>
    </row>
    <row r="501">
      <c r="A501" s="19" t="str">
        <v>意大利区</v>
      </c>
      <c r="B501" s="19" t="str">
        <v>米兰3号仓(SN)</v>
      </c>
      <c r="C501" s="19" t="str">
        <v>A班组-收货组</v>
      </c>
      <c r="D501" s="21" t="n">
        <v>46202</v>
      </c>
      <c r="E501" s="19" t="str">
        <v>2026-06</v>
      </c>
      <c r="F501" s="19" t="str">
        <v>操作员</v>
      </c>
      <c r="G501" s="19" t="str">
        <v>IT 08:00-16:30</v>
      </c>
      <c r="H501" s="19" t="str">
        <v>S000337</v>
      </c>
      <c r="I501" s="19" t="str">
        <v>SYNERGIE</v>
      </c>
      <c r="J501" s="23" t="n">
        <v>18</v>
      </c>
      <c r="K501" s="23" t="n">
        <v>0</v>
      </c>
      <c r="L501" s="23" t="n">
        <f>J501+K501</f>
        <v>18</v>
      </c>
      <c r="M501" s="23" t="n">
        <v>18</v>
      </c>
      <c r="N501" s="23" t="n">
        <v>18</v>
      </c>
      <c r="O501" s="23" t="n">
        <v>18</v>
      </c>
      <c r="P501" s="23" t="n">
        <v>18</v>
      </c>
      <c r="Q501" s="23" t="n">
        <f>MIN(O501,P501)</f>
        <v>18</v>
      </c>
      <c r="R501" s="25" t="n">
        <f>IF(M501=0,0,MIN(1,L501/M501))</f>
        <v>1</v>
      </c>
      <c r="S501" s="23" t="n">
        <f>O501*R501</f>
        <v>18</v>
      </c>
      <c r="T501" s="23" t="n">
        <f>MIN(P501,S501)</f>
        <v>18</v>
      </c>
      <c r="U501" s="23" t="n">
        <f>O501-S501</f>
        <v>0</v>
      </c>
      <c r="V501" s="23" t="n">
        <f>MAX(P501-O501,0)</f>
        <v>0</v>
      </c>
    </row>
    <row r="502">
      <c r="A502" s="19" t="str">
        <v>捷克区</v>
      </c>
      <c r="B502" s="19" t="str">
        <v>布拉格1号仓</v>
      </c>
      <c r="C502" s="19" t="str">
        <v>包装组</v>
      </c>
      <c r="D502" s="21" t="n">
        <v>46168</v>
      </c>
      <c r="E502" s="19" t="str">
        <v>2026-05</v>
      </c>
      <c r="F502" s="19" t="str">
        <v>操作员</v>
      </c>
      <c r="G502" s="19" t="str">
        <v>捷克区07:00-15:30 / CZ 07:00-15:30</v>
      </c>
      <c r="H502" s="19" t="str">
        <v>S000317</v>
      </c>
      <c r="I502" s="19" t="str">
        <v>Středoevropská pracovní agentura s.r.o.</v>
      </c>
      <c r="J502" s="23" t="n">
        <v>0</v>
      </c>
      <c r="K502" s="23" t="n">
        <v>0</v>
      </c>
      <c r="L502" s="23" t="n">
        <f>J502+K502</f>
        <v>0</v>
      </c>
      <c r="M502" s="23" t="n">
        <v>1</v>
      </c>
      <c r="N502" s="23" t="n">
        <v>0</v>
      </c>
      <c r="O502" s="23" t="n">
        <v>1</v>
      </c>
      <c r="P502" s="23" t="n">
        <v>0</v>
      </c>
      <c r="Q502" s="23" t="n">
        <f>MIN(O502,P502)</f>
        <v>0</v>
      </c>
      <c r="R502" s="25" t="n">
        <f>IF(M502=0,0,MIN(1,L502/M502))</f>
        <v>0</v>
      </c>
      <c r="S502" s="23" t="n">
        <f>O502*R502</f>
        <v>0</v>
      </c>
      <c r="T502" s="23" t="n">
        <f>MIN(P502,S502)</f>
        <v>0</v>
      </c>
      <c r="U502" s="23" t="n">
        <f>O502-S502</f>
        <v>1</v>
      </c>
      <c r="V502" s="23" t="n">
        <f>MAX(P502-O502,0)</f>
        <v>0</v>
      </c>
    </row>
    <row r="503">
      <c r="A503" s="19" t="str">
        <v>捷克区</v>
      </c>
      <c r="B503" s="19" t="str">
        <v>布拉格1号仓</v>
      </c>
      <c r="C503" s="19" t="str">
        <v>包装组</v>
      </c>
      <c r="D503" s="21" t="n">
        <v>46170</v>
      </c>
      <c r="E503" s="19" t="str">
        <v>2026-05</v>
      </c>
      <c r="F503" s="19" t="str">
        <v>操作员</v>
      </c>
      <c r="G503" s="19" t="str">
        <v>捷克区07:00-15:30 / CZ 07:00-15:30</v>
      </c>
      <c r="H503" s="19" t="str">
        <v>S000098</v>
      </c>
      <c r="I503" s="19" t="str">
        <v>PERSONALEK Plus s.r.o.</v>
      </c>
      <c r="J503" s="23" t="n">
        <v>1</v>
      </c>
      <c r="K503" s="23" t="n">
        <v>0</v>
      </c>
      <c r="L503" s="23" t="n">
        <f>J503+K503</f>
        <v>1</v>
      </c>
      <c r="M503" s="23" t="n">
        <v>1</v>
      </c>
      <c r="N503" s="23" t="n">
        <v>0</v>
      </c>
      <c r="O503" s="23" t="n">
        <v>1</v>
      </c>
      <c r="P503" s="23" t="n">
        <v>0</v>
      </c>
      <c r="Q503" s="23" t="n">
        <f>MIN(O503,P503)</f>
        <v>0</v>
      </c>
      <c r="R503" s="25" t="n">
        <f>IF(M503=0,0,MIN(1,L503/M503))</f>
        <v>1</v>
      </c>
      <c r="S503" s="23" t="n">
        <f>O503*R503</f>
        <v>1</v>
      </c>
      <c r="T503" s="23" t="n">
        <f>MIN(P503,S503)</f>
        <v>0</v>
      </c>
      <c r="U503" s="23" t="n">
        <f>O503-S503</f>
        <v>0</v>
      </c>
      <c r="V503" s="23" t="n">
        <f>MAX(P503-O503,0)</f>
        <v>0</v>
      </c>
    </row>
    <row r="504">
      <c r="A504" s="19" t="str">
        <v>捷克区</v>
      </c>
      <c r="B504" s="19" t="str">
        <v>布拉格1号仓</v>
      </c>
      <c r="C504" s="19" t="str">
        <v>包装组</v>
      </c>
      <c r="D504" s="21" t="n">
        <v>46171</v>
      </c>
      <c r="E504" s="19" t="str">
        <v>2026-05</v>
      </c>
      <c r="F504" s="19" t="str">
        <v>操作员</v>
      </c>
      <c r="G504" s="19" t="str">
        <v>捷克区07:00-15:30 / CZ 07:00-15:30</v>
      </c>
      <c r="H504" s="19" t="str">
        <v>S000098</v>
      </c>
      <c r="I504" s="19" t="str">
        <v>PERSONALEK Plus s.r.o.</v>
      </c>
      <c r="J504" s="23" t="n">
        <v>1</v>
      </c>
      <c r="K504" s="23" t="n">
        <v>0</v>
      </c>
      <c r="L504" s="23" t="n">
        <f>J504+K504</f>
        <v>1</v>
      </c>
      <c r="M504" s="23" t="n">
        <v>1</v>
      </c>
      <c r="N504" s="23" t="n">
        <v>0</v>
      </c>
      <c r="O504" s="23" t="n">
        <v>1</v>
      </c>
      <c r="P504" s="23" t="n">
        <v>0</v>
      </c>
      <c r="Q504" s="23" t="n">
        <f>MIN(O504,P504)</f>
        <v>0</v>
      </c>
      <c r="R504" s="25" t="n">
        <f>IF(M504=0,0,MIN(1,L504/M504))</f>
        <v>1</v>
      </c>
      <c r="S504" s="23" t="n">
        <f>O504*R504</f>
        <v>1</v>
      </c>
      <c r="T504" s="23" t="n">
        <f>MIN(P504,S504)</f>
        <v>0</v>
      </c>
      <c r="U504" s="23" t="n">
        <f>O504-S504</f>
        <v>0</v>
      </c>
      <c r="V504" s="23" t="n">
        <f>MAX(P504-O504,0)</f>
        <v>0</v>
      </c>
    </row>
    <row r="505">
      <c r="A505" s="19" t="str">
        <v>捷克区</v>
      </c>
      <c r="B505" s="19" t="str">
        <v>布拉格1号仓</v>
      </c>
      <c r="C505" s="19" t="str">
        <v>包装组</v>
      </c>
      <c r="D505" s="21" t="n">
        <v>46172</v>
      </c>
      <c r="E505" s="19" t="str">
        <v>2026-05</v>
      </c>
      <c r="F505" s="19" t="str">
        <v>操作员</v>
      </c>
      <c r="G505" s="19" t="str">
        <v>捷克区07:00-15:30 / CZ 07:00-15:30</v>
      </c>
      <c r="H505" s="19" t="str">
        <v>S000098</v>
      </c>
      <c r="I505" s="19" t="str">
        <v>PERSONALEK Plus s.r.o.</v>
      </c>
      <c r="J505" s="23" t="n">
        <v>1</v>
      </c>
      <c r="K505" s="23" t="n">
        <v>0</v>
      </c>
      <c r="L505" s="23" t="n">
        <f>J505+K505</f>
        <v>1</v>
      </c>
      <c r="M505" s="23" t="n">
        <v>1</v>
      </c>
      <c r="N505" s="23" t="n">
        <v>0</v>
      </c>
      <c r="O505" s="23" t="n">
        <v>1</v>
      </c>
      <c r="P505" s="23" t="n">
        <v>0</v>
      </c>
      <c r="Q505" s="23" t="n">
        <f>MIN(O505,P505)</f>
        <v>0</v>
      </c>
      <c r="R505" s="25" t="n">
        <f>IF(M505=0,0,MIN(1,L505/M505))</f>
        <v>1</v>
      </c>
      <c r="S505" s="23" t="n">
        <f>O505*R505</f>
        <v>1</v>
      </c>
      <c r="T505" s="23" t="n">
        <f>MIN(P505,S505)</f>
        <v>0</v>
      </c>
      <c r="U505" s="23" t="n">
        <f>O505-S505</f>
        <v>0</v>
      </c>
      <c r="V505" s="23" t="n">
        <f>MAX(P505-O505,0)</f>
        <v>0</v>
      </c>
    </row>
    <row r="506">
      <c r="A506" s="19" t="str">
        <v>捷克区</v>
      </c>
      <c r="B506" s="19" t="str">
        <v>布拉格1号仓</v>
      </c>
      <c r="C506" s="19" t="str">
        <v>包装组</v>
      </c>
      <c r="D506" s="21" t="n">
        <v>46173</v>
      </c>
      <c r="E506" s="19" t="str">
        <v>2026-05</v>
      </c>
      <c r="F506" s="19" t="str">
        <v>操作员</v>
      </c>
      <c r="G506" s="19" t="str">
        <v>捷克区07:00-15:30 / CZ 07:00-15:30</v>
      </c>
      <c r="H506" s="19" t="str">
        <v>S000098</v>
      </c>
      <c r="I506" s="19" t="str">
        <v>PERSONALEK Plus s.r.o.</v>
      </c>
      <c r="J506" s="23" t="n">
        <v>1</v>
      </c>
      <c r="K506" s="23" t="n">
        <v>0</v>
      </c>
      <c r="L506" s="23" t="n">
        <f>J506+K506</f>
        <v>1</v>
      </c>
      <c r="M506" s="23" t="n">
        <v>1</v>
      </c>
      <c r="N506" s="23" t="n">
        <v>0</v>
      </c>
      <c r="O506" s="23" t="n">
        <v>1</v>
      </c>
      <c r="P506" s="23" t="n">
        <v>0</v>
      </c>
      <c r="Q506" s="23" t="n">
        <f>MIN(O506,P506)</f>
        <v>0</v>
      </c>
      <c r="R506" s="25" t="n">
        <f>IF(M506=0,0,MIN(1,L506/M506))</f>
        <v>1</v>
      </c>
      <c r="S506" s="23" t="n">
        <f>O506*R506</f>
        <v>1</v>
      </c>
      <c r="T506" s="23" t="n">
        <f>MIN(P506,S506)</f>
        <v>0</v>
      </c>
      <c r="U506" s="23" t="n">
        <f>O506-S506</f>
        <v>0</v>
      </c>
      <c r="V506" s="23" t="n">
        <f>MAX(P506-O506,0)</f>
        <v>0</v>
      </c>
    </row>
    <row r="507">
      <c r="A507" s="19" t="str">
        <v>捷克区</v>
      </c>
      <c r="B507" s="19" t="str">
        <v>布拉格1号仓</v>
      </c>
      <c r="C507" s="19" t="str">
        <v>包装组</v>
      </c>
      <c r="D507" s="21" t="n">
        <v>46174</v>
      </c>
      <c r="E507" s="19" t="str">
        <v>2026-06</v>
      </c>
      <c r="F507" s="19" t="str">
        <v>操作员</v>
      </c>
      <c r="G507" s="19" t="str">
        <v>捷克区07:00-15:30 / CZ 07:00-15:30</v>
      </c>
      <c r="H507" s="19" t="str">
        <v>S000098</v>
      </c>
      <c r="I507" s="19" t="str">
        <v>PERSONALEK Plus s.r.o.</v>
      </c>
      <c r="J507" s="23" t="n">
        <v>1</v>
      </c>
      <c r="K507" s="23" t="n">
        <v>0</v>
      </c>
      <c r="L507" s="23" t="n">
        <f>J507+K507</f>
        <v>1</v>
      </c>
      <c r="M507" s="23" t="n">
        <v>1</v>
      </c>
      <c r="N507" s="23" t="n">
        <v>0</v>
      </c>
      <c r="O507" s="23" t="n">
        <v>1</v>
      </c>
      <c r="P507" s="23" t="n">
        <v>0</v>
      </c>
      <c r="Q507" s="23" t="n">
        <f>MIN(O507,P507)</f>
        <v>0</v>
      </c>
      <c r="R507" s="25" t="n">
        <f>IF(M507=0,0,MIN(1,L507/M507))</f>
        <v>1</v>
      </c>
      <c r="S507" s="23" t="n">
        <f>O507*R507</f>
        <v>1</v>
      </c>
      <c r="T507" s="23" t="n">
        <f>MIN(P507,S507)</f>
        <v>0</v>
      </c>
      <c r="U507" s="23" t="n">
        <f>O507-S507</f>
        <v>0</v>
      </c>
      <c r="V507" s="23" t="n">
        <f>MAX(P507-O507,0)</f>
        <v>0</v>
      </c>
    </row>
    <row r="508">
      <c r="A508" s="19" t="str">
        <v>捷克区</v>
      </c>
      <c r="B508" s="19" t="str">
        <v>布拉格1号仓</v>
      </c>
      <c r="C508" s="19" t="str">
        <v>包装组</v>
      </c>
      <c r="D508" s="21" t="n">
        <v>46175</v>
      </c>
      <c r="E508" s="19" t="str">
        <v>2026-06</v>
      </c>
      <c r="F508" s="19" t="str">
        <v>操作员</v>
      </c>
      <c r="G508" s="19" t="str">
        <v>捷克区07:00-15:30 / CZ 07:00-15:30</v>
      </c>
      <c r="H508" s="19" t="str">
        <v>S000098</v>
      </c>
      <c r="I508" s="19" t="str">
        <v>PERSONALEK Plus s.r.o.</v>
      </c>
      <c r="J508" s="23" t="n">
        <v>1</v>
      </c>
      <c r="K508" s="23" t="n">
        <v>0</v>
      </c>
      <c r="L508" s="23" t="n">
        <f>J508+K508</f>
        <v>1</v>
      </c>
      <c r="M508" s="23" t="n">
        <v>1</v>
      </c>
      <c r="N508" s="23" t="n">
        <v>0</v>
      </c>
      <c r="O508" s="23" t="n">
        <v>1</v>
      </c>
      <c r="P508" s="23" t="n">
        <v>0</v>
      </c>
      <c r="Q508" s="23" t="n">
        <f>MIN(O508,P508)</f>
        <v>0</v>
      </c>
      <c r="R508" s="25" t="n">
        <f>IF(M508=0,0,MIN(1,L508/M508))</f>
        <v>1</v>
      </c>
      <c r="S508" s="23" t="n">
        <f>O508*R508</f>
        <v>1</v>
      </c>
      <c r="T508" s="23" t="n">
        <f>MIN(P508,S508)</f>
        <v>0</v>
      </c>
      <c r="U508" s="23" t="n">
        <f>O508-S508</f>
        <v>0</v>
      </c>
      <c r="V508" s="23" t="n">
        <f>MAX(P508-O508,0)</f>
        <v>0</v>
      </c>
    </row>
    <row r="509">
      <c r="A509" s="19" t="str">
        <v>捷克区</v>
      </c>
      <c r="B509" s="19" t="str">
        <v>布拉格1号仓</v>
      </c>
      <c r="C509" s="19" t="str">
        <v>包装组</v>
      </c>
      <c r="D509" s="21" t="n">
        <v>46176</v>
      </c>
      <c r="E509" s="19" t="str">
        <v>2026-06</v>
      </c>
      <c r="F509" s="19" t="str">
        <v>操作员</v>
      </c>
      <c r="G509" s="19" t="str">
        <v>捷克区07:00-15:30 / CZ 07:00-15:30</v>
      </c>
      <c r="H509" s="19" t="str">
        <v>S000098</v>
      </c>
      <c r="I509" s="19" t="str">
        <v>PERSONALEK Plus s.r.o.</v>
      </c>
      <c r="J509" s="23" t="n">
        <v>1</v>
      </c>
      <c r="K509" s="23" t="n">
        <v>0</v>
      </c>
      <c r="L509" s="23" t="n">
        <f>J509+K509</f>
        <v>1</v>
      </c>
      <c r="M509" s="23" t="n">
        <v>1</v>
      </c>
      <c r="N509" s="23" t="n">
        <v>0</v>
      </c>
      <c r="O509" s="23" t="n">
        <v>1</v>
      </c>
      <c r="P509" s="23" t="n">
        <v>0</v>
      </c>
      <c r="Q509" s="23" t="n">
        <f>MIN(O509,P509)</f>
        <v>0</v>
      </c>
      <c r="R509" s="25" t="n">
        <f>IF(M509=0,0,MIN(1,L509/M509))</f>
        <v>1</v>
      </c>
      <c r="S509" s="23" t="n">
        <f>O509*R509</f>
        <v>1</v>
      </c>
      <c r="T509" s="23" t="n">
        <f>MIN(P509,S509)</f>
        <v>0</v>
      </c>
      <c r="U509" s="23" t="n">
        <f>O509-S509</f>
        <v>0</v>
      </c>
      <c r="V509" s="23" t="n">
        <f>MAX(P509-O509,0)</f>
        <v>0</v>
      </c>
    </row>
    <row r="510">
      <c r="A510" s="19" t="str">
        <v>捷克区</v>
      </c>
      <c r="B510" s="19" t="str">
        <v>布拉格1号仓</v>
      </c>
      <c r="C510" s="19" t="str">
        <v>包装组</v>
      </c>
      <c r="D510" s="21" t="n">
        <v>46177</v>
      </c>
      <c r="E510" s="19" t="str">
        <v>2026-06</v>
      </c>
      <c r="F510" s="19" t="str">
        <v>操作员</v>
      </c>
      <c r="G510" s="19" t="str">
        <v>捷克区07:00-15:30 / CZ 07:00-15:30</v>
      </c>
      <c r="H510" s="19" t="str">
        <v>S000098</v>
      </c>
      <c r="I510" s="19" t="str">
        <v>PERSONALEK Plus s.r.o.</v>
      </c>
      <c r="J510" s="23" t="n">
        <v>1</v>
      </c>
      <c r="K510" s="23" t="n">
        <v>0</v>
      </c>
      <c r="L510" s="23" t="n">
        <f>J510+K510</f>
        <v>1</v>
      </c>
      <c r="M510" s="23" t="n">
        <v>1</v>
      </c>
      <c r="N510" s="23" t="n">
        <v>0</v>
      </c>
      <c r="O510" s="23" t="n">
        <v>1</v>
      </c>
      <c r="P510" s="23" t="n">
        <v>0</v>
      </c>
      <c r="Q510" s="23" t="n">
        <f>MIN(O510,P510)</f>
        <v>0</v>
      </c>
      <c r="R510" s="25" t="n">
        <f>IF(M510=0,0,MIN(1,L510/M510))</f>
        <v>1</v>
      </c>
      <c r="S510" s="23" t="n">
        <f>O510*R510</f>
        <v>1</v>
      </c>
      <c r="T510" s="23" t="n">
        <f>MIN(P510,S510)</f>
        <v>0</v>
      </c>
      <c r="U510" s="23" t="n">
        <f>O510-S510</f>
        <v>0</v>
      </c>
      <c r="V510" s="23" t="n">
        <f>MAX(P510-O510,0)</f>
        <v>0</v>
      </c>
    </row>
    <row r="511">
      <c r="A511" s="19" t="str">
        <v>捷克区</v>
      </c>
      <c r="B511" s="19" t="str">
        <v>布拉格1号仓</v>
      </c>
      <c r="C511" s="19" t="str">
        <v>包装组</v>
      </c>
      <c r="D511" s="21" t="n">
        <v>46178</v>
      </c>
      <c r="E511" s="19" t="str">
        <v>2026-06</v>
      </c>
      <c r="F511" s="19" t="str">
        <v>操作员</v>
      </c>
      <c r="G511" s="19" t="str">
        <v>捷克区07:00-15:30 / CZ 07:00-15:30</v>
      </c>
      <c r="H511" s="19" t="str">
        <v>S000098</v>
      </c>
      <c r="I511" s="19" t="str">
        <v>PERSONALEK Plus s.r.o.</v>
      </c>
      <c r="J511" s="23" t="n">
        <v>2</v>
      </c>
      <c r="K511" s="23" t="n">
        <v>0</v>
      </c>
      <c r="L511" s="23" t="n">
        <f>J511+K511</f>
        <v>2</v>
      </c>
      <c r="M511" s="23" t="n">
        <v>2</v>
      </c>
      <c r="N511" s="23" t="n">
        <v>0</v>
      </c>
      <c r="O511" s="23" t="n">
        <v>1</v>
      </c>
      <c r="P511" s="23" t="n">
        <v>0</v>
      </c>
      <c r="Q511" s="23" t="n">
        <f>MIN(O511,P511)</f>
        <v>0</v>
      </c>
      <c r="R511" s="25" t="n">
        <f>IF(M511=0,0,MIN(1,L511/M511))</f>
        <v>1</v>
      </c>
      <c r="S511" s="23" t="n">
        <f>O511*R511</f>
        <v>1</v>
      </c>
      <c r="T511" s="23" t="n">
        <f>MIN(P511,S511)</f>
        <v>0</v>
      </c>
      <c r="U511" s="23" t="n">
        <f>O511-S511</f>
        <v>0</v>
      </c>
      <c r="V511" s="23" t="n">
        <f>MAX(P511-O511,0)</f>
        <v>0</v>
      </c>
    </row>
    <row r="512">
      <c r="A512" s="19" t="str">
        <v>捷克区</v>
      </c>
      <c r="B512" s="19" t="str">
        <v>布拉格1号仓</v>
      </c>
      <c r="C512" s="19" t="str">
        <v>包装组</v>
      </c>
      <c r="D512" s="21" t="n">
        <v>46178</v>
      </c>
      <c r="E512" s="19" t="str">
        <v>2026-06</v>
      </c>
      <c r="F512" s="19" t="str">
        <v>操作员</v>
      </c>
      <c r="G512" s="19" t="str">
        <v>捷克区07:00-15:30 / CZ 07:00-15:30</v>
      </c>
      <c r="H512" s="19" t="str">
        <v>S000310</v>
      </c>
      <c r="I512" s="19" t="str">
        <v>Easy Jobs s.r.o.</v>
      </c>
      <c r="J512" s="23" t="n">
        <v>2</v>
      </c>
      <c r="K512" s="23" t="n">
        <v>0</v>
      </c>
      <c r="L512" s="23" t="n">
        <f>J512+K512</f>
        <v>2</v>
      </c>
      <c r="M512" s="23" t="n">
        <v>2</v>
      </c>
      <c r="N512" s="23" t="n">
        <v>0</v>
      </c>
      <c r="O512" s="23" t="n">
        <v>1</v>
      </c>
      <c r="P512" s="23" t="n">
        <v>0</v>
      </c>
      <c r="Q512" s="23" t="n">
        <f>MIN(O512,P512)</f>
        <v>0</v>
      </c>
      <c r="R512" s="25" t="n">
        <f>IF(M512=0,0,MIN(1,L512/M512))</f>
        <v>1</v>
      </c>
      <c r="S512" s="23" t="n">
        <f>O512*R512</f>
        <v>1</v>
      </c>
      <c r="T512" s="23" t="n">
        <f>MIN(P512,S512)</f>
        <v>0</v>
      </c>
      <c r="U512" s="23" t="n">
        <f>O512-S512</f>
        <v>0</v>
      </c>
      <c r="V512" s="23" t="n">
        <f>MAX(P512-O512,0)</f>
        <v>0</v>
      </c>
    </row>
    <row r="513">
      <c r="A513" s="19" t="str">
        <v>捷克区</v>
      </c>
      <c r="B513" s="19" t="str">
        <v>布拉格1号仓</v>
      </c>
      <c r="C513" s="19" t="str">
        <v>包装组</v>
      </c>
      <c r="D513" s="21" t="n">
        <v>46179</v>
      </c>
      <c r="E513" s="19" t="str">
        <v>2026-06</v>
      </c>
      <c r="F513" s="19" t="str">
        <v>操作员</v>
      </c>
      <c r="G513" s="19" t="str">
        <v>捷克区07:00-15:30 / CZ 07:00-15:30</v>
      </c>
      <c r="H513" s="19" t="str">
        <v>S000310</v>
      </c>
      <c r="I513" s="19" t="str">
        <v>Easy Jobs s.r.o.</v>
      </c>
      <c r="J513" s="23" t="n">
        <v>1</v>
      </c>
      <c r="K513" s="23" t="n">
        <v>0</v>
      </c>
      <c r="L513" s="23" t="n">
        <f>J513+K513</f>
        <v>1</v>
      </c>
      <c r="M513" s="23" t="n">
        <v>1</v>
      </c>
      <c r="N513" s="23" t="n">
        <v>0</v>
      </c>
      <c r="O513" s="23" t="n">
        <v>1</v>
      </c>
      <c r="P513" s="23" t="n">
        <v>0</v>
      </c>
      <c r="Q513" s="23" t="n">
        <f>MIN(O513,P513)</f>
        <v>0</v>
      </c>
      <c r="R513" s="25" t="n">
        <f>IF(M513=0,0,MIN(1,L513/M513))</f>
        <v>1</v>
      </c>
      <c r="S513" s="23" t="n">
        <f>O513*R513</f>
        <v>1</v>
      </c>
      <c r="T513" s="23" t="n">
        <f>MIN(P513,S513)</f>
        <v>0</v>
      </c>
      <c r="U513" s="23" t="n">
        <f>O513-S513</f>
        <v>0</v>
      </c>
      <c r="V513" s="23" t="n">
        <f>MAX(P513-O513,0)</f>
        <v>0</v>
      </c>
    </row>
    <row r="514">
      <c r="A514" s="19" t="str">
        <v>捷克区</v>
      </c>
      <c r="B514" s="19" t="str">
        <v>布拉格1号仓</v>
      </c>
      <c r="C514" s="19" t="str">
        <v>包装组</v>
      </c>
      <c r="D514" s="21" t="n">
        <v>46180</v>
      </c>
      <c r="E514" s="19" t="str">
        <v>2026-06</v>
      </c>
      <c r="F514" s="19" t="str">
        <v>操作员</v>
      </c>
      <c r="G514" s="19" t="str">
        <v>捷克区07:00-15:30 / CZ 07:00-15:30</v>
      </c>
      <c r="H514" s="19" t="str">
        <v>S000310</v>
      </c>
      <c r="I514" s="19" t="str">
        <v>Easy Jobs s.r.o.</v>
      </c>
      <c r="J514" s="23" t="n">
        <v>1</v>
      </c>
      <c r="K514" s="23" t="n">
        <v>0</v>
      </c>
      <c r="L514" s="23" t="n">
        <f>J514+K514</f>
        <v>1</v>
      </c>
      <c r="M514" s="23" t="n">
        <v>1</v>
      </c>
      <c r="N514" s="23" t="n">
        <v>0</v>
      </c>
      <c r="O514" s="23" t="n">
        <v>1</v>
      </c>
      <c r="P514" s="23" t="n">
        <v>0</v>
      </c>
      <c r="Q514" s="23" t="n">
        <f>MIN(O514,P514)</f>
        <v>0</v>
      </c>
      <c r="R514" s="25" t="n">
        <f>IF(M514=0,0,MIN(1,L514/M514))</f>
        <v>1</v>
      </c>
      <c r="S514" s="23" t="n">
        <f>O514*R514</f>
        <v>1</v>
      </c>
      <c r="T514" s="23" t="n">
        <f>MIN(P514,S514)</f>
        <v>0</v>
      </c>
      <c r="U514" s="23" t="n">
        <f>O514-S514</f>
        <v>0</v>
      </c>
      <c r="V514" s="23" t="n">
        <f>MAX(P514-O514,0)</f>
        <v>0</v>
      </c>
    </row>
    <row r="515">
      <c r="A515" s="19" t="str">
        <v>捷克区</v>
      </c>
      <c r="B515" s="19" t="str">
        <v>布拉格1号仓</v>
      </c>
      <c r="C515" s="19" t="str">
        <v>包装组</v>
      </c>
      <c r="D515" s="21" t="n">
        <v>46181</v>
      </c>
      <c r="E515" s="19" t="str">
        <v>2026-06</v>
      </c>
      <c r="F515" s="19" t="str">
        <v>操作员</v>
      </c>
      <c r="G515" s="19" t="str">
        <v>捷克区07:00-15:30 / CZ 07:00-15:30</v>
      </c>
      <c r="H515" s="19" t="str">
        <v>S000317</v>
      </c>
      <c r="I515" s="19" t="str">
        <v>Středoevropská pracovní agentura s.r.o.</v>
      </c>
      <c r="J515" s="23" t="n">
        <v>1</v>
      </c>
      <c r="K515" s="23" t="n">
        <v>0</v>
      </c>
      <c r="L515" s="23" t="n">
        <f>J515+K515</f>
        <v>1</v>
      </c>
      <c r="M515" s="23" t="n">
        <v>1</v>
      </c>
      <c r="N515" s="23" t="n">
        <v>0</v>
      </c>
      <c r="O515" s="23" t="n">
        <v>1</v>
      </c>
      <c r="P515" s="23" t="n">
        <v>0</v>
      </c>
      <c r="Q515" s="23" t="n">
        <f>MIN(O515,P515)</f>
        <v>0</v>
      </c>
      <c r="R515" s="25" t="n">
        <f>IF(M515=0,0,MIN(1,L515/M515))</f>
        <v>1</v>
      </c>
      <c r="S515" s="23" t="n">
        <f>O515*R515</f>
        <v>1</v>
      </c>
      <c r="T515" s="23" t="n">
        <f>MIN(P515,S515)</f>
        <v>0</v>
      </c>
      <c r="U515" s="23" t="n">
        <f>O515-S515</f>
        <v>0</v>
      </c>
      <c r="V515" s="23" t="n">
        <f>MAX(P515-O515,0)</f>
        <v>0</v>
      </c>
    </row>
    <row r="516">
      <c r="A516" s="19" t="str">
        <v>捷克区</v>
      </c>
      <c r="B516" s="19" t="str">
        <v>布拉格1号仓</v>
      </c>
      <c r="C516" s="19" t="str">
        <v>包装组</v>
      </c>
      <c r="D516" s="21" t="n">
        <v>46182</v>
      </c>
      <c r="E516" s="19" t="str">
        <v>2026-06</v>
      </c>
      <c r="F516" s="19" t="str">
        <v>操作员</v>
      </c>
      <c r="G516" s="19" t="str">
        <v>捷克区07:00-15:30 / CZ 07:00-15:30</v>
      </c>
      <c r="H516" s="19" t="str">
        <v>S000317</v>
      </c>
      <c r="I516" s="19" t="str">
        <v>Středoevropská pracovní agentura s.r.o.</v>
      </c>
      <c r="J516" s="23" t="n">
        <v>1</v>
      </c>
      <c r="K516" s="23" t="n">
        <v>0</v>
      </c>
      <c r="L516" s="23" t="n">
        <f>J516+K516</f>
        <v>1</v>
      </c>
      <c r="M516" s="23" t="n">
        <v>1</v>
      </c>
      <c r="N516" s="23" t="n">
        <v>0</v>
      </c>
      <c r="O516" s="23" t="n">
        <v>1</v>
      </c>
      <c r="P516" s="23" t="n">
        <v>0</v>
      </c>
      <c r="Q516" s="23" t="n">
        <f>MIN(O516,P516)</f>
        <v>0</v>
      </c>
      <c r="R516" s="25" t="n">
        <f>IF(M516=0,0,MIN(1,L516/M516))</f>
        <v>1</v>
      </c>
      <c r="S516" s="23" t="n">
        <f>O516*R516</f>
        <v>1</v>
      </c>
      <c r="T516" s="23" t="n">
        <f>MIN(P516,S516)</f>
        <v>0</v>
      </c>
      <c r="U516" s="23" t="n">
        <f>O516-S516</f>
        <v>0</v>
      </c>
      <c r="V516" s="23" t="n">
        <f>MAX(P516-O516,0)</f>
        <v>0</v>
      </c>
    </row>
    <row r="517">
      <c r="A517" s="19" t="str">
        <v>捷克区</v>
      </c>
      <c r="B517" s="19" t="str">
        <v>布拉格1号仓</v>
      </c>
      <c r="C517" s="19" t="str">
        <v>包装组</v>
      </c>
      <c r="D517" s="21" t="n">
        <v>46183</v>
      </c>
      <c r="E517" s="19" t="str">
        <v>2026-06</v>
      </c>
      <c r="F517" s="19" t="str">
        <v>操作员</v>
      </c>
      <c r="G517" s="19" t="str">
        <v>捷克区07:00-15:30 / CZ 07:00-15:30</v>
      </c>
      <c r="H517" s="19" t="str">
        <v>S000341</v>
      </c>
      <c r="I517" s="19" t="str">
        <v>Personal work agency s.r.o.</v>
      </c>
      <c r="J517" s="23" t="n">
        <v>1</v>
      </c>
      <c r="K517" s="23" t="n">
        <v>0</v>
      </c>
      <c r="L517" s="23" t="n">
        <f>J517+K517</f>
        <v>1</v>
      </c>
      <c r="M517" s="23" t="n">
        <v>1</v>
      </c>
      <c r="N517" s="23" t="n">
        <v>1</v>
      </c>
      <c r="O517" s="23" t="n">
        <v>1</v>
      </c>
      <c r="P517" s="23" t="n">
        <v>1</v>
      </c>
      <c r="Q517" s="23" t="n">
        <f>MIN(O517,P517)</f>
        <v>1</v>
      </c>
      <c r="R517" s="25" t="n">
        <f>IF(M517=0,0,MIN(1,L517/M517))</f>
        <v>1</v>
      </c>
      <c r="S517" s="23" t="n">
        <f>O517*R517</f>
        <v>1</v>
      </c>
      <c r="T517" s="23" t="n">
        <f>MIN(P517,S517)</f>
        <v>1</v>
      </c>
      <c r="U517" s="23" t="n">
        <f>O517-S517</f>
        <v>0</v>
      </c>
      <c r="V517" s="23" t="n">
        <f>MAX(P517-O517,0)</f>
        <v>0</v>
      </c>
    </row>
    <row r="518">
      <c r="A518" s="19" t="str">
        <v>捷克区</v>
      </c>
      <c r="B518" s="19" t="str">
        <v>布拉格1号仓</v>
      </c>
      <c r="C518" s="19" t="str">
        <v>包装组</v>
      </c>
      <c r="D518" s="21" t="n">
        <v>46184</v>
      </c>
      <c r="E518" s="19" t="str">
        <v>2026-06</v>
      </c>
      <c r="F518" s="19" t="str">
        <v>操作员</v>
      </c>
      <c r="G518" s="19" t="str">
        <v>捷克区07:00-15:30 / CZ 07:00-15:30</v>
      </c>
      <c r="H518" s="19" t="str">
        <v>S000341</v>
      </c>
      <c r="I518" s="19" t="str">
        <v>Personal work agency s.r.o.</v>
      </c>
      <c r="J518" s="23" t="n">
        <v>1</v>
      </c>
      <c r="K518" s="23" t="n">
        <v>0</v>
      </c>
      <c r="L518" s="23" t="n">
        <f>J518+K518</f>
        <v>1</v>
      </c>
      <c r="M518" s="23" t="n">
        <v>1</v>
      </c>
      <c r="N518" s="23" t="n">
        <v>1</v>
      </c>
      <c r="O518" s="23" t="n">
        <v>1</v>
      </c>
      <c r="P518" s="23" t="n">
        <v>1</v>
      </c>
      <c r="Q518" s="23" t="n">
        <f>MIN(O518,P518)</f>
        <v>1</v>
      </c>
      <c r="R518" s="25" t="n">
        <f>IF(M518=0,0,MIN(1,L518/M518))</f>
        <v>1</v>
      </c>
      <c r="S518" s="23" t="n">
        <f>O518*R518</f>
        <v>1</v>
      </c>
      <c r="T518" s="23" t="n">
        <f>MIN(P518,S518)</f>
        <v>1</v>
      </c>
      <c r="U518" s="23" t="n">
        <f>O518-S518</f>
        <v>0</v>
      </c>
      <c r="V518" s="23" t="n">
        <f>MAX(P518-O518,0)</f>
        <v>0</v>
      </c>
    </row>
    <row r="519">
      <c r="A519" s="19" t="str">
        <v>捷克区</v>
      </c>
      <c r="B519" s="19" t="str">
        <v>布拉格1号仓</v>
      </c>
      <c r="C519" s="19" t="str">
        <v>包装组</v>
      </c>
      <c r="D519" s="21" t="n">
        <v>46185</v>
      </c>
      <c r="E519" s="19" t="str">
        <v>2026-06</v>
      </c>
      <c r="F519" s="19" t="str">
        <v>操作员</v>
      </c>
      <c r="G519" s="19" t="str">
        <v>捷克区07:00-15:30 / CZ 07:00-15:30</v>
      </c>
      <c r="H519" s="19" t="str">
        <v>S000341</v>
      </c>
      <c r="I519" s="19" t="str">
        <v>Personal work agency s.r.o.</v>
      </c>
      <c r="J519" s="23" t="n">
        <v>1</v>
      </c>
      <c r="K519" s="23" t="n">
        <v>0</v>
      </c>
      <c r="L519" s="23" t="n">
        <f>J519+K519</f>
        <v>1</v>
      </c>
      <c r="M519" s="23" t="n">
        <v>1</v>
      </c>
      <c r="N519" s="23" t="n">
        <v>1</v>
      </c>
      <c r="O519" s="23" t="n">
        <v>1</v>
      </c>
      <c r="P519" s="23" t="n">
        <v>1</v>
      </c>
      <c r="Q519" s="23" t="n">
        <f>MIN(O519,P519)</f>
        <v>1</v>
      </c>
      <c r="R519" s="25" t="n">
        <f>IF(M519=0,0,MIN(1,L519/M519))</f>
        <v>1</v>
      </c>
      <c r="S519" s="23" t="n">
        <f>O519*R519</f>
        <v>1</v>
      </c>
      <c r="T519" s="23" t="n">
        <f>MIN(P519,S519)</f>
        <v>1</v>
      </c>
      <c r="U519" s="23" t="n">
        <f>O519-S519</f>
        <v>0</v>
      </c>
      <c r="V519" s="23" t="n">
        <f>MAX(P519-O519,0)</f>
        <v>0</v>
      </c>
    </row>
    <row r="520">
      <c r="A520" s="19" t="str">
        <v>捷克区</v>
      </c>
      <c r="B520" s="19" t="str">
        <v>布拉格1号仓</v>
      </c>
      <c r="C520" s="19" t="str">
        <v>拣货组</v>
      </c>
      <c r="D520" s="21" t="n">
        <v>46171</v>
      </c>
      <c r="E520" s="19" t="str">
        <v>2026-05</v>
      </c>
      <c r="F520" s="19" t="str">
        <v>叉车司机</v>
      </c>
      <c r="G520" s="19" t="str">
        <v>捷克区07:00-15:30 / CZ 07:00-15:30</v>
      </c>
      <c r="H520" s="19" t="str">
        <v>S000317</v>
      </c>
      <c r="I520" s="19" t="str">
        <v>Středoevropská pracovní agentura s.r.o.</v>
      </c>
      <c r="J520" s="23" t="n">
        <v>1</v>
      </c>
      <c r="K520" s="23" t="n">
        <v>0</v>
      </c>
      <c r="L520" s="23" t="n">
        <f>J520+K520</f>
        <v>1</v>
      </c>
      <c r="M520" s="23" t="n">
        <v>1</v>
      </c>
      <c r="N520" s="23" t="n">
        <v>0</v>
      </c>
      <c r="O520" s="23" t="n">
        <v>1</v>
      </c>
      <c r="P520" s="23" t="n">
        <v>0</v>
      </c>
      <c r="Q520" s="23" t="n">
        <f>MIN(O520,P520)</f>
        <v>0</v>
      </c>
      <c r="R520" s="25" t="n">
        <f>IF(M520=0,0,MIN(1,L520/M520))</f>
        <v>1</v>
      </c>
      <c r="S520" s="23" t="n">
        <f>O520*R520</f>
        <v>1</v>
      </c>
      <c r="T520" s="23" t="n">
        <f>MIN(P520,S520)</f>
        <v>0</v>
      </c>
      <c r="U520" s="23" t="n">
        <f>O520-S520</f>
        <v>0</v>
      </c>
      <c r="V520" s="23" t="n">
        <f>MAX(P520-O520,0)</f>
        <v>0</v>
      </c>
    </row>
    <row r="521">
      <c r="A521" s="19" t="str">
        <v>捷克区</v>
      </c>
      <c r="B521" s="19" t="str">
        <v>布拉格1号仓</v>
      </c>
      <c r="C521" s="19" t="str">
        <v>拣货组</v>
      </c>
      <c r="D521" s="21" t="n">
        <v>46172</v>
      </c>
      <c r="E521" s="19" t="str">
        <v>2026-05</v>
      </c>
      <c r="F521" s="19" t="str">
        <v>叉车司机</v>
      </c>
      <c r="G521" s="19" t="str">
        <v>捷克区07:00-15:30 / CZ 07:00-15:30</v>
      </c>
      <c r="H521" s="19" t="str">
        <v>S000317</v>
      </c>
      <c r="I521" s="19" t="str">
        <v>Středoevropská pracovní agentura s.r.o.</v>
      </c>
      <c r="J521" s="23" t="n">
        <v>1</v>
      </c>
      <c r="K521" s="23" t="n">
        <v>0</v>
      </c>
      <c r="L521" s="23" t="n">
        <f>J521+K521</f>
        <v>1</v>
      </c>
      <c r="M521" s="23" t="n">
        <v>1</v>
      </c>
      <c r="N521" s="23" t="n">
        <v>0</v>
      </c>
      <c r="O521" s="23" t="n">
        <v>1</v>
      </c>
      <c r="P521" s="23" t="n">
        <v>0</v>
      </c>
      <c r="Q521" s="23" t="n">
        <f>MIN(O521,P521)</f>
        <v>0</v>
      </c>
      <c r="R521" s="25" t="n">
        <f>IF(M521=0,0,MIN(1,L521/M521))</f>
        <v>1</v>
      </c>
      <c r="S521" s="23" t="n">
        <f>O521*R521</f>
        <v>1</v>
      </c>
      <c r="T521" s="23" t="n">
        <f>MIN(P521,S521)</f>
        <v>0</v>
      </c>
      <c r="U521" s="23" t="n">
        <f>O521-S521</f>
        <v>0</v>
      </c>
      <c r="V521" s="23" t="n">
        <f>MAX(P521-O521,0)</f>
        <v>0</v>
      </c>
    </row>
    <row r="522">
      <c r="A522" s="19" t="str">
        <v>捷克区</v>
      </c>
      <c r="B522" s="19" t="str">
        <v>布拉格1号仓</v>
      </c>
      <c r="C522" s="19" t="str">
        <v>拣货组</v>
      </c>
      <c r="D522" s="21" t="n">
        <v>46173</v>
      </c>
      <c r="E522" s="19" t="str">
        <v>2026-05</v>
      </c>
      <c r="F522" s="19" t="str">
        <v>叉车司机</v>
      </c>
      <c r="G522" s="19" t="str">
        <v>捷克区07:00-15:30 / CZ 07:00-15:30</v>
      </c>
      <c r="H522" s="19" t="str">
        <v>S000317</v>
      </c>
      <c r="I522" s="19" t="str">
        <v>Středoevropská pracovní agentura s.r.o.</v>
      </c>
      <c r="J522" s="23" t="n">
        <v>2</v>
      </c>
      <c r="K522" s="23" t="n">
        <v>0</v>
      </c>
      <c r="L522" s="23" t="n">
        <f>J522+K522</f>
        <v>2</v>
      </c>
      <c r="M522" s="23" t="n">
        <v>1</v>
      </c>
      <c r="N522" s="23" t="n">
        <v>0</v>
      </c>
      <c r="O522" s="23" t="n">
        <v>1</v>
      </c>
      <c r="P522" s="23" t="n">
        <v>0</v>
      </c>
      <c r="Q522" s="23" t="n">
        <f>MIN(O522,P522)</f>
        <v>0</v>
      </c>
      <c r="R522" s="25" t="n">
        <f>IF(M522=0,0,MIN(1,L522/M522))</f>
        <v>1</v>
      </c>
      <c r="S522" s="23" t="n">
        <f>O522*R522</f>
        <v>1</v>
      </c>
      <c r="T522" s="23" t="n">
        <f>MIN(P522,S522)</f>
        <v>0</v>
      </c>
      <c r="U522" s="23" t="n">
        <f>O522-S522</f>
        <v>0</v>
      </c>
      <c r="V522" s="23" t="n">
        <f>MAX(P522-O522,0)</f>
        <v>0</v>
      </c>
    </row>
    <row r="523">
      <c r="A523" s="19" t="str">
        <v>捷克区</v>
      </c>
      <c r="B523" s="19" t="str">
        <v>布拉格1号仓</v>
      </c>
      <c r="C523" s="19" t="str">
        <v>拣货组</v>
      </c>
      <c r="D523" s="21" t="n">
        <v>46174</v>
      </c>
      <c r="E523" s="19" t="str">
        <v>2026-06</v>
      </c>
      <c r="F523" s="19" t="str">
        <v>叉车司机</v>
      </c>
      <c r="G523" s="19" t="str">
        <v>捷克区07:00-15:30 / CZ 07:00-15:30</v>
      </c>
      <c r="H523" s="19" t="str">
        <v>S000192</v>
      </c>
      <c r="I523" s="19" t="str">
        <v>FILKOPI Agency s.r.o.</v>
      </c>
      <c r="J523" s="23" t="n">
        <v>2</v>
      </c>
      <c r="K523" s="23" t="n">
        <v>0</v>
      </c>
      <c r="L523" s="23" t="n">
        <f>J523+K523</f>
        <v>2</v>
      </c>
      <c r="M523" s="23" t="n">
        <v>2</v>
      </c>
      <c r="N523" s="23" t="n">
        <v>0</v>
      </c>
      <c r="O523" s="23" t="n">
        <v>1</v>
      </c>
      <c r="P523" s="23" t="n">
        <v>0</v>
      </c>
      <c r="Q523" s="23" t="n">
        <f>MIN(O523,P523)</f>
        <v>0</v>
      </c>
      <c r="R523" s="25" t="n">
        <f>IF(M523=0,0,MIN(1,L523/M523))</f>
        <v>1</v>
      </c>
      <c r="S523" s="23" t="n">
        <f>O523*R523</f>
        <v>1</v>
      </c>
      <c r="T523" s="23" t="n">
        <f>MIN(P523,S523)</f>
        <v>0</v>
      </c>
      <c r="U523" s="23" t="n">
        <f>O523-S523</f>
        <v>0</v>
      </c>
      <c r="V523" s="23" t="n">
        <f>MAX(P523-O523,0)</f>
        <v>0</v>
      </c>
    </row>
    <row r="524">
      <c r="A524" s="19" t="str">
        <v>捷克区</v>
      </c>
      <c r="B524" s="19" t="str">
        <v>布拉格1号仓</v>
      </c>
      <c r="C524" s="19" t="str">
        <v>拣货组</v>
      </c>
      <c r="D524" s="21" t="n">
        <v>46174</v>
      </c>
      <c r="E524" s="19" t="str">
        <v>2026-06</v>
      </c>
      <c r="F524" s="19" t="str">
        <v>叉车司机</v>
      </c>
      <c r="G524" s="19" t="str">
        <v>捷克区07:00-15:30 / CZ 07:00-15:30</v>
      </c>
      <c r="H524" s="19" t="str">
        <v>S000317</v>
      </c>
      <c r="I524" s="19" t="str">
        <v>Středoevropská pracovní agentura s.r.o.</v>
      </c>
      <c r="J524" s="23" t="n">
        <v>2</v>
      </c>
      <c r="K524" s="23" t="n">
        <v>0</v>
      </c>
      <c r="L524" s="23" t="n">
        <f>J524+K524</f>
        <v>2</v>
      </c>
      <c r="M524" s="23" t="n">
        <v>2</v>
      </c>
      <c r="N524" s="23" t="n">
        <v>0</v>
      </c>
      <c r="O524" s="23" t="n">
        <v>1</v>
      </c>
      <c r="P524" s="23" t="n">
        <v>0</v>
      </c>
      <c r="Q524" s="23" t="n">
        <f>MIN(O524,P524)</f>
        <v>0</v>
      </c>
      <c r="R524" s="25" t="n">
        <f>IF(M524=0,0,MIN(1,L524/M524))</f>
        <v>1</v>
      </c>
      <c r="S524" s="23" t="n">
        <f>O524*R524</f>
        <v>1</v>
      </c>
      <c r="T524" s="23" t="n">
        <f>MIN(P524,S524)</f>
        <v>0</v>
      </c>
      <c r="U524" s="23" t="n">
        <f>O524-S524</f>
        <v>0</v>
      </c>
      <c r="V524" s="23" t="n">
        <f>MAX(P524-O524,0)</f>
        <v>0</v>
      </c>
    </row>
    <row r="525">
      <c r="A525" s="19" t="str">
        <v>捷克区</v>
      </c>
      <c r="B525" s="19" t="str">
        <v>布拉格1号仓</v>
      </c>
      <c r="C525" s="19" t="str">
        <v>拣货组</v>
      </c>
      <c r="D525" s="21" t="n">
        <v>46175</v>
      </c>
      <c r="E525" s="19" t="str">
        <v>2026-06</v>
      </c>
      <c r="F525" s="19" t="str">
        <v>叉车司机</v>
      </c>
      <c r="G525" s="19" t="str">
        <v>捷克区07:00-15:30 / CZ 07:00-15:30</v>
      </c>
      <c r="H525" s="19" t="str">
        <v>S000192</v>
      </c>
      <c r="I525" s="19" t="str">
        <v>FILKOPI Agency s.r.o.</v>
      </c>
      <c r="J525" s="23" t="n">
        <v>2</v>
      </c>
      <c r="K525" s="23" t="n">
        <v>0</v>
      </c>
      <c r="L525" s="23" t="n">
        <f>J525+K525</f>
        <v>2</v>
      </c>
      <c r="M525" s="23" t="n">
        <v>2</v>
      </c>
      <c r="N525" s="23" t="n">
        <v>1</v>
      </c>
      <c r="O525" s="23" t="n">
        <v>1</v>
      </c>
      <c r="P525" s="23" t="n">
        <v>1</v>
      </c>
      <c r="Q525" s="23" t="n">
        <f>MIN(O525,P525)</f>
        <v>1</v>
      </c>
      <c r="R525" s="25" t="n">
        <f>IF(M525=0,0,MIN(1,L525/M525))</f>
        <v>1</v>
      </c>
      <c r="S525" s="23" t="n">
        <f>O525*R525</f>
        <v>1</v>
      </c>
      <c r="T525" s="23" t="n">
        <f>MIN(P525,S525)</f>
        <v>1</v>
      </c>
      <c r="U525" s="23" t="n">
        <f>O525-S525</f>
        <v>0</v>
      </c>
      <c r="V525" s="23" t="n">
        <f>MAX(P525-O525,0)</f>
        <v>0</v>
      </c>
    </row>
    <row r="526">
      <c r="A526" s="19" t="str">
        <v>捷克区</v>
      </c>
      <c r="B526" s="19" t="str">
        <v>布拉格1号仓</v>
      </c>
      <c r="C526" s="19" t="str">
        <v>拣货组</v>
      </c>
      <c r="D526" s="21" t="n">
        <v>46175</v>
      </c>
      <c r="E526" s="19" t="str">
        <v>2026-06</v>
      </c>
      <c r="F526" s="19" t="str">
        <v>叉车司机</v>
      </c>
      <c r="G526" s="19" t="str">
        <v>捷克区07:00-15:30 / CZ 07:00-15:30</v>
      </c>
      <c r="H526" s="19" t="str">
        <v>S000317</v>
      </c>
      <c r="I526" s="19" t="str">
        <v>Středoevropská pracovní agentura s.r.o.</v>
      </c>
      <c r="J526" s="23" t="n">
        <v>2</v>
      </c>
      <c r="K526" s="23" t="n">
        <v>0</v>
      </c>
      <c r="L526" s="23" t="n">
        <f>J526+K526</f>
        <v>2</v>
      </c>
      <c r="M526" s="23" t="n">
        <v>2</v>
      </c>
      <c r="N526" s="23" t="n">
        <v>1</v>
      </c>
      <c r="O526" s="23" t="n">
        <v>1</v>
      </c>
      <c r="P526" s="23" t="n">
        <v>0</v>
      </c>
      <c r="Q526" s="23" t="n">
        <f>MIN(O526,P526)</f>
        <v>0</v>
      </c>
      <c r="R526" s="25" t="n">
        <f>IF(M526=0,0,MIN(1,L526/M526))</f>
        <v>1</v>
      </c>
      <c r="S526" s="23" t="n">
        <f>O526*R526</f>
        <v>1</v>
      </c>
      <c r="T526" s="23" t="n">
        <f>MIN(P526,S526)</f>
        <v>0</v>
      </c>
      <c r="U526" s="23" t="n">
        <f>O526-S526</f>
        <v>0</v>
      </c>
      <c r="V526" s="23" t="n">
        <f>MAX(P526-O526,0)</f>
        <v>0</v>
      </c>
    </row>
    <row r="527">
      <c r="A527" s="19" t="str">
        <v>捷克区</v>
      </c>
      <c r="B527" s="19" t="str">
        <v>布拉格1号仓</v>
      </c>
      <c r="C527" s="19" t="str">
        <v>拣货组</v>
      </c>
      <c r="D527" s="21" t="n">
        <v>46176</v>
      </c>
      <c r="E527" s="19" t="str">
        <v>2026-06</v>
      </c>
      <c r="F527" s="19" t="str">
        <v>叉车司机</v>
      </c>
      <c r="G527" s="19" t="str">
        <v>捷克区07:00-15:30 / CZ 07:00-15:30</v>
      </c>
      <c r="H527" s="19" t="str">
        <v>S000192</v>
      </c>
      <c r="I527" s="19" t="str">
        <v>FILKOPI Agency s.r.o.</v>
      </c>
      <c r="J527" s="23" t="n">
        <v>2</v>
      </c>
      <c r="K527" s="23" t="n">
        <v>0</v>
      </c>
      <c r="L527" s="23" t="n">
        <f>J527+K527</f>
        <v>2</v>
      </c>
      <c r="M527" s="23" t="n">
        <v>2</v>
      </c>
      <c r="N527" s="23" t="n">
        <v>1</v>
      </c>
      <c r="O527" s="23" t="n">
        <v>1</v>
      </c>
      <c r="P527" s="23" t="n">
        <v>1</v>
      </c>
      <c r="Q527" s="23" t="n">
        <f>MIN(O527,P527)</f>
        <v>1</v>
      </c>
      <c r="R527" s="25" t="n">
        <f>IF(M527=0,0,MIN(1,L527/M527))</f>
        <v>1</v>
      </c>
      <c r="S527" s="23" t="n">
        <f>O527*R527</f>
        <v>1</v>
      </c>
      <c r="T527" s="23" t="n">
        <f>MIN(P527,S527)</f>
        <v>1</v>
      </c>
      <c r="U527" s="23" t="n">
        <f>O527-S527</f>
        <v>0</v>
      </c>
      <c r="V527" s="23" t="n">
        <f>MAX(P527-O527,0)</f>
        <v>0</v>
      </c>
    </row>
    <row r="528">
      <c r="A528" s="19" t="str">
        <v>捷克区</v>
      </c>
      <c r="B528" s="19" t="str">
        <v>布拉格1号仓</v>
      </c>
      <c r="C528" s="19" t="str">
        <v>拣货组</v>
      </c>
      <c r="D528" s="21" t="n">
        <v>46176</v>
      </c>
      <c r="E528" s="19" t="str">
        <v>2026-06</v>
      </c>
      <c r="F528" s="19" t="str">
        <v>叉车司机</v>
      </c>
      <c r="G528" s="19" t="str">
        <v>捷克区07:00-15:30 / CZ 07:00-15:30</v>
      </c>
      <c r="H528" s="19" t="str">
        <v>S000317</v>
      </c>
      <c r="I528" s="19" t="str">
        <v>Středoevropská pracovní agentura s.r.o.</v>
      </c>
      <c r="J528" s="23" t="n">
        <v>2</v>
      </c>
      <c r="K528" s="23" t="n">
        <v>0</v>
      </c>
      <c r="L528" s="23" t="n">
        <f>J528+K528</f>
        <v>2</v>
      </c>
      <c r="M528" s="23" t="n">
        <v>2</v>
      </c>
      <c r="N528" s="23" t="n">
        <v>1</v>
      </c>
      <c r="O528" s="23" t="n">
        <v>1</v>
      </c>
      <c r="P528" s="23" t="n">
        <v>0</v>
      </c>
      <c r="Q528" s="23" t="n">
        <f>MIN(O528,P528)</f>
        <v>0</v>
      </c>
      <c r="R528" s="25" t="n">
        <f>IF(M528=0,0,MIN(1,L528/M528))</f>
        <v>1</v>
      </c>
      <c r="S528" s="23" t="n">
        <f>O528*R528</f>
        <v>1</v>
      </c>
      <c r="T528" s="23" t="n">
        <f>MIN(P528,S528)</f>
        <v>0</v>
      </c>
      <c r="U528" s="23" t="n">
        <f>O528-S528</f>
        <v>0</v>
      </c>
      <c r="V528" s="23" t="n">
        <f>MAX(P528-O528,0)</f>
        <v>0</v>
      </c>
    </row>
    <row r="529">
      <c r="A529" s="19" t="str">
        <v>捷克区</v>
      </c>
      <c r="B529" s="19" t="str">
        <v>布拉格1号仓</v>
      </c>
      <c r="C529" s="19" t="str">
        <v>拣货组</v>
      </c>
      <c r="D529" s="21" t="n">
        <v>46177</v>
      </c>
      <c r="E529" s="19" t="str">
        <v>2026-06</v>
      </c>
      <c r="F529" s="19" t="str">
        <v>叉车司机</v>
      </c>
      <c r="G529" s="19" t="str">
        <v>捷克区07:00-15:30 / CZ 07:00-15:30</v>
      </c>
      <c r="H529" s="19" t="str">
        <v>S000192</v>
      </c>
      <c r="I529" s="19" t="str">
        <v>FILKOPI Agency s.r.o.</v>
      </c>
      <c r="J529" s="23" t="n">
        <v>2</v>
      </c>
      <c r="K529" s="23" t="n">
        <v>0</v>
      </c>
      <c r="L529" s="23" t="n">
        <f>J529+K529</f>
        <v>2</v>
      </c>
      <c r="M529" s="23" t="n">
        <v>2</v>
      </c>
      <c r="N529" s="23" t="n">
        <v>1</v>
      </c>
      <c r="O529" s="23" t="n">
        <v>1</v>
      </c>
      <c r="P529" s="23" t="n">
        <v>1</v>
      </c>
      <c r="Q529" s="23" t="n">
        <f>MIN(O529,P529)</f>
        <v>1</v>
      </c>
      <c r="R529" s="25" t="n">
        <f>IF(M529=0,0,MIN(1,L529/M529))</f>
        <v>1</v>
      </c>
      <c r="S529" s="23" t="n">
        <f>O529*R529</f>
        <v>1</v>
      </c>
      <c r="T529" s="23" t="n">
        <f>MIN(P529,S529)</f>
        <v>1</v>
      </c>
      <c r="U529" s="23" t="n">
        <f>O529-S529</f>
        <v>0</v>
      </c>
      <c r="V529" s="23" t="n">
        <f>MAX(P529-O529,0)</f>
        <v>0</v>
      </c>
    </row>
    <row r="530">
      <c r="A530" s="19" t="str">
        <v>捷克区</v>
      </c>
      <c r="B530" s="19" t="str">
        <v>布拉格1号仓</v>
      </c>
      <c r="C530" s="19" t="str">
        <v>拣货组</v>
      </c>
      <c r="D530" s="21" t="n">
        <v>46177</v>
      </c>
      <c r="E530" s="19" t="str">
        <v>2026-06</v>
      </c>
      <c r="F530" s="19" t="str">
        <v>叉车司机</v>
      </c>
      <c r="G530" s="19" t="str">
        <v>捷克区07:00-15:30 / CZ 07:00-15:30</v>
      </c>
      <c r="H530" s="19" t="str">
        <v>S000317</v>
      </c>
      <c r="I530" s="19" t="str">
        <v>Středoevropská pracovní agentura s.r.o.</v>
      </c>
      <c r="J530" s="23" t="n">
        <v>2</v>
      </c>
      <c r="K530" s="23" t="n">
        <v>0</v>
      </c>
      <c r="L530" s="23" t="n">
        <f>J530+K530</f>
        <v>2</v>
      </c>
      <c r="M530" s="23" t="n">
        <v>2</v>
      </c>
      <c r="N530" s="23" t="n">
        <v>1</v>
      </c>
      <c r="O530" s="23" t="n">
        <v>1</v>
      </c>
      <c r="P530" s="23" t="n">
        <v>0</v>
      </c>
      <c r="Q530" s="23" t="n">
        <f>MIN(O530,P530)</f>
        <v>0</v>
      </c>
      <c r="R530" s="25" t="n">
        <f>IF(M530=0,0,MIN(1,L530/M530))</f>
        <v>1</v>
      </c>
      <c r="S530" s="23" t="n">
        <f>O530*R530</f>
        <v>1</v>
      </c>
      <c r="T530" s="23" t="n">
        <f>MIN(P530,S530)</f>
        <v>0</v>
      </c>
      <c r="U530" s="23" t="n">
        <f>O530-S530</f>
        <v>0</v>
      </c>
      <c r="V530" s="23" t="n">
        <f>MAX(P530-O530,0)</f>
        <v>0</v>
      </c>
    </row>
    <row r="531">
      <c r="A531" s="19" t="str">
        <v>捷克区</v>
      </c>
      <c r="B531" s="19" t="str">
        <v>布拉格1号仓</v>
      </c>
      <c r="C531" s="19" t="str">
        <v>拣货组</v>
      </c>
      <c r="D531" s="21" t="n">
        <v>46178</v>
      </c>
      <c r="E531" s="19" t="str">
        <v>2026-06</v>
      </c>
      <c r="F531" s="19" t="str">
        <v>叉车司机</v>
      </c>
      <c r="G531" s="19" t="str">
        <v>捷克区07:00-15:30 / CZ 07:00-15:30</v>
      </c>
      <c r="H531" s="19" t="str">
        <v>S000192</v>
      </c>
      <c r="I531" s="19" t="str">
        <v>FILKOPI Agency s.r.o.</v>
      </c>
      <c r="J531" s="23" t="n">
        <v>2</v>
      </c>
      <c r="K531" s="23" t="n">
        <v>0</v>
      </c>
      <c r="L531" s="23" t="n">
        <f>J531+K531</f>
        <v>2</v>
      </c>
      <c r="M531" s="23" t="n">
        <v>2</v>
      </c>
      <c r="N531" s="23" t="n">
        <v>1</v>
      </c>
      <c r="O531" s="23" t="n">
        <v>1</v>
      </c>
      <c r="P531" s="23" t="n">
        <v>1</v>
      </c>
      <c r="Q531" s="23" t="n">
        <f>MIN(O531,P531)</f>
        <v>1</v>
      </c>
      <c r="R531" s="25" t="n">
        <f>IF(M531=0,0,MIN(1,L531/M531))</f>
        <v>1</v>
      </c>
      <c r="S531" s="23" t="n">
        <f>O531*R531</f>
        <v>1</v>
      </c>
      <c r="T531" s="23" t="n">
        <f>MIN(P531,S531)</f>
        <v>1</v>
      </c>
      <c r="U531" s="23" t="n">
        <f>O531-S531</f>
        <v>0</v>
      </c>
      <c r="V531" s="23" t="n">
        <f>MAX(P531-O531,0)</f>
        <v>0</v>
      </c>
    </row>
    <row r="532">
      <c r="A532" s="19" t="str">
        <v>捷克区</v>
      </c>
      <c r="B532" s="19" t="str">
        <v>布拉格1号仓</v>
      </c>
      <c r="C532" s="19" t="str">
        <v>拣货组</v>
      </c>
      <c r="D532" s="21" t="n">
        <v>46178</v>
      </c>
      <c r="E532" s="19" t="str">
        <v>2026-06</v>
      </c>
      <c r="F532" s="19" t="str">
        <v>叉车司机</v>
      </c>
      <c r="G532" s="19" t="str">
        <v>捷克区07:00-15:30 / CZ 07:00-15:30</v>
      </c>
      <c r="H532" s="19" t="str">
        <v>S000317</v>
      </c>
      <c r="I532" s="19" t="str">
        <v>Středoevropská pracovní agentura s.r.o.</v>
      </c>
      <c r="J532" s="23" t="n">
        <v>2</v>
      </c>
      <c r="K532" s="23" t="n">
        <v>0</v>
      </c>
      <c r="L532" s="23" t="n">
        <f>J532+K532</f>
        <v>2</v>
      </c>
      <c r="M532" s="23" t="n">
        <v>2</v>
      </c>
      <c r="N532" s="23" t="n">
        <v>1</v>
      </c>
      <c r="O532" s="23" t="n">
        <v>1</v>
      </c>
      <c r="P532" s="23" t="n">
        <v>0</v>
      </c>
      <c r="Q532" s="23" t="n">
        <f>MIN(O532,P532)</f>
        <v>0</v>
      </c>
      <c r="R532" s="25" t="n">
        <f>IF(M532=0,0,MIN(1,L532/M532))</f>
        <v>1</v>
      </c>
      <c r="S532" s="23" t="n">
        <f>O532*R532</f>
        <v>1</v>
      </c>
      <c r="T532" s="23" t="n">
        <f>MIN(P532,S532)</f>
        <v>0</v>
      </c>
      <c r="U532" s="23" t="n">
        <f>O532-S532</f>
        <v>0</v>
      </c>
      <c r="V532" s="23" t="n">
        <f>MAX(P532-O532,0)</f>
        <v>0</v>
      </c>
    </row>
    <row r="533">
      <c r="A533" s="19" t="str">
        <v>捷克区</v>
      </c>
      <c r="B533" s="19" t="str">
        <v>布拉格1号仓</v>
      </c>
      <c r="C533" s="19" t="str">
        <v>拣货组</v>
      </c>
      <c r="D533" s="21" t="n">
        <v>46179</v>
      </c>
      <c r="E533" s="19" t="str">
        <v>2026-06</v>
      </c>
      <c r="F533" s="19" t="str">
        <v>叉车司机</v>
      </c>
      <c r="G533" s="19" t="str">
        <v>捷克区07:00-15:30 / CZ 07:00-15:30</v>
      </c>
      <c r="H533" s="19" t="str">
        <v>S000192</v>
      </c>
      <c r="I533" s="19" t="str">
        <v>FILKOPI Agency s.r.o.</v>
      </c>
      <c r="J533" s="23" t="n">
        <v>1</v>
      </c>
      <c r="K533" s="23" t="n">
        <v>0</v>
      </c>
      <c r="L533" s="23" t="n">
        <f>J533+K533</f>
        <v>1</v>
      </c>
      <c r="M533" s="23" t="n">
        <v>1</v>
      </c>
      <c r="N533" s="23" t="n">
        <v>1</v>
      </c>
      <c r="O533" s="23" t="n">
        <v>1</v>
      </c>
      <c r="P533" s="23" t="n">
        <v>1</v>
      </c>
      <c r="Q533" s="23" t="n">
        <f>MIN(O533,P533)</f>
        <v>1</v>
      </c>
      <c r="R533" s="25" t="n">
        <f>IF(M533=0,0,MIN(1,L533/M533))</f>
        <v>1</v>
      </c>
      <c r="S533" s="23" t="n">
        <f>O533*R533</f>
        <v>1</v>
      </c>
      <c r="T533" s="23" t="n">
        <f>MIN(P533,S533)</f>
        <v>1</v>
      </c>
      <c r="U533" s="23" t="n">
        <f>O533-S533</f>
        <v>0</v>
      </c>
      <c r="V533" s="23" t="n">
        <f>MAX(P533-O533,0)</f>
        <v>0</v>
      </c>
    </row>
    <row r="534">
      <c r="A534" s="19" t="str">
        <v>捷克区</v>
      </c>
      <c r="B534" s="19" t="str">
        <v>布拉格1号仓</v>
      </c>
      <c r="C534" s="19" t="str">
        <v>拣货组</v>
      </c>
      <c r="D534" s="21" t="n">
        <v>46180</v>
      </c>
      <c r="E534" s="19" t="str">
        <v>2026-06</v>
      </c>
      <c r="F534" s="19" t="str">
        <v>叉车司机</v>
      </c>
      <c r="G534" s="19" t="str">
        <v>捷克区07:00-15:30 / CZ 07:00-15:30</v>
      </c>
      <c r="H534" s="19" t="str">
        <v>S000192</v>
      </c>
      <c r="I534" s="19" t="str">
        <v>FILKOPI Agency s.r.o.</v>
      </c>
      <c r="J534" s="23" t="n">
        <v>1</v>
      </c>
      <c r="K534" s="23" t="n">
        <v>0</v>
      </c>
      <c r="L534" s="23" t="n">
        <f>J534+K534</f>
        <v>1</v>
      </c>
      <c r="M534" s="23" t="n">
        <v>1</v>
      </c>
      <c r="N534" s="23" t="n">
        <v>1</v>
      </c>
      <c r="O534" s="23" t="n">
        <v>1</v>
      </c>
      <c r="P534" s="23" t="n">
        <v>1</v>
      </c>
      <c r="Q534" s="23" t="n">
        <f>MIN(O534,P534)</f>
        <v>1</v>
      </c>
      <c r="R534" s="25" t="n">
        <f>IF(M534=0,0,MIN(1,L534/M534))</f>
        <v>1</v>
      </c>
      <c r="S534" s="23" t="n">
        <f>O534*R534</f>
        <v>1</v>
      </c>
      <c r="T534" s="23" t="n">
        <f>MIN(P534,S534)</f>
        <v>1</v>
      </c>
      <c r="U534" s="23" t="n">
        <f>O534-S534</f>
        <v>0</v>
      </c>
      <c r="V534" s="23" t="n">
        <f>MAX(P534-O534,0)</f>
        <v>0</v>
      </c>
    </row>
    <row r="535">
      <c r="A535" s="19" t="str">
        <v>捷克区</v>
      </c>
      <c r="B535" s="19" t="str">
        <v>布拉格1号仓</v>
      </c>
      <c r="C535" s="19" t="str">
        <v>拣货组</v>
      </c>
      <c r="D535" s="21" t="n">
        <v>46183</v>
      </c>
      <c r="E535" s="19" t="str">
        <v>2026-06</v>
      </c>
      <c r="F535" s="19" t="str">
        <v>叉车司机</v>
      </c>
      <c r="G535" s="19" t="str">
        <v>捷克区07:00-15:30 / CZ 07:00-15:30</v>
      </c>
      <c r="H535" s="19" t="str">
        <v>S000341</v>
      </c>
      <c r="I535" s="19" t="str">
        <v>Personal work agency s.r.o.</v>
      </c>
      <c r="J535" s="23" t="n">
        <v>1</v>
      </c>
      <c r="K535" s="23" t="n">
        <v>0</v>
      </c>
      <c r="L535" s="23" t="n">
        <f>J535+K535</f>
        <v>1</v>
      </c>
      <c r="M535" s="23" t="n">
        <v>1</v>
      </c>
      <c r="N535" s="23" t="n">
        <v>0</v>
      </c>
      <c r="O535" s="23" t="n">
        <v>1</v>
      </c>
      <c r="P535" s="23" t="n">
        <v>0</v>
      </c>
      <c r="Q535" s="23" t="n">
        <f>MIN(O535,P535)</f>
        <v>0</v>
      </c>
      <c r="R535" s="25" t="n">
        <f>IF(M535=0,0,MIN(1,L535/M535))</f>
        <v>1</v>
      </c>
      <c r="S535" s="23" t="n">
        <f>O535*R535</f>
        <v>1</v>
      </c>
      <c r="T535" s="23" t="n">
        <f>MIN(P535,S535)</f>
        <v>0</v>
      </c>
      <c r="U535" s="23" t="n">
        <f>O535-S535</f>
        <v>0</v>
      </c>
      <c r="V535" s="23" t="n">
        <f>MAX(P535-O535,0)</f>
        <v>0</v>
      </c>
    </row>
    <row r="536">
      <c r="A536" s="19" t="str">
        <v>捷克区</v>
      </c>
      <c r="B536" s="19" t="str">
        <v>布拉格1号仓</v>
      </c>
      <c r="C536" s="19" t="str">
        <v>拣货组</v>
      </c>
      <c r="D536" s="21" t="n">
        <v>46184</v>
      </c>
      <c r="E536" s="19" t="str">
        <v>2026-06</v>
      </c>
      <c r="F536" s="19" t="str">
        <v>叉车司机</v>
      </c>
      <c r="G536" s="19" t="str">
        <v>捷克区07:00-15:30 / CZ 07:00-15:30</v>
      </c>
      <c r="H536" s="19" t="str">
        <v>S000341</v>
      </c>
      <c r="I536" s="19" t="str">
        <v>Personal work agency s.r.o.</v>
      </c>
      <c r="J536" s="23" t="n">
        <v>1</v>
      </c>
      <c r="K536" s="23" t="n">
        <v>0</v>
      </c>
      <c r="L536" s="23" t="n">
        <f>J536+K536</f>
        <v>1</v>
      </c>
      <c r="M536" s="23" t="n">
        <v>1</v>
      </c>
      <c r="N536" s="23" t="n">
        <v>1</v>
      </c>
      <c r="O536" s="23" t="n">
        <v>1</v>
      </c>
      <c r="P536" s="23" t="n">
        <v>1</v>
      </c>
      <c r="Q536" s="23" t="n">
        <f>MIN(O536,P536)</f>
        <v>1</v>
      </c>
      <c r="R536" s="25" t="n">
        <f>IF(M536=0,0,MIN(1,L536/M536))</f>
        <v>1</v>
      </c>
      <c r="S536" s="23" t="n">
        <f>O536*R536</f>
        <v>1</v>
      </c>
      <c r="T536" s="23" t="n">
        <f>MIN(P536,S536)</f>
        <v>1</v>
      </c>
      <c r="U536" s="23" t="n">
        <f>O536-S536</f>
        <v>0</v>
      </c>
      <c r="V536" s="23" t="n">
        <f>MAX(P536-O536,0)</f>
        <v>0</v>
      </c>
    </row>
    <row r="537">
      <c r="A537" s="19" t="str">
        <v>捷克区</v>
      </c>
      <c r="B537" s="19" t="str">
        <v>布拉格1号仓</v>
      </c>
      <c r="C537" s="19" t="str">
        <v>拣货组</v>
      </c>
      <c r="D537" s="21" t="n">
        <v>46185</v>
      </c>
      <c r="E537" s="19" t="str">
        <v>2026-06</v>
      </c>
      <c r="F537" s="19" t="str">
        <v>叉车司机</v>
      </c>
      <c r="G537" s="19" t="str">
        <v>捷克区07:00-15:30 / CZ 07:00-15:30</v>
      </c>
      <c r="H537" s="19" t="str">
        <v>S000341</v>
      </c>
      <c r="I537" s="19" t="str">
        <v>Personal work agency s.r.o.</v>
      </c>
      <c r="J537" s="23" t="n">
        <v>1</v>
      </c>
      <c r="K537" s="23" t="n">
        <v>0</v>
      </c>
      <c r="L537" s="23" t="n">
        <f>J537+K537</f>
        <v>1</v>
      </c>
      <c r="M537" s="23" t="n">
        <v>1</v>
      </c>
      <c r="N537" s="23" t="n">
        <v>1</v>
      </c>
      <c r="O537" s="23" t="n">
        <v>1</v>
      </c>
      <c r="P537" s="23" t="n">
        <v>1</v>
      </c>
      <c r="Q537" s="23" t="n">
        <f>MIN(O537,P537)</f>
        <v>1</v>
      </c>
      <c r="R537" s="25" t="n">
        <f>IF(M537=0,0,MIN(1,L537/M537))</f>
        <v>1</v>
      </c>
      <c r="S537" s="23" t="n">
        <f>O537*R537</f>
        <v>1</v>
      </c>
      <c r="T537" s="23" t="n">
        <f>MIN(P537,S537)</f>
        <v>1</v>
      </c>
      <c r="U537" s="23" t="n">
        <f>O537-S537</f>
        <v>0</v>
      </c>
      <c r="V537" s="23" t="n">
        <f>MAX(P537-O537,0)</f>
        <v>0</v>
      </c>
    </row>
    <row r="538">
      <c r="A538" s="19" t="str">
        <v>捷克区</v>
      </c>
      <c r="B538" s="19" t="str">
        <v>布拉格1号仓</v>
      </c>
      <c r="C538" s="19" t="str">
        <v>拣货组</v>
      </c>
      <c r="D538" s="21" t="n">
        <v>46186</v>
      </c>
      <c r="E538" s="19" t="str">
        <v>2026-06</v>
      </c>
      <c r="F538" s="19" t="str">
        <v>叉车司机</v>
      </c>
      <c r="G538" s="19" t="str">
        <v>捷克区07:00-15:30 / CZ 07:00-15:30</v>
      </c>
      <c r="H538" s="19" t="str">
        <v>S000341</v>
      </c>
      <c r="I538" s="19" t="str">
        <v>Personal work agency s.r.o.</v>
      </c>
      <c r="J538" s="23" t="n">
        <v>1</v>
      </c>
      <c r="K538" s="23" t="n">
        <v>0</v>
      </c>
      <c r="L538" s="23" t="n">
        <f>J538+K538</f>
        <v>1</v>
      </c>
      <c r="M538" s="23" t="n">
        <v>1</v>
      </c>
      <c r="N538" s="23" t="n">
        <v>1</v>
      </c>
      <c r="O538" s="23" t="n">
        <v>1</v>
      </c>
      <c r="P538" s="23" t="n">
        <v>1</v>
      </c>
      <c r="Q538" s="23" t="n">
        <f>MIN(O538,P538)</f>
        <v>1</v>
      </c>
      <c r="R538" s="25" t="n">
        <f>IF(M538=0,0,MIN(1,L538/M538))</f>
        <v>1</v>
      </c>
      <c r="S538" s="23" t="n">
        <f>O538*R538</f>
        <v>1</v>
      </c>
      <c r="T538" s="23" t="n">
        <f>MIN(P538,S538)</f>
        <v>1</v>
      </c>
      <c r="U538" s="23" t="n">
        <f>O538-S538</f>
        <v>0</v>
      </c>
      <c r="V538" s="23" t="n">
        <f>MAX(P538-O538,0)</f>
        <v>0</v>
      </c>
    </row>
    <row r="539">
      <c r="A539" s="19" t="str">
        <v>捷克区</v>
      </c>
      <c r="B539" s="19" t="str">
        <v>布拉格1号仓</v>
      </c>
      <c r="C539" s="19" t="str">
        <v>拣货组</v>
      </c>
      <c r="D539" s="21" t="n">
        <v>46187</v>
      </c>
      <c r="E539" s="19" t="str">
        <v>2026-06</v>
      </c>
      <c r="F539" s="19" t="str">
        <v>叉车司机</v>
      </c>
      <c r="G539" s="19" t="str">
        <v>捷克区07:00-15:30 / CZ 07:00-15:30</v>
      </c>
      <c r="H539" s="19" t="str">
        <v>S000341</v>
      </c>
      <c r="I539" s="19" t="str">
        <v>Personal work agency s.r.o.</v>
      </c>
      <c r="J539" s="23" t="n">
        <v>1</v>
      </c>
      <c r="K539" s="23" t="n">
        <v>0</v>
      </c>
      <c r="L539" s="23" t="n">
        <f>J539+K539</f>
        <v>1</v>
      </c>
      <c r="M539" s="23" t="n">
        <v>1</v>
      </c>
      <c r="N539" s="23" t="n">
        <v>1</v>
      </c>
      <c r="O539" s="23" t="n">
        <v>1</v>
      </c>
      <c r="P539" s="23" t="n">
        <v>1</v>
      </c>
      <c r="Q539" s="23" t="n">
        <f>MIN(O539,P539)</f>
        <v>1</v>
      </c>
      <c r="R539" s="25" t="n">
        <f>IF(M539=0,0,MIN(1,L539/M539))</f>
        <v>1</v>
      </c>
      <c r="S539" s="23" t="n">
        <f>O539*R539</f>
        <v>1</v>
      </c>
      <c r="T539" s="23" t="n">
        <f>MIN(P539,S539)</f>
        <v>1</v>
      </c>
      <c r="U539" s="23" t="n">
        <f>O539-S539</f>
        <v>0</v>
      </c>
      <c r="V539" s="23" t="n">
        <f>MAX(P539-O539,0)</f>
        <v>0</v>
      </c>
    </row>
    <row r="540">
      <c r="A540" s="19" t="str">
        <v>捷克区</v>
      </c>
      <c r="B540" s="19" t="str">
        <v>布拉格1号仓</v>
      </c>
      <c r="C540" s="19" t="str">
        <v>拣货组</v>
      </c>
      <c r="D540" s="21" t="n">
        <v>46188</v>
      </c>
      <c r="E540" s="19" t="str">
        <v>2026-06</v>
      </c>
      <c r="F540" s="19" t="str">
        <v>叉车司机</v>
      </c>
      <c r="G540" s="19" t="str">
        <v>捷克区07:00-15:30 / CZ 07:00-15:30</v>
      </c>
      <c r="H540" s="19" t="str">
        <v>S000317</v>
      </c>
      <c r="I540" s="19" t="str">
        <v>Středoevropská pracovní agentura s.r.o.</v>
      </c>
      <c r="J540" s="23" t="n">
        <v>1</v>
      </c>
      <c r="K540" s="23" t="n">
        <v>0</v>
      </c>
      <c r="L540" s="23" t="n">
        <f>J540+K540</f>
        <v>1</v>
      </c>
      <c r="M540" s="23" t="n">
        <v>1</v>
      </c>
      <c r="N540" s="23" t="n">
        <v>0</v>
      </c>
      <c r="O540" s="23" t="n">
        <v>1</v>
      </c>
      <c r="P540" s="23" t="n">
        <v>0</v>
      </c>
      <c r="Q540" s="23" t="n">
        <f>MIN(O540,P540)</f>
        <v>0</v>
      </c>
      <c r="R540" s="25" t="n">
        <f>IF(M540=0,0,MIN(1,L540/M540))</f>
        <v>1</v>
      </c>
      <c r="S540" s="23" t="n">
        <f>O540*R540</f>
        <v>1</v>
      </c>
      <c r="T540" s="23" t="n">
        <f>MIN(P540,S540)</f>
        <v>0</v>
      </c>
      <c r="U540" s="23" t="n">
        <f>O540-S540</f>
        <v>0</v>
      </c>
      <c r="V540" s="23" t="n">
        <f>MAX(P540-O540,0)</f>
        <v>0</v>
      </c>
    </row>
    <row r="541">
      <c r="A541" s="19" t="str">
        <v>捷克区</v>
      </c>
      <c r="B541" s="19" t="str">
        <v>布拉格1号仓</v>
      </c>
      <c r="C541" s="19" t="str">
        <v>拣货组</v>
      </c>
      <c r="D541" s="21" t="n">
        <v>46189</v>
      </c>
      <c r="E541" s="19" t="str">
        <v>2026-06</v>
      </c>
      <c r="F541" s="19" t="str">
        <v>叉车司机</v>
      </c>
      <c r="G541" s="19" t="str">
        <v>捷克区07:00-15:30 / CZ 07:00-15:30</v>
      </c>
      <c r="H541" s="19" t="str">
        <v>S000317</v>
      </c>
      <c r="I541" s="19" t="str">
        <v>Středoevropská pracovní agentura s.r.o.</v>
      </c>
      <c r="J541" s="23" t="n">
        <v>1</v>
      </c>
      <c r="K541" s="23" t="n">
        <v>0</v>
      </c>
      <c r="L541" s="23" t="n">
        <f>J541+K541</f>
        <v>1</v>
      </c>
      <c r="M541" s="23" t="n">
        <v>1</v>
      </c>
      <c r="N541" s="23" t="n">
        <v>0</v>
      </c>
      <c r="O541" s="23" t="n">
        <v>1</v>
      </c>
      <c r="P541" s="23" t="n">
        <v>0</v>
      </c>
      <c r="Q541" s="23" t="n">
        <f>MIN(O541,P541)</f>
        <v>0</v>
      </c>
      <c r="R541" s="25" t="n">
        <f>IF(M541=0,0,MIN(1,L541/M541))</f>
        <v>1</v>
      </c>
      <c r="S541" s="23" t="n">
        <f>O541*R541</f>
        <v>1</v>
      </c>
      <c r="T541" s="23" t="n">
        <f>MIN(P541,S541)</f>
        <v>0</v>
      </c>
      <c r="U541" s="23" t="n">
        <f>O541-S541</f>
        <v>0</v>
      </c>
      <c r="V541" s="23" t="n">
        <f>MAX(P541-O541,0)</f>
        <v>0</v>
      </c>
    </row>
    <row r="542">
      <c r="A542" s="19" t="str">
        <v>捷克区</v>
      </c>
      <c r="B542" s="19" t="str">
        <v>布拉格2号仓</v>
      </c>
      <c r="C542" s="19" t="str">
        <v>入库组</v>
      </c>
      <c r="D542" s="21" t="n">
        <v>46168</v>
      </c>
      <c r="E542" s="19" t="str">
        <v>2026-05</v>
      </c>
      <c r="F542" s="19" t="str">
        <v>操作员</v>
      </c>
      <c r="G542" s="19" t="str">
        <v>捷克区07:00-15:30 / CZ 07:00-15:30</v>
      </c>
      <c r="H542" s="19" t="str">
        <v>S000317</v>
      </c>
      <c r="I542" s="19" t="str">
        <v>Středoevropská pracovní agentura s.r.o.</v>
      </c>
      <c r="J542" s="23" t="n">
        <v>2</v>
      </c>
      <c r="K542" s="23" t="n">
        <v>0</v>
      </c>
      <c r="L542" s="23" t="n">
        <f>J542+K542</f>
        <v>2</v>
      </c>
      <c r="M542" s="23" t="n">
        <v>2</v>
      </c>
      <c r="N542" s="23" t="n">
        <v>0</v>
      </c>
      <c r="O542" s="23" t="n">
        <v>2</v>
      </c>
      <c r="P542" s="23" t="n">
        <v>0</v>
      </c>
      <c r="Q542" s="23" t="n">
        <f>MIN(O542,P542)</f>
        <v>0</v>
      </c>
      <c r="R542" s="25" t="n">
        <f>IF(M542=0,0,MIN(1,L542/M542))</f>
        <v>1</v>
      </c>
      <c r="S542" s="23" t="n">
        <f>O542*R542</f>
        <v>2</v>
      </c>
      <c r="T542" s="23" t="n">
        <f>MIN(P542,S542)</f>
        <v>0</v>
      </c>
      <c r="U542" s="23" t="n">
        <f>O542-S542</f>
        <v>0</v>
      </c>
      <c r="V542" s="23" t="n">
        <f>MAX(P542-O542,0)</f>
        <v>0</v>
      </c>
    </row>
    <row r="543">
      <c r="A543" s="19" t="str">
        <v>捷克区</v>
      </c>
      <c r="B543" s="19" t="str">
        <v>布拉格2号仓</v>
      </c>
      <c r="C543" s="19" t="str">
        <v>入库组</v>
      </c>
      <c r="D543" s="21" t="n">
        <v>46169</v>
      </c>
      <c r="E543" s="19" t="str">
        <v>2026-05</v>
      </c>
      <c r="F543" s="19" t="str">
        <v>操作员</v>
      </c>
      <c r="G543" s="19" t="str">
        <v>捷克区07:00-15:30 / CZ 07:00-15:30</v>
      </c>
      <c r="H543" s="19" t="str">
        <v>S000317</v>
      </c>
      <c r="I543" s="19" t="str">
        <v>Středoevropská pracovní agentura s.r.o.</v>
      </c>
      <c r="J543" s="23" t="n">
        <v>2</v>
      </c>
      <c r="K543" s="23" t="n">
        <v>0</v>
      </c>
      <c r="L543" s="23" t="n">
        <f>J543+K543</f>
        <v>2</v>
      </c>
      <c r="M543" s="23" t="n">
        <v>2</v>
      </c>
      <c r="N543" s="23" t="n">
        <v>0</v>
      </c>
      <c r="O543" s="23" t="n">
        <v>2</v>
      </c>
      <c r="P543" s="23" t="n">
        <v>0</v>
      </c>
      <c r="Q543" s="23" t="n">
        <f>MIN(O543,P543)</f>
        <v>0</v>
      </c>
      <c r="R543" s="25" t="n">
        <f>IF(M543=0,0,MIN(1,L543/M543))</f>
        <v>1</v>
      </c>
      <c r="S543" s="23" t="n">
        <f>O543*R543</f>
        <v>2</v>
      </c>
      <c r="T543" s="23" t="n">
        <f>MIN(P543,S543)</f>
        <v>0</v>
      </c>
      <c r="U543" s="23" t="n">
        <f>O543-S543</f>
        <v>0</v>
      </c>
      <c r="V543" s="23" t="n">
        <f>MAX(P543-O543,0)</f>
        <v>0</v>
      </c>
    </row>
    <row r="544">
      <c r="A544" s="19" t="str">
        <v>捷克区</v>
      </c>
      <c r="B544" s="19" t="str">
        <v>布拉格2号仓</v>
      </c>
      <c r="C544" s="19" t="str">
        <v>入库组</v>
      </c>
      <c r="D544" s="21" t="n">
        <v>46170</v>
      </c>
      <c r="E544" s="19" t="str">
        <v>2026-05</v>
      </c>
      <c r="F544" s="19" t="str">
        <v>操作员</v>
      </c>
      <c r="G544" s="19" t="str">
        <v>捷克区07:00-15:30 / CZ 07:00-15:30</v>
      </c>
      <c r="H544" s="19" t="str">
        <v>S000175</v>
      </c>
      <c r="I544" s="19" t="str">
        <v>Armz HR</v>
      </c>
      <c r="J544" s="23" t="n">
        <v>4</v>
      </c>
      <c r="K544" s="23" t="n">
        <v>0</v>
      </c>
      <c r="L544" s="23" t="n">
        <f>J544+K544</f>
        <v>4</v>
      </c>
      <c r="M544" s="23" t="n">
        <v>4</v>
      </c>
      <c r="N544" s="23" t="n">
        <v>0</v>
      </c>
      <c r="O544" s="23" t="n">
        <v>2</v>
      </c>
      <c r="P544" s="23" t="n">
        <v>0</v>
      </c>
      <c r="Q544" s="23" t="n">
        <f>MIN(O544,P544)</f>
        <v>0</v>
      </c>
      <c r="R544" s="25" t="n">
        <f>IF(M544=0,0,MIN(1,L544/M544))</f>
        <v>1</v>
      </c>
      <c r="S544" s="23" t="n">
        <f>O544*R544</f>
        <v>2</v>
      </c>
      <c r="T544" s="23" t="n">
        <f>MIN(P544,S544)</f>
        <v>0</v>
      </c>
      <c r="U544" s="23" t="n">
        <f>O544-S544</f>
        <v>0</v>
      </c>
      <c r="V544" s="23" t="n">
        <f>MAX(P544-O544,0)</f>
        <v>0</v>
      </c>
    </row>
    <row r="545">
      <c r="A545" s="19" t="str">
        <v>捷克区</v>
      </c>
      <c r="B545" s="19" t="str">
        <v>布拉格2号仓</v>
      </c>
      <c r="C545" s="19" t="str">
        <v>入库组</v>
      </c>
      <c r="D545" s="21" t="n">
        <v>46170</v>
      </c>
      <c r="E545" s="19" t="str">
        <v>2026-05</v>
      </c>
      <c r="F545" s="19" t="str">
        <v>操作员</v>
      </c>
      <c r="G545" s="19" t="str">
        <v>捷克区07:00-15:30 / CZ 07:00-15:30</v>
      </c>
      <c r="H545" s="19" t="str">
        <v>S000317</v>
      </c>
      <c r="I545" s="19" t="str">
        <v>Středoevropská pracovní agentura s.r.o.</v>
      </c>
      <c r="J545" s="23" t="n">
        <v>4</v>
      </c>
      <c r="K545" s="23" t="n">
        <v>0</v>
      </c>
      <c r="L545" s="23" t="n">
        <f>J545+K545</f>
        <v>4</v>
      </c>
      <c r="M545" s="23" t="n">
        <v>4</v>
      </c>
      <c r="N545" s="23" t="n">
        <v>0</v>
      </c>
      <c r="O545" s="23" t="n">
        <v>2</v>
      </c>
      <c r="P545" s="23" t="n">
        <v>0</v>
      </c>
      <c r="Q545" s="23" t="n">
        <f>MIN(O545,P545)</f>
        <v>0</v>
      </c>
      <c r="R545" s="25" t="n">
        <f>IF(M545=0,0,MIN(1,L545/M545))</f>
        <v>1</v>
      </c>
      <c r="S545" s="23" t="n">
        <f>O545*R545</f>
        <v>2</v>
      </c>
      <c r="T545" s="23" t="n">
        <f>MIN(P545,S545)</f>
        <v>0</v>
      </c>
      <c r="U545" s="23" t="n">
        <f>O545-S545</f>
        <v>0</v>
      </c>
      <c r="V545" s="23" t="n">
        <f>MAX(P545-O545,0)</f>
        <v>0</v>
      </c>
    </row>
    <row r="546">
      <c r="A546" s="19" t="str">
        <v>捷克区</v>
      </c>
      <c r="B546" s="19" t="str">
        <v>布拉格2号仓</v>
      </c>
      <c r="C546" s="19" t="str">
        <v>入库组</v>
      </c>
      <c r="D546" s="21" t="n">
        <v>46171</v>
      </c>
      <c r="E546" s="19" t="str">
        <v>2026-05</v>
      </c>
      <c r="F546" s="19" t="str">
        <v>操作员</v>
      </c>
      <c r="G546" s="19" t="str">
        <v>捷克区07:00-15:30 / CZ 07:00-15:30</v>
      </c>
      <c r="H546" s="19" t="str">
        <v>S000175</v>
      </c>
      <c r="I546" s="19" t="str">
        <v>Armz HR</v>
      </c>
      <c r="J546" s="23" t="n">
        <v>4</v>
      </c>
      <c r="K546" s="23" t="n">
        <v>0</v>
      </c>
      <c r="L546" s="23" t="n">
        <f>J546+K546</f>
        <v>4</v>
      </c>
      <c r="M546" s="23" t="n">
        <v>4</v>
      </c>
      <c r="N546" s="23" t="n">
        <v>0</v>
      </c>
      <c r="O546" s="23" t="n">
        <v>2</v>
      </c>
      <c r="P546" s="23" t="n">
        <v>0</v>
      </c>
      <c r="Q546" s="23" t="n">
        <f>MIN(O546,P546)</f>
        <v>0</v>
      </c>
      <c r="R546" s="25" t="n">
        <f>IF(M546=0,0,MIN(1,L546/M546))</f>
        <v>1</v>
      </c>
      <c r="S546" s="23" t="n">
        <f>O546*R546</f>
        <v>2</v>
      </c>
      <c r="T546" s="23" t="n">
        <f>MIN(P546,S546)</f>
        <v>0</v>
      </c>
      <c r="U546" s="23" t="n">
        <f>O546-S546</f>
        <v>0</v>
      </c>
      <c r="V546" s="23" t="n">
        <f>MAX(P546-O546,0)</f>
        <v>0</v>
      </c>
    </row>
    <row r="547">
      <c r="A547" s="19" t="str">
        <v>捷克区</v>
      </c>
      <c r="B547" s="19" t="str">
        <v>布拉格2号仓</v>
      </c>
      <c r="C547" s="19" t="str">
        <v>入库组</v>
      </c>
      <c r="D547" s="21" t="n">
        <v>46171</v>
      </c>
      <c r="E547" s="19" t="str">
        <v>2026-05</v>
      </c>
      <c r="F547" s="19" t="str">
        <v>操作员</v>
      </c>
      <c r="G547" s="19" t="str">
        <v>捷克区07:00-15:30 / CZ 07:00-15:30</v>
      </c>
      <c r="H547" s="19" t="str">
        <v>S000317</v>
      </c>
      <c r="I547" s="19" t="str">
        <v>Středoevropská pracovní agentura s.r.o.</v>
      </c>
      <c r="J547" s="23" t="n">
        <v>4</v>
      </c>
      <c r="K547" s="23" t="n">
        <v>0</v>
      </c>
      <c r="L547" s="23" t="n">
        <f>J547+K547</f>
        <v>4</v>
      </c>
      <c r="M547" s="23" t="n">
        <v>4</v>
      </c>
      <c r="N547" s="23" t="n">
        <v>0</v>
      </c>
      <c r="O547" s="23" t="n">
        <v>2</v>
      </c>
      <c r="P547" s="23" t="n">
        <v>0</v>
      </c>
      <c r="Q547" s="23" t="n">
        <f>MIN(O547,P547)</f>
        <v>0</v>
      </c>
      <c r="R547" s="25" t="n">
        <f>IF(M547=0,0,MIN(1,L547/M547))</f>
        <v>1</v>
      </c>
      <c r="S547" s="23" t="n">
        <f>O547*R547</f>
        <v>2</v>
      </c>
      <c r="T547" s="23" t="n">
        <f>MIN(P547,S547)</f>
        <v>0</v>
      </c>
      <c r="U547" s="23" t="n">
        <f>O547-S547</f>
        <v>0</v>
      </c>
      <c r="V547" s="23" t="n">
        <f>MAX(P547-O547,0)</f>
        <v>0</v>
      </c>
    </row>
    <row r="548">
      <c r="A548" s="19" t="str">
        <v>捷克区</v>
      </c>
      <c r="B548" s="19" t="str">
        <v>布拉格2号仓</v>
      </c>
      <c r="C548" s="19" t="str">
        <v>入库组</v>
      </c>
      <c r="D548" s="21" t="n">
        <v>46172</v>
      </c>
      <c r="E548" s="19" t="str">
        <v>2026-05</v>
      </c>
      <c r="F548" s="19" t="str">
        <v>操作员</v>
      </c>
      <c r="G548" s="19" t="str">
        <v>捷克区07:00-15:30 / CZ 07:00-15:30</v>
      </c>
      <c r="H548" s="19" t="str">
        <v>S000175</v>
      </c>
      <c r="I548" s="19" t="str">
        <v>Armz HR</v>
      </c>
      <c r="J548" s="23" t="n">
        <v>4</v>
      </c>
      <c r="K548" s="23" t="n">
        <v>0</v>
      </c>
      <c r="L548" s="23" t="n">
        <f>J548+K548</f>
        <v>4</v>
      </c>
      <c r="M548" s="23" t="n">
        <v>4</v>
      </c>
      <c r="N548" s="23" t="n">
        <v>0</v>
      </c>
      <c r="O548" s="23" t="n">
        <v>2</v>
      </c>
      <c r="P548" s="23" t="n">
        <v>0</v>
      </c>
      <c r="Q548" s="23" t="n">
        <f>MIN(O548,P548)</f>
        <v>0</v>
      </c>
      <c r="R548" s="25" t="n">
        <f>IF(M548=0,0,MIN(1,L548/M548))</f>
        <v>1</v>
      </c>
      <c r="S548" s="23" t="n">
        <f>O548*R548</f>
        <v>2</v>
      </c>
      <c r="T548" s="23" t="n">
        <f>MIN(P548,S548)</f>
        <v>0</v>
      </c>
      <c r="U548" s="23" t="n">
        <f>O548-S548</f>
        <v>0</v>
      </c>
      <c r="V548" s="23" t="n">
        <f>MAX(P548-O548,0)</f>
        <v>0</v>
      </c>
    </row>
    <row r="549">
      <c r="A549" s="19" t="str">
        <v>捷克区</v>
      </c>
      <c r="B549" s="19" t="str">
        <v>布拉格2号仓</v>
      </c>
      <c r="C549" s="19" t="str">
        <v>入库组</v>
      </c>
      <c r="D549" s="21" t="n">
        <v>46172</v>
      </c>
      <c r="E549" s="19" t="str">
        <v>2026-05</v>
      </c>
      <c r="F549" s="19" t="str">
        <v>操作员</v>
      </c>
      <c r="G549" s="19" t="str">
        <v>捷克区07:00-15:30 / CZ 07:00-15:30</v>
      </c>
      <c r="H549" s="19" t="str">
        <v>S000317</v>
      </c>
      <c r="I549" s="19" t="str">
        <v>Středoevropská pracovní agentura s.r.o.</v>
      </c>
      <c r="J549" s="23" t="n">
        <v>4</v>
      </c>
      <c r="K549" s="23" t="n">
        <v>0</v>
      </c>
      <c r="L549" s="23" t="n">
        <f>J549+K549</f>
        <v>4</v>
      </c>
      <c r="M549" s="23" t="n">
        <v>4</v>
      </c>
      <c r="N549" s="23" t="n">
        <v>0</v>
      </c>
      <c r="O549" s="23" t="n">
        <v>2</v>
      </c>
      <c r="P549" s="23" t="n">
        <v>0</v>
      </c>
      <c r="Q549" s="23" t="n">
        <f>MIN(O549,P549)</f>
        <v>0</v>
      </c>
      <c r="R549" s="25" t="n">
        <f>IF(M549=0,0,MIN(1,L549/M549))</f>
        <v>1</v>
      </c>
      <c r="S549" s="23" t="n">
        <f>O549*R549</f>
        <v>2</v>
      </c>
      <c r="T549" s="23" t="n">
        <f>MIN(P549,S549)</f>
        <v>0</v>
      </c>
      <c r="U549" s="23" t="n">
        <f>O549-S549</f>
        <v>0</v>
      </c>
      <c r="V549" s="23" t="n">
        <f>MAX(P549-O549,0)</f>
        <v>0</v>
      </c>
    </row>
    <row r="550">
      <c r="A550" s="19" t="str">
        <v>捷克区</v>
      </c>
      <c r="B550" s="19" t="str">
        <v>布拉格2号仓</v>
      </c>
      <c r="C550" s="19" t="str">
        <v>入库组</v>
      </c>
      <c r="D550" s="21" t="n">
        <v>46173</v>
      </c>
      <c r="E550" s="19" t="str">
        <v>2026-05</v>
      </c>
      <c r="F550" s="19" t="str">
        <v>操作员</v>
      </c>
      <c r="G550" s="19" t="str">
        <v>捷克区07:00-15:30 / CZ 07:00-15:30</v>
      </c>
      <c r="H550" s="19" t="str">
        <v>S000175</v>
      </c>
      <c r="I550" s="19" t="str">
        <v>Armz HR</v>
      </c>
      <c r="J550" s="23" t="n">
        <v>4</v>
      </c>
      <c r="K550" s="23" t="n">
        <v>0</v>
      </c>
      <c r="L550" s="23" t="n">
        <f>J550+K550</f>
        <v>4</v>
      </c>
      <c r="M550" s="23" t="n">
        <v>4</v>
      </c>
      <c r="N550" s="23" t="n">
        <v>0</v>
      </c>
      <c r="O550" s="23" t="n">
        <v>2</v>
      </c>
      <c r="P550" s="23" t="n">
        <v>0</v>
      </c>
      <c r="Q550" s="23" t="n">
        <f>MIN(O550,P550)</f>
        <v>0</v>
      </c>
      <c r="R550" s="25" t="n">
        <f>IF(M550=0,0,MIN(1,L550/M550))</f>
        <v>1</v>
      </c>
      <c r="S550" s="23" t="n">
        <f>O550*R550</f>
        <v>2</v>
      </c>
      <c r="T550" s="23" t="n">
        <f>MIN(P550,S550)</f>
        <v>0</v>
      </c>
      <c r="U550" s="23" t="n">
        <f>O550-S550</f>
        <v>0</v>
      </c>
      <c r="V550" s="23" t="n">
        <f>MAX(P550-O550,0)</f>
        <v>0</v>
      </c>
    </row>
    <row r="551">
      <c r="A551" s="19" t="str">
        <v>捷克区</v>
      </c>
      <c r="B551" s="19" t="str">
        <v>布拉格2号仓</v>
      </c>
      <c r="C551" s="19" t="str">
        <v>入库组</v>
      </c>
      <c r="D551" s="21" t="n">
        <v>46173</v>
      </c>
      <c r="E551" s="19" t="str">
        <v>2026-05</v>
      </c>
      <c r="F551" s="19" t="str">
        <v>操作员</v>
      </c>
      <c r="G551" s="19" t="str">
        <v>捷克区07:00-15:30 / CZ 07:00-15:30</v>
      </c>
      <c r="H551" s="19" t="str">
        <v>S000317</v>
      </c>
      <c r="I551" s="19" t="str">
        <v>Středoevropská pracovní agentura s.r.o.</v>
      </c>
      <c r="J551" s="23" t="n">
        <v>4</v>
      </c>
      <c r="K551" s="23" t="n">
        <v>0</v>
      </c>
      <c r="L551" s="23" t="n">
        <f>J551+K551</f>
        <v>4</v>
      </c>
      <c r="M551" s="23" t="n">
        <v>4</v>
      </c>
      <c r="N551" s="23" t="n">
        <v>0</v>
      </c>
      <c r="O551" s="23" t="n">
        <v>2</v>
      </c>
      <c r="P551" s="23" t="n">
        <v>0</v>
      </c>
      <c r="Q551" s="23" t="n">
        <f>MIN(O551,P551)</f>
        <v>0</v>
      </c>
      <c r="R551" s="25" t="n">
        <f>IF(M551=0,0,MIN(1,L551/M551))</f>
        <v>1</v>
      </c>
      <c r="S551" s="23" t="n">
        <f>O551*R551</f>
        <v>2</v>
      </c>
      <c r="T551" s="23" t="n">
        <f>MIN(P551,S551)</f>
        <v>0</v>
      </c>
      <c r="U551" s="23" t="n">
        <f>O551-S551</f>
        <v>0</v>
      </c>
      <c r="V551" s="23" t="n">
        <f>MAX(P551-O551,0)</f>
        <v>0</v>
      </c>
    </row>
    <row r="552">
      <c r="A552" s="19" t="str">
        <v>捷克区</v>
      </c>
      <c r="B552" s="19" t="str">
        <v>布拉格2号仓</v>
      </c>
      <c r="C552" s="19" t="str">
        <v>入库组</v>
      </c>
      <c r="D552" s="21" t="n">
        <v>46174</v>
      </c>
      <c r="E552" s="19" t="str">
        <v>2026-06</v>
      </c>
      <c r="F552" s="19" t="str">
        <v>操作员</v>
      </c>
      <c r="G552" s="19" t="str">
        <v>捷克区07:00-15:30 / CZ 07:00-15:30</v>
      </c>
      <c r="H552" s="19" t="str">
        <v>S000175</v>
      </c>
      <c r="I552" s="19" t="str">
        <v>Armz HR</v>
      </c>
      <c r="J552" s="23" t="n">
        <v>4</v>
      </c>
      <c r="K552" s="23" t="n">
        <v>0</v>
      </c>
      <c r="L552" s="23" t="n">
        <f>J552+K552</f>
        <v>4</v>
      </c>
      <c r="M552" s="23" t="n">
        <v>4</v>
      </c>
      <c r="N552" s="23" t="n">
        <v>0</v>
      </c>
      <c r="O552" s="23" t="n">
        <v>2</v>
      </c>
      <c r="P552" s="23" t="n">
        <v>0</v>
      </c>
      <c r="Q552" s="23" t="n">
        <f>MIN(O552,P552)</f>
        <v>0</v>
      </c>
      <c r="R552" s="25" t="n">
        <f>IF(M552=0,0,MIN(1,L552/M552))</f>
        <v>1</v>
      </c>
      <c r="S552" s="23" t="n">
        <f>O552*R552</f>
        <v>2</v>
      </c>
      <c r="T552" s="23" t="n">
        <f>MIN(P552,S552)</f>
        <v>0</v>
      </c>
      <c r="U552" s="23" t="n">
        <f>O552-S552</f>
        <v>0</v>
      </c>
      <c r="V552" s="23" t="n">
        <f>MAX(P552-O552,0)</f>
        <v>0</v>
      </c>
    </row>
    <row r="553">
      <c r="A553" s="19" t="str">
        <v>捷克区</v>
      </c>
      <c r="B553" s="19" t="str">
        <v>布拉格2号仓</v>
      </c>
      <c r="C553" s="19" t="str">
        <v>入库组</v>
      </c>
      <c r="D553" s="21" t="n">
        <v>46174</v>
      </c>
      <c r="E553" s="19" t="str">
        <v>2026-06</v>
      </c>
      <c r="F553" s="19" t="str">
        <v>操作员</v>
      </c>
      <c r="G553" s="19" t="str">
        <v>捷克区07:00-15:30 / CZ 07:00-15:30</v>
      </c>
      <c r="H553" s="19" t="str">
        <v>S000317</v>
      </c>
      <c r="I553" s="19" t="str">
        <v>Středoevropská pracovní agentura s.r.o.</v>
      </c>
      <c r="J553" s="23" t="n">
        <v>4</v>
      </c>
      <c r="K553" s="23" t="n">
        <v>0</v>
      </c>
      <c r="L553" s="23" t="n">
        <f>J553+K553</f>
        <v>4</v>
      </c>
      <c r="M553" s="23" t="n">
        <v>4</v>
      </c>
      <c r="N553" s="23" t="n">
        <v>0</v>
      </c>
      <c r="O553" s="23" t="n">
        <v>2</v>
      </c>
      <c r="P553" s="23" t="n">
        <v>0</v>
      </c>
      <c r="Q553" s="23" t="n">
        <f>MIN(O553,P553)</f>
        <v>0</v>
      </c>
      <c r="R553" s="25" t="n">
        <f>IF(M553=0,0,MIN(1,L553/M553))</f>
        <v>1</v>
      </c>
      <c r="S553" s="23" t="n">
        <f>O553*R553</f>
        <v>2</v>
      </c>
      <c r="T553" s="23" t="n">
        <f>MIN(P553,S553)</f>
        <v>0</v>
      </c>
      <c r="U553" s="23" t="n">
        <f>O553-S553</f>
        <v>0</v>
      </c>
      <c r="V553" s="23" t="n">
        <f>MAX(P553-O553,0)</f>
        <v>0</v>
      </c>
    </row>
    <row r="554">
      <c r="A554" s="19" t="str">
        <v>捷克区</v>
      </c>
      <c r="B554" s="19" t="str">
        <v>布拉格2号仓</v>
      </c>
      <c r="C554" s="19" t="str">
        <v>入库组</v>
      </c>
      <c r="D554" s="21" t="n">
        <v>46175</v>
      </c>
      <c r="E554" s="19" t="str">
        <v>2026-06</v>
      </c>
      <c r="F554" s="19" t="str">
        <v>操作员</v>
      </c>
      <c r="G554" s="19" t="str">
        <v>捷克区07:00-15:30 / CZ 07:00-15:30</v>
      </c>
      <c r="H554" s="19" t="str">
        <v>S000175</v>
      </c>
      <c r="I554" s="19" t="str">
        <v>Armz HR</v>
      </c>
      <c r="J554" s="23" t="n">
        <v>4</v>
      </c>
      <c r="K554" s="23" t="n">
        <v>0</v>
      </c>
      <c r="L554" s="23" t="n">
        <f>J554+K554</f>
        <v>4</v>
      </c>
      <c r="M554" s="23" t="n">
        <v>4</v>
      </c>
      <c r="N554" s="23" t="n">
        <v>0</v>
      </c>
      <c r="O554" s="23" t="n">
        <v>2</v>
      </c>
      <c r="P554" s="23" t="n">
        <v>0</v>
      </c>
      <c r="Q554" s="23" t="n">
        <f>MIN(O554,P554)</f>
        <v>0</v>
      </c>
      <c r="R554" s="25" t="n">
        <f>IF(M554=0,0,MIN(1,L554/M554))</f>
        <v>1</v>
      </c>
      <c r="S554" s="23" t="n">
        <f>O554*R554</f>
        <v>2</v>
      </c>
      <c r="T554" s="23" t="n">
        <f>MIN(P554,S554)</f>
        <v>0</v>
      </c>
      <c r="U554" s="23" t="n">
        <f>O554-S554</f>
        <v>0</v>
      </c>
      <c r="V554" s="23" t="n">
        <f>MAX(P554-O554,0)</f>
        <v>0</v>
      </c>
    </row>
    <row r="555">
      <c r="A555" s="19" t="str">
        <v>捷克区</v>
      </c>
      <c r="B555" s="19" t="str">
        <v>布拉格2号仓</v>
      </c>
      <c r="C555" s="19" t="str">
        <v>入库组</v>
      </c>
      <c r="D555" s="21" t="n">
        <v>46175</v>
      </c>
      <c r="E555" s="19" t="str">
        <v>2026-06</v>
      </c>
      <c r="F555" s="19" t="str">
        <v>操作员</v>
      </c>
      <c r="G555" s="19" t="str">
        <v>捷克区07:00-15:30 / CZ 07:00-15:30</v>
      </c>
      <c r="H555" s="19" t="str">
        <v>S000317</v>
      </c>
      <c r="I555" s="19" t="str">
        <v>Středoevropská pracovní agentura s.r.o.</v>
      </c>
      <c r="J555" s="23" t="n">
        <v>4</v>
      </c>
      <c r="K555" s="23" t="n">
        <v>0</v>
      </c>
      <c r="L555" s="23" t="n">
        <f>J555+K555</f>
        <v>4</v>
      </c>
      <c r="M555" s="23" t="n">
        <v>4</v>
      </c>
      <c r="N555" s="23" t="n">
        <v>0</v>
      </c>
      <c r="O555" s="23" t="n">
        <v>2</v>
      </c>
      <c r="P555" s="23" t="n">
        <v>0</v>
      </c>
      <c r="Q555" s="23" t="n">
        <f>MIN(O555,P555)</f>
        <v>0</v>
      </c>
      <c r="R555" s="25" t="n">
        <f>IF(M555=0,0,MIN(1,L555/M555))</f>
        <v>1</v>
      </c>
      <c r="S555" s="23" t="n">
        <f>O555*R555</f>
        <v>2</v>
      </c>
      <c r="T555" s="23" t="n">
        <f>MIN(P555,S555)</f>
        <v>0</v>
      </c>
      <c r="U555" s="23" t="n">
        <f>O555-S555</f>
        <v>0</v>
      </c>
      <c r="V555" s="23" t="n">
        <f>MAX(P555-O555,0)</f>
        <v>0</v>
      </c>
    </row>
    <row r="556">
      <c r="A556" s="19" t="str">
        <v>捷克区</v>
      </c>
      <c r="B556" s="19" t="str">
        <v>布拉格2号仓</v>
      </c>
      <c r="C556" s="19" t="str">
        <v>入库组</v>
      </c>
      <c r="D556" s="21" t="n">
        <v>46176</v>
      </c>
      <c r="E556" s="19" t="str">
        <v>2026-06</v>
      </c>
      <c r="F556" s="19" t="str">
        <v>操作员</v>
      </c>
      <c r="G556" s="19" t="str">
        <v>捷克区07:00-15:30 / CZ 07:00-15:30</v>
      </c>
      <c r="H556" s="19" t="str">
        <v>S000175</v>
      </c>
      <c r="I556" s="19" t="str">
        <v>Armz HR</v>
      </c>
      <c r="J556" s="23" t="n">
        <v>2</v>
      </c>
      <c r="K556" s="23" t="n">
        <v>0</v>
      </c>
      <c r="L556" s="23" t="n">
        <f>J556+K556</f>
        <v>2</v>
      </c>
      <c r="M556" s="23" t="n">
        <v>2</v>
      </c>
      <c r="N556" s="23" t="n">
        <v>0</v>
      </c>
      <c r="O556" s="23" t="n">
        <v>2</v>
      </c>
      <c r="P556" s="23" t="n">
        <v>0</v>
      </c>
      <c r="Q556" s="23" t="n">
        <f>MIN(O556,P556)</f>
        <v>0</v>
      </c>
      <c r="R556" s="25" t="n">
        <f>IF(M556=0,0,MIN(1,L556/M556))</f>
        <v>1</v>
      </c>
      <c r="S556" s="23" t="n">
        <f>O556*R556</f>
        <v>2</v>
      </c>
      <c r="T556" s="23" t="n">
        <f>MIN(P556,S556)</f>
        <v>0</v>
      </c>
      <c r="U556" s="23" t="n">
        <f>O556-S556</f>
        <v>0</v>
      </c>
      <c r="V556" s="23" t="n">
        <f>MAX(P556-O556,0)</f>
        <v>0</v>
      </c>
    </row>
    <row r="557">
      <c r="A557" s="19" t="str">
        <v>捷克区</v>
      </c>
      <c r="B557" s="19" t="str">
        <v>布拉格2号仓</v>
      </c>
      <c r="C557" s="19" t="str">
        <v>入库组</v>
      </c>
      <c r="D557" s="21" t="n">
        <v>46177</v>
      </c>
      <c r="E557" s="19" t="str">
        <v>2026-06</v>
      </c>
      <c r="F557" s="19" t="str">
        <v>操作员</v>
      </c>
      <c r="G557" s="19" t="str">
        <v>捷克区07:00-15:30 / CZ 07:00-15:30</v>
      </c>
      <c r="H557" s="19" t="str">
        <v>S000175</v>
      </c>
      <c r="I557" s="19" t="str">
        <v>Armz HR</v>
      </c>
      <c r="J557" s="23" t="n">
        <v>2</v>
      </c>
      <c r="K557" s="23" t="n">
        <v>0</v>
      </c>
      <c r="L557" s="23" t="n">
        <f>J557+K557</f>
        <v>2</v>
      </c>
      <c r="M557" s="23" t="n">
        <v>2</v>
      </c>
      <c r="N557" s="23" t="n">
        <v>0</v>
      </c>
      <c r="O557" s="23" t="n">
        <v>2</v>
      </c>
      <c r="P557" s="23" t="n">
        <v>0</v>
      </c>
      <c r="Q557" s="23" t="n">
        <f>MIN(O557,P557)</f>
        <v>0</v>
      </c>
      <c r="R557" s="25" t="n">
        <f>IF(M557=0,0,MIN(1,L557/M557))</f>
        <v>1</v>
      </c>
      <c r="S557" s="23" t="n">
        <f>O557*R557</f>
        <v>2</v>
      </c>
      <c r="T557" s="23" t="n">
        <f>MIN(P557,S557)</f>
        <v>0</v>
      </c>
      <c r="U557" s="23" t="n">
        <f>O557-S557</f>
        <v>0</v>
      </c>
      <c r="V557" s="23" t="n">
        <f>MAX(P557-O557,0)</f>
        <v>0</v>
      </c>
    </row>
    <row r="558">
      <c r="A558" s="19" t="str">
        <v>捷克区</v>
      </c>
      <c r="B558" s="19" t="str">
        <v>布拉格2号仓</v>
      </c>
      <c r="C558" s="19" t="str">
        <v>入库组</v>
      </c>
      <c r="D558" s="21" t="n">
        <v>46192</v>
      </c>
      <c r="E558" s="19" t="str">
        <v>2026-06</v>
      </c>
      <c r="F558" s="19" t="str">
        <v>操作员</v>
      </c>
      <c r="G558" s="19" t="str">
        <v>捷克区07:00-15:30 / CZ 07:00-15:30</v>
      </c>
      <c r="H558" s="19" t="str">
        <v>S000317</v>
      </c>
      <c r="I558" s="19" t="str">
        <v>Středoevropská pracovní agentura s.r.o.</v>
      </c>
      <c r="J558" s="23" t="n">
        <v>3</v>
      </c>
      <c r="K558" s="23" t="n">
        <v>0</v>
      </c>
      <c r="L558" s="23" t="n">
        <f>J558+K558</f>
        <v>3</v>
      </c>
      <c r="M558" s="23" t="n">
        <v>3</v>
      </c>
      <c r="N558" s="23" t="n">
        <v>3</v>
      </c>
      <c r="O558" s="23" t="n">
        <v>3</v>
      </c>
      <c r="P558" s="23" t="n">
        <v>3</v>
      </c>
      <c r="Q558" s="23" t="n">
        <f>MIN(O558,P558)</f>
        <v>3</v>
      </c>
      <c r="R558" s="25" t="n">
        <f>IF(M558=0,0,MIN(1,L558/M558))</f>
        <v>1</v>
      </c>
      <c r="S558" s="23" t="n">
        <f>O558*R558</f>
        <v>3</v>
      </c>
      <c r="T558" s="23" t="n">
        <f>MIN(P558,S558)</f>
        <v>3</v>
      </c>
      <c r="U558" s="23" t="n">
        <f>O558-S558</f>
        <v>0</v>
      </c>
      <c r="V558" s="23" t="n">
        <f>MAX(P558-O558,0)</f>
        <v>0</v>
      </c>
    </row>
    <row r="559">
      <c r="A559" s="19" t="str">
        <v>捷克区</v>
      </c>
      <c r="B559" s="19" t="str">
        <v>布拉格2号仓</v>
      </c>
      <c r="C559" s="19" t="str">
        <v>入库组</v>
      </c>
      <c r="D559" s="21" t="n">
        <v>46193</v>
      </c>
      <c r="E559" s="19" t="str">
        <v>2026-06</v>
      </c>
      <c r="F559" s="19" t="str">
        <v>操作员</v>
      </c>
      <c r="G559" s="19" t="str">
        <v>捷克区07:00-15:30 / CZ 07:00-15:30</v>
      </c>
      <c r="H559" s="19" t="str">
        <v>S000317</v>
      </c>
      <c r="I559" s="19" t="str">
        <v>Středoevropská pracovní agentura s.r.o.</v>
      </c>
      <c r="J559" s="23" t="n">
        <v>3</v>
      </c>
      <c r="K559" s="23" t="n">
        <v>0</v>
      </c>
      <c r="L559" s="23" t="n">
        <f>J559+K559</f>
        <v>3</v>
      </c>
      <c r="M559" s="23" t="n">
        <v>3</v>
      </c>
      <c r="N559" s="23" t="n">
        <v>3</v>
      </c>
      <c r="O559" s="23" t="n">
        <v>3</v>
      </c>
      <c r="P559" s="23" t="n">
        <v>3</v>
      </c>
      <c r="Q559" s="23" t="n">
        <f>MIN(O559,P559)</f>
        <v>3</v>
      </c>
      <c r="R559" s="25" t="n">
        <f>IF(M559=0,0,MIN(1,L559/M559))</f>
        <v>1</v>
      </c>
      <c r="S559" s="23" t="n">
        <f>O559*R559</f>
        <v>3</v>
      </c>
      <c r="T559" s="23" t="n">
        <f>MIN(P559,S559)</f>
        <v>3</v>
      </c>
      <c r="U559" s="23" t="n">
        <f>O559-S559</f>
        <v>0</v>
      </c>
      <c r="V559" s="23" t="n">
        <f>MAX(P559-O559,0)</f>
        <v>0</v>
      </c>
    </row>
    <row r="560">
      <c r="A560" s="19" t="str">
        <v>捷克区</v>
      </c>
      <c r="B560" s="19" t="str">
        <v>布拉格2号仓</v>
      </c>
      <c r="C560" s="19" t="str">
        <v>入库组</v>
      </c>
      <c r="D560" s="21" t="n">
        <v>46194</v>
      </c>
      <c r="E560" s="19" t="str">
        <v>2026-06</v>
      </c>
      <c r="F560" s="19" t="str">
        <v>操作员</v>
      </c>
      <c r="G560" s="19" t="str">
        <v>捷克区07:00-15:30 / CZ 07:00-15:30</v>
      </c>
      <c r="H560" s="19" t="str">
        <v>S000317</v>
      </c>
      <c r="I560" s="19" t="str">
        <v>Středoevropská pracovní agentura s.r.o.</v>
      </c>
      <c r="J560" s="23" t="n">
        <v>3</v>
      </c>
      <c r="K560" s="23" t="n">
        <v>0</v>
      </c>
      <c r="L560" s="23" t="n">
        <f>J560+K560</f>
        <v>3</v>
      </c>
      <c r="M560" s="23" t="n">
        <v>3</v>
      </c>
      <c r="N560" s="23" t="n">
        <v>3</v>
      </c>
      <c r="O560" s="23" t="n">
        <v>3</v>
      </c>
      <c r="P560" s="23" t="n">
        <v>3</v>
      </c>
      <c r="Q560" s="23" t="n">
        <f>MIN(O560,P560)</f>
        <v>3</v>
      </c>
      <c r="R560" s="25" t="n">
        <f>IF(M560=0,0,MIN(1,L560/M560))</f>
        <v>1</v>
      </c>
      <c r="S560" s="23" t="n">
        <f>O560*R560</f>
        <v>3</v>
      </c>
      <c r="T560" s="23" t="n">
        <f>MIN(P560,S560)</f>
        <v>3</v>
      </c>
      <c r="U560" s="23" t="n">
        <f>O560-S560</f>
        <v>0</v>
      </c>
      <c r="V560" s="23" t="n">
        <f>MAX(P560-O560,0)</f>
        <v>0</v>
      </c>
    </row>
    <row r="561">
      <c r="A561" s="19" t="str">
        <v>捷克区</v>
      </c>
      <c r="B561" s="19" t="str">
        <v>布拉格2号仓</v>
      </c>
      <c r="C561" s="19" t="str">
        <v>入库组</v>
      </c>
      <c r="D561" s="21" t="n">
        <v>46195</v>
      </c>
      <c r="E561" s="19" t="str">
        <v>2026-06</v>
      </c>
      <c r="F561" s="19" t="str">
        <v>操作员</v>
      </c>
      <c r="G561" s="19" t="str">
        <v>捷克区07:00-15:30 / CZ 07:00-15:30</v>
      </c>
      <c r="H561" s="19" t="str">
        <v>S000317</v>
      </c>
      <c r="I561" s="19" t="str">
        <v>Středoevropská pracovní agentura s.r.o.</v>
      </c>
      <c r="J561" s="23" t="n">
        <v>3</v>
      </c>
      <c r="K561" s="23" t="n">
        <v>0</v>
      </c>
      <c r="L561" s="23" t="n">
        <f>J561+K561</f>
        <v>3</v>
      </c>
      <c r="M561" s="23" t="n">
        <v>3</v>
      </c>
      <c r="N561" s="23" t="n">
        <v>3</v>
      </c>
      <c r="O561" s="23" t="n">
        <v>3</v>
      </c>
      <c r="P561" s="23" t="n">
        <v>3</v>
      </c>
      <c r="Q561" s="23" t="n">
        <f>MIN(O561,P561)</f>
        <v>3</v>
      </c>
      <c r="R561" s="25" t="n">
        <f>IF(M561=0,0,MIN(1,L561/M561))</f>
        <v>1</v>
      </c>
      <c r="S561" s="23" t="n">
        <f>O561*R561</f>
        <v>3</v>
      </c>
      <c r="T561" s="23" t="n">
        <f>MIN(P561,S561)</f>
        <v>3</v>
      </c>
      <c r="U561" s="23" t="n">
        <f>O561-S561</f>
        <v>0</v>
      </c>
      <c r="V561" s="23" t="n">
        <f>MAX(P561-O561,0)</f>
        <v>0</v>
      </c>
    </row>
    <row r="562">
      <c r="A562" s="19" t="str">
        <v>捷克区</v>
      </c>
      <c r="B562" s="19" t="str">
        <v>布拉格2号仓</v>
      </c>
      <c r="C562" s="19" t="str">
        <v>入库组</v>
      </c>
      <c r="D562" s="21" t="n">
        <v>46196</v>
      </c>
      <c r="E562" s="19" t="str">
        <v>2026-06</v>
      </c>
      <c r="F562" s="19" t="str">
        <v>操作员</v>
      </c>
      <c r="G562" s="19" t="str">
        <v>捷克区07:00-15:30 / CZ 07:00-15:30</v>
      </c>
      <c r="H562" s="19" t="str">
        <v>S000317</v>
      </c>
      <c r="I562" s="19" t="str">
        <v>Středoevropská pracovní agentura s.r.o.</v>
      </c>
      <c r="J562" s="23" t="n">
        <v>3</v>
      </c>
      <c r="K562" s="23" t="n">
        <v>0</v>
      </c>
      <c r="L562" s="23" t="n">
        <f>J562+K562</f>
        <v>3</v>
      </c>
      <c r="M562" s="23" t="n">
        <v>3</v>
      </c>
      <c r="N562" s="23" t="n">
        <v>3</v>
      </c>
      <c r="O562" s="23" t="n">
        <v>3</v>
      </c>
      <c r="P562" s="23" t="n">
        <v>3</v>
      </c>
      <c r="Q562" s="23" t="n">
        <f>MIN(O562,P562)</f>
        <v>3</v>
      </c>
      <c r="R562" s="25" t="n">
        <f>IF(M562=0,0,MIN(1,L562/M562))</f>
        <v>1</v>
      </c>
      <c r="S562" s="23" t="n">
        <f>O562*R562</f>
        <v>3</v>
      </c>
      <c r="T562" s="23" t="n">
        <f>MIN(P562,S562)</f>
        <v>3</v>
      </c>
      <c r="U562" s="23" t="n">
        <f>O562-S562</f>
        <v>0</v>
      </c>
      <c r="V562" s="23" t="n">
        <f>MAX(P562-O562,0)</f>
        <v>0</v>
      </c>
    </row>
    <row r="563">
      <c r="A563" s="19" t="str">
        <v>捷克区</v>
      </c>
      <c r="B563" s="19" t="str">
        <v>布拉格2号仓</v>
      </c>
      <c r="C563" s="19" t="str">
        <v>入库组</v>
      </c>
      <c r="D563" s="21" t="n">
        <v>46197</v>
      </c>
      <c r="E563" s="19" t="str">
        <v>2026-06</v>
      </c>
      <c r="F563" s="19" t="str">
        <v>操作员</v>
      </c>
      <c r="G563" s="19" t="str">
        <v>捷克区07:00-15:30 / CZ 07:00-15:30</v>
      </c>
      <c r="H563" s="19" t="str">
        <v>S000317</v>
      </c>
      <c r="I563" s="19" t="str">
        <v>Středoevropská pracovní agentura s.r.o.</v>
      </c>
      <c r="J563" s="23" t="n">
        <v>3</v>
      </c>
      <c r="K563" s="23" t="n">
        <v>0</v>
      </c>
      <c r="L563" s="23" t="n">
        <f>J563+K563</f>
        <v>3</v>
      </c>
      <c r="M563" s="23" t="n">
        <v>3</v>
      </c>
      <c r="N563" s="23" t="n">
        <v>3</v>
      </c>
      <c r="O563" s="23" t="n">
        <v>3</v>
      </c>
      <c r="P563" s="23" t="n">
        <v>3</v>
      </c>
      <c r="Q563" s="23" t="n">
        <f>MIN(O563,P563)</f>
        <v>3</v>
      </c>
      <c r="R563" s="25" t="n">
        <f>IF(M563=0,0,MIN(1,L563/M563))</f>
        <v>1</v>
      </c>
      <c r="S563" s="23" t="n">
        <f>O563*R563</f>
        <v>3</v>
      </c>
      <c r="T563" s="23" t="n">
        <f>MIN(P563,S563)</f>
        <v>3</v>
      </c>
      <c r="U563" s="23" t="n">
        <f>O563-S563</f>
        <v>0</v>
      </c>
      <c r="V563" s="23" t="n">
        <f>MAX(P563-O563,0)</f>
        <v>0</v>
      </c>
    </row>
    <row r="564">
      <c r="A564" s="19" t="str">
        <v>捷克区</v>
      </c>
      <c r="B564" s="19" t="str">
        <v>布拉格2号仓</v>
      </c>
      <c r="C564" s="19" t="str">
        <v>入库组</v>
      </c>
      <c r="D564" s="21" t="n">
        <v>46198</v>
      </c>
      <c r="E564" s="19" t="str">
        <v>2026-06</v>
      </c>
      <c r="F564" s="19" t="str">
        <v>操作员</v>
      </c>
      <c r="G564" s="19" t="str">
        <v>捷克区07:00-15:30 / CZ 07:00-15:30</v>
      </c>
      <c r="H564" s="19" t="str">
        <v>S000317</v>
      </c>
      <c r="I564" s="19" t="str">
        <v>Středoevropská pracovní agentura s.r.o.</v>
      </c>
      <c r="J564" s="23" t="n">
        <v>3</v>
      </c>
      <c r="K564" s="23" t="n">
        <v>0</v>
      </c>
      <c r="L564" s="23" t="n">
        <f>J564+K564</f>
        <v>3</v>
      </c>
      <c r="M564" s="23" t="n">
        <v>3</v>
      </c>
      <c r="N564" s="23" t="n">
        <v>3</v>
      </c>
      <c r="O564" s="23" t="n">
        <v>3</v>
      </c>
      <c r="P564" s="23" t="n">
        <v>3</v>
      </c>
      <c r="Q564" s="23" t="n">
        <f>MIN(O564,P564)</f>
        <v>3</v>
      </c>
      <c r="R564" s="25" t="n">
        <f>IF(M564=0,0,MIN(1,L564/M564))</f>
        <v>1</v>
      </c>
      <c r="S564" s="23" t="n">
        <f>O564*R564</f>
        <v>3</v>
      </c>
      <c r="T564" s="23" t="n">
        <f>MIN(P564,S564)</f>
        <v>3</v>
      </c>
      <c r="U564" s="23" t="n">
        <f>O564-S564</f>
        <v>0</v>
      </c>
      <c r="V564" s="23" t="n">
        <f>MAX(P564-O564,0)</f>
        <v>0</v>
      </c>
    </row>
    <row r="565">
      <c r="A565" s="19" t="str">
        <v>捷克区</v>
      </c>
      <c r="B565" s="19" t="str">
        <v>布拉格2号仓</v>
      </c>
      <c r="C565" s="19" t="str">
        <v>入库组</v>
      </c>
      <c r="D565" s="21" t="n">
        <v>46199</v>
      </c>
      <c r="E565" s="19" t="str">
        <v>2026-06</v>
      </c>
      <c r="F565" s="19" t="str">
        <v>操作员</v>
      </c>
      <c r="G565" s="19" t="str">
        <v>捷克区07:00-15:30 / CZ 07:00-15:30</v>
      </c>
      <c r="H565" s="19" t="str">
        <v>S000317</v>
      </c>
      <c r="I565" s="19" t="str">
        <v>Středoevropská pracovní agentura s.r.o.</v>
      </c>
      <c r="J565" s="23" t="n">
        <v>3</v>
      </c>
      <c r="K565" s="23" t="n">
        <v>0</v>
      </c>
      <c r="L565" s="23" t="n">
        <f>J565+K565</f>
        <v>3</v>
      </c>
      <c r="M565" s="23" t="n">
        <v>3</v>
      </c>
      <c r="N565" s="23" t="n">
        <v>3</v>
      </c>
      <c r="O565" s="23" t="n">
        <v>3</v>
      </c>
      <c r="P565" s="23" t="n">
        <v>3</v>
      </c>
      <c r="Q565" s="23" t="n">
        <f>MIN(O565,P565)</f>
        <v>3</v>
      </c>
      <c r="R565" s="25" t="n">
        <f>IF(M565=0,0,MIN(1,L565/M565))</f>
        <v>1</v>
      </c>
      <c r="S565" s="23" t="n">
        <f>O565*R565</f>
        <v>3</v>
      </c>
      <c r="T565" s="23" t="n">
        <f>MIN(P565,S565)</f>
        <v>3</v>
      </c>
      <c r="U565" s="23" t="n">
        <f>O565-S565</f>
        <v>0</v>
      </c>
      <c r="V565" s="23" t="n">
        <f>MAX(P565-O565,0)</f>
        <v>0</v>
      </c>
    </row>
    <row r="566">
      <c r="A566" s="19" t="str">
        <v>捷克区</v>
      </c>
      <c r="B566" s="19" t="str">
        <v>布拉格2号仓</v>
      </c>
      <c r="C566" s="19" t="str">
        <v>入库组</v>
      </c>
      <c r="D566" s="21" t="n">
        <v>46200</v>
      </c>
      <c r="E566" s="19" t="str">
        <v>2026-06</v>
      </c>
      <c r="F566" s="19" t="str">
        <v>操作员</v>
      </c>
      <c r="G566" s="19" t="str">
        <v>捷克区07:00-15:30 / CZ 07:00-15:30</v>
      </c>
      <c r="H566" s="19" t="str">
        <v>S000317</v>
      </c>
      <c r="I566" s="19" t="str">
        <v>Středoevropská pracovní agentura s.r.o.</v>
      </c>
      <c r="J566" s="23" t="n">
        <v>3</v>
      </c>
      <c r="K566" s="23" t="n">
        <v>0</v>
      </c>
      <c r="L566" s="23" t="n">
        <f>J566+K566</f>
        <v>3</v>
      </c>
      <c r="M566" s="23" t="n">
        <v>3</v>
      </c>
      <c r="N566" s="23" t="n">
        <v>3</v>
      </c>
      <c r="O566" s="23" t="n">
        <v>3</v>
      </c>
      <c r="P566" s="23" t="n">
        <v>3</v>
      </c>
      <c r="Q566" s="23" t="n">
        <f>MIN(O566,P566)</f>
        <v>3</v>
      </c>
      <c r="R566" s="25" t="n">
        <f>IF(M566=0,0,MIN(1,L566/M566))</f>
        <v>1</v>
      </c>
      <c r="S566" s="23" t="n">
        <f>O566*R566</f>
        <v>3</v>
      </c>
      <c r="T566" s="23" t="n">
        <f>MIN(P566,S566)</f>
        <v>3</v>
      </c>
      <c r="U566" s="23" t="n">
        <f>O566-S566</f>
        <v>0</v>
      </c>
      <c r="V566" s="23" t="n">
        <f>MAX(P566-O566,0)</f>
        <v>0</v>
      </c>
    </row>
    <row r="567">
      <c r="A567" s="19" t="str">
        <v>捷克区</v>
      </c>
      <c r="B567" s="19" t="str">
        <v>布拉格2号仓</v>
      </c>
      <c r="C567" s="19" t="str">
        <v>入库组</v>
      </c>
      <c r="D567" s="21" t="n">
        <v>46201</v>
      </c>
      <c r="E567" s="19" t="str">
        <v>2026-06</v>
      </c>
      <c r="F567" s="19" t="str">
        <v>操作员</v>
      </c>
      <c r="G567" s="19" t="str">
        <v>捷克区07:00-15:30 / CZ 07:00-15:30</v>
      </c>
      <c r="H567" s="19" t="str">
        <v>S000317</v>
      </c>
      <c r="I567" s="19" t="str">
        <v>Středoevropská pracovní agentura s.r.o.</v>
      </c>
      <c r="J567" s="23" t="n">
        <v>3</v>
      </c>
      <c r="K567" s="23" t="n">
        <v>0</v>
      </c>
      <c r="L567" s="23" t="n">
        <f>J567+K567</f>
        <v>3</v>
      </c>
      <c r="M567" s="23" t="n">
        <v>3</v>
      </c>
      <c r="N567" s="23" t="n">
        <v>3</v>
      </c>
      <c r="O567" s="23" t="n">
        <v>3</v>
      </c>
      <c r="P567" s="23" t="n">
        <v>3</v>
      </c>
      <c r="Q567" s="23" t="n">
        <f>MIN(O567,P567)</f>
        <v>3</v>
      </c>
      <c r="R567" s="25" t="n">
        <f>IF(M567=0,0,MIN(1,L567/M567))</f>
        <v>1</v>
      </c>
      <c r="S567" s="23" t="n">
        <f>O567*R567</f>
        <v>3</v>
      </c>
      <c r="T567" s="23" t="n">
        <f>MIN(P567,S567)</f>
        <v>3</v>
      </c>
      <c r="U567" s="23" t="n">
        <f>O567-S567</f>
        <v>0</v>
      </c>
      <c r="V567" s="23" t="n">
        <f>MAX(P567-O567,0)</f>
        <v>0</v>
      </c>
    </row>
    <row r="568">
      <c r="A568" s="19" t="str">
        <v>捷克区</v>
      </c>
      <c r="B568" s="19" t="str">
        <v>布拉格2号仓</v>
      </c>
      <c r="C568" s="19" t="str">
        <v>入库组</v>
      </c>
      <c r="D568" s="21" t="n">
        <v>46202</v>
      </c>
      <c r="E568" s="19" t="str">
        <v>2026-06</v>
      </c>
      <c r="F568" s="19" t="str">
        <v>操作员</v>
      </c>
      <c r="G568" s="19" t="str">
        <v>捷克区07:00-15:30 / CZ 07:00-15:30</v>
      </c>
      <c r="H568" s="19" t="str">
        <v>S000317</v>
      </c>
      <c r="I568" s="19" t="str">
        <v>Středoevropská pracovní agentura s.r.o.</v>
      </c>
      <c r="J568" s="23" t="n">
        <v>3</v>
      </c>
      <c r="K568" s="23" t="n">
        <v>0</v>
      </c>
      <c r="L568" s="23" t="n">
        <f>J568+K568</f>
        <v>3</v>
      </c>
      <c r="M568" s="23" t="n">
        <v>3</v>
      </c>
      <c r="N568" s="23" t="n">
        <v>3</v>
      </c>
      <c r="O568" s="23" t="n">
        <v>3</v>
      </c>
      <c r="P568" s="23" t="n">
        <v>3</v>
      </c>
      <c r="Q568" s="23" t="n">
        <f>MIN(O568,P568)</f>
        <v>3</v>
      </c>
      <c r="R568" s="25" t="n">
        <f>IF(M568=0,0,MIN(1,L568/M568))</f>
        <v>1</v>
      </c>
      <c r="S568" s="23" t="n">
        <f>O568*R568</f>
        <v>3</v>
      </c>
      <c r="T568" s="23" t="n">
        <f>MIN(P568,S568)</f>
        <v>3</v>
      </c>
      <c r="U568" s="23" t="n">
        <f>O568-S568</f>
        <v>0</v>
      </c>
      <c r="V568" s="23" t="n">
        <f>MAX(P568-O568,0)</f>
        <v>0</v>
      </c>
    </row>
    <row r="569">
      <c r="A569" s="19" t="str">
        <v>捷克区</v>
      </c>
      <c r="B569" s="19" t="str">
        <v>布拉格2号仓</v>
      </c>
      <c r="C569" s="19" t="str">
        <v>入库组</v>
      </c>
      <c r="D569" s="21" t="n">
        <v>46203</v>
      </c>
      <c r="E569" s="19" t="str">
        <v>2026-06</v>
      </c>
      <c r="F569" s="19" t="str">
        <v>操作员</v>
      </c>
      <c r="G569" s="19" t="str">
        <v>捷克区07:00-15:30 / CZ 07:00-15:30</v>
      </c>
      <c r="H569" s="19" t="str">
        <v>S000317</v>
      </c>
      <c r="I569" s="19" t="str">
        <v>Středoevropská pracovní agentura s.r.o.</v>
      </c>
      <c r="J569" s="23" t="n">
        <v>3</v>
      </c>
      <c r="K569" s="23" t="n">
        <v>0</v>
      </c>
      <c r="L569" s="23" t="n">
        <f>J569+K569</f>
        <v>3</v>
      </c>
      <c r="M569" s="23" t="n">
        <v>3</v>
      </c>
      <c r="N569" s="23" t="n">
        <v>3</v>
      </c>
      <c r="O569" s="23" t="n">
        <v>3</v>
      </c>
      <c r="P569" s="23" t="n">
        <v>3</v>
      </c>
      <c r="Q569" s="23" t="n">
        <f>MIN(O569,P569)</f>
        <v>3</v>
      </c>
      <c r="R569" s="25" t="n">
        <f>IF(M569=0,0,MIN(1,L569/M569))</f>
        <v>1</v>
      </c>
      <c r="S569" s="23" t="n">
        <f>O569*R569</f>
        <v>3</v>
      </c>
      <c r="T569" s="23" t="n">
        <f>MIN(P569,S569)</f>
        <v>3</v>
      </c>
      <c r="U569" s="23" t="n">
        <f>O569-S569</f>
        <v>0</v>
      </c>
      <c r="V569" s="23" t="n">
        <f>MAX(P569-O569,0)</f>
        <v>0</v>
      </c>
    </row>
    <row r="570">
      <c r="A570" s="19" t="str">
        <v>捷克区</v>
      </c>
      <c r="B570" s="19" t="str">
        <v>布拉格2号仓</v>
      </c>
      <c r="C570" s="19" t="str">
        <v>包装组</v>
      </c>
      <c r="D570" s="21" t="n">
        <v>46185</v>
      </c>
      <c r="E570" s="19" t="str">
        <v>2026-06</v>
      </c>
      <c r="F570" s="19" t="str">
        <v>操作员</v>
      </c>
      <c r="G570" s="19" t="str">
        <v>捷克区07:00-15:30 / CZ 07:00-15:30</v>
      </c>
      <c r="H570" s="19" t="str">
        <v>S000317</v>
      </c>
      <c r="I570" s="19" t="str">
        <v>Středoevropská pracovní agentura s.r.o.</v>
      </c>
      <c r="J570" s="23" t="n">
        <v>1</v>
      </c>
      <c r="K570" s="23" t="n">
        <v>0</v>
      </c>
      <c r="L570" s="23" t="n">
        <f>J570+K570</f>
        <v>1</v>
      </c>
      <c r="M570" s="23" t="n">
        <v>1</v>
      </c>
      <c r="N570" s="23" t="n">
        <v>0</v>
      </c>
      <c r="O570" s="23" t="n">
        <v>1</v>
      </c>
      <c r="P570" s="23" t="n">
        <v>0</v>
      </c>
      <c r="Q570" s="23" t="n">
        <f>MIN(O570,P570)</f>
        <v>0</v>
      </c>
      <c r="R570" s="25" t="n">
        <f>IF(M570=0,0,MIN(1,L570/M570))</f>
        <v>1</v>
      </c>
      <c r="S570" s="23" t="n">
        <f>O570*R570</f>
        <v>1</v>
      </c>
      <c r="T570" s="23" t="n">
        <f>MIN(P570,S570)</f>
        <v>0</v>
      </c>
      <c r="U570" s="23" t="n">
        <f>O570-S570</f>
        <v>0</v>
      </c>
      <c r="V570" s="23" t="n">
        <f>MAX(P570-O570,0)</f>
        <v>0</v>
      </c>
    </row>
    <row r="571">
      <c r="A571" s="19" t="str">
        <v>捷克区</v>
      </c>
      <c r="B571" s="19" t="str">
        <v>布拉格2号仓</v>
      </c>
      <c r="C571" s="19" t="str">
        <v>包装组</v>
      </c>
      <c r="D571" s="21" t="n">
        <v>46186</v>
      </c>
      <c r="E571" s="19" t="str">
        <v>2026-06</v>
      </c>
      <c r="F571" s="19" t="str">
        <v>操作员</v>
      </c>
      <c r="G571" s="19" t="str">
        <v>捷克区07:00-15:30 / CZ 07:00-15:30</v>
      </c>
      <c r="H571" s="19" t="str">
        <v>S000317</v>
      </c>
      <c r="I571" s="19" t="str">
        <v>Středoevropská pracovní agentura s.r.o.</v>
      </c>
      <c r="J571" s="23" t="n">
        <v>1</v>
      </c>
      <c r="K571" s="23" t="n">
        <v>0</v>
      </c>
      <c r="L571" s="23" t="n">
        <f>J571+K571</f>
        <v>1</v>
      </c>
      <c r="M571" s="23" t="n">
        <v>1</v>
      </c>
      <c r="N571" s="23" t="n">
        <v>0</v>
      </c>
      <c r="O571" s="23" t="n">
        <v>1</v>
      </c>
      <c r="P571" s="23" t="n">
        <v>0</v>
      </c>
      <c r="Q571" s="23" t="n">
        <f>MIN(O571,P571)</f>
        <v>0</v>
      </c>
      <c r="R571" s="25" t="n">
        <f>IF(M571=0,0,MIN(1,L571/M571))</f>
        <v>1</v>
      </c>
      <c r="S571" s="23" t="n">
        <f>O571*R571</f>
        <v>1</v>
      </c>
      <c r="T571" s="23" t="n">
        <f>MIN(P571,S571)</f>
        <v>0</v>
      </c>
      <c r="U571" s="23" t="n">
        <f>O571-S571</f>
        <v>0</v>
      </c>
      <c r="V571" s="23" t="n">
        <f>MAX(P571-O571,0)</f>
        <v>0</v>
      </c>
    </row>
    <row r="572">
      <c r="A572" s="19" t="str">
        <v>捷克区</v>
      </c>
      <c r="B572" s="19" t="str">
        <v>布拉格2号仓</v>
      </c>
      <c r="C572" s="19" t="str">
        <v>包装组</v>
      </c>
      <c r="D572" s="21" t="n">
        <v>46187</v>
      </c>
      <c r="E572" s="19" t="str">
        <v>2026-06</v>
      </c>
      <c r="F572" s="19" t="str">
        <v>操作员</v>
      </c>
      <c r="G572" s="19" t="str">
        <v>捷克区07:00-15:30 / CZ 07:00-15:30</v>
      </c>
      <c r="H572" s="19" t="str">
        <v>S000317</v>
      </c>
      <c r="I572" s="19" t="str">
        <v>Středoevropská pracovní agentura s.r.o.</v>
      </c>
      <c r="J572" s="23" t="n">
        <v>1</v>
      </c>
      <c r="K572" s="23" t="n">
        <v>0</v>
      </c>
      <c r="L572" s="23" t="n">
        <f>J572+K572</f>
        <v>1</v>
      </c>
      <c r="M572" s="23" t="n">
        <v>1</v>
      </c>
      <c r="N572" s="23" t="n">
        <v>0</v>
      </c>
      <c r="O572" s="23" t="n">
        <v>1</v>
      </c>
      <c r="P572" s="23" t="n">
        <v>0</v>
      </c>
      <c r="Q572" s="23" t="n">
        <f>MIN(O572,P572)</f>
        <v>0</v>
      </c>
      <c r="R572" s="25" t="n">
        <f>IF(M572=0,0,MIN(1,L572/M572))</f>
        <v>1</v>
      </c>
      <c r="S572" s="23" t="n">
        <f>O572*R572</f>
        <v>1</v>
      </c>
      <c r="T572" s="23" t="n">
        <f>MIN(P572,S572)</f>
        <v>0</v>
      </c>
      <c r="U572" s="23" t="n">
        <f>O572-S572</f>
        <v>0</v>
      </c>
      <c r="V572" s="23" t="n">
        <f>MAX(P572-O572,0)</f>
        <v>0</v>
      </c>
    </row>
    <row r="573">
      <c r="A573" s="19" t="str">
        <v>捷克区</v>
      </c>
      <c r="B573" s="19" t="str">
        <v>布拉格2号仓</v>
      </c>
      <c r="C573" s="19" t="str">
        <v>包装组</v>
      </c>
      <c r="D573" s="21" t="n">
        <v>46188</v>
      </c>
      <c r="E573" s="19" t="str">
        <v>2026-06</v>
      </c>
      <c r="F573" s="19" t="str">
        <v>操作员</v>
      </c>
      <c r="G573" s="19" t="str">
        <v>捷克区07:00-15:30 / CZ 07:00-15:30</v>
      </c>
      <c r="H573" s="19" t="str">
        <v>S000317</v>
      </c>
      <c r="I573" s="19" t="str">
        <v>Středoevropská pracovní agentura s.r.o.</v>
      </c>
      <c r="J573" s="23" t="n">
        <v>1</v>
      </c>
      <c r="K573" s="23" t="n">
        <v>0</v>
      </c>
      <c r="L573" s="23" t="n">
        <f>J573+K573</f>
        <v>1</v>
      </c>
      <c r="M573" s="23" t="n">
        <v>1</v>
      </c>
      <c r="N573" s="23" t="n">
        <v>0</v>
      </c>
      <c r="O573" s="23" t="n">
        <v>1</v>
      </c>
      <c r="P573" s="23" t="n">
        <v>0</v>
      </c>
      <c r="Q573" s="23" t="n">
        <f>MIN(O573,P573)</f>
        <v>0</v>
      </c>
      <c r="R573" s="25" t="n">
        <f>IF(M573=0,0,MIN(1,L573/M573))</f>
        <v>1</v>
      </c>
      <c r="S573" s="23" t="n">
        <f>O573*R573</f>
        <v>1</v>
      </c>
      <c r="T573" s="23" t="n">
        <f>MIN(P573,S573)</f>
        <v>0</v>
      </c>
      <c r="U573" s="23" t="n">
        <f>O573-S573</f>
        <v>0</v>
      </c>
      <c r="V573" s="23" t="n">
        <f>MAX(P573-O573,0)</f>
        <v>0</v>
      </c>
    </row>
    <row r="574">
      <c r="A574" s="19" t="str">
        <v>捷克区</v>
      </c>
      <c r="B574" s="19" t="str">
        <v>布拉格2号仓</v>
      </c>
      <c r="C574" s="19" t="str">
        <v>包装组</v>
      </c>
      <c r="D574" s="21" t="n">
        <v>46189</v>
      </c>
      <c r="E574" s="19" t="str">
        <v>2026-06</v>
      </c>
      <c r="F574" s="19" t="str">
        <v>操作员</v>
      </c>
      <c r="G574" s="19" t="str">
        <v>捷克区07:00-15:30 / CZ 07:00-15:30</v>
      </c>
      <c r="H574" s="19" t="str">
        <v>S000317</v>
      </c>
      <c r="I574" s="19" t="str">
        <v>Středoevropská pracovní agentura s.r.o.</v>
      </c>
      <c r="J574" s="23" t="n">
        <v>1</v>
      </c>
      <c r="K574" s="23" t="n">
        <v>0</v>
      </c>
      <c r="L574" s="23" t="n">
        <f>J574+K574</f>
        <v>1</v>
      </c>
      <c r="M574" s="23" t="n">
        <v>1</v>
      </c>
      <c r="N574" s="23" t="n">
        <v>0</v>
      </c>
      <c r="O574" s="23" t="n">
        <v>1</v>
      </c>
      <c r="P574" s="23" t="n">
        <v>0</v>
      </c>
      <c r="Q574" s="23" t="n">
        <f>MIN(O574,P574)</f>
        <v>0</v>
      </c>
      <c r="R574" s="25" t="n">
        <f>IF(M574=0,0,MIN(1,L574/M574))</f>
        <v>1</v>
      </c>
      <c r="S574" s="23" t="n">
        <f>O574*R574</f>
        <v>1</v>
      </c>
      <c r="T574" s="23" t="n">
        <f>MIN(P574,S574)</f>
        <v>0</v>
      </c>
      <c r="U574" s="23" t="n">
        <f>O574-S574</f>
        <v>0</v>
      </c>
      <c r="V574" s="23" t="n">
        <f>MAX(P574-O574,0)</f>
        <v>0</v>
      </c>
    </row>
    <row r="575">
      <c r="A575" s="19" t="str">
        <v>捷克区</v>
      </c>
      <c r="B575" s="19" t="str">
        <v>布拉格2号仓</v>
      </c>
      <c r="C575" s="19" t="str">
        <v>包装组</v>
      </c>
      <c r="D575" s="21" t="n">
        <v>46190</v>
      </c>
      <c r="E575" s="19" t="str">
        <v>2026-06</v>
      </c>
      <c r="F575" s="19" t="str">
        <v>操作员</v>
      </c>
      <c r="G575" s="19" t="str">
        <v>捷克区07:00-15:30 / CZ 07:00-15:30</v>
      </c>
      <c r="H575" s="19" t="str">
        <v>S000317</v>
      </c>
      <c r="I575" s="19" t="str">
        <v>Středoevropská pracovní agentura s.r.o.</v>
      </c>
      <c r="J575" s="23" t="n">
        <v>1</v>
      </c>
      <c r="K575" s="23" t="n">
        <v>0</v>
      </c>
      <c r="L575" s="23" t="n">
        <f>J575+K575</f>
        <v>1</v>
      </c>
      <c r="M575" s="23" t="n">
        <v>1</v>
      </c>
      <c r="N575" s="23" t="n">
        <v>0</v>
      </c>
      <c r="O575" s="23" t="n">
        <v>1</v>
      </c>
      <c r="P575" s="23" t="n">
        <v>0</v>
      </c>
      <c r="Q575" s="23" t="n">
        <f>MIN(O575,P575)</f>
        <v>0</v>
      </c>
      <c r="R575" s="25" t="n">
        <f>IF(M575=0,0,MIN(1,L575/M575))</f>
        <v>1</v>
      </c>
      <c r="S575" s="23" t="n">
        <f>O575*R575</f>
        <v>1</v>
      </c>
      <c r="T575" s="23" t="n">
        <f>MIN(P575,S575)</f>
        <v>0</v>
      </c>
      <c r="U575" s="23" t="n">
        <f>O575-S575</f>
        <v>0</v>
      </c>
      <c r="V575" s="23" t="n">
        <f>MAX(P575-O575,0)</f>
        <v>0</v>
      </c>
    </row>
    <row r="576">
      <c r="A576" s="19" t="str">
        <v>捷克区</v>
      </c>
      <c r="B576" s="19" t="str">
        <v>布拉格2号仓</v>
      </c>
      <c r="C576" s="19" t="str">
        <v>包装组</v>
      </c>
      <c r="D576" s="21" t="n">
        <v>46191</v>
      </c>
      <c r="E576" s="19" t="str">
        <v>2026-06</v>
      </c>
      <c r="F576" s="19" t="str">
        <v>操作员</v>
      </c>
      <c r="G576" s="19" t="str">
        <v>捷克区07:00-15:30 / CZ 07:00-15:30</v>
      </c>
      <c r="H576" s="19" t="str">
        <v>S000317</v>
      </c>
      <c r="I576" s="19" t="str">
        <v>Středoevropská pracovní agentura s.r.o.</v>
      </c>
      <c r="J576" s="23" t="n">
        <v>1</v>
      </c>
      <c r="K576" s="23" t="n">
        <v>0</v>
      </c>
      <c r="L576" s="23" t="n">
        <f>J576+K576</f>
        <v>1</v>
      </c>
      <c r="M576" s="23" t="n">
        <v>1</v>
      </c>
      <c r="N576" s="23" t="n">
        <v>0</v>
      </c>
      <c r="O576" s="23" t="n">
        <v>1</v>
      </c>
      <c r="P576" s="23" t="n">
        <v>0</v>
      </c>
      <c r="Q576" s="23" t="n">
        <f>MIN(O576,P576)</f>
        <v>0</v>
      </c>
      <c r="R576" s="25" t="n">
        <f>IF(M576=0,0,MIN(1,L576/M576))</f>
        <v>1</v>
      </c>
      <c r="S576" s="23" t="n">
        <f>O576*R576</f>
        <v>1</v>
      </c>
      <c r="T576" s="23" t="n">
        <f>MIN(P576,S576)</f>
        <v>0</v>
      </c>
      <c r="U576" s="23" t="n">
        <f>O576-S576</f>
        <v>0</v>
      </c>
      <c r="V576" s="23" t="n">
        <f>MAX(P576-O576,0)</f>
        <v>0</v>
      </c>
    </row>
    <row r="577">
      <c r="A577" s="19" t="str">
        <v>捷克区</v>
      </c>
      <c r="B577" s="19" t="str">
        <v>布拉格2号仓</v>
      </c>
      <c r="C577" s="19" t="str">
        <v>包装组</v>
      </c>
      <c r="D577" s="21" t="n">
        <v>46192</v>
      </c>
      <c r="E577" s="19" t="str">
        <v>2026-06</v>
      </c>
      <c r="F577" s="19" t="str">
        <v>操作员</v>
      </c>
      <c r="G577" s="19" t="str">
        <v>捷克区07:00-15:30 / CZ 07:00-15:30</v>
      </c>
      <c r="H577" s="19" t="str">
        <v>S000317</v>
      </c>
      <c r="I577" s="19" t="str">
        <v>Středoevropská pracovní agentura s.r.o.</v>
      </c>
      <c r="J577" s="23" t="n">
        <v>1</v>
      </c>
      <c r="K577" s="23" t="n">
        <v>0</v>
      </c>
      <c r="L577" s="23" t="n">
        <f>J577+K577</f>
        <v>1</v>
      </c>
      <c r="M577" s="23" t="n">
        <v>1</v>
      </c>
      <c r="N577" s="23" t="n">
        <v>0</v>
      </c>
      <c r="O577" s="23" t="n">
        <v>1</v>
      </c>
      <c r="P577" s="23" t="n">
        <v>0</v>
      </c>
      <c r="Q577" s="23" t="n">
        <f>MIN(O577,P577)</f>
        <v>0</v>
      </c>
      <c r="R577" s="25" t="n">
        <f>IF(M577=0,0,MIN(1,L577/M577))</f>
        <v>1</v>
      </c>
      <c r="S577" s="23" t="n">
        <f>O577*R577</f>
        <v>1</v>
      </c>
      <c r="T577" s="23" t="n">
        <f>MIN(P577,S577)</f>
        <v>0</v>
      </c>
      <c r="U577" s="23" t="n">
        <f>O577-S577</f>
        <v>0</v>
      </c>
      <c r="V577" s="23" t="n">
        <f>MAX(P577-O577,0)</f>
        <v>0</v>
      </c>
    </row>
    <row r="578">
      <c r="A578" s="19" t="str">
        <v>捷克区</v>
      </c>
      <c r="B578" s="19" t="str">
        <v>布拉格2号仓</v>
      </c>
      <c r="C578" s="19" t="str">
        <v>拣货组</v>
      </c>
      <c r="D578" s="21" t="n">
        <v>46163</v>
      </c>
      <c r="E578" s="19" t="str">
        <v>2026-05</v>
      </c>
      <c r="F578" s="19" t="str">
        <v>叉车司机</v>
      </c>
      <c r="G578" s="19" t="str">
        <v>捷克区07:00-15:30 / CZ 07:00-15:30</v>
      </c>
      <c r="H578" s="19" t="str">
        <v>S000317</v>
      </c>
      <c r="I578" s="19" t="str">
        <v>Středoevropská pracovní agentura s.r.o.</v>
      </c>
      <c r="J578" s="23" t="n">
        <v>1</v>
      </c>
      <c r="K578" s="23" t="n">
        <v>0</v>
      </c>
      <c r="L578" s="23" t="n">
        <f>J578+K578</f>
        <v>1</v>
      </c>
      <c r="M578" s="23" t="n">
        <v>1</v>
      </c>
      <c r="N578" s="23" t="n">
        <v>0</v>
      </c>
      <c r="O578" s="23" t="n">
        <v>1</v>
      </c>
      <c r="P578" s="23" t="n">
        <v>0</v>
      </c>
      <c r="Q578" s="23" t="n">
        <f>MIN(O578,P578)</f>
        <v>0</v>
      </c>
      <c r="R578" s="25" t="n">
        <f>IF(M578=0,0,MIN(1,L578/M578))</f>
        <v>1</v>
      </c>
      <c r="S578" s="23" t="n">
        <f>O578*R578</f>
        <v>1</v>
      </c>
      <c r="T578" s="23" t="n">
        <f>MIN(P578,S578)</f>
        <v>0</v>
      </c>
      <c r="U578" s="23" t="n">
        <f>O578-S578</f>
        <v>0</v>
      </c>
      <c r="V578" s="23" t="n">
        <f>MAX(P578-O578,0)</f>
        <v>0</v>
      </c>
    </row>
    <row r="579">
      <c r="A579" s="19" t="str">
        <v>捷克区</v>
      </c>
      <c r="B579" s="19" t="str">
        <v>布拉格2号仓</v>
      </c>
      <c r="C579" s="19" t="str">
        <v>拣货组</v>
      </c>
      <c r="D579" s="21" t="n">
        <v>46164</v>
      </c>
      <c r="E579" s="19" t="str">
        <v>2026-05</v>
      </c>
      <c r="F579" s="19" t="str">
        <v>叉车司机</v>
      </c>
      <c r="G579" s="19" t="str">
        <v>捷克区07:00-15:30 / CZ 07:00-15:30</v>
      </c>
      <c r="H579" s="19" t="str">
        <v>S000317</v>
      </c>
      <c r="I579" s="19" t="str">
        <v>Středoevropská pracovní agentura s.r.o.</v>
      </c>
      <c r="J579" s="23" t="n">
        <v>1</v>
      </c>
      <c r="K579" s="23" t="n">
        <v>0</v>
      </c>
      <c r="L579" s="23" t="n">
        <f>J579+K579</f>
        <v>1</v>
      </c>
      <c r="M579" s="23" t="n">
        <v>1</v>
      </c>
      <c r="N579" s="23" t="n">
        <v>0</v>
      </c>
      <c r="O579" s="23" t="n">
        <v>1</v>
      </c>
      <c r="P579" s="23" t="n">
        <v>0</v>
      </c>
      <c r="Q579" s="23" t="n">
        <f>MIN(O579,P579)</f>
        <v>0</v>
      </c>
      <c r="R579" s="25" t="n">
        <f>IF(M579=0,0,MIN(1,L579/M579))</f>
        <v>1</v>
      </c>
      <c r="S579" s="23" t="n">
        <f>O579*R579</f>
        <v>1</v>
      </c>
      <c r="T579" s="23" t="n">
        <f>MIN(P579,S579)</f>
        <v>0</v>
      </c>
      <c r="U579" s="23" t="n">
        <f>O579-S579</f>
        <v>0</v>
      </c>
      <c r="V579" s="23" t="n">
        <f>MAX(P579-O579,0)</f>
        <v>0</v>
      </c>
    </row>
    <row r="580">
      <c r="A580" s="19" t="str">
        <v>捷克区</v>
      </c>
      <c r="B580" s="19" t="str">
        <v>布拉格2号仓</v>
      </c>
      <c r="C580" s="19" t="str">
        <v>拣货组</v>
      </c>
      <c r="D580" s="21" t="n">
        <v>46165</v>
      </c>
      <c r="E580" s="19" t="str">
        <v>2026-05</v>
      </c>
      <c r="F580" s="19" t="str">
        <v>叉车司机</v>
      </c>
      <c r="G580" s="19" t="str">
        <v>捷克区07:00-15:30 / CZ 07:00-15:30</v>
      </c>
      <c r="H580" s="19" t="str">
        <v>S000317</v>
      </c>
      <c r="I580" s="19" t="str">
        <v>Středoevropská pracovní agentura s.r.o.</v>
      </c>
      <c r="J580" s="23" t="n">
        <v>1</v>
      </c>
      <c r="K580" s="23" t="n">
        <v>0</v>
      </c>
      <c r="L580" s="23" t="n">
        <f>J580+K580</f>
        <v>1</v>
      </c>
      <c r="M580" s="23" t="n">
        <v>1</v>
      </c>
      <c r="N580" s="23" t="n">
        <v>0</v>
      </c>
      <c r="O580" s="23" t="n">
        <v>1</v>
      </c>
      <c r="P580" s="23" t="n">
        <v>0</v>
      </c>
      <c r="Q580" s="23" t="n">
        <f>MIN(O580,P580)</f>
        <v>0</v>
      </c>
      <c r="R580" s="25" t="n">
        <f>IF(M580=0,0,MIN(1,L580/M580))</f>
        <v>1</v>
      </c>
      <c r="S580" s="23" t="n">
        <f>O580*R580</f>
        <v>1</v>
      </c>
      <c r="T580" s="23" t="n">
        <f>MIN(P580,S580)</f>
        <v>0</v>
      </c>
      <c r="U580" s="23" t="n">
        <f>O580-S580</f>
        <v>0</v>
      </c>
      <c r="V580" s="23" t="n">
        <f>MAX(P580-O580,0)</f>
        <v>0</v>
      </c>
    </row>
    <row r="581">
      <c r="A581" s="19" t="str">
        <v>捷克区</v>
      </c>
      <c r="B581" s="19" t="str">
        <v>布拉格2号仓</v>
      </c>
      <c r="C581" s="19" t="str">
        <v>拣货组</v>
      </c>
      <c r="D581" s="21" t="n">
        <v>46166</v>
      </c>
      <c r="E581" s="19" t="str">
        <v>2026-05</v>
      </c>
      <c r="F581" s="19" t="str">
        <v>叉车司机</v>
      </c>
      <c r="G581" s="19" t="str">
        <v>捷克区07:00-15:30 / CZ 07:00-15:30</v>
      </c>
      <c r="H581" s="19" t="str">
        <v>S000317</v>
      </c>
      <c r="I581" s="19" t="str">
        <v>Středoevropská pracovní agentura s.r.o.</v>
      </c>
      <c r="J581" s="23" t="n">
        <v>1</v>
      </c>
      <c r="K581" s="23" t="n">
        <v>0</v>
      </c>
      <c r="L581" s="23" t="n">
        <f>J581+K581</f>
        <v>1</v>
      </c>
      <c r="M581" s="23" t="n">
        <v>1</v>
      </c>
      <c r="N581" s="23" t="n">
        <v>0</v>
      </c>
      <c r="O581" s="23" t="n">
        <v>1</v>
      </c>
      <c r="P581" s="23" t="n">
        <v>0</v>
      </c>
      <c r="Q581" s="23" t="n">
        <f>MIN(O581,P581)</f>
        <v>0</v>
      </c>
      <c r="R581" s="25" t="n">
        <f>IF(M581=0,0,MIN(1,L581/M581))</f>
        <v>1</v>
      </c>
      <c r="S581" s="23" t="n">
        <f>O581*R581</f>
        <v>1</v>
      </c>
      <c r="T581" s="23" t="n">
        <f>MIN(P581,S581)</f>
        <v>0</v>
      </c>
      <c r="U581" s="23" t="n">
        <f>O581-S581</f>
        <v>0</v>
      </c>
      <c r="V581" s="23" t="n">
        <f>MAX(P581-O581,0)</f>
        <v>0</v>
      </c>
    </row>
    <row r="582">
      <c r="A582" s="19" t="str">
        <v>捷克区</v>
      </c>
      <c r="B582" s="19" t="str">
        <v>布拉格2号仓</v>
      </c>
      <c r="C582" s="19" t="str">
        <v>拣货组</v>
      </c>
      <c r="D582" s="21" t="n">
        <v>46167</v>
      </c>
      <c r="E582" s="19" t="str">
        <v>2026-05</v>
      </c>
      <c r="F582" s="19" t="str">
        <v>叉车司机</v>
      </c>
      <c r="G582" s="19" t="str">
        <v>捷克区07:00-15:30 / CZ 07:00-15:30</v>
      </c>
      <c r="H582" s="19" t="str">
        <v>S000317</v>
      </c>
      <c r="I582" s="19" t="str">
        <v>Středoevropská pracovní agentura s.r.o.</v>
      </c>
      <c r="J582" s="23" t="n">
        <v>1</v>
      </c>
      <c r="K582" s="23" t="n">
        <v>0</v>
      </c>
      <c r="L582" s="23" t="n">
        <f>J582+K582</f>
        <v>1</v>
      </c>
      <c r="M582" s="23" t="n">
        <v>1</v>
      </c>
      <c r="N582" s="23" t="n">
        <v>0</v>
      </c>
      <c r="O582" s="23" t="n">
        <v>1</v>
      </c>
      <c r="P582" s="23" t="n">
        <v>0</v>
      </c>
      <c r="Q582" s="23" t="n">
        <f>MIN(O582,P582)</f>
        <v>0</v>
      </c>
      <c r="R582" s="25" t="n">
        <f>IF(M582=0,0,MIN(1,L582/M582))</f>
        <v>1</v>
      </c>
      <c r="S582" s="23" t="n">
        <f>O582*R582</f>
        <v>1</v>
      </c>
      <c r="T582" s="23" t="n">
        <f>MIN(P582,S582)</f>
        <v>0</v>
      </c>
      <c r="U582" s="23" t="n">
        <f>O582-S582</f>
        <v>0</v>
      </c>
      <c r="V582" s="23" t="n">
        <f>MAX(P582-O582,0)</f>
        <v>0</v>
      </c>
    </row>
    <row r="583">
      <c r="A583" s="19" t="str">
        <v>捷克区</v>
      </c>
      <c r="B583" s="19" t="str">
        <v>布拉格2号仓</v>
      </c>
      <c r="C583" s="19" t="str">
        <v>拣货组</v>
      </c>
      <c r="D583" s="21" t="n">
        <v>46168</v>
      </c>
      <c r="E583" s="19" t="str">
        <v>2026-05</v>
      </c>
      <c r="F583" s="19" t="str">
        <v>叉车司机</v>
      </c>
      <c r="G583" s="19" t="str">
        <v>捷克区07:00-15:30 / CZ 07:00-15:30</v>
      </c>
      <c r="H583" s="19" t="str">
        <v>S000317</v>
      </c>
      <c r="I583" s="19" t="str">
        <v>Středoevropská pracovní agentura s.r.o.</v>
      </c>
      <c r="J583" s="23" t="n">
        <v>3</v>
      </c>
      <c r="K583" s="23" t="n">
        <v>0</v>
      </c>
      <c r="L583" s="23" t="n">
        <f>J583+K583</f>
        <v>3</v>
      </c>
      <c r="M583" s="23" t="n">
        <v>3</v>
      </c>
      <c r="N583" s="23" t="n">
        <v>0</v>
      </c>
      <c r="O583" s="23" t="n">
        <v>3</v>
      </c>
      <c r="P583" s="23" t="n">
        <v>0</v>
      </c>
      <c r="Q583" s="23" t="n">
        <f>MIN(O583,P583)</f>
        <v>0</v>
      </c>
      <c r="R583" s="25" t="n">
        <f>IF(M583=0,0,MIN(1,L583/M583))</f>
        <v>1</v>
      </c>
      <c r="S583" s="23" t="n">
        <f>O583*R583</f>
        <v>3</v>
      </c>
      <c r="T583" s="23" t="n">
        <f>MIN(P583,S583)</f>
        <v>0</v>
      </c>
      <c r="U583" s="23" t="n">
        <f>O583-S583</f>
        <v>0</v>
      </c>
      <c r="V583" s="23" t="n">
        <f>MAX(P583-O583,0)</f>
        <v>0</v>
      </c>
    </row>
    <row r="584">
      <c r="A584" s="19" t="str">
        <v>捷克区</v>
      </c>
      <c r="B584" s="19" t="str">
        <v>布拉格2号仓</v>
      </c>
      <c r="C584" s="19" t="str">
        <v>拣货组</v>
      </c>
      <c r="D584" s="21" t="n">
        <v>46169</v>
      </c>
      <c r="E584" s="19" t="str">
        <v>2026-05</v>
      </c>
      <c r="F584" s="19" t="str">
        <v>叉车司机</v>
      </c>
      <c r="G584" s="19" t="str">
        <v>捷克区07:00-15:30 / CZ 07:00-15:30</v>
      </c>
      <c r="H584" s="19" t="str">
        <v>S000317</v>
      </c>
      <c r="I584" s="19" t="str">
        <v>Středoevropská pracovní agentura s.r.o.</v>
      </c>
      <c r="J584" s="23" t="n">
        <v>3</v>
      </c>
      <c r="K584" s="23" t="n">
        <v>0</v>
      </c>
      <c r="L584" s="23" t="n">
        <f>J584+K584</f>
        <v>3</v>
      </c>
      <c r="M584" s="23" t="n">
        <v>3</v>
      </c>
      <c r="N584" s="23" t="n">
        <v>0</v>
      </c>
      <c r="O584" s="23" t="n">
        <v>3</v>
      </c>
      <c r="P584" s="23" t="n">
        <v>0</v>
      </c>
      <c r="Q584" s="23" t="n">
        <f>MIN(O584,P584)</f>
        <v>0</v>
      </c>
      <c r="R584" s="25" t="n">
        <f>IF(M584=0,0,MIN(1,L584/M584))</f>
        <v>1</v>
      </c>
      <c r="S584" s="23" t="n">
        <f>O584*R584</f>
        <v>3</v>
      </c>
      <c r="T584" s="23" t="n">
        <f>MIN(P584,S584)</f>
        <v>0</v>
      </c>
      <c r="U584" s="23" t="n">
        <f>O584-S584</f>
        <v>0</v>
      </c>
      <c r="V584" s="23" t="n">
        <f>MAX(P584-O584,0)</f>
        <v>0</v>
      </c>
    </row>
    <row r="585">
      <c r="A585" s="19" t="str">
        <v>捷克区</v>
      </c>
      <c r="B585" s="19" t="str">
        <v>布拉格2号仓</v>
      </c>
      <c r="C585" s="19" t="str">
        <v>拣货组</v>
      </c>
      <c r="D585" s="21" t="n">
        <v>46170</v>
      </c>
      <c r="E585" s="19" t="str">
        <v>2026-05</v>
      </c>
      <c r="F585" s="19" t="str">
        <v>叉车司机</v>
      </c>
      <c r="G585" s="19" t="str">
        <v>捷克区07:00-15:30 / CZ 07:00-15:30</v>
      </c>
      <c r="H585" s="19" t="str">
        <v>S000317</v>
      </c>
      <c r="I585" s="19" t="str">
        <v>Středoevropská pracovní agentura s.r.o.</v>
      </c>
      <c r="J585" s="23" t="n">
        <v>3</v>
      </c>
      <c r="K585" s="23" t="n">
        <v>0</v>
      </c>
      <c r="L585" s="23" t="n">
        <f>J585+K585</f>
        <v>3</v>
      </c>
      <c r="M585" s="23" t="n">
        <v>3</v>
      </c>
      <c r="N585" s="23" t="n">
        <v>0</v>
      </c>
      <c r="O585" s="23" t="n">
        <v>3</v>
      </c>
      <c r="P585" s="23" t="n">
        <v>0</v>
      </c>
      <c r="Q585" s="23" t="n">
        <f>MIN(O585,P585)</f>
        <v>0</v>
      </c>
      <c r="R585" s="25" t="n">
        <f>IF(M585=0,0,MIN(1,L585/M585))</f>
        <v>1</v>
      </c>
      <c r="S585" s="23" t="n">
        <f>O585*R585</f>
        <v>3</v>
      </c>
      <c r="T585" s="23" t="n">
        <f>MIN(P585,S585)</f>
        <v>0</v>
      </c>
      <c r="U585" s="23" t="n">
        <f>O585-S585</f>
        <v>0</v>
      </c>
      <c r="V585" s="23" t="n">
        <f>MAX(P585-O585,0)</f>
        <v>0</v>
      </c>
    </row>
    <row r="586">
      <c r="A586" s="19" t="str">
        <v>捷克区</v>
      </c>
      <c r="B586" s="19" t="str">
        <v>布拉格2号仓</v>
      </c>
      <c r="C586" s="19" t="str">
        <v>拣货组</v>
      </c>
      <c r="D586" s="21" t="n">
        <v>46171</v>
      </c>
      <c r="E586" s="19" t="str">
        <v>2026-05</v>
      </c>
      <c r="F586" s="19" t="str">
        <v>叉车司机</v>
      </c>
      <c r="G586" s="19" t="str">
        <v>捷克区07:00-15:30 / CZ 07:00-15:30</v>
      </c>
      <c r="H586" s="19" t="str">
        <v>S000317</v>
      </c>
      <c r="I586" s="19" t="str">
        <v>Středoevropská pracovní agentura s.r.o.</v>
      </c>
      <c r="J586" s="23" t="n">
        <v>2</v>
      </c>
      <c r="K586" s="23" t="n">
        <v>0</v>
      </c>
      <c r="L586" s="23" t="n">
        <f>J586+K586</f>
        <v>2</v>
      </c>
      <c r="M586" s="23" t="n">
        <v>2</v>
      </c>
      <c r="N586" s="23" t="n">
        <v>0</v>
      </c>
      <c r="O586" s="23" t="n">
        <v>2</v>
      </c>
      <c r="P586" s="23" t="n">
        <v>0</v>
      </c>
      <c r="Q586" s="23" t="n">
        <f>MIN(O586,P586)</f>
        <v>0</v>
      </c>
      <c r="R586" s="25" t="n">
        <f>IF(M586=0,0,MIN(1,L586/M586))</f>
        <v>1</v>
      </c>
      <c r="S586" s="23" t="n">
        <f>O586*R586</f>
        <v>2</v>
      </c>
      <c r="T586" s="23" t="n">
        <f>MIN(P586,S586)</f>
        <v>0</v>
      </c>
      <c r="U586" s="23" t="n">
        <f>O586-S586</f>
        <v>0</v>
      </c>
      <c r="V586" s="23" t="n">
        <f>MAX(P586-O586,0)</f>
        <v>0</v>
      </c>
    </row>
    <row r="587">
      <c r="A587" s="19" t="str">
        <v>捷克区</v>
      </c>
      <c r="B587" s="19" t="str">
        <v>布拉格2号仓</v>
      </c>
      <c r="C587" s="19" t="str">
        <v>拣货组</v>
      </c>
      <c r="D587" s="21" t="n">
        <v>46172</v>
      </c>
      <c r="E587" s="19" t="str">
        <v>2026-05</v>
      </c>
      <c r="F587" s="19" t="str">
        <v>叉车司机</v>
      </c>
      <c r="G587" s="19" t="str">
        <v>捷克区07:00-15:30 / CZ 07:00-15:30</v>
      </c>
      <c r="H587" s="19" t="str">
        <v>S000317</v>
      </c>
      <c r="I587" s="19" t="str">
        <v>Středoevropská pracovní agentura s.r.o.</v>
      </c>
      <c r="J587" s="23" t="n">
        <v>2</v>
      </c>
      <c r="K587" s="23" t="n">
        <v>0</v>
      </c>
      <c r="L587" s="23" t="n">
        <f>J587+K587</f>
        <v>2</v>
      </c>
      <c r="M587" s="23" t="n">
        <v>2</v>
      </c>
      <c r="N587" s="23" t="n">
        <v>0</v>
      </c>
      <c r="O587" s="23" t="n">
        <v>2</v>
      </c>
      <c r="P587" s="23" t="n">
        <v>0</v>
      </c>
      <c r="Q587" s="23" t="n">
        <f>MIN(O587,P587)</f>
        <v>0</v>
      </c>
      <c r="R587" s="25" t="n">
        <f>IF(M587=0,0,MIN(1,L587/M587))</f>
        <v>1</v>
      </c>
      <c r="S587" s="23" t="n">
        <f>O587*R587</f>
        <v>2</v>
      </c>
      <c r="T587" s="23" t="n">
        <f>MIN(P587,S587)</f>
        <v>0</v>
      </c>
      <c r="U587" s="23" t="n">
        <f>O587-S587</f>
        <v>0</v>
      </c>
      <c r="V587" s="23" t="n">
        <f>MAX(P587-O587,0)</f>
        <v>0</v>
      </c>
    </row>
    <row r="588">
      <c r="A588" s="19" t="str">
        <v>捷克区</v>
      </c>
      <c r="B588" s="19" t="str">
        <v>布拉格2号仓</v>
      </c>
      <c r="C588" s="19" t="str">
        <v>拣货组</v>
      </c>
      <c r="D588" s="21" t="n">
        <v>46173</v>
      </c>
      <c r="E588" s="19" t="str">
        <v>2026-05</v>
      </c>
      <c r="F588" s="19" t="str">
        <v>叉车司机</v>
      </c>
      <c r="G588" s="19" t="str">
        <v>捷克区07:00-15:30 / CZ 07:00-15:30</v>
      </c>
      <c r="H588" s="19" t="str">
        <v>S000317</v>
      </c>
      <c r="I588" s="19" t="str">
        <v>Středoevropská pracovní agentura s.r.o.</v>
      </c>
      <c r="J588" s="23" t="n">
        <v>2</v>
      </c>
      <c r="K588" s="23" t="n">
        <v>0</v>
      </c>
      <c r="L588" s="23" t="n">
        <f>J588+K588</f>
        <v>2</v>
      </c>
      <c r="M588" s="23" t="n">
        <v>2</v>
      </c>
      <c r="N588" s="23" t="n">
        <v>0</v>
      </c>
      <c r="O588" s="23" t="n">
        <v>2</v>
      </c>
      <c r="P588" s="23" t="n">
        <v>0</v>
      </c>
      <c r="Q588" s="23" t="n">
        <f>MIN(O588,P588)</f>
        <v>0</v>
      </c>
      <c r="R588" s="25" t="n">
        <f>IF(M588=0,0,MIN(1,L588/M588))</f>
        <v>1</v>
      </c>
      <c r="S588" s="23" t="n">
        <f>O588*R588</f>
        <v>2</v>
      </c>
      <c r="T588" s="23" t="n">
        <f>MIN(P588,S588)</f>
        <v>0</v>
      </c>
      <c r="U588" s="23" t="n">
        <f>O588-S588</f>
        <v>0</v>
      </c>
      <c r="V588" s="23" t="n">
        <f>MAX(P588-O588,0)</f>
        <v>0</v>
      </c>
    </row>
    <row r="589">
      <c r="A589" s="19" t="str">
        <v>捷克区</v>
      </c>
      <c r="B589" s="19" t="str">
        <v>布拉格2号仓</v>
      </c>
      <c r="C589" s="19" t="str">
        <v>拣货组</v>
      </c>
      <c r="D589" s="21" t="n">
        <v>46174</v>
      </c>
      <c r="E589" s="19" t="str">
        <v>2026-06</v>
      </c>
      <c r="F589" s="19" t="str">
        <v>叉车司机</v>
      </c>
      <c r="G589" s="19" t="str">
        <v>捷克区07:00-15:30 / CZ 07:00-15:30</v>
      </c>
      <c r="H589" s="19" t="str">
        <v>S000192</v>
      </c>
      <c r="I589" s="19" t="str">
        <v>FILKOPI Agency s.r.o.</v>
      </c>
      <c r="J589" s="23" t="n">
        <v>2</v>
      </c>
      <c r="K589" s="23" t="n">
        <v>0</v>
      </c>
      <c r="L589" s="23" t="n">
        <f>J589+K589</f>
        <v>2</v>
      </c>
      <c r="M589" s="23" t="n">
        <v>2</v>
      </c>
      <c r="N589" s="23" t="n">
        <v>0</v>
      </c>
      <c r="O589" s="23" t="n">
        <v>2</v>
      </c>
      <c r="P589" s="23" t="n">
        <v>0</v>
      </c>
      <c r="Q589" s="23" t="n">
        <f>MIN(O589,P589)</f>
        <v>0</v>
      </c>
      <c r="R589" s="25" t="n">
        <f>IF(M589=0,0,MIN(1,L589/M589))</f>
        <v>1</v>
      </c>
      <c r="S589" s="23" t="n">
        <f>O589*R589</f>
        <v>2</v>
      </c>
      <c r="T589" s="23" t="n">
        <f>MIN(P589,S589)</f>
        <v>0</v>
      </c>
      <c r="U589" s="23" t="n">
        <f>O589-S589</f>
        <v>0</v>
      </c>
      <c r="V589" s="23" t="n">
        <f>MAX(P589-O589,0)</f>
        <v>0</v>
      </c>
    </row>
    <row r="590">
      <c r="A590" s="19" t="str">
        <v>捷克区</v>
      </c>
      <c r="B590" s="19" t="str">
        <v>布拉格2号仓</v>
      </c>
      <c r="C590" s="19" t="str">
        <v>拣货组</v>
      </c>
      <c r="D590" s="21" t="n">
        <v>46175</v>
      </c>
      <c r="E590" s="19" t="str">
        <v>2026-06</v>
      </c>
      <c r="F590" s="19" t="str">
        <v>叉车司机</v>
      </c>
      <c r="G590" s="19" t="str">
        <v>捷克区07:00-15:30 / CZ 07:00-15:30</v>
      </c>
      <c r="H590" s="19" t="str">
        <v>S000192</v>
      </c>
      <c r="I590" s="19" t="str">
        <v>FILKOPI Agency s.r.o.</v>
      </c>
      <c r="J590" s="23" t="n">
        <v>2</v>
      </c>
      <c r="K590" s="23" t="n">
        <v>0</v>
      </c>
      <c r="L590" s="23" t="n">
        <f>J590+K590</f>
        <v>2</v>
      </c>
      <c r="M590" s="23" t="n">
        <v>2</v>
      </c>
      <c r="N590" s="23" t="n">
        <v>2</v>
      </c>
      <c r="O590" s="23" t="n">
        <v>2</v>
      </c>
      <c r="P590" s="23" t="n">
        <v>2</v>
      </c>
      <c r="Q590" s="23" t="n">
        <f>MIN(O590,P590)</f>
        <v>2</v>
      </c>
      <c r="R590" s="25" t="n">
        <f>IF(M590=0,0,MIN(1,L590/M590))</f>
        <v>1</v>
      </c>
      <c r="S590" s="23" t="n">
        <f>O590*R590</f>
        <v>2</v>
      </c>
      <c r="T590" s="23" t="n">
        <f>MIN(P590,S590)</f>
        <v>2</v>
      </c>
      <c r="U590" s="23" t="n">
        <f>O590-S590</f>
        <v>0</v>
      </c>
      <c r="V590" s="23" t="n">
        <f>MAX(P590-O590,0)</f>
        <v>0</v>
      </c>
    </row>
    <row r="591">
      <c r="A591" s="19" t="str">
        <v>捷克区</v>
      </c>
      <c r="B591" s="19" t="str">
        <v>布拉格2号仓</v>
      </c>
      <c r="C591" s="19" t="str">
        <v>拣货组</v>
      </c>
      <c r="D591" s="21" t="n">
        <v>46177</v>
      </c>
      <c r="E591" s="19" t="str">
        <v>2026-06</v>
      </c>
      <c r="F591" s="19" t="str">
        <v>叉车司机</v>
      </c>
      <c r="G591" s="19" t="str">
        <v>捷克区07:00-15:30 / CZ 07:00-15:30</v>
      </c>
      <c r="H591" s="19" t="str">
        <v>S000317</v>
      </c>
      <c r="I591" s="19" t="str">
        <v>Středoevropská pracovní agentura s.r.o.</v>
      </c>
      <c r="J591" s="23" t="n">
        <v>2</v>
      </c>
      <c r="K591" s="23" t="n">
        <v>0</v>
      </c>
      <c r="L591" s="23" t="n">
        <f>J591+K591</f>
        <v>2</v>
      </c>
      <c r="M591" s="23" t="n">
        <v>2</v>
      </c>
      <c r="N591" s="23" t="n">
        <v>0</v>
      </c>
      <c r="O591" s="23" t="n">
        <v>2</v>
      </c>
      <c r="P591" s="23" t="n">
        <v>0</v>
      </c>
      <c r="Q591" s="23" t="n">
        <f>MIN(O591,P591)</f>
        <v>0</v>
      </c>
      <c r="R591" s="25" t="n">
        <f>IF(M591=0,0,MIN(1,L591/M591))</f>
        <v>1</v>
      </c>
      <c r="S591" s="23" t="n">
        <f>O591*R591</f>
        <v>2</v>
      </c>
      <c r="T591" s="23" t="n">
        <f>MIN(P591,S591)</f>
        <v>0</v>
      </c>
      <c r="U591" s="23" t="n">
        <f>O591-S591</f>
        <v>0</v>
      </c>
      <c r="V591" s="23" t="n">
        <f>MAX(P591-O591,0)</f>
        <v>0</v>
      </c>
    </row>
    <row r="592">
      <c r="A592" s="19" t="str">
        <v>捷克区</v>
      </c>
      <c r="B592" s="19" t="str">
        <v>布拉格2号仓</v>
      </c>
      <c r="C592" s="19" t="str">
        <v>拣货组</v>
      </c>
      <c r="D592" s="21" t="n">
        <v>46178</v>
      </c>
      <c r="E592" s="19" t="str">
        <v>2026-06</v>
      </c>
      <c r="F592" s="19" t="str">
        <v>叉车司机</v>
      </c>
      <c r="G592" s="19" t="str">
        <v>捷克区07:00-15:30 / CZ 07:00-15:30</v>
      </c>
      <c r="H592" s="19" t="str">
        <v>S000317</v>
      </c>
      <c r="I592" s="19" t="str">
        <v>Středoevropská pracovní agentura s.r.o.</v>
      </c>
      <c r="J592" s="23" t="n">
        <v>2</v>
      </c>
      <c r="K592" s="23" t="n">
        <v>0</v>
      </c>
      <c r="L592" s="23" t="n">
        <f>J592+K592</f>
        <v>2</v>
      </c>
      <c r="M592" s="23" t="n">
        <v>2</v>
      </c>
      <c r="N592" s="23" t="n">
        <v>0</v>
      </c>
      <c r="O592" s="23" t="n">
        <v>2</v>
      </c>
      <c r="P592" s="23" t="n">
        <v>0</v>
      </c>
      <c r="Q592" s="23" t="n">
        <f>MIN(O592,P592)</f>
        <v>0</v>
      </c>
      <c r="R592" s="25" t="n">
        <f>IF(M592=0,0,MIN(1,L592/M592))</f>
        <v>1</v>
      </c>
      <c r="S592" s="23" t="n">
        <f>O592*R592</f>
        <v>2</v>
      </c>
      <c r="T592" s="23" t="n">
        <f>MIN(P592,S592)</f>
        <v>0</v>
      </c>
      <c r="U592" s="23" t="n">
        <f>O592-S592</f>
        <v>0</v>
      </c>
      <c r="V592" s="23" t="n">
        <f>MAX(P592-O592,0)</f>
        <v>0</v>
      </c>
    </row>
    <row r="593">
      <c r="A593" s="19" t="str">
        <v>捷克区</v>
      </c>
      <c r="B593" s="19" t="str">
        <v>布拉格2号仓</v>
      </c>
      <c r="C593" s="19" t="str">
        <v>拣货组</v>
      </c>
      <c r="D593" s="21" t="n">
        <v>46179</v>
      </c>
      <c r="E593" s="19" t="str">
        <v>2026-06</v>
      </c>
      <c r="F593" s="19" t="str">
        <v>叉车司机</v>
      </c>
      <c r="G593" s="19" t="str">
        <v>捷克区07:00-15:30 / CZ 07:00-15:30</v>
      </c>
      <c r="H593" s="19" t="str">
        <v>S000317</v>
      </c>
      <c r="I593" s="19" t="str">
        <v>Středoevropská pracovní agentura s.r.o.</v>
      </c>
      <c r="J593" s="23" t="n">
        <v>2</v>
      </c>
      <c r="K593" s="23" t="n">
        <v>0</v>
      </c>
      <c r="L593" s="23" t="n">
        <f>J593+K593</f>
        <v>2</v>
      </c>
      <c r="M593" s="23" t="n">
        <v>2</v>
      </c>
      <c r="N593" s="23" t="n">
        <v>0</v>
      </c>
      <c r="O593" s="23" t="n">
        <v>2</v>
      </c>
      <c r="P593" s="23" t="n">
        <v>0</v>
      </c>
      <c r="Q593" s="23" t="n">
        <f>MIN(O593,P593)</f>
        <v>0</v>
      </c>
      <c r="R593" s="25" t="n">
        <f>IF(M593=0,0,MIN(1,L593/M593))</f>
        <v>1</v>
      </c>
      <c r="S593" s="23" t="n">
        <f>O593*R593</f>
        <v>2</v>
      </c>
      <c r="T593" s="23" t="n">
        <f>MIN(P593,S593)</f>
        <v>0</v>
      </c>
      <c r="U593" s="23" t="n">
        <f>O593-S593</f>
        <v>0</v>
      </c>
      <c r="V593" s="23" t="n">
        <f>MAX(P593-O593,0)</f>
        <v>0</v>
      </c>
    </row>
    <row r="594">
      <c r="A594" s="19" t="str">
        <v>捷克区</v>
      </c>
      <c r="B594" s="19" t="str">
        <v>布拉格2号仓</v>
      </c>
      <c r="C594" s="19" t="str">
        <v>拣货组</v>
      </c>
      <c r="D594" s="21" t="n">
        <v>46180</v>
      </c>
      <c r="E594" s="19" t="str">
        <v>2026-06</v>
      </c>
      <c r="F594" s="19" t="str">
        <v>叉车司机</v>
      </c>
      <c r="G594" s="19" t="str">
        <v>捷克区07:00-15:30 / CZ 07:00-15:30</v>
      </c>
      <c r="H594" s="19" t="str">
        <v>S000317</v>
      </c>
      <c r="I594" s="19" t="str">
        <v>Středoevropská pracovní agentura s.r.o.</v>
      </c>
      <c r="J594" s="23" t="n">
        <v>2</v>
      </c>
      <c r="K594" s="23" t="n">
        <v>0</v>
      </c>
      <c r="L594" s="23" t="n">
        <f>J594+K594</f>
        <v>2</v>
      </c>
      <c r="M594" s="23" t="n">
        <v>2</v>
      </c>
      <c r="N594" s="23" t="n">
        <v>0</v>
      </c>
      <c r="O594" s="23" t="n">
        <v>2</v>
      </c>
      <c r="P594" s="23" t="n">
        <v>0</v>
      </c>
      <c r="Q594" s="23" t="n">
        <f>MIN(O594,P594)</f>
        <v>0</v>
      </c>
      <c r="R594" s="25" t="n">
        <f>IF(M594=0,0,MIN(1,L594/M594))</f>
        <v>1</v>
      </c>
      <c r="S594" s="23" t="n">
        <f>O594*R594</f>
        <v>2</v>
      </c>
      <c r="T594" s="23" t="n">
        <f>MIN(P594,S594)</f>
        <v>0</v>
      </c>
      <c r="U594" s="23" t="n">
        <f>O594-S594</f>
        <v>0</v>
      </c>
      <c r="V594" s="23" t="n">
        <f>MAX(P594-O594,0)</f>
        <v>0</v>
      </c>
    </row>
    <row r="595">
      <c r="A595" s="19" t="str">
        <v>捷克区</v>
      </c>
      <c r="B595" s="19" t="str">
        <v>布拉格2号仓</v>
      </c>
      <c r="C595" s="19" t="str">
        <v>拣货组</v>
      </c>
      <c r="D595" s="21" t="n">
        <v>46181</v>
      </c>
      <c r="E595" s="19" t="str">
        <v>2026-06</v>
      </c>
      <c r="F595" s="19" t="str">
        <v>叉车司机</v>
      </c>
      <c r="G595" s="19" t="str">
        <v>捷克区07:00-15:30 / CZ 07:00-15:30</v>
      </c>
      <c r="H595" s="19" t="str">
        <v>S000098</v>
      </c>
      <c r="I595" s="19" t="str">
        <v>PERSONALEK Plus s.r.o.</v>
      </c>
      <c r="J595" s="23" t="n">
        <v>2</v>
      </c>
      <c r="K595" s="23" t="n">
        <v>0</v>
      </c>
      <c r="L595" s="23" t="n">
        <f>J595+K595</f>
        <v>2</v>
      </c>
      <c r="M595" s="23" t="n">
        <v>2</v>
      </c>
      <c r="N595" s="23" t="n">
        <v>0</v>
      </c>
      <c r="O595" s="23" t="n">
        <v>2</v>
      </c>
      <c r="P595" s="23" t="n">
        <v>0</v>
      </c>
      <c r="Q595" s="23" t="n">
        <f>MIN(O595,P595)</f>
        <v>0</v>
      </c>
      <c r="R595" s="25" t="n">
        <f>IF(M595=0,0,MIN(1,L595/M595))</f>
        <v>1</v>
      </c>
      <c r="S595" s="23" t="n">
        <f>O595*R595</f>
        <v>2</v>
      </c>
      <c r="T595" s="23" t="n">
        <f>MIN(P595,S595)</f>
        <v>0</v>
      </c>
      <c r="U595" s="23" t="n">
        <f>O595-S595</f>
        <v>0</v>
      </c>
      <c r="V595" s="23" t="n">
        <f>MAX(P595-O595,0)</f>
        <v>0</v>
      </c>
    </row>
    <row r="596">
      <c r="A596" s="19" t="str">
        <v>捷克区</v>
      </c>
      <c r="B596" s="19" t="str">
        <v>布拉格2号仓</v>
      </c>
      <c r="C596" s="19" t="str">
        <v>拣货组</v>
      </c>
      <c r="D596" s="21" t="n">
        <v>46182</v>
      </c>
      <c r="E596" s="19" t="str">
        <v>2026-06</v>
      </c>
      <c r="F596" s="19" t="str">
        <v>叉车司机</v>
      </c>
      <c r="G596" s="19" t="str">
        <v>捷克区07:00-15:30 / CZ 07:00-15:30</v>
      </c>
      <c r="H596" s="19" t="str">
        <v>S000098</v>
      </c>
      <c r="I596" s="19" t="str">
        <v>PERSONALEK Plus s.r.o.</v>
      </c>
      <c r="J596" s="23" t="n">
        <v>2</v>
      </c>
      <c r="K596" s="23" t="n">
        <v>0</v>
      </c>
      <c r="L596" s="23" t="n">
        <f>J596+K596</f>
        <v>2</v>
      </c>
      <c r="M596" s="23" t="n">
        <v>2</v>
      </c>
      <c r="N596" s="23" t="n">
        <v>0</v>
      </c>
      <c r="O596" s="23" t="n">
        <v>2</v>
      </c>
      <c r="P596" s="23" t="n">
        <v>0</v>
      </c>
      <c r="Q596" s="23" t="n">
        <f>MIN(O596,P596)</f>
        <v>0</v>
      </c>
      <c r="R596" s="25" t="n">
        <f>IF(M596=0,0,MIN(1,L596/M596))</f>
        <v>1</v>
      </c>
      <c r="S596" s="23" t="n">
        <f>O596*R596</f>
        <v>2</v>
      </c>
      <c r="T596" s="23" t="n">
        <f>MIN(P596,S596)</f>
        <v>0</v>
      </c>
      <c r="U596" s="23" t="n">
        <f>O596-S596</f>
        <v>0</v>
      </c>
      <c r="V596" s="23" t="n">
        <f>MAX(P596-O596,0)</f>
        <v>0</v>
      </c>
    </row>
    <row r="597">
      <c r="A597" s="19" t="str">
        <v>捷克区</v>
      </c>
      <c r="B597" s="19" t="str">
        <v>布拉格2号仓</v>
      </c>
      <c r="C597" s="19" t="str">
        <v>拣货组</v>
      </c>
      <c r="D597" s="21" t="n">
        <v>46183</v>
      </c>
      <c r="E597" s="19" t="str">
        <v>2026-06</v>
      </c>
      <c r="F597" s="19" t="str">
        <v>叉车司机</v>
      </c>
      <c r="G597" s="19" t="str">
        <v>捷克区07:00-15:30 / CZ 07:00-15:30</v>
      </c>
      <c r="H597" s="19" t="str">
        <v>S000098</v>
      </c>
      <c r="I597" s="19" t="str">
        <v>PERSONALEK Plus s.r.o.</v>
      </c>
      <c r="J597" s="23" t="n">
        <v>2</v>
      </c>
      <c r="K597" s="23" t="n">
        <v>0</v>
      </c>
      <c r="L597" s="23" t="n">
        <f>J597+K597</f>
        <v>2</v>
      </c>
      <c r="M597" s="23" t="n">
        <v>2</v>
      </c>
      <c r="N597" s="23" t="n">
        <v>2</v>
      </c>
      <c r="O597" s="23" t="n">
        <v>2</v>
      </c>
      <c r="P597" s="23" t="n">
        <v>2</v>
      </c>
      <c r="Q597" s="23" t="n">
        <f>MIN(O597,P597)</f>
        <v>2</v>
      </c>
      <c r="R597" s="25" t="n">
        <f>IF(M597=0,0,MIN(1,L597/M597))</f>
        <v>1</v>
      </c>
      <c r="S597" s="23" t="n">
        <f>O597*R597</f>
        <v>2</v>
      </c>
      <c r="T597" s="23" t="n">
        <f>MIN(P597,S597)</f>
        <v>2</v>
      </c>
      <c r="U597" s="23" t="n">
        <f>O597-S597</f>
        <v>0</v>
      </c>
      <c r="V597" s="23" t="n">
        <f>MAX(P597-O597,0)</f>
        <v>0</v>
      </c>
    </row>
    <row r="598">
      <c r="A598" s="19" t="str">
        <v>捷克区</v>
      </c>
      <c r="B598" s="19" t="str">
        <v>布拉格2号仓</v>
      </c>
      <c r="C598" s="19" t="str">
        <v>拣货组</v>
      </c>
      <c r="D598" s="21" t="n">
        <v>46184</v>
      </c>
      <c r="E598" s="19" t="str">
        <v>2026-06</v>
      </c>
      <c r="F598" s="19" t="str">
        <v>叉车司机</v>
      </c>
      <c r="G598" s="19" t="str">
        <v>捷克区07:00-15:30 / CZ 07:00-15:30</v>
      </c>
      <c r="H598" s="19" t="str">
        <v>S000098</v>
      </c>
      <c r="I598" s="19" t="str">
        <v>PERSONALEK Plus s.r.o.</v>
      </c>
      <c r="J598" s="23" t="n">
        <v>2</v>
      </c>
      <c r="K598" s="23" t="n">
        <v>0</v>
      </c>
      <c r="L598" s="23" t="n">
        <f>J598+K598</f>
        <v>2</v>
      </c>
      <c r="M598" s="23" t="n">
        <v>2</v>
      </c>
      <c r="N598" s="23" t="n">
        <v>0</v>
      </c>
      <c r="O598" s="23" t="n">
        <v>2</v>
      </c>
      <c r="P598" s="23" t="n">
        <v>0</v>
      </c>
      <c r="Q598" s="23" t="n">
        <f>MIN(O598,P598)</f>
        <v>0</v>
      </c>
      <c r="R598" s="25" t="n">
        <f>IF(M598=0,0,MIN(1,L598/M598))</f>
        <v>1</v>
      </c>
      <c r="S598" s="23" t="n">
        <f>O598*R598</f>
        <v>2</v>
      </c>
      <c r="T598" s="23" t="n">
        <f>MIN(P598,S598)</f>
        <v>0</v>
      </c>
      <c r="U598" s="23" t="n">
        <f>O598-S598</f>
        <v>0</v>
      </c>
      <c r="V598" s="23" t="n">
        <f>MAX(P598-O598,0)</f>
        <v>0</v>
      </c>
    </row>
    <row r="599">
      <c r="A599" s="19" t="str">
        <v>捷克区</v>
      </c>
      <c r="B599" s="19" t="str">
        <v>布拉格2号仓</v>
      </c>
      <c r="C599" s="19" t="str">
        <v>拣货组</v>
      </c>
      <c r="D599" s="21" t="n">
        <v>46191</v>
      </c>
      <c r="E599" s="19" t="str">
        <v>2026-06</v>
      </c>
      <c r="F599" s="19" t="str">
        <v>叉车司机</v>
      </c>
      <c r="G599" s="19" t="str">
        <v>捷克区07:00-15:30 / CZ 07:00-15:30</v>
      </c>
      <c r="H599" s="19" t="str">
        <v>S000310</v>
      </c>
      <c r="I599" s="19" t="str">
        <v>Easy Jobs s.r.o.</v>
      </c>
      <c r="J599" s="23" t="n">
        <v>2</v>
      </c>
      <c r="K599" s="23" t="n">
        <v>0</v>
      </c>
      <c r="L599" s="23" t="n">
        <f>J599+K599</f>
        <v>2</v>
      </c>
      <c r="M599" s="23" t="n">
        <v>2</v>
      </c>
      <c r="N599" s="23" t="n">
        <v>1</v>
      </c>
      <c r="O599" s="23" t="n">
        <v>2</v>
      </c>
      <c r="P599" s="23" t="n">
        <v>1</v>
      </c>
      <c r="Q599" s="23" t="n">
        <f>MIN(O599,P599)</f>
        <v>1</v>
      </c>
      <c r="R599" s="25" t="n">
        <f>IF(M599=0,0,MIN(1,L599/M599))</f>
        <v>1</v>
      </c>
      <c r="S599" s="23" t="n">
        <f>O599*R599</f>
        <v>2</v>
      </c>
      <c r="T599" s="23" t="n">
        <f>MIN(P599,S599)</f>
        <v>1</v>
      </c>
      <c r="U599" s="23" t="n">
        <f>O599-S599</f>
        <v>0</v>
      </c>
      <c r="V599" s="23" t="n">
        <f>MAX(P599-O599,0)</f>
        <v>0</v>
      </c>
    </row>
    <row r="600">
      <c r="A600" s="19" t="str">
        <v>捷克区</v>
      </c>
      <c r="B600" s="19" t="str">
        <v>布拉格2号仓</v>
      </c>
      <c r="C600" s="19" t="str">
        <v>拣货组</v>
      </c>
      <c r="D600" s="21" t="n">
        <v>46192</v>
      </c>
      <c r="E600" s="19" t="str">
        <v>2026-06</v>
      </c>
      <c r="F600" s="19" t="str">
        <v>叉车司机</v>
      </c>
      <c r="G600" s="19" t="str">
        <v>捷克区07:00-15:30 / CZ 07:00-15:30</v>
      </c>
      <c r="H600" s="19" t="str">
        <v>S000310</v>
      </c>
      <c r="I600" s="19" t="str">
        <v>Easy Jobs s.r.o.</v>
      </c>
      <c r="J600" s="23" t="n">
        <v>2</v>
      </c>
      <c r="K600" s="23" t="n">
        <v>0</v>
      </c>
      <c r="L600" s="23" t="n">
        <f>J600+K600</f>
        <v>2</v>
      </c>
      <c r="M600" s="23" t="n">
        <v>2</v>
      </c>
      <c r="N600" s="23" t="n">
        <v>1</v>
      </c>
      <c r="O600" s="23" t="n">
        <v>2</v>
      </c>
      <c r="P600" s="23" t="n">
        <v>1</v>
      </c>
      <c r="Q600" s="23" t="n">
        <f>MIN(O600,P600)</f>
        <v>1</v>
      </c>
      <c r="R600" s="25" t="n">
        <f>IF(M600=0,0,MIN(1,L600/M600))</f>
        <v>1</v>
      </c>
      <c r="S600" s="23" t="n">
        <f>O600*R600</f>
        <v>2</v>
      </c>
      <c r="T600" s="23" t="n">
        <f>MIN(P600,S600)</f>
        <v>1</v>
      </c>
      <c r="U600" s="23" t="n">
        <f>O600-S600</f>
        <v>0</v>
      </c>
      <c r="V600" s="23" t="n">
        <f>MAX(P600-O600,0)</f>
        <v>0</v>
      </c>
    </row>
    <row r="601">
      <c r="A601" s="19" t="str">
        <v>捷克区</v>
      </c>
      <c r="B601" s="19" t="str">
        <v>布拉格2号仓</v>
      </c>
      <c r="C601" s="19" t="str">
        <v>拣货组</v>
      </c>
      <c r="D601" s="21" t="n">
        <v>46193</v>
      </c>
      <c r="E601" s="19" t="str">
        <v>2026-06</v>
      </c>
      <c r="F601" s="19" t="str">
        <v>叉车司机</v>
      </c>
      <c r="G601" s="19" t="str">
        <v>捷克区07:00-15:30 / CZ 07:00-15:30</v>
      </c>
      <c r="H601" s="19" t="str">
        <v>S000310</v>
      </c>
      <c r="I601" s="19" t="str">
        <v>Easy Jobs s.r.o.</v>
      </c>
      <c r="J601" s="23" t="n">
        <v>2</v>
      </c>
      <c r="K601" s="23" t="n">
        <v>0</v>
      </c>
      <c r="L601" s="23" t="n">
        <f>J601+K601</f>
        <v>2</v>
      </c>
      <c r="M601" s="23" t="n">
        <v>2</v>
      </c>
      <c r="N601" s="23" t="n">
        <v>1</v>
      </c>
      <c r="O601" s="23" t="n">
        <v>2</v>
      </c>
      <c r="P601" s="23" t="n">
        <v>1</v>
      </c>
      <c r="Q601" s="23" t="n">
        <f>MIN(O601,P601)</f>
        <v>1</v>
      </c>
      <c r="R601" s="25" t="n">
        <f>IF(M601=0,0,MIN(1,L601/M601))</f>
        <v>1</v>
      </c>
      <c r="S601" s="23" t="n">
        <f>O601*R601</f>
        <v>2</v>
      </c>
      <c r="T601" s="23" t="n">
        <f>MIN(P601,S601)</f>
        <v>1</v>
      </c>
      <c r="U601" s="23" t="n">
        <f>O601-S601</f>
        <v>0</v>
      </c>
      <c r="V601" s="23" t="n">
        <f>MAX(P601-O601,0)</f>
        <v>0</v>
      </c>
    </row>
    <row r="602">
      <c r="A602" s="19" t="str">
        <v>捷克区</v>
      </c>
      <c r="B602" s="19" t="str">
        <v>布拉格2号仓</v>
      </c>
      <c r="C602" s="19" t="str">
        <v>拣货组</v>
      </c>
      <c r="D602" s="21" t="n">
        <v>46194</v>
      </c>
      <c r="E602" s="19" t="str">
        <v>2026-06</v>
      </c>
      <c r="F602" s="19" t="str">
        <v>叉车司机</v>
      </c>
      <c r="G602" s="19" t="str">
        <v>捷克区07:00-15:30 / CZ 07:00-15:30</v>
      </c>
      <c r="H602" s="19" t="str">
        <v>S000310</v>
      </c>
      <c r="I602" s="19" t="str">
        <v>Easy Jobs s.r.o.</v>
      </c>
      <c r="J602" s="23" t="n">
        <v>2</v>
      </c>
      <c r="K602" s="23" t="n">
        <v>0</v>
      </c>
      <c r="L602" s="23" t="n">
        <f>J602+K602</f>
        <v>2</v>
      </c>
      <c r="M602" s="23" t="n">
        <v>2</v>
      </c>
      <c r="N602" s="23" t="n">
        <v>1</v>
      </c>
      <c r="O602" s="23" t="n">
        <v>2</v>
      </c>
      <c r="P602" s="23" t="n">
        <v>1</v>
      </c>
      <c r="Q602" s="23" t="n">
        <f>MIN(O602,P602)</f>
        <v>1</v>
      </c>
      <c r="R602" s="25" t="n">
        <f>IF(M602=0,0,MIN(1,L602/M602))</f>
        <v>1</v>
      </c>
      <c r="S602" s="23" t="n">
        <f>O602*R602</f>
        <v>2</v>
      </c>
      <c r="T602" s="23" t="n">
        <f>MIN(P602,S602)</f>
        <v>1</v>
      </c>
      <c r="U602" s="23" t="n">
        <f>O602-S602</f>
        <v>0</v>
      </c>
      <c r="V602" s="23" t="n">
        <f>MAX(P602-O602,0)</f>
        <v>0</v>
      </c>
    </row>
    <row r="603">
      <c r="A603" s="19" t="str">
        <v>捷克区</v>
      </c>
      <c r="B603" s="19" t="str">
        <v>布拉格2号仓</v>
      </c>
      <c r="C603" s="19" t="str">
        <v>拣货组</v>
      </c>
      <c r="D603" s="21" t="n">
        <v>46195</v>
      </c>
      <c r="E603" s="19" t="str">
        <v>2026-06</v>
      </c>
      <c r="F603" s="19" t="str">
        <v>叉车司机</v>
      </c>
      <c r="G603" s="19" t="str">
        <v>捷克区07:00-15:30 / CZ 07:00-15:30</v>
      </c>
      <c r="H603" s="19" t="str">
        <v>S000310</v>
      </c>
      <c r="I603" s="19" t="str">
        <v>Easy Jobs s.r.o.</v>
      </c>
      <c r="J603" s="23" t="n">
        <v>2</v>
      </c>
      <c r="K603" s="23" t="n">
        <v>0</v>
      </c>
      <c r="L603" s="23" t="n">
        <f>J603+K603</f>
        <v>2</v>
      </c>
      <c r="M603" s="23" t="n">
        <v>2</v>
      </c>
      <c r="N603" s="23" t="n">
        <v>1</v>
      </c>
      <c r="O603" s="23" t="n">
        <v>2</v>
      </c>
      <c r="P603" s="23" t="n">
        <v>1</v>
      </c>
      <c r="Q603" s="23" t="n">
        <f>MIN(O603,P603)</f>
        <v>1</v>
      </c>
      <c r="R603" s="25" t="n">
        <f>IF(M603=0,0,MIN(1,L603/M603))</f>
        <v>1</v>
      </c>
      <c r="S603" s="23" t="n">
        <f>O603*R603</f>
        <v>2</v>
      </c>
      <c r="T603" s="23" t="n">
        <f>MIN(P603,S603)</f>
        <v>1</v>
      </c>
      <c r="U603" s="23" t="n">
        <f>O603-S603</f>
        <v>0</v>
      </c>
      <c r="V603" s="23" t="n">
        <f>MAX(P603-O603,0)</f>
        <v>0</v>
      </c>
    </row>
    <row r="604">
      <c r="A604" s="19" t="str">
        <v>捷克区</v>
      </c>
      <c r="B604" s="19" t="str">
        <v>布拉格2号仓</v>
      </c>
      <c r="C604" s="19" t="str">
        <v>拣货组</v>
      </c>
      <c r="D604" s="21" t="n">
        <v>46196</v>
      </c>
      <c r="E604" s="19" t="str">
        <v>2026-06</v>
      </c>
      <c r="F604" s="19" t="str">
        <v>叉车司机</v>
      </c>
      <c r="G604" s="19" t="str">
        <v>捷克区07:00-15:30 / CZ 07:00-15:30</v>
      </c>
      <c r="H604" s="19" t="str">
        <v>S000310</v>
      </c>
      <c r="I604" s="19" t="str">
        <v>Easy Jobs s.r.o.</v>
      </c>
      <c r="J604" s="23" t="n">
        <v>2</v>
      </c>
      <c r="K604" s="23" t="n">
        <v>0</v>
      </c>
      <c r="L604" s="23" t="n">
        <f>J604+K604</f>
        <v>2</v>
      </c>
      <c r="M604" s="23" t="n">
        <v>2</v>
      </c>
      <c r="N604" s="23" t="n">
        <v>1</v>
      </c>
      <c r="O604" s="23" t="n">
        <v>2</v>
      </c>
      <c r="P604" s="23" t="n">
        <v>1</v>
      </c>
      <c r="Q604" s="23" t="n">
        <f>MIN(O604,P604)</f>
        <v>1</v>
      </c>
      <c r="R604" s="25" t="n">
        <f>IF(M604=0,0,MIN(1,L604/M604))</f>
        <v>1</v>
      </c>
      <c r="S604" s="23" t="n">
        <f>O604*R604</f>
        <v>2</v>
      </c>
      <c r="T604" s="23" t="n">
        <f>MIN(P604,S604)</f>
        <v>1</v>
      </c>
      <c r="U604" s="23" t="n">
        <f>O604-S604</f>
        <v>0</v>
      </c>
      <c r="V604" s="23" t="n">
        <f>MAX(P604-O604,0)</f>
        <v>0</v>
      </c>
    </row>
    <row r="605">
      <c r="A605" s="19" t="str">
        <v>捷克区</v>
      </c>
      <c r="B605" s="19" t="str">
        <v>布拉格2号仓</v>
      </c>
      <c r="C605" s="19" t="str">
        <v>拣货组</v>
      </c>
      <c r="D605" s="21" t="n">
        <v>46197</v>
      </c>
      <c r="E605" s="19" t="str">
        <v>2026-06</v>
      </c>
      <c r="F605" s="19" t="str">
        <v>叉车司机</v>
      </c>
      <c r="G605" s="19" t="str">
        <v>捷克区07:00-15:30 / CZ 07:00-15:30</v>
      </c>
      <c r="H605" s="19" t="str">
        <v>S000310</v>
      </c>
      <c r="I605" s="19" t="str">
        <v>Easy Jobs s.r.o.</v>
      </c>
      <c r="J605" s="23" t="n">
        <v>2</v>
      </c>
      <c r="K605" s="23" t="n">
        <v>0</v>
      </c>
      <c r="L605" s="23" t="n">
        <f>J605+K605</f>
        <v>2</v>
      </c>
      <c r="M605" s="23" t="n">
        <v>2</v>
      </c>
      <c r="N605" s="23" t="n">
        <v>1</v>
      </c>
      <c r="O605" s="23" t="n">
        <v>2</v>
      </c>
      <c r="P605" s="23" t="n">
        <v>1</v>
      </c>
      <c r="Q605" s="23" t="n">
        <f>MIN(O605,P605)</f>
        <v>1</v>
      </c>
      <c r="R605" s="25" t="n">
        <f>IF(M605=0,0,MIN(1,L605/M605))</f>
        <v>1</v>
      </c>
      <c r="S605" s="23" t="n">
        <f>O605*R605</f>
        <v>2</v>
      </c>
      <c r="T605" s="23" t="n">
        <f>MIN(P605,S605)</f>
        <v>1</v>
      </c>
      <c r="U605" s="23" t="n">
        <f>O605-S605</f>
        <v>0</v>
      </c>
      <c r="V605" s="23" t="n">
        <f>MAX(P605-O605,0)</f>
        <v>0</v>
      </c>
    </row>
    <row r="606">
      <c r="A606" s="19" t="str">
        <v>捷克区</v>
      </c>
      <c r="B606" s="19" t="str">
        <v>布拉格2号仓</v>
      </c>
      <c r="C606" s="19" t="str">
        <v>拣货组</v>
      </c>
      <c r="D606" s="21" t="n">
        <v>46198</v>
      </c>
      <c r="E606" s="19" t="str">
        <v>2026-06</v>
      </c>
      <c r="F606" s="19" t="str">
        <v>叉车司机</v>
      </c>
      <c r="G606" s="19" t="str">
        <v>捷克区07:00-15:30 / CZ 07:00-15:30</v>
      </c>
      <c r="H606" s="19" t="str">
        <v>S000310</v>
      </c>
      <c r="I606" s="19" t="str">
        <v>Easy Jobs s.r.o.</v>
      </c>
      <c r="J606" s="23" t="n">
        <v>2</v>
      </c>
      <c r="K606" s="23" t="n">
        <v>0</v>
      </c>
      <c r="L606" s="23" t="n">
        <f>J606+K606</f>
        <v>2</v>
      </c>
      <c r="M606" s="23" t="n">
        <v>2</v>
      </c>
      <c r="N606" s="23" t="n">
        <v>1</v>
      </c>
      <c r="O606" s="23" t="n">
        <v>2</v>
      </c>
      <c r="P606" s="23" t="n">
        <v>1</v>
      </c>
      <c r="Q606" s="23" t="n">
        <f>MIN(O606,P606)</f>
        <v>1</v>
      </c>
      <c r="R606" s="25" t="n">
        <f>IF(M606=0,0,MIN(1,L606/M606))</f>
        <v>1</v>
      </c>
      <c r="S606" s="23" t="n">
        <f>O606*R606</f>
        <v>2</v>
      </c>
      <c r="T606" s="23" t="n">
        <f>MIN(P606,S606)</f>
        <v>1</v>
      </c>
      <c r="U606" s="23" t="n">
        <f>O606-S606</f>
        <v>0</v>
      </c>
      <c r="V606" s="23" t="n">
        <f>MAX(P606-O606,0)</f>
        <v>0</v>
      </c>
    </row>
    <row r="607">
      <c r="A607" s="19" t="str">
        <v>捷克区</v>
      </c>
      <c r="B607" s="19" t="str">
        <v>布拉格3号仓</v>
      </c>
      <c r="C607" s="19" t="str">
        <v>入库组</v>
      </c>
      <c r="D607" s="21" t="n">
        <v>46174</v>
      </c>
      <c r="E607" s="19" t="str">
        <v>2026-06</v>
      </c>
      <c r="F607" s="19" t="str">
        <v>操作员</v>
      </c>
      <c r="G607" s="19" t="str">
        <v>捷克区07:00-15:30 / CZ 07:00-15:30</v>
      </c>
      <c r="H607" s="19" t="str">
        <v>S000098</v>
      </c>
      <c r="I607" s="19" t="str">
        <v>PERSONALEK Plus s.r.o.</v>
      </c>
      <c r="J607" s="23" t="n">
        <v>1</v>
      </c>
      <c r="K607" s="23" t="n">
        <v>0</v>
      </c>
      <c r="L607" s="23" t="n">
        <f>J607+K607</f>
        <v>1</v>
      </c>
      <c r="M607" s="23" t="n">
        <v>1</v>
      </c>
      <c r="N607" s="23" t="n">
        <v>1</v>
      </c>
      <c r="O607" s="23" t="n">
        <v>1</v>
      </c>
      <c r="P607" s="23" t="n">
        <v>1</v>
      </c>
      <c r="Q607" s="23" t="n">
        <f>MIN(O607,P607)</f>
        <v>1</v>
      </c>
      <c r="R607" s="25" t="n">
        <f>IF(M607=0,0,MIN(1,L607/M607))</f>
        <v>1</v>
      </c>
      <c r="S607" s="23" t="n">
        <f>O607*R607</f>
        <v>1</v>
      </c>
      <c r="T607" s="23" t="n">
        <f>MIN(P607,S607)</f>
        <v>1</v>
      </c>
      <c r="U607" s="23" t="n">
        <f>O607-S607</f>
        <v>0</v>
      </c>
      <c r="V607" s="23" t="n">
        <f>MAX(P607-O607,0)</f>
        <v>0</v>
      </c>
    </row>
    <row r="608">
      <c r="A608" s="19" t="str">
        <v>捷克区</v>
      </c>
      <c r="B608" s="19" t="str">
        <v>布拉格3号仓</v>
      </c>
      <c r="C608" s="19" t="str">
        <v>入库组</v>
      </c>
      <c r="D608" s="21" t="n">
        <v>46188</v>
      </c>
      <c r="E608" s="19" t="str">
        <v>2026-06</v>
      </c>
      <c r="F608" s="19" t="str">
        <v>操作员</v>
      </c>
      <c r="G608" s="19" t="str">
        <v>捷克区07:00-15:30 / CZ 07:00-15:30</v>
      </c>
      <c r="H608" s="19" t="str">
        <v>S000098</v>
      </c>
      <c r="I608" s="19" t="str">
        <v>PERSONALEK Plus s.r.o.</v>
      </c>
      <c r="J608" s="23" t="n">
        <v>1</v>
      </c>
      <c r="K608" s="23" t="n">
        <v>0</v>
      </c>
      <c r="L608" s="23" t="n">
        <f>J608+K608</f>
        <v>1</v>
      </c>
      <c r="M608" s="23" t="n">
        <v>1</v>
      </c>
      <c r="N608" s="23" t="n">
        <v>1</v>
      </c>
      <c r="O608" s="23" t="n">
        <v>1</v>
      </c>
      <c r="P608" s="23" t="n">
        <v>1</v>
      </c>
      <c r="Q608" s="23" t="n">
        <f>MIN(O608,P608)</f>
        <v>1</v>
      </c>
      <c r="R608" s="25" t="n">
        <f>IF(M608=0,0,MIN(1,L608/M608))</f>
        <v>1</v>
      </c>
      <c r="S608" s="23" t="n">
        <f>O608*R608</f>
        <v>1</v>
      </c>
      <c r="T608" s="23" t="n">
        <f>MIN(P608,S608)</f>
        <v>1</v>
      </c>
      <c r="U608" s="23" t="n">
        <f>O608-S608</f>
        <v>0</v>
      </c>
      <c r="V608" s="23" t="n">
        <f>MAX(P608-O608,0)</f>
        <v>0</v>
      </c>
    </row>
    <row r="609">
      <c r="A609" s="19" t="str">
        <v>捷克区</v>
      </c>
      <c r="B609" s="19" t="str">
        <v>布拉格3号仓</v>
      </c>
      <c r="C609" s="19" t="str">
        <v>拣货组</v>
      </c>
      <c r="D609" s="21" t="n">
        <v>46113</v>
      </c>
      <c r="E609" s="19" t="str">
        <v>2026-04</v>
      </c>
      <c r="F609" s="19" t="str">
        <v>叉车司机</v>
      </c>
      <c r="G609" s="19" t="str">
        <v>捷克区07:00-15:30 / CZ 07:00-15:30</v>
      </c>
      <c r="H609" s="19" t="str">
        <v>S000266</v>
      </c>
      <c r="I609" s="19" t="str">
        <v>Wildenborch s.r.o.</v>
      </c>
      <c r="J609" s="23" t="n">
        <v>3</v>
      </c>
      <c r="K609" s="23" t="n">
        <v>0</v>
      </c>
      <c r="L609" s="23" t="n">
        <f>J609+K609</f>
        <v>3</v>
      </c>
      <c r="M609" s="23" t="n">
        <v>2</v>
      </c>
      <c r="N609" s="23" t="n">
        <v>2</v>
      </c>
      <c r="O609" s="23" t="n">
        <v>1</v>
      </c>
      <c r="P609" s="23" t="n">
        <v>1</v>
      </c>
      <c r="Q609" s="23" t="n">
        <f>MIN(O609,P609)</f>
        <v>1</v>
      </c>
      <c r="R609" s="25" t="n">
        <f>IF(M609=0,0,MIN(1,L609/M609))</f>
        <v>1</v>
      </c>
      <c r="S609" s="23" t="n">
        <f>O609*R609</f>
        <v>1</v>
      </c>
      <c r="T609" s="23" t="n">
        <f>MIN(P609,S609)</f>
        <v>1</v>
      </c>
      <c r="U609" s="23" t="n">
        <f>O609-S609</f>
        <v>0</v>
      </c>
      <c r="V609" s="23" t="n">
        <f>MAX(P609-O609,0)</f>
        <v>0</v>
      </c>
    </row>
    <row r="610">
      <c r="A610" s="19" t="str">
        <v>捷克区</v>
      </c>
      <c r="B610" s="19" t="str">
        <v>布拉格3号仓</v>
      </c>
      <c r="C610" s="19" t="str">
        <v>拣货组</v>
      </c>
      <c r="D610" s="21" t="n">
        <v>46113</v>
      </c>
      <c r="E610" s="19" t="str">
        <v>2026-04</v>
      </c>
      <c r="F610" s="19" t="str">
        <v>叉车司机</v>
      </c>
      <c r="G610" s="19" t="str">
        <v>捷克区07:00-15:30 / CZ 07:00-15:30</v>
      </c>
      <c r="H610" s="19" t="str">
        <v>S000317</v>
      </c>
      <c r="I610" s="19" t="str">
        <v>Středoevropská pracovní agentura s.r.o.</v>
      </c>
      <c r="J610" s="23" t="n">
        <v>3</v>
      </c>
      <c r="K610" s="23" t="n">
        <v>0</v>
      </c>
      <c r="L610" s="23" t="n">
        <f>J610+K610</f>
        <v>3</v>
      </c>
      <c r="M610" s="23" t="n">
        <v>2</v>
      </c>
      <c r="N610" s="23" t="n">
        <v>2</v>
      </c>
      <c r="O610" s="23" t="n">
        <v>1</v>
      </c>
      <c r="P610" s="23" t="n">
        <v>1</v>
      </c>
      <c r="Q610" s="23" t="n">
        <f>MIN(O610,P610)</f>
        <v>1</v>
      </c>
      <c r="R610" s="25" t="n">
        <f>IF(M610=0,0,MIN(1,L610/M610))</f>
        <v>1</v>
      </c>
      <c r="S610" s="23" t="n">
        <f>O610*R610</f>
        <v>1</v>
      </c>
      <c r="T610" s="23" t="n">
        <f>MIN(P610,S610)</f>
        <v>1</v>
      </c>
      <c r="U610" s="23" t="n">
        <f>O610-S610</f>
        <v>0</v>
      </c>
      <c r="V610" s="23" t="n">
        <f>MAX(P610-O610,0)</f>
        <v>0</v>
      </c>
    </row>
    <row r="611">
      <c r="A611" s="19" t="str">
        <v>捷克区</v>
      </c>
      <c r="B611" s="19" t="str">
        <v>布拉格3号仓</v>
      </c>
      <c r="C611" s="19" t="str">
        <v>拣货组</v>
      </c>
      <c r="D611" s="21" t="n">
        <v>46120</v>
      </c>
      <c r="E611" s="19" t="str">
        <v>2026-04</v>
      </c>
      <c r="F611" s="19" t="str">
        <v>叉车司机</v>
      </c>
      <c r="G611" s="19" t="str">
        <v>捷克区07:00-15:30 / CZ 07:00-15:30</v>
      </c>
      <c r="H611" s="19" t="str">
        <v>S000098</v>
      </c>
      <c r="I611" s="19" t="str">
        <v>PERSONALEK Plus s.r.o.</v>
      </c>
      <c r="J611" s="23" t="n">
        <v>1</v>
      </c>
      <c r="K611" s="23" t="n">
        <v>0</v>
      </c>
      <c r="L611" s="23" t="n">
        <f>J611+K611</f>
        <v>1</v>
      </c>
      <c r="M611" s="23" t="n">
        <v>1</v>
      </c>
      <c r="N611" s="23" t="n">
        <v>1</v>
      </c>
      <c r="O611" s="23" t="n">
        <v>1</v>
      </c>
      <c r="P611" s="23" t="n">
        <v>1</v>
      </c>
      <c r="Q611" s="23" t="n">
        <f>MIN(O611,P611)</f>
        <v>1</v>
      </c>
      <c r="R611" s="25" t="n">
        <f>IF(M611=0,0,MIN(1,L611/M611))</f>
        <v>1</v>
      </c>
      <c r="S611" s="23" t="n">
        <f>O611*R611</f>
        <v>1</v>
      </c>
      <c r="T611" s="23" t="n">
        <f>MIN(P611,S611)</f>
        <v>1</v>
      </c>
      <c r="U611" s="23" t="n">
        <f>O611-S611</f>
        <v>0</v>
      </c>
      <c r="V611" s="23" t="n">
        <f>MAX(P611-O611,0)</f>
        <v>0</v>
      </c>
    </row>
    <row r="612">
      <c r="A612" s="19" t="str">
        <v>捷克区</v>
      </c>
      <c r="B612" s="19" t="str">
        <v>布拉格3号仓</v>
      </c>
      <c r="C612" s="19" t="str">
        <v>拣货组</v>
      </c>
      <c r="D612" s="21" t="n">
        <v>46121</v>
      </c>
      <c r="E612" s="19" t="str">
        <v>2026-04</v>
      </c>
      <c r="F612" s="19" t="str">
        <v>叉车司机</v>
      </c>
      <c r="G612" s="19" t="str">
        <v>捷克区07:00-15:30 / CZ 07:00-15:30</v>
      </c>
      <c r="H612" s="19" t="str">
        <v>S000266</v>
      </c>
      <c r="I612" s="19" t="str">
        <v>Wildenborch s.r.o.</v>
      </c>
      <c r="J612" s="23" t="n">
        <v>2</v>
      </c>
      <c r="K612" s="23" t="n">
        <v>0</v>
      </c>
      <c r="L612" s="23" t="n">
        <f>J612+K612</f>
        <v>2</v>
      </c>
      <c r="M612" s="23" t="n">
        <v>2</v>
      </c>
      <c r="N612" s="23" t="n">
        <v>2</v>
      </c>
      <c r="O612" s="23" t="n">
        <v>2</v>
      </c>
      <c r="P612" s="23" t="n">
        <v>2</v>
      </c>
      <c r="Q612" s="23" t="n">
        <f>MIN(O612,P612)</f>
        <v>2</v>
      </c>
      <c r="R612" s="25" t="n">
        <f>IF(M612=0,0,MIN(1,L612/M612))</f>
        <v>1</v>
      </c>
      <c r="S612" s="23" t="n">
        <f>O612*R612</f>
        <v>2</v>
      </c>
      <c r="T612" s="23" t="n">
        <f>MIN(P612,S612)</f>
        <v>2</v>
      </c>
      <c r="U612" s="23" t="n">
        <f>O612-S612</f>
        <v>0</v>
      </c>
      <c r="V612" s="23" t="n">
        <f>MAX(P612-O612,0)</f>
        <v>0</v>
      </c>
    </row>
    <row r="613">
      <c r="A613" s="19" t="str">
        <v>捷克区</v>
      </c>
      <c r="B613" s="19" t="str">
        <v>布拉格3号仓</v>
      </c>
      <c r="C613" s="19" t="str">
        <v>拣货组</v>
      </c>
      <c r="D613" s="21" t="n">
        <v>46122</v>
      </c>
      <c r="E613" s="19" t="str">
        <v>2026-04</v>
      </c>
      <c r="F613" s="19" t="str">
        <v>叉车司机</v>
      </c>
      <c r="G613" s="19" t="str">
        <v>捷克区07:00-15:30 / CZ 07:00-15:30</v>
      </c>
      <c r="H613" s="19" t="str">
        <v>S000266</v>
      </c>
      <c r="I613" s="19" t="str">
        <v>Wildenborch s.r.o.</v>
      </c>
      <c r="J613" s="23" t="n">
        <v>2</v>
      </c>
      <c r="K613" s="23" t="n">
        <v>0</v>
      </c>
      <c r="L613" s="23" t="n">
        <f>J613+K613</f>
        <v>2</v>
      </c>
      <c r="M613" s="23" t="n">
        <v>2</v>
      </c>
      <c r="N613" s="23" t="n">
        <v>2</v>
      </c>
      <c r="O613" s="23" t="n">
        <v>2</v>
      </c>
      <c r="P613" s="23" t="n">
        <v>2</v>
      </c>
      <c r="Q613" s="23" t="n">
        <f>MIN(O613,P613)</f>
        <v>2</v>
      </c>
      <c r="R613" s="25" t="n">
        <f>IF(M613=0,0,MIN(1,L613/M613))</f>
        <v>1</v>
      </c>
      <c r="S613" s="23" t="n">
        <f>O613*R613</f>
        <v>2</v>
      </c>
      <c r="T613" s="23" t="n">
        <f>MIN(P613,S613)</f>
        <v>2</v>
      </c>
      <c r="U613" s="23" t="n">
        <f>O613-S613</f>
        <v>0</v>
      </c>
      <c r="V613" s="23" t="n">
        <f>MAX(P613-O613,0)</f>
        <v>0</v>
      </c>
    </row>
    <row r="614">
      <c r="A614" s="19" t="str">
        <v>捷克区</v>
      </c>
      <c r="B614" s="19" t="str">
        <v>布拉格3号仓</v>
      </c>
      <c r="C614" s="19" t="str">
        <v>拣货组</v>
      </c>
      <c r="D614" s="21" t="n">
        <v>46123</v>
      </c>
      <c r="E614" s="19" t="str">
        <v>2026-04</v>
      </c>
      <c r="F614" s="19" t="str">
        <v>叉车司机</v>
      </c>
      <c r="G614" s="19" t="str">
        <v>捷克区07:00-15:30 / CZ 07:00-15:30</v>
      </c>
      <c r="H614" s="19" t="str">
        <v>S000266</v>
      </c>
      <c r="I614" s="19" t="str">
        <v>Wildenborch s.r.o.</v>
      </c>
      <c r="J614" s="23" t="n">
        <v>2</v>
      </c>
      <c r="K614" s="23" t="n">
        <v>0</v>
      </c>
      <c r="L614" s="23" t="n">
        <f>J614+K614</f>
        <v>2</v>
      </c>
      <c r="M614" s="23" t="n">
        <v>2</v>
      </c>
      <c r="N614" s="23" t="n">
        <v>2</v>
      </c>
      <c r="O614" s="23" t="n">
        <v>2</v>
      </c>
      <c r="P614" s="23" t="n">
        <v>2</v>
      </c>
      <c r="Q614" s="23" t="n">
        <f>MIN(O614,P614)</f>
        <v>2</v>
      </c>
      <c r="R614" s="25" t="n">
        <f>IF(M614=0,0,MIN(1,L614/M614))</f>
        <v>1</v>
      </c>
      <c r="S614" s="23" t="n">
        <f>O614*R614</f>
        <v>2</v>
      </c>
      <c r="T614" s="23" t="n">
        <f>MIN(P614,S614)</f>
        <v>2</v>
      </c>
      <c r="U614" s="23" t="n">
        <f>O614-S614</f>
        <v>0</v>
      </c>
      <c r="V614" s="23" t="n">
        <f>MAX(P614-O614,0)</f>
        <v>0</v>
      </c>
    </row>
    <row r="615">
      <c r="A615" s="19" t="str">
        <v>捷克区</v>
      </c>
      <c r="B615" s="19" t="str">
        <v>布拉格3号仓</v>
      </c>
      <c r="C615" s="19" t="str">
        <v>拣货组</v>
      </c>
      <c r="D615" s="21" t="n">
        <v>46124</v>
      </c>
      <c r="E615" s="19" t="str">
        <v>2026-04</v>
      </c>
      <c r="F615" s="19" t="str">
        <v>叉车司机</v>
      </c>
      <c r="G615" s="19" t="str">
        <v>捷克区07:00-15:30 / CZ 07:00-15:30</v>
      </c>
      <c r="H615" s="19" t="str">
        <v>S000266</v>
      </c>
      <c r="I615" s="19" t="str">
        <v>Wildenborch s.r.o.</v>
      </c>
      <c r="J615" s="23" t="n">
        <v>2</v>
      </c>
      <c r="K615" s="23" t="n">
        <v>0</v>
      </c>
      <c r="L615" s="23" t="n">
        <f>J615+K615</f>
        <v>2</v>
      </c>
      <c r="M615" s="23" t="n">
        <v>2</v>
      </c>
      <c r="N615" s="23" t="n">
        <v>2</v>
      </c>
      <c r="O615" s="23" t="n">
        <v>2</v>
      </c>
      <c r="P615" s="23" t="n">
        <v>2</v>
      </c>
      <c r="Q615" s="23" t="n">
        <f>MIN(O615,P615)</f>
        <v>2</v>
      </c>
      <c r="R615" s="25" t="n">
        <f>IF(M615=0,0,MIN(1,L615/M615))</f>
        <v>1</v>
      </c>
      <c r="S615" s="23" t="n">
        <f>O615*R615</f>
        <v>2</v>
      </c>
      <c r="T615" s="23" t="n">
        <f>MIN(P615,S615)</f>
        <v>2</v>
      </c>
      <c r="U615" s="23" t="n">
        <f>O615-S615</f>
        <v>0</v>
      </c>
      <c r="V615" s="23" t="n">
        <f>MAX(P615-O615,0)</f>
        <v>0</v>
      </c>
    </row>
    <row r="616">
      <c r="A616" s="19" t="str">
        <v>捷克区</v>
      </c>
      <c r="B616" s="19" t="str">
        <v>布拉格3号仓</v>
      </c>
      <c r="C616" s="19" t="str">
        <v>拣货组</v>
      </c>
      <c r="D616" s="21" t="n">
        <v>46125</v>
      </c>
      <c r="E616" s="19" t="str">
        <v>2026-04</v>
      </c>
      <c r="F616" s="19" t="str">
        <v>叉车司机</v>
      </c>
      <c r="G616" s="19" t="str">
        <v>捷克区07:00-15:30 / CZ 07:00-15:30</v>
      </c>
      <c r="H616" s="19" t="str">
        <v>S000266</v>
      </c>
      <c r="I616" s="19" t="str">
        <v>Wildenborch s.r.o.</v>
      </c>
      <c r="J616" s="23" t="n">
        <v>2</v>
      </c>
      <c r="K616" s="23" t="n">
        <v>0</v>
      </c>
      <c r="L616" s="23" t="n">
        <f>J616+K616</f>
        <v>2</v>
      </c>
      <c r="M616" s="23" t="n">
        <v>2</v>
      </c>
      <c r="N616" s="23" t="n">
        <v>0</v>
      </c>
      <c r="O616" s="23" t="n">
        <v>2</v>
      </c>
      <c r="P616" s="23" t="n">
        <v>0</v>
      </c>
      <c r="Q616" s="23" t="n">
        <f>MIN(O616,P616)</f>
        <v>0</v>
      </c>
      <c r="R616" s="25" t="n">
        <f>IF(M616=0,0,MIN(1,L616/M616))</f>
        <v>1</v>
      </c>
      <c r="S616" s="23" t="n">
        <f>O616*R616</f>
        <v>2</v>
      </c>
      <c r="T616" s="23" t="n">
        <f>MIN(P616,S616)</f>
        <v>0</v>
      </c>
      <c r="U616" s="23" t="n">
        <f>O616-S616</f>
        <v>0</v>
      </c>
      <c r="V616" s="23" t="n">
        <f>MAX(P616-O616,0)</f>
        <v>0</v>
      </c>
    </row>
    <row r="617">
      <c r="A617" s="19" t="str">
        <v>捷克区</v>
      </c>
      <c r="B617" s="19" t="str">
        <v>布拉格3号仓</v>
      </c>
      <c r="C617" s="19" t="str">
        <v>拣货组</v>
      </c>
      <c r="D617" s="21" t="n">
        <v>46126</v>
      </c>
      <c r="E617" s="19" t="str">
        <v>2026-04</v>
      </c>
      <c r="F617" s="19" t="str">
        <v>叉车司机</v>
      </c>
      <c r="G617" s="19" t="str">
        <v>捷克区07:00-15:30 / CZ 07:00-15:30</v>
      </c>
      <c r="H617" s="19" t="str">
        <v>S000266</v>
      </c>
      <c r="I617" s="19" t="str">
        <v>Wildenborch s.r.o.</v>
      </c>
      <c r="J617" s="23" t="n">
        <v>2</v>
      </c>
      <c r="K617" s="23" t="n">
        <v>0</v>
      </c>
      <c r="L617" s="23" t="n">
        <f>J617+K617</f>
        <v>2</v>
      </c>
      <c r="M617" s="23" t="n">
        <v>2</v>
      </c>
      <c r="N617" s="23" t="n">
        <v>0</v>
      </c>
      <c r="O617" s="23" t="n">
        <v>2</v>
      </c>
      <c r="P617" s="23" t="n">
        <v>0</v>
      </c>
      <c r="Q617" s="23" t="n">
        <f>MIN(O617,P617)</f>
        <v>0</v>
      </c>
      <c r="R617" s="25" t="n">
        <f>IF(M617=0,0,MIN(1,L617/M617))</f>
        <v>1</v>
      </c>
      <c r="S617" s="23" t="n">
        <f>O617*R617</f>
        <v>2</v>
      </c>
      <c r="T617" s="23" t="n">
        <f>MIN(P617,S617)</f>
        <v>0</v>
      </c>
      <c r="U617" s="23" t="n">
        <f>O617-S617</f>
        <v>0</v>
      </c>
      <c r="V617" s="23" t="n">
        <f>MAX(P617-O617,0)</f>
        <v>0</v>
      </c>
    </row>
    <row r="618">
      <c r="A618" s="19" t="str">
        <v>捷克区</v>
      </c>
      <c r="B618" s="19" t="str">
        <v>布拉格3号仓</v>
      </c>
      <c r="C618" s="19" t="str">
        <v>拣货组</v>
      </c>
      <c r="D618" s="21" t="n">
        <v>46127</v>
      </c>
      <c r="E618" s="19" t="str">
        <v>2026-04</v>
      </c>
      <c r="F618" s="19" t="str">
        <v>叉车司机</v>
      </c>
      <c r="G618" s="19" t="str">
        <v>捷克区07:00-15:30 / CZ 07:00-15:30</v>
      </c>
      <c r="H618" s="19" t="str">
        <v>S000266</v>
      </c>
      <c r="I618" s="19" t="str">
        <v>Wildenborch s.r.o.</v>
      </c>
      <c r="J618" s="23" t="n">
        <v>2</v>
      </c>
      <c r="K618" s="23" t="n">
        <v>0</v>
      </c>
      <c r="L618" s="23" t="n">
        <f>J618+K618</f>
        <v>2</v>
      </c>
      <c r="M618" s="23" t="n">
        <v>2</v>
      </c>
      <c r="N618" s="23" t="n">
        <v>0</v>
      </c>
      <c r="O618" s="23" t="n">
        <v>2</v>
      </c>
      <c r="P618" s="23" t="n">
        <v>0</v>
      </c>
      <c r="Q618" s="23" t="n">
        <f>MIN(O618,P618)</f>
        <v>0</v>
      </c>
      <c r="R618" s="25" t="n">
        <f>IF(M618=0,0,MIN(1,L618/M618))</f>
        <v>1</v>
      </c>
      <c r="S618" s="23" t="n">
        <f>O618*R618</f>
        <v>2</v>
      </c>
      <c r="T618" s="23" t="n">
        <f>MIN(P618,S618)</f>
        <v>0</v>
      </c>
      <c r="U618" s="23" t="n">
        <f>O618-S618</f>
        <v>0</v>
      </c>
      <c r="V618" s="23" t="n">
        <f>MAX(P618-O618,0)</f>
        <v>0</v>
      </c>
    </row>
    <row r="619">
      <c r="A619" s="19" t="str">
        <v>捷克区</v>
      </c>
      <c r="B619" s="19" t="str">
        <v>布拉格3号仓</v>
      </c>
      <c r="C619" s="19" t="str">
        <v>拣货组</v>
      </c>
      <c r="D619" s="21" t="n">
        <v>46132</v>
      </c>
      <c r="E619" s="19" t="str">
        <v>2026-04</v>
      </c>
      <c r="F619" s="19" t="str">
        <v>操作员</v>
      </c>
      <c r="G619" s="19" t="str">
        <v>捷克区07:00-15:30 / CZ 07:00-15:30</v>
      </c>
      <c r="H619" s="19" t="str">
        <v>S000098</v>
      </c>
      <c r="I619" s="19" t="str">
        <v>PERSONALEK Plus s.r.o.</v>
      </c>
      <c r="J619" s="23" t="n">
        <v>1</v>
      </c>
      <c r="K619" s="23" t="n">
        <v>0</v>
      </c>
      <c r="L619" s="23" t="n">
        <f>J619+K619</f>
        <v>1</v>
      </c>
      <c r="M619" s="23" t="n">
        <v>1</v>
      </c>
      <c r="N619" s="23" t="n">
        <v>1</v>
      </c>
      <c r="O619" s="23" t="n">
        <v>1</v>
      </c>
      <c r="P619" s="23" t="n">
        <v>1</v>
      </c>
      <c r="Q619" s="23" t="n">
        <f>MIN(O619,P619)</f>
        <v>1</v>
      </c>
      <c r="R619" s="25" t="n">
        <f>IF(M619=0,0,MIN(1,L619/M619))</f>
        <v>1</v>
      </c>
      <c r="S619" s="23" t="n">
        <f>O619*R619</f>
        <v>1</v>
      </c>
      <c r="T619" s="23" t="n">
        <f>MIN(P619,S619)</f>
        <v>1</v>
      </c>
      <c r="U619" s="23" t="n">
        <f>O619-S619</f>
        <v>0</v>
      </c>
      <c r="V619" s="23" t="n">
        <f>MAX(P619-O619,0)</f>
        <v>0</v>
      </c>
    </row>
    <row r="620">
      <c r="A620" s="19" t="str">
        <v>捷克区</v>
      </c>
      <c r="B620" s="19" t="str">
        <v>布拉格3号仓</v>
      </c>
      <c r="C620" s="19" t="str">
        <v>拣货组</v>
      </c>
      <c r="D620" s="21" t="n">
        <v>46136</v>
      </c>
      <c r="E620" s="19" t="str">
        <v>2026-04</v>
      </c>
      <c r="F620" s="19" t="str">
        <v>操作员</v>
      </c>
      <c r="G620" s="19" t="str">
        <v>捷克区07:00-15:30 / CZ 07:00-15:30</v>
      </c>
      <c r="H620" s="19" t="str">
        <v>S000266</v>
      </c>
      <c r="I620" s="19" t="str">
        <v>Wildenborch s.r.o.</v>
      </c>
      <c r="J620" s="23" t="n">
        <v>1</v>
      </c>
      <c r="K620" s="23" t="n">
        <v>0</v>
      </c>
      <c r="L620" s="23" t="n">
        <f>J620+K620</f>
        <v>1</v>
      </c>
      <c r="M620" s="23" t="n">
        <v>1</v>
      </c>
      <c r="N620" s="23" t="n">
        <v>1</v>
      </c>
      <c r="O620" s="23" t="n">
        <v>1</v>
      </c>
      <c r="P620" s="23" t="n">
        <v>1</v>
      </c>
      <c r="Q620" s="23" t="n">
        <f>MIN(O620,P620)</f>
        <v>1</v>
      </c>
      <c r="R620" s="25" t="n">
        <f>IF(M620=0,0,MIN(1,L620/M620))</f>
        <v>1</v>
      </c>
      <c r="S620" s="23" t="n">
        <f>O620*R620</f>
        <v>1</v>
      </c>
      <c r="T620" s="23" t="n">
        <f>MIN(P620,S620)</f>
        <v>1</v>
      </c>
      <c r="U620" s="23" t="n">
        <f>O620-S620</f>
        <v>0</v>
      </c>
      <c r="V620" s="23" t="n">
        <f>MAX(P620-O620,0)</f>
        <v>0</v>
      </c>
    </row>
    <row r="621">
      <c r="A621" s="19" t="str">
        <v>捷克区</v>
      </c>
      <c r="B621" s="19" t="str">
        <v>布拉格3号仓</v>
      </c>
      <c r="C621" s="19" t="str">
        <v>拣货组</v>
      </c>
      <c r="D621" s="21" t="n">
        <v>46139</v>
      </c>
      <c r="E621" s="19" t="str">
        <v>2026-04</v>
      </c>
      <c r="F621" s="19" t="str">
        <v>操作员</v>
      </c>
      <c r="G621" s="19" t="str">
        <v>捷克区07:00-15:30 / CZ 07:00-15:30</v>
      </c>
      <c r="H621" s="19" t="str">
        <v>S000266</v>
      </c>
      <c r="I621" s="19" t="str">
        <v>Wildenborch s.r.o.</v>
      </c>
      <c r="J621" s="23" t="n">
        <v>1</v>
      </c>
      <c r="K621" s="23" t="n">
        <v>0</v>
      </c>
      <c r="L621" s="23" t="n">
        <f>J621+K621</f>
        <v>1</v>
      </c>
      <c r="M621" s="23" t="n">
        <v>1</v>
      </c>
      <c r="N621" s="23" t="n">
        <v>1</v>
      </c>
      <c r="O621" s="23" t="n">
        <v>1</v>
      </c>
      <c r="P621" s="23" t="n">
        <v>1</v>
      </c>
      <c r="Q621" s="23" t="n">
        <f>MIN(O621,P621)</f>
        <v>1</v>
      </c>
      <c r="R621" s="25" t="n">
        <f>IF(M621=0,0,MIN(1,L621/M621))</f>
        <v>1</v>
      </c>
      <c r="S621" s="23" t="n">
        <f>O621*R621</f>
        <v>1</v>
      </c>
      <c r="T621" s="23" t="n">
        <f>MIN(P621,S621)</f>
        <v>1</v>
      </c>
      <c r="U621" s="23" t="n">
        <f>O621-S621</f>
        <v>0</v>
      </c>
      <c r="V621" s="23" t="n">
        <f>MAX(P621-O621,0)</f>
        <v>0</v>
      </c>
    </row>
    <row r="622">
      <c r="A622" s="19" t="str">
        <v>捷克区</v>
      </c>
      <c r="B622" s="19" t="str">
        <v>布拉格3号仓</v>
      </c>
      <c r="C622" s="19" t="str">
        <v>拣货组</v>
      </c>
      <c r="D622" s="21" t="n">
        <v>46140</v>
      </c>
      <c r="E622" s="19" t="str">
        <v>2026-04</v>
      </c>
      <c r="F622" s="19" t="str">
        <v>操作员</v>
      </c>
      <c r="G622" s="19" t="str">
        <v>捷克区07:00-15:30 / CZ 07:00-15:30</v>
      </c>
      <c r="H622" s="19" t="str">
        <v>S000266</v>
      </c>
      <c r="I622" s="19" t="str">
        <v>Wildenborch s.r.o.</v>
      </c>
      <c r="J622" s="23" t="n">
        <v>1</v>
      </c>
      <c r="K622" s="23" t="n">
        <v>0</v>
      </c>
      <c r="L622" s="23" t="n">
        <f>J622+K622</f>
        <v>1</v>
      </c>
      <c r="M622" s="23" t="n">
        <v>1</v>
      </c>
      <c r="N622" s="23" t="n">
        <v>1</v>
      </c>
      <c r="O622" s="23" t="n">
        <v>1</v>
      </c>
      <c r="P622" s="23" t="n">
        <v>1</v>
      </c>
      <c r="Q622" s="23" t="n">
        <f>MIN(O622,P622)</f>
        <v>1</v>
      </c>
      <c r="R622" s="25" t="n">
        <f>IF(M622=0,0,MIN(1,L622/M622))</f>
        <v>1</v>
      </c>
      <c r="S622" s="23" t="n">
        <f>O622*R622</f>
        <v>1</v>
      </c>
      <c r="T622" s="23" t="n">
        <f>MIN(P622,S622)</f>
        <v>1</v>
      </c>
      <c r="U622" s="23" t="n">
        <f>O622-S622</f>
        <v>0</v>
      </c>
      <c r="V622" s="23" t="n">
        <f>MAX(P622-O622,0)</f>
        <v>0</v>
      </c>
    </row>
    <row r="623">
      <c r="A623" s="19" t="str">
        <v>捷克区</v>
      </c>
      <c r="B623" s="19" t="str">
        <v>布拉格3号仓</v>
      </c>
      <c r="C623" s="19" t="str">
        <v>拣货组</v>
      </c>
      <c r="D623" s="21" t="n">
        <v>46141</v>
      </c>
      <c r="E623" s="19" t="str">
        <v>2026-04</v>
      </c>
      <c r="F623" s="19" t="str">
        <v>操作员</v>
      </c>
      <c r="G623" s="19" t="str">
        <v>捷克区07:00-15:30 / CZ 07:00-15:30</v>
      </c>
      <c r="H623" s="19" t="str">
        <v>S000175</v>
      </c>
      <c r="I623" s="19" t="str">
        <v>Armz HR</v>
      </c>
      <c r="J623" s="23" t="n">
        <v>2</v>
      </c>
      <c r="K623" s="23" t="n">
        <v>0</v>
      </c>
      <c r="L623" s="23" t="n">
        <f>J623+K623</f>
        <v>2</v>
      </c>
      <c r="M623" s="23" t="n">
        <v>2</v>
      </c>
      <c r="N623" s="23" t="n">
        <v>2</v>
      </c>
      <c r="O623" s="23" t="n">
        <v>1</v>
      </c>
      <c r="P623" s="23" t="n">
        <v>1</v>
      </c>
      <c r="Q623" s="23" t="n">
        <f>MIN(O623,P623)</f>
        <v>1</v>
      </c>
      <c r="R623" s="25" t="n">
        <f>IF(M623=0,0,MIN(1,L623/M623))</f>
        <v>1</v>
      </c>
      <c r="S623" s="23" t="n">
        <f>O623*R623</f>
        <v>1</v>
      </c>
      <c r="T623" s="23" t="n">
        <f>MIN(P623,S623)</f>
        <v>1</v>
      </c>
      <c r="U623" s="23" t="n">
        <f>O623-S623</f>
        <v>0</v>
      </c>
      <c r="V623" s="23" t="n">
        <f>MAX(P623-O623,0)</f>
        <v>0</v>
      </c>
    </row>
    <row r="624">
      <c r="A624" s="19" t="str">
        <v>捷克区</v>
      </c>
      <c r="B624" s="19" t="str">
        <v>布拉格3号仓</v>
      </c>
      <c r="C624" s="19" t="str">
        <v>拣货组</v>
      </c>
      <c r="D624" s="21" t="n">
        <v>46141</v>
      </c>
      <c r="E624" s="19" t="str">
        <v>2026-04</v>
      </c>
      <c r="F624" s="19" t="str">
        <v>操作员</v>
      </c>
      <c r="G624" s="19" t="str">
        <v>捷克区07:00-15:30 / CZ 07:00-15:30</v>
      </c>
      <c r="H624" s="19" t="str">
        <v>S000266</v>
      </c>
      <c r="I624" s="19" t="str">
        <v>Wildenborch s.r.o.</v>
      </c>
      <c r="J624" s="23" t="n">
        <v>2</v>
      </c>
      <c r="K624" s="23" t="n">
        <v>0</v>
      </c>
      <c r="L624" s="23" t="n">
        <f>J624+K624</f>
        <v>2</v>
      </c>
      <c r="M624" s="23" t="n">
        <v>2</v>
      </c>
      <c r="N624" s="23" t="n">
        <v>2</v>
      </c>
      <c r="O624" s="23" t="n">
        <v>1</v>
      </c>
      <c r="P624" s="23" t="n">
        <v>1</v>
      </c>
      <c r="Q624" s="23" t="n">
        <f>MIN(O624,P624)</f>
        <v>1</v>
      </c>
      <c r="R624" s="25" t="n">
        <f>IF(M624=0,0,MIN(1,L624/M624))</f>
        <v>1</v>
      </c>
      <c r="S624" s="23" t="n">
        <f>O624*R624</f>
        <v>1</v>
      </c>
      <c r="T624" s="23" t="n">
        <f>MIN(P624,S624)</f>
        <v>1</v>
      </c>
      <c r="U624" s="23" t="n">
        <f>O624-S624</f>
        <v>0</v>
      </c>
      <c r="V624" s="23" t="n">
        <f>MAX(P624-O624,0)</f>
        <v>0</v>
      </c>
    </row>
    <row r="625">
      <c r="A625" s="19" t="str">
        <v>捷克区</v>
      </c>
      <c r="B625" s="19" t="str">
        <v>布拉格3号仓</v>
      </c>
      <c r="C625" s="19" t="str">
        <v>拣货组</v>
      </c>
      <c r="D625" s="21" t="n">
        <v>46142</v>
      </c>
      <c r="E625" s="19" t="str">
        <v>2026-04</v>
      </c>
      <c r="F625" s="19" t="str">
        <v>操作员</v>
      </c>
      <c r="G625" s="19" t="str">
        <v>捷克区07:00-15:30 / CZ 07:00-15:30</v>
      </c>
      <c r="H625" s="19" t="str">
        <v>S000266</v>
      </c>
      <c r="I625" s="19" t="str">
        <v>Wildenborch s.r.o.</v>
      </c>
      <c r="J625" s="23" t="n">
        <v>1</v>
      </c>
      <c r="K625" s="23" t="n">
        <v>0</v>
      </c>
      <c r="L625" s="23" t="n">
        <f>J625+K625</f>
        <v>1</v>
      </c>
      <c r="M625" s="23" t="n">
        <v>1</v>
      </c>
      <c r="N625" s="23" t="n">
        <v>1</v>
      </c>
      <c r="O625" s="23" t="n">
        <v>1</v>
      </c>
      <c r="P625" s="23" t="n">
        <v>1</v>
      </c>
      <c r="Q625" s="23" t="n">
        <f>MIN(O625,P625)</f>
        <v>1</v>
      </c>
      <c r="R625" s="25" t="n">
        <f>IF(M625=0,0,MIN(1,L625/M625))</f>
        <v>1</v>
      </c>
      <c r="S625" s="23" t="n">
        <f>O625*R625</f>
        <v>1</v>
      </c>
      <c r="T625" s="23" t="n">
        <f>MIN(P625,S625)</f>
        <v>1</v>
      </c>
      <c r="U625" s="23" t="n">
        <f>O625-S625</f>
        <v>0</v>
      </c>
      <c r="V625" s="23" t="n">
        <f>MAX(P625-O625,0)</f>
        <v>0</v>
      </c>
    </row>
    <row r="626">
      <c r="A626" s="19" t="str">
        <v>捷克区</v>
      </c>
      <c r="B626" s="19" t="str">
        <v>布拉格3号仓</v>
      </c>
      <c r="C626" s="19" t="str">
        <v>拣货组</v>
      </c>
      <c r="D626" s="21" t="n">
        <v>46170</v>
      </c>
      <c r="E626" s="19" t="str">
        <v>2026-05</v>
      </c>
      <c r="F626" s="19" t="str">
        <v>操作员</v>
      </c>
      <c r="G626" s="19" t="str">
        <v>捷克区07:00-15:30 / CZ 07:00-15:30</v>
      </c>
      <c r="H626" s="19" t="str">
        <v>S000266</v>
      </c>
      <c r="I626" s="19" t="str">
        <v>Wildenborch s.r.o.</v>
      </c>
      <c r="J626" s="23" t="n">
        <v>1</v>
      </c>
      <c r="K626" s="23" t="n">
        <v>0</v>
      </c>
      <c r="L626" s="23" t="n">
        <f>J626+K626</f>
        <v>1</v>
      </c>
      <c r="M626" s="23" t="n">
        <v>1</v>
      </c>
      <c r="N626" s="23" t="n">
        <v>1</v>
      </c>
      <c r="O626" s="23" t="n">
        <v>1</v>
      </c>
      <c r="P626" s="23" t="n">
        <v>1</v>
      </c>
      <c r="Q626" s="23" t="n">
        <f>MIN(O626,P626)</f>
        <v>1</v>
      </c>
      <c r="R626" s="25" t="n">
        <f>IF(M626=0,0,MIN(1,L626/M626))</f>
        <v>1</v>
      </c>
      <c r="S626" s="23" t="n">
        <f>O626*R626</f>
        <v>1</v>
      </c>
      <c r="T626" s="23" t="n">
        <f>MIN(P626,S626)</f>
        <v>1</v>
      </c>
      <c r="U626" s="23" t="n">
        <f>O626-S626</f>
        <v>0</v>
      </c>
      <c r="V626" s="23" t="n">
        <f>MAX(P626-O626,0)</f>
        <v>0</v>
      </c>
    </row>
    <row r="627">
      <c r="A627" s="19" t="str">
        <v>捷克区</v>
      </c>
      <c r="B627" s="19" t="str">
        <v>布拉格3号仓</v>
      </c>
      <c r="C627" s="19" t="str">
        <v>拣货组</v>
      </c>
      <c r="D627" s="21" t="n">
        <v>46178</v>
      </c>
      <c r="E627" s="19" t="str">
        <v>2026-06</v>
      </c>
      <c r="F627" s="19" t="str">
        <v>操作员</v>
      </c>
      <c r="G627" s="19" t="str">
        <v>捷克区07:00-15:30 / CZ 07:00-15:30</v>
      </c>
      <c r="H627" s="19" t="str">
        <v>S000098</v>
      </c>
      <c r="I627" s="19" t="str">
        <v>PERSONALEK Plus s.r.o.</v>
      </c>
      <c r="J627" s="23" t="n">
        <v>2</v>
      </c>
      <c r="K627" s="23" t="n">
        <v>0</v>
      </c>
      <c r="L627" s="23" t="n">
        <f>J627+K627</f>
        <v>2</v>
      </c>
      <c r="M627" s="23" t="n">
        <v>2</v>
      </c>
      <c r="N627" s="23" t="n">
        <v>1</v>
      </c>
      <c r="O627" s="23" t="n">
        <v>1</v>
      </c>
      <c r="P627" s="23" t="n">
        <v>1</v>
      </c>
      <c r="Q627" s="23" t="n">
        <f>MIN(O627,P627)</f>
        <v>1</v>
      </c>
      <c r="R627" s="25" t="n">
        <f>IF(M627=0,0,MIN(1,L627/M627))</f>
        <v>1</v>
      </c>
      <c r="S627" s="23" t="n">
        <f>O627*R627</f>
        <v>1</v>
      </c>
      <c r="T627" s="23" t="n">
        <f>MIN(P627,S627)</f>
        <v>1</v>
      </c>
      <c r="U627" s="23" t="n">
        <f>O627-S627</f>
        <v>0</v>
      </c>
      <c r="V627" s="23" t="n">
        <f>MAX(P627-O627,0)</f>
        <v>0</v>
      </c>
    </row>
    <row r="628">
      <c r="A628" s="19" t="str">
        <v>捷克区</v>
      </c>
      <c r="B628" s="19" t="str">
        <v>布拉格3号仓</v>
      </c>
      <c r="C628" s="19" t="str">
        <v>拣货组</v>
      </c>
      <c r="D628" s="21" t="n">
        <v>46178</v>
      </c>
      <c r="E628" s="19" t="str">
        <v>2026-06</v>
      </c>
      <c r="F628" s="19" t="str">
        <v>操作员</v>
      </c>
      <c r="G628" s="19" t="str">
        <v>捷克区07:00-15:30 / CZ 07:00-15:30</v>
      </c>
      <c r="H628" s="19" t="str">
        <v>S000175</v>
      </c>
      <c r="I628" s="19" t="str">
        <v>Armz HR</v>
      </c>
      <c r="J628" s="23" t="n">
        <v>2</v>
      </c>
      <c r="K628" s="23" t="n">
        <v>0</v>
      </c>
      <c r="L628" s="23" t="n">
        <f>J628+K628</f>
        <v>2</v>
      </c>
      <c r="M628" s="23" t="n">
        <v>2</v>
      </c>
      <c r="N628" s="23" t="n">
        <v>1</v>
      </c>
      <c r="O628" s="23" t="n">
        <v>1</v>
      </c>
      <c r="P628" s="23" t="n">
        <v>0</v>
      </c>
      <c r="Q628" s="23" t="n">
        <f>MIN(O628,P628)</f>
        <v>0</v>
      </c>
      <c r="R628" s="25" t="n">
        <f>IF(M628=0,0,MIN(1,L628/M628))</f>
        <v>1</v>
      </c>
      <c r="S628" s="23" t="n">
        <f>O628*R628</f>
        <v>1</v>
      </c>
      <c r="T628" s="23" t="n">
        <f>MIN(P628,S628)</f>
        <v>0</v>
      </c>
      <c r="U628" s="23" t="n">
        <f>O628-S628</f>
        <v>0</v>
      </c>
      <c r="V628" s="23" t="n">
        <f>MAX(P628-O628,0)</f>
        <v>0</v>
      </c>
    </row>
    <row r="629">
      <c r="A629" s="19" t="str">
        <v>捷克区</v>
      </c>
      <c r="B629" s="19" t="str">
        <v>布拉格3号仓</v>
      </c>
      <c r="C629" s="19" t="str">
        <v>拣货组</v>
      </c>
      <c r="D629" s="21" t="n">
        <v>46183</v>
      </c>
      <c r="E629" s="19" t="str">
        <v>2026-06</v>
      </c>
      <c r="F629" s="19" t="str">
        <v>操作员</v>
      </c>
      <c r="G629" s="19" t="str">
        <v>捷克区07:00-15:30 / CZ 07:00-15:30</v>
      </c>
      <c r="H629" s="19" t="str">
        <v>S000266</v>
      </c>
      <c r="I629" s="19" t="str">
        <v>Wildenborch s.r.o.</v>
      </c>
      <c r="J629" s="23" t="n">
        <v>1</v>
      </c>
      <c r="K629" s="23" t="n">
        <v>0</v>
      </c>
      <c r="L629" s="23" t="n">
        <f>J629+K629</f>
        <v>1</v>
      </c>
      <c r="M629" s="23" t="n">
        <v>1</v>
      </c>
      <c r="N629" s="23" t="n">
        <v>1</v>
      </c>
      <c r="O629" s="23" t="n">
        <v>1</v>
      </c>
      <c r="P629" s="23" t="n">
        <v>1</v>
      </c>
      <c r="Q629" s="23" t="n">
        <f>MIN(O629,P629)</f>
        <v>1</v>
      </c>
      <c r="R629" s="25" t="n">
        <f>IF(M629=0,0,MIN(1,L629/M629))</f>
        <v>1</v>
      </c>
      <c r="S629" s="23" t="n">
        <f>O629*R629</f>
        <v>1</v>
      </c>
      <c r="T629" s="23" t="n">
        <f>MIN(P629,S629)</f>
        <v>1</v>
      </c>
      <c r="U629" s="23" t="n">
        <f>O629-S629</f>
        <v>0</v>
      </c>
      <c r="V629" s="23" t="n">
        <f>MAX(P629-O629,0)</f>
        <v>0</v>
      </c>
    </row>
    <row r="630">
      <c r="A630" s="19" t="str">
        <v>捷克区</v>
      </c>
      <c r="B630" s="19" t="str">
        <v>布拉格3号仓</v>
      </c>
      <c r="C630" s="19" t="str">
        <v>拣货组</v>
      </c>
      <c r="D630" s="21" t="n">
        <v>46185</v>
      </c>
      <c r="E630" s="19" t="str">
        <v>2026-06</v>
      </c>
      <c r="F630" s="19" t="str">
        <v>操作员</v>
      </c>
      <c r="G630" s="19" t="str">
        <v>捷克区07:00-15:30 / CZ 07:00-15:30</v>
      </c>
      <c r="H630" s="19" t="str">
        <v>S000175</v>
      </c>
      <c r="I630" s="19" t="str">
        <v>Armz HR</v>
      </c>
      <c r="J630" s="23" t="n">
        <v>1</v>
      </c>
      <c r="K630" s="23" t="n">
        <v>0</v>
      </c>
      <c r="L630" s="23" t="n">
        <f>J630+K630</f>
        <v>1</v>
      </c>
      <c r="M630" s="23" t="n">
        <v>1</v>
      </c>
      <c r="N630" s="23" t="n">
        <v>1</v>
      </c>
      <c r="O630" s="23" t="n">
        <v>1</v>
      </c>
      <c r="P630" s="23" t="n">
        <v>1</v>
      </c>
      <c r="Q630" s="23" t="n">
        <f>MIN(O630,P630)</f>
        <v>1</v>
      </c>
      <c r="R630" s="25" t="n">
        <f>IF(M630=0,0,MIN(1,L630/M630))</f>
        <v>1</v>
      </c>
      <c r="S630" s="23" t="n">
        <f>O630*R630</f>
        <v>1</v>
      </c>
      <c r="T630" s="23" t="n">
        <f>MIN(P630,S630)</f>
        <v>1</v>
      </c>
      <c r="U630" s="23" t="n">
        <f>O630-S630</f>
        <v>0</v>
      </c>
      <c r="V630" s="23" t="n">
        <f>MAX(P630-O630,0)</f>
        <v>0</v>
      </c>
    </row>
    <row r="631">
      <c r="A631" s="19" t="str">
        <v>捷克区</v>
      </c>
      <c r="B631" s="19" t="str">
        <v>布拉格3号仓</v>
      </c>
      <c r="C631" s="19" t="str">
        <v>拣货组</v>
      </c>
      <c r="D631" s="21" t="n">
        <v>46189</v>
      </c>
      <c r="E631" s="19" t="str">
        <v>2026-06</v>
      </c>
      <c r="F631" s="19" t="str">
        <v>操作员</v>
      </c>
      <c r="G631" s="19" t="str">
        <v>捷克区07:00-15:30 / CZ 07:00-15:30</v>
      </c>
      <c r="H631" s="19" t="str">
        <v>S000098</v>
      </c>
      <c r="I631" s="19" t="str">
        <v>PERSONALEK Plus s.r.o.</v>
      </c>
      <c r="J631" s="23" t="n">
        <v>1</v>
      </c>
      <c r="K631" s="23" t="n">
        <v>0</v>
      </c>
      <c r="L631" s="23" t="n">
        <f>J631+K631</f>
        <v>1</v>
      </c>
      <c r="M631" s="23" t="n">
        <v>1</v>
      </c>
      <c r="N631" s="23" t="n">
        <v>1</v>
      </c>
      <c r="O631" s="23" t="n">
        <v>1</v>
      </c>
      <c r="P631" s="23" t="n">
        <v>1</v>
      </c>
      <c r="Q631" s="23" t="n">
        <f>MIN(O631,P631)</f>
        <v>1</v>
      </c>
      <c r="R631" s="25" t="n">
        <f>IF(M631=0,0,MIN(1,L631/M631))</f>
        <v>1</v>
      </c>
      <c r="S631" s="23" t="n">
        <f>O631*R631</f>
        <v>1</v>
      </c>
      <c r="T631" s="23" t="n">
        <f>MIN(P631,S631)</f>
        <v>1</v>
      </c>
      <c r="U631" s="23" t="n">
        <f>O631-S631</f>
        <v>0</v>
      </c>
      <c r="V631" s="23" t="n">
        <f>MAX(P631-O631,0)</f>
        <v>0</v>
      </c>
    </row>
    <row r="632">
      <c r="A632" s="19" t="str">
        <v>捷克区</v>
      </c>
      <c r="B632" s="19" t="str">
        <v>布拉格5号仓</v>
      </c>
      <c r="C632" s="19" t="str">
        <v>拣货组</v>
      </c>
      <c r="D632" s="21" t="n">
        <v>46184</v>
      </c>
      <c r="E632" s="19" t="str">
        <v>2026-06</v>
      </c>
      <c r="F632" s="19" t="str">
        <v>叉车司机</v>
      </c>
      <c r="G632" s="19" t="str">
        <v>捷克区07:00-15:30 / CZ 07:00-15:30</v>
      </c>
      <c r="H632" s="19" t="str">
        <v>S000317</v>
      </c>
      <c r="I632" s="19" t="str">
        <v>Středoevropská pracovní agentura s.r.o.</v>
      </c>
      <c r="J632" s="23" t="n">
        <v>1</v>
      </c>
      <c r="K632" s="23" t="n">
        <v>0</v>
      </c>
      <c r="L632" s="23" t="n">
        <f>J632+K632</f>
        <v>1</v>
      </c>
      <c r="M632" s="23" t="n">
        <v>1</v>
      </c>
      <c r="N632" s="23" t="n">
        <v>0</v>
      </c>
      <c r="O632" s="23" t="n">
        <v>1</v>
      </c>
      <c r="P632" s="23" t="n">
        <v>0</v>
      </c>
      <c r="Q632" s="23" t="n">
        <f>MIN(O632,P632)</f>
        <v>0</v>
      </c>
      <c r="R632" s="25" t="n">
        <f>IF(M632=0,0,MIN(1,L632/M632))</f>
        <v>1</v>
      </c>
      <c r="S632" s="23" t="n">
        <f>O632*R632</f>
        <v>1</v>
      </c>
      <c r="T632" s="23" t="n">
        <f>MIN(P632,S632)</f>
        <v>0</v>
      </c>
      <c r="U632" s="23" t="n">
        <f>O632-S632</f>
        <v>0</v>
      </c>
      <c r="V632" s="23" t="n">
        <f>MAX(P632-O632,0)</f>
        <v>0</v>
      </c>
    </row>
    <row r="633">
      <c r="A633" s="19" t="str">
        <v>捷克区</v>
      </c>
      <c r="B633" s="19" t="str">
        <v>布拉格5号仓</v>
      </c>
      <c r="C633" s="19" t="str">
        <v>拣货组</v>
      </c>
      <c r="D633" s="21" t="n">
        <v>46185</v>
      </c>
      <c r="E633" s="19" t="str">
        <v>2026-06</v>
      </c>
      <c r="F633" s="19" t="str">
        <v>叉车司机</v>
      </c>
      <c r="G633" s="19" t="str">
        <v>捷克区07:00-15:30 / CZ 07:00-15:30</v>
      </c>
      <c r="H633" s="19" t="str">
        <v>S000317</v>
      </c>
      <c r="I633" s="19" t="str">
        <v>Středoevropská pracovní agentura s.r.o.</v>
      </c>
      <c r="J633" s="23" t="n">
        <v>1</v>
      </c>
      <c r="K633" s="23" t="n">
        <v>0</v>
      </c>
      <c r="L633" s="23" t="n">
        <f>J633+K633</f>
        <v>1</v>
      </c>
      <c r="M633" s="23" t="n">
        <v>1</v>
      </c>
      <c r="N633" s="23" t="n">
        <v>0</v>
      </c>
      <c r="O633" s="23" t="n">
        <v>1</v>
      </c>
      <c r="P633" s="23" t="n">
        <v>0</v>
      </c>
      <c r="Q633" s="23" t="n">
        <f>MIN(O633,P633)</f>
        <v>0</v>
      </c>
      <c r="R633" s="25" t="n">
        <f>IF(M633=0,0,MIN(1,L633/M633))</f>
        <v>1</v>
      </c>
      <c r="S633" s="23" t="n">
        <f>O633*R633</f>
        <v>1</v>
      </c>
      <c r="T633" s="23" t="n">
        <f>MIN(P633,S633)</f>
        <v>0</v>
      </c>
      <c r="U633" s="23" t="n">
        <f>O633-S633</f>
        <v>0</v>
      </c>
      <c r="V633" s="23" t="n">
        <f>MAX(P633-O633,0)</f>
        <v>0</v>
      </c>
    </row>
    <row r="634">
      <c r="A634" s="19" t="str">
        <v>捷克区</v>
      </c>
      <c r="B634" s="19" t="str">
        <v>布拉格5号仓</v>
      </c>
      <c r="C634" s="19" t="str">
        <v>拣货组</v>
      </c>
      <c r="D634" s="21" t="n">
        <v>46186</v>
      </c>
      <c r="E634" s="19" t="str">
        <v>2026-06</v>
      </c>
      <c r="F634" s="19" t="str">
        <v>叉车司机</v>
      </c>
      <c r="G634" s="19" t="str">
        <v>捷克区07:00-15:30 / CZ 07:00-15:30</v>
      </c>
      <c r="H634" s="19" t="str">
        <v>S000317</v>
      </c>
      <c r="I634" s="19" t="str">
        <v>Středoevropská pracovní agentura s.r.o.</v>
      </c>
      <c r="J634" s="23" t="n">
        <v>1</v>
      </c>
      <c r="K634" s="23" t="n">
        <v>0</v>
      </c>
      <c r="L634" s="23" t="n">
        <f>J634+K634</f>
        <v>1</v>
      </c>
      <c r="M634" s="23" t="n">
        <v>1</v>
      </c>
      <c r="N634" s="23" t="n">
        <v>1</v>
      </c>
      <c r="O634" s="23" t="n">
        <v>1</v>
      </c>
      <c r="P634" s="23" t="n">
        <v>1</v>
      </c>
      <c r="Q634" s="23" t="n">
        <f>MIN(O634,P634)</f>
        <v>1</v>
      </c>
      <c r="R634" s="25" t="n">
        <f>IF(M634=0,0,MIN(1,L634/M634))</f>
        <v>1</v>
      </c>
      <c r="S634" s="23" t="n">
        <f>O634*R634</f>
        <v>1</v>
      </c>
      <c r="T634" s="23" t="n">
        <f>MIN(P634,S634)</f>
        <v>1</v>
      </c>
      <c r="U634" s="23" t="n">
        <f>O634-S634</f>
        <v>0</v>
      </c>
      <c r="V634" s="23" t="n">
        <f>MAX(P634-O634,0)</f>
        <v>0</v>
      </c>
    </row>
    <row r="635">
      <c r="A635" s="19" t="str">
        <v>捷克区</v>
      </c>
      <c r="B635" s="19" t="str">
        <v>布拉格5号仓</v>
      </c>
      <c r="C635" s="19" t="str">
        <v>拣货组</v>
      </c>
      <c r="D635" s="21" t="n">
        <v>46187</v>
      </c>
      <c r="E635" s="19" t="str">
        <v>2026-06</v>
      </c>
      <c r="F635" s="19" t="str">
        <v>叉车司机</v>
      </c>
      <c r="G635" s="19" t="str">
        <v>捷克区07:00-15:30 / CZ 07:00-15:30</v>
      </c>
      <c r="H635" s="19" t="str">
        <v>S000317</v>
      </c>
      <c r="I635" s="19" t="str">
        <v>Středoevropská pracovní agentura s.r.o.</v>
      </c>
      <c r="J635" s="23" t="n">
        <v>1</v>
      </c>
      <c r="K635" s="23" t="n">
        <v>0</v>
      </c>
      <c r="L635" s="23" t="n">
        <f>J635+K635</f>
        <v>1</v>
      </c>
      <c r="M635" s="23" t="n">
        <v>1</v>
      </c>
      <c r="N635" s="23" t="n">
        <v>1</v>
      </c>
      <c r="O635" s="23" t="n">
        <v>1</v>
      </c>
      <c r="P635" s="23" t="n">
        <v>1</v>
      </c>
      <c r="Q635" s="23" t="n">
        <f>MIN(O635,P635)</f>
        <v>1</v>
      </c>
      <c r="R635" s="25" t="n">
        <f>IF(M635=0,0,MIN(1,L635/M635))</f>
        <v>1</v>
      </c>
      <c r="S635" s="23" t="n">
        <f>O635*R635</f>
        <v>1</v>
      </c>
      <c r="T635" s="23" t="n">
        <f>MIN(P635,S635)</f>
        <v>1</v>
      </c>
      <c r="U635" s="23" t="n">
        <f>O635-S635</f>
        <v>0</v>
      </c>
      <c r="V635" s="23" t="n">
        <f>MAX(P635-O635,0)</f>
        <v>0</v>
      </c>
    </row>
    <row r="636">
      <c r="A636" s="19" t="str">
        <v>捷克区</v>
      </c>
      <c r="B636" s="19" t="str">
        <v>布拉格5号仓</v>
      </c>
      <c r="C636" s="19" t="str">
        <v>拣货组</v>
      </c>
      <c r="D636" s="21" t="n">
        <v>46188</v>
      </c>
      <c r="E636" s="19" t="str">
        <v>2026-06</v>
      </c>
      <c r="F636" s="19" t="str">
        <v>叉车司机</v>
      </c>
      <c r="G636" s="19" t="str">
        <v>捷克区07:00-15:30 / CZ 07:00-15:30</v>
      </c>
      <c r="H636" s="19" t="str">
        <v>S000317</v>
      </c>
      <c r="I636" s="19" t="str">
        <v>Středoevropská pracovní agentura s.r.o.</v>
      </c>
      <c r="J636" s="23" t="n">
        <v>1</v>
      </c>
      <c r="K636" s="23" t="n">
        <v>0</v>
      </c>
      <c r="L636" s="23" t="n">
        <f>J636+K636</f>
        <v>1</v>
      </c>
      <c r="M636" s="23" t="n">
        <v>1</v>
      </c>
      <c r="N636" s="23" t="n">
        <v>1</v>
      </c>
      <c r="O636" s="23" t="n">
        <v>1</v>
      </c>
      <c r="P636" s="23" t="n">
        <v>1</v>
      </c>
      <c r="Q636" s="23" t="n">
        <f>MIN(O636,P636)</f>
        <v>1</v>
      </c>
      <c r="R636" s="25" t="n">
        <f>IF(M636=0,0,MIN(1,L636/M636))</f>
        <v>1</v>
      </c>
      <c r="S636" s="23" t="n">
        <f>O636*R636</f>
        <v>1</v>
      </c>
      <c r="T636" s="23" t="n">
        <f>MIN(P636,S636)</f>
        <v>1</v>
      </c>
      <c r="U636" s="23" t="n">
        <f>O636-S636</f>
        <v>0</v>
      </c>
      <c r="V636" s="23" t="n">
        <f>MAX(P636-O636,0)</f>
        <v>0</v>
      </c>
    </row>
    <row r="637">
      <c r="A637" s="19" t="str">
        <v>捷克区</v>
      </c>
      <c r="B637" s="19" t="str">
        <v>布拉格5号仓</v>
      </c>
      <c r="C637" s="19" t="str">
        <v>拣货组</v>
      </c>
      <c r="D637" s="21" t="n">
        <v>46189</v>
      </c>
      <c r="E637" s="19" t="str">
        <v>2026-06</v>
      </c>
      <c r="F637" s="19" t="str">
        <v>叉车司机</v>
      </c>
      <c r="G637" s="19" t="str">
        <v>捷克区07:00-15:30 / CZ 07:00-15:30</v>
      </c>
      <c r="H637" s="19" t="str">
        <v>S000317</v>
      </c>
      <c r="I637" s="19" t="str">
        <v>Středoevropská pracovní agentura s.r.o.</v>
      </c>
      <c r="J637" s="23" t="n">
        <v>1</v>
      </c>
      <c r="K637" s="23" t="n">
        <v>0</v>
      </c>
      <c r="L637" s="23" t="n">
        <f>J637+K637</f>
        <v>1</v>
      </c>
      <c r="M637" s="23" t="n">
        <v>1</v>
      </c>
      <c r="N637" s="23" t="n">
        <v>1</v>
      </c>
      <c r="O637" s="23" t="n">
        <v>1</v>
      </c>
      <c r="P637" s="23" t="n">
        <v>1</v>
      </c>
      <c r="Q637" s="23" t="n">
        <f>MIN(O637,P637)</f>
        <v>1</v>
      </c>
      <c r="R637" s="25" t="n">
        <f>IF(M637=0,0,MIN(1,L637/M637))</f>
        <v>1</v>
      </c>
      <c r="S637" s="23" t="n">
        <f>O637*R637</f>
        <v>1</v>
      </c>
      <c r="T637" s="23" t="n">
        <f>MIN(P637,S637)</f>
        <v>1</v>
      </c>
      <c r="U637" s="23" t="n">
        <f>O637-S637</f>
        <v>0</v>
      </c>
      <c r="V637" s="23" t="n">
        <f>MAX(P637-O637,0)</f>
        <v>0</v>
      </c>
    </row>
    <row r="638">
      <c r="A638" s="19" t="str">
        <v>捷克区</v>
      </c>
      <c r="B638" s="19" t="str">
        <v>布拉格5号仓</v>
      </c>
      <c r="C638" s="19" t="str">
        <v>拣货组</v>
      </c>
      <c r="D638" s="21" t="n">
        <v>46190</v>
      </c>
      <c r="E638" s="19" t="str">
        <v>2026-06</v>
      </c>
      <c r="F638" s="19" t="str">
        <v>叉车司机</v>
      </c>
      <c r="G638" s="19" t="str">
        <v>捷克区07:00-15:30 / CZ 07:00-15:30</v>
      </c>
      <c r="H638" s="19" t="str">
        <v>S000317</v>
      </c>
      <c r="I638" s="19" t="str">
        <v>Středoevropská pracovní agentura s.r.o.</v>
      </c>
      <c r="J638" s="23" t="n">
        <v>1</v>
      </c>
      <c r="K638" s="23" t="n">
        <v>0</v>
      </c>
      <c r="L638" s="23" t="n">
        <f>J638+K638</f>
        <v>1</v>
      </c>
      <c r="M638" s="23" t="n">
        <v>1</v>
      </c>
      <c r="N638" s="23" t="n">
        <v>1</v>
      </c>
      <c r="O638" s="23" t="n">
        <v>1</v>
      </c>
      <c r="P638" s="23" t="n">
        <v>1</v>
      </c>
      <c r="Q638" s="23" t="n">
        <f>MIN(O638,P638)</f>
        <v>1</v>
      </c>
      <c r="R638" s="25" t="n">
        <f>IF(M638=0,0,MIN(1,L638/M638))</f>
        <v>1</v>
      </c>
      <c r="S638" s="23" t="n">
        <f>O638*R638</f>
        <v>1</v>
      </c>
      <c r="T638" s="23" t="n">
        <f>MIN(P638,S638)</f>
        <v>1</v>
      </c>
      <c r="U638" s="23" t="n">
        <f>O638-S638</f>
        <v>0</v>
      </c>
      <c r="V638" s="23" t="n">
        <f>MAX(P638-O638,0)</f>
        <v>0</v>
      </c>
    </row>
    <row r="639">
      <c r="A639" s="19" t="str">
        <v>捷克区</v>
      </c>
      <c r="B639" s="19" t="str">
        <v>布拉格5号仓</v>
      </c>
      <c r="C639" s="19" t="str">
        <v>拣货组</v>
      </c>
      <c r="D639" s="21" t="n">
        <v>46191</v>
      </c>
      <c r="E639" s="19" t="str">
        <v>2026-06</v>
      </c>
      <c r="F639" s="19" t="str">
        <v>叉车司机</v>
      </c>
      <c r="G639" s="19" t="str">
        <v>捷克区07:00-15:30 / CZ 07:00-15:30</v>
      </c>
      <c r="H639" s="19" t="str">
        <v>S000317</v>
      </c>
      <c r="I639" s="19" t="str">
        <v>Středoevropská pracovní agentura s.r.o.</v>
      </c>
      <c r="J639" s="23" t="n">
        <v>1</v>
      </c>
      <c r="K639" s="23" t="n">
        <v>0</v>
      </c>
      <c r="L639" s="23" t="n">
        <f>J639+K639</f>
        <v>1</v>
      </c>
      <c r="M639" s="23" t="n">
        <v>1</v>
      </c>
      <c r="N639" s="23" t="n">
        <v>1</v>
      </c>
      <c r="O639" s="23" t="n">
        <v>1</v>
      </c>
      <c r="P639" s="23" t="n">
        <v>1</v>
      </c>
      <c r="Q639" s="23" t="n">
        <f>MIN(O639,P639)</f>
        <v>1</v>
      </c>
      <c r="R639" s="25" t="n">
        <f>IF(M639=0,0,MIN(1,L639/M639))</f>
        <v>1</v>
      </c>
      <c r="S639" s="23" t="n">
        <f>O639*R639</f>
        <v>1</v>
      </c>
      <c r="T639" s="23" t="n">
        <f>MIN(P639,S639)</f>
        <v>1</v>
      </c>
      <c r="U639" s="23" t="n">
        <f>O639-S639</f>
        <v>0</v>
      </c>
      <c r="V639" s="23" t="n">
        <f>MAX(P639-O639,0)</f>
        <v>0</v>
      </c>
    </row>
    <row r="640">
      <c r="A640" s="19" t="str">
        <v>捷克区</v>
      </c>
      <c r="B640" s="19" t="str">
        <v>布拉格5号仓</v>
      </c>
      <c r="C640" s="19" t="str">
        <v>拣货组</v>
      </c>
      <c r="D640" s="21" t="n">
        <v>46192</v>
      </c>
      <c r="E640" s="19" t="str">
        <v>2026-06</v>
      </c>
      <c r="F640" s="19" t="str">
        <v>叉车司机</v>
      </c>
      <c r="G640" s="19" t="str">
        <v>捷克区07:00-15:30 / CZ 07:00-15:30</v>
      </c>
      <c r="H640" s="19" t="str">
        <v>S000317</v>
      </c>
      <c r="I640" s="19" t="str">
        <v>Středoevropská pracovní agentura s.r.o.</v>
      </c>
      <c r="J640" s="23" t="n">
        <v>1</v>
      </c>
      <c r="K640" s="23" t="n">
        <v>0</v>
      </c>
      <c r="L640" s="23" t="n">
        <f>J640+K640</f>
        <v>1</v>
      </c>
      <c r="M640" s="23" t="n">
        <v>1</v>
      </c>
      <c r="N640" s="23" t="n">
        <v>1</v>
      </c>
      <c r="O640" s="23" t="n">
        <v>1</v>
      </c>
      <c r="P640" s="23" t="n">
        <v>1</v>
      </c>
      <c r="Q640" s="23" t="n">
        <f>MIN(O640,P640)</f>
        <v>1</v>
      </c>
      <c r="R640" s="25" t="n">
        <f>IF(M640=0,0,MIN(1,L640/M640))</f>
        <v>1</v>
      </c>
      <c r="S640" s="23" t="n">
        <f>O640*R640</f>
        <v>1</v>
      </c>
      <c r="T640" s="23" t="n">
        <f>MIN(P640,S640)</f>
        <v>1</v>
      </c>
      <c r="U640" s="23" t="n">
        <f>O640-S640</f>
        <v>0</v>
      </c>
      <c r="V640" s="23" t="n">
        <f>MAX(P640-O640,0)</f>
        <v>0</v>
      </c>
    </row>
    <row r="641">
      <c r="A641" s="19" t="str">
        <v>捷克区</v>
      </c>
      <c r="B641" s="19" t="str">
        <v>布拉格5号仓</v>
      </c>
      <c r="C641" s="19" t="str">
        <v>拣货组</v>
      </c>
      <c r="D641" s="21" t="n">
        <v>46193</v>
      </c>
      <c r="E641" s="19" t="str">
        <v>2026-06</v>
      </c>
      <c r="F641" s="19" t="str">
        <v>叉车司机</v>
      </c>
      <c r="G641" s="19" t="str">
        <v>捷克区07:00-15:30 / CZ 07:00-15:30</v>
      </c>
      <c r="H641" s="19" t="str">
        <v>S000317</v>
      </c>
      <c r="I641" s="19" t="str">
        <v>Středoevropská pracovní agentura s.r.o.</v>
      </c>
      <c r="J641" s="23" t="n">
        <v>1</v>
      </c>
      <c r="K641" s="23" t="n">
        <v>0</v>
      </c>
      <c r="L641" s="23" t="n">
        <f>J641+K641</f>
        <v>1</v>
      </c>
      <c r="M641" s="23" t="n">
        <v>1</v>
      </c>
      <c r="N641" s="23" t="n">
        <v>1</v>
      </c>
      <c r="O641" s="23" t="n">
        <v>1</v>
      </c>
      <c r="P641" s="23" t="n">
        <v>1</v>
      </c>
      <c r="Q641" s="23" t="n">
        <f>MIN(O641,P641)</f>
        <v>1</v>
      </c>
      <c r="R641" s="25" t="n">
        <f>IF(M641=0,0,MIN(1,L641/M641))</f>
        <v>1</v>
      </c>
      <c r="S641" s="23" t="n">
        <f>O641*R641</f>
        <v>1</v>
      </c>
      <c r="T641" s="23" t="n">
        <f>MIN(P641,S641)</f>
        <v>1</v>
      </c>
      <c r="U641" s="23" t="n">
        <f>O641-S641</f>
        <v>0</v>
      </c>
      <c r="V641" s="23" t="n">
        <f>MAX(P641-O641,0)</f>
        <v>0</v>
      </c>
    </row>
    <row r="642">
      <c r="A642" s="19" t="str">
        <v>捷克区</v>
      </c>
      <c r="B642" s="19" t="str">
        <v>布拉格7号仓</v>
      </c>
      <c r="C642" s="19" t="str">
        <v>拣货组</v>
      </c>
      <c r="D642" s="21" t="n">
        <v>46127</v>
      </c>
      <c r="E642" s="19" t="str">
        <v>2026-04</v>
      </c>
      <c r="F642" s="19" t="str">
        <v>操作员</v>
      </c>
      <c r="G642" s="19" t="str">
        <v>捷克区07:00-15:30 / CZ 07:00-15:30</v>
      </c>
      <c r="H642" s="19" t="str">
        <v>S000317</v>
      </c>
      <c r="I642" s="19" t="str">
        <v>Středoevropská pracovní agentura s.r.o.</v>
      </c>
      <c r="J642" s="23" t="n">
        <v>1</v>
      </c>
      <c r="K642" s="23" t="n">
        <v>0</v>
      </c>
      <c r="L642" s="23" t="n">
        <f>J642+K642</f>
        <v>1</v>
      </c>
      <c r="M642" s="23" t="n">
        <v>1</v>
      </c>
      <c r="N642" s="23" t="n">
        <v>0</v>
      </c>
      <c r="O642" s="23" t="n">
        <v>1</v>
      </c>
      <c r="P642" s="23" t="n">
        <v>0</v>
      </c>
      <c r="Q642" s="23" t="n">
        <f>MIN(O642,P642)</f>
        <v>0</v>
      </c>
      <c r="R642" s="25" t="n">
        <f>IF(M642=0,0,MIN(1,L642/M642))</f>
        <v>1</v>
      </c>
      <c r="S642" s="23" t="n">
        <f>O642*R642</f>
        <v>1</v>
      </c>
      <c r="T642" s="23" t="n">
        <f>MIN(P642,S642)</f>
        <v>0</v>
      </c>
      <c r="U642" s="23" t="n">
        <f>O642-S642</f>
        <v>0</v>
      </c>
      <c r="V642" s="23" t="n">
        <f>MAX(P642-O642,0)</f>
        <v>0</v>
      </c>
    </row>
    <row r="643">
      <c r="A643" s="19" t="str">
        <v>捷克区</v>
      </c>
      <c r="B643" s="19" t="str">
        <v>布拉格7号仓</v>
      </c>
      <c r="C643" s="19" t="str">
        <v>拣货组</v>
      </c>
      <c r="D643" s="21" t="n">
        <v>46128</v>
      </c>
      <c r="E643" s="19" t="str">
        <v>2026-04</v>
      </c>
      <c r="F643" s="19" t="str">
        <v>操作员</v>
      </c>
      <c r="G643" s="19" t="str">
        <v>捷克区07:00-15:30 / CZ 07:00-15:30</v>
      </c>
      <c r="H643" s="19" t="str">
        <v>S000317</v>
      </c>
      <c r="I643" s="19" t="str">
        <v>Středoevropská pracovní agentura s.r.o.</v>
      </c>
      <c r="J643" s="23" t="n">
        <v>1</v>
      </c>
      <c r="K643" s="23" t="n">
        <v>0</v>
      </c>
      <c r="L643" s="23" t="n">
        <f>J643+K643</f>
        <v>1</v>
      </c>
      <c r="M643" s="23" t="n">
        <v>1</v>
      </c>
      <c r="N643" s="23" t="n">
        <v>0</v>
      </c>
      <c r="O643" s="23" t="n">
        <v>1</v>
      </c>
      <c r="P643" s="23" t="n">
        <v>0</v>
      </c>
      <c r="Q643" s="23" t="n">
        <f>MIN(O643,P643)</f>
        <v>0</v>
      </c>
      <c r="R643" s="25" t="n">
        <f>IF(M643=0,0,MIN(1,L643/M643))</f>
        <v>1</v>
      </c>
      <c r="S643" s="23" t="n">
        <f>O643*R643</f>
        <v>1</v>
      </c>
      <c r="T643" s="23" t="n">
        <f>MIN(P643,S643)</f>
        <v>0</v>
      </c>
      <c r="U643" s="23" t="n">
        <f>O643-S643</f>
        <v>0</v>
      </c>
      <c r="V643" s="23" t="n">
        <f>MAX(P643-O643,0)</f>
        <v>0</v>
      </c>
    </row>
    <row r="644">
      <c r="A644" s="19" t="str">
        <v>捷克区</v>
      </c>
      <c r="B644" s="19" t="str">
        <v>布拉格7号仓</v>
      </c>
      <c r="C644" s="19" t="str">
        <v>拣货组</v>
      </c>
      <c r="D644" s="21" t="n">
        <v>46129</v>
      </c>
      <c r="E644" s="19" t="str">
        <v>2026-04</v>
      </c>
      <c r="F644" s="19" t="str">
        <v>叉车司机</v>
      </c>
      <c r="G644" s="19" t="str">
        <v>捷克区07:00-15:30 / CZ 07:00-15:30</v>
      </c>
      <c r="H644" s="19" t="str">
        <v>S000317</v>
      </c>
      <c r="I644" s="19" t="str">
        <v>Středoevropská pracovní agentura s.r.o.</v>
      </c>
      <c r="J644" s="23" t="n">
        <v>1</v>
      </c>
      <c r="K644" s="23" t="n">
        <v>0</v>
      </c>
      <c r="L644" s="23" t="n">
        <f>J644+K644</f>
        <v>1</v>
      </c>
      <c r="M644" s="23" t="n">
        <v>1</v>
      </c>
      <c r="N644" s="23" t="n">
        <v>0</v>
      </c>
      <c r="O644" s="23" t="n">
        <v>1</v>
      </c>
      <c r="P644" s="23" t="n">
        <v>0</v>
      </c>
      <c r="Q644" s="23" t="n">
        <f>MIN(O644,P644)</f>
        <v>0</v>
      </c>
      <c r="R644" s="25" t="n">
        <f>IF(M644=0,0,MIN(1,L644/M644))</f>
        <v>1</v>
      </c>
      <c r="S644" s="23" t="n">
        <f>O644*R644</f>
        <v>1</v>
      </c>
      <c r="T644" s="23" t="n">
        <f>MIN(P644,S644)</f>
        <v>0</v>
      </c>
      <c r="U644" s="23" t="n">
        <f>O644-S644</f>
        <v>0</v>
      </c>
      <c r="V644" s="23" t="n">
        <f>MAX(P644-O644,0)</f>
        <v>0</v>
      </c>
    </row>
    <row r="645">
      <c r="A645" s="19" t="str">
        <v>捷克区</v>
      </c>
      <c r="B645" s="19" t="str">
        <v>布拉格7号仓</v>
      </c>
      <c r="C645" s="19" t="str">
        <v>拣货组</v>
      </c>
      <c r="D645" s="21" t="n">
        <v>46129</v>
      </c>
      <c r="E645" s="19" t="str">
        <v>2026-04</v>
      </c>
      <c r="F645" s="19" t="str">
        <v>操作员</v>
      </c>
      <c r="G645" s="19" t="str">
        <v>捷克区07:00-15:30 / CZ 07:00-15:30</v>
      </c>
      <c r="H645" s="19" t="str">
        <v>S000317</v>
      </c>
      <c r="I645" s="19" t="str">
        <v>Středoevropská pracovní agentura s.r.o.</v>
      </c>
      <c r="J645" s="23" t="n">
        <v>1</v>
      </c>
      <c r="K645" s="23" t="n">
        <v>0</v>
      </c>
      <c r="L645" s="23" t="n">
        <f>J645+K645</f>
        <v>1</v>
      </c>
      <c r="M645" s="23" t="n">
        <v>1</v>
      </c>
      <c r="N645" s="23" t="n">
        <v>0</v>
      </c>
      <c r="O645" s="23" t="n">
        <v>1</v>
      </c>
      <c r="P645" s="23" t="n">
        <v>0</v>
      </c>
      <c r="Q645" s="23" t="n">
        <f>MIN(O645,P645)</f>
        <v>0</v>
      </c>
      <c r="R645" s="25" t="n">
        <f>IF(M645=0,0,MIN(1,L645/M645))</f>
        <v>1</v>
      </c>
      <c r="S645" s="23" t="n">
        <f>O645*R645</f>
        <v>1</v>
      </c>
      <c r="T645" s="23" t="n">
        <f>MIN(P645,S645)</f>
        <v>0</v>
      </c>
      <c r="U645" s="23" t="n">
        <f>O645-S645</f>
        <v>0</v>
      </c>
      <c r="V645" s="23" t="n">
        <f>MAX(P645-O645,0)</f>
        <v>0</v>
      </c>
    </row>
    <row r="646">
      <c r="A646" s="19" t="str">
        <v>捷克区</v>
      </c>
      <c r="B646" s="19" t="str">
        <v>布拉格7号仓</v>
      </c>
      <c r="C646" s="19" t="str">
        <v>拣货组</v>
      </c>
      <c r="D646" s="21" t="n">
        <v>46130</v>
      </c>
      <c r="E646" s="19" t="str">
        <v>2026-04</v>
      </c>
      <c r="F646" s="19" t="str">
        <v>叉车司机</v>
      </c>
      <c r="G646" s="19" t="str">
        <v>捷克区07:00-15:30 / CZ 07:00-15:30</v>
      </c>
      <c r="H646" s="19" t="str">
        <v>S000317</v>
      </c>
      <c r="I646" s="19" t="str">
        <v>Středoevropská pracovní agentura s.r.o.</v>
      </c>
      <c r="J646" s="23" t="n">
        <v>1</v>
      </c>
      <c r="K646" s="23" t="n">
        <v>0</v>
      </c>
      <c r="L646" s="23" t="n">
        <f>J646+K646</f>
        <v>1</v>
      </c>
      <c r="M646" s="23" t="n">
        <v>1</v>
      </c>
      <c r="N646" s="23" t="n">
        <v>0</v>
      </c>
      <c r="O646" s="23" t="n">
        <v>1</v>
      </c>
      <c r="P646" s="23" t="n">
        <v>0</v>
      </c>
      <c r="Q646" s="23" t="n">
        <f>MIN(O646,P646)</f>
        <v>0</v>
      </c>
      <c r="R646" s="25" t="n">
        <f>IF(M646=0,0,MIN(1,L646/M646))</f>
        <v>1</v>
      </c>
      <c r="S646" s="23" t="n">
        <f>O646*R646</f>
        <v>1</v>
      </c>
      <c r="T646" s="23" t="n">
        <f>MIN(P646,S646)</f>
        <v>0</v>
      </c>
      <c r="U646" s="23" t="n">
        <f>O646-S646</f>
        <v>0</v>
      </c>
      <c r="V646" s="23" t="n">
        <f>MAX(P646-O646,0)</f>
        <v>0</v>
      </c>
    </row>
    <row r="647">
      <c r="A647" s="19" t="str">
        <v>捷克区</v>
      </c>
      <c r="B647" s="19" t="str">
        <v>布拉格7号仓</v>
      </c>
      <c r="C647" s="19" t="str">
        <v>拣货组</v>
      </c>
      <c r="D647" s="21" t="n">
        <v>46130</v>
      </c>
      <c r="E647" s="19" t="str">
        <v>2026-04</v>
      </c>
      <c r="F647" s="19" t="str">
        <v>操作员</v>
      </c>
      <c r="G647" s="19" t="str">
        <v>捷克区07:00-15:30 / CZ 07:00-15:30</v>
      </c>
      <c r="H647" s="19" t="str">
        <v>S000317</v>
      </c>
      <c r="I647" s="19" t="str">
        <v>Středoevropská pracovní agentura s.r.o.</v>
      </c>
      <c r="J647" s="23" t="n">
        <v>1</v>
      </c>
      <c r="K647" s="23" t="n">
        <v>0</v>
      </c>
      <c r="L647" s="23" t="n">
        <f>J647+K647</f>
        <v>1</v>
      </c>
      <c r="M647" s="23" t="n">
        <v>1</v>
      </c>
      <c r="N647" s="23" t="n">
        <v>0</v>
      </c>
      <c r="O647" s="23" t="n">
        <v>1</v>
      </c>
      <c r="P647" s="23" t="n">
        <v>0</v>
      </c>
      <c r="Q647" s="23" t="n">
        <f>MIN(O647,P647)</f>
        <v>0</v>
      </c>
      <c r="R647" s="25" t="n">
        <f>IF(M647=0,0,MIN(1,L647/M647))</f>
        <v>1</v>
      </c>
      <c r="S647" s="23" t="n">
        <f>O647*R647</f>
        <v>1</v>
      </c>
      <c r="T647" s="23" t="n">
        <f>MIN(P647,S647)</f>
        <v>0</v>
      </c>
      <c r="U647" s="23" t="n">
        <f>O647-S647</f>
        <v>0</v>
      </c>
      <c r="V647" s="23" t="n">
        <f>MAX(P647-O647,0)</f>
        <v>0</v>
      </c>
    </row>
    <row r="648">
      <c r="A648" s="19" t="str">
        <v>捷克区</v>
      </c>
      <c r="B648" s="19" t="str">
        <v>布拉格7号仓</v>
      </c>
      <c r="C648" s="19" t="str">
        <v>拣货组</v>
      </c>
      <c r="D648" s="21" t="n">
        <v>46131</v>
      </c>
      <c r="E648" s="19" t="str">
        <v>2026-04</v>
      </c>
      <c r="F648" s="19" t="str">
        <v>叉车司机</v>
      </c>
      <c r="G648" s="19" t="str">
        <v>捷克区07:00-15:30 / CZ 07:00-15:30</v>
      </c>
      <c r="H648" s="19" t="str">
        <v>S000317</v>
      </c>
      <c r="I648" s="19" t="str">
        <v>Středoevropská pracovní agentura s.r.o.</v>
      </c>
      <c r="J648" s="23" t="n">
        <v>1</v>
      </c>
      <c r="K648" s="23" t="n">
        <v>0</v>
      </c>
      <c r="L648" s="23" t="n">
        <f>J648+K648</f>
        <v>1</v>
      </c>
      <c r="M648" s="23" t="n">
        <v>1</v>
      </c>
      <c r="N648" s="23" t="n">
        <v>0</v>
      </c>
      <c r="O648" s="23" t="n">
        <v>1</v>
      </c>
      <c r="P648" s="23" t="n">
        <v>0</v>
      </c>
      <c r="Q648" s="23" t="n">
        <f>MIN(O648,P648)</f>
        <v>0</v>
      </c>
      <c r="R648" s="25" t="n">
        <f>IF(M648=0,0,MIN(1,L648/M648))</f>
        <v>1</v>
      </c>
      <c r="S648" s="23" t="n">
        <f>O648*R648</f>
        <v>1</v>
      </c>
      <c r="T648" s="23" t="n">
        <f>MIN(P648,S648)</f>
        <v>0</v>
      </c>
      <c r="U648" s="23" t="n">
        <f>O648-S648</f>
        <v>0</v>
      </c>
      <c r="V648" s="23" t="n">
        <f>MAX(P648-O648,0)</f>
        <v>0</v>
      </c>
    </row>
    <row r="649">
      <c r="A649" s="19" t="str">
        <v>捷克区</v>
      </c>
      <c r="B649" s="19" t="str">
        <v>布拉格7号仓</v>
      </c>
      <c r="C649" s="19" t="str">
        <v>拣货组</v>
      </c>
      <c r="D649" s="21" t="n">
        <v>46131</v>
      </c>
      <c r="E649" s="19" t="str">
        <v>2026-04</v>
      </c>
      <c r="F649" s="19" t="str">
        <v>操作员</v>
      </c>
      <c r="G649" s="19" t="str">
        <v>捷克区07:00-15:30 / CZ 07:00-15:30</v>
      </c>
      <c r="H649" s="19" t="str">
        <v>S000317</v>
      </c>
      <c r="I649" s="19" t="str">
        <v>Středoevropská pracovní agentura s.r.o.</v>
      </c>
      <c r="J649" s="23" t="n">
        <v>1</v>
      </c>
      <c r="K649" s="23" t="n">
        <v>0</v>
      </c>
      <c r="L649" s="23" t="n">
        <f>J649+K649</f>
        <v>1</v>
      </c>
      <c r="M649" s="23" t="n">
        <v>1</v>
      </c>
      <c r="N649" s="23" t="n">
        <v>0</v>
      </c>
      <c r="O649" s="23" t="n">
        <v>1</v>
      </c>
      <c r="P649" s="23" t="n">
        <v>0</v>
      </c>
      <c r="Q649" s="23" t="n">
        <f>MIN(O649,P649)</f>
        <v>0</v>
      </c>
      <c r="R649" s="25" t="n">
        <f>IF(M649=0,0,MIN(1,L649/M649))</f>
        <v>1</v>
      </c>
      <c r="S649" s="23" t="n">
        <f>O649*R649</f>
        <v>1</v>
      </c>
      <c r="T649" s="23" t="n">
        <f>MIN(P649,S649)</f>
        <v>0</v>
      </c>
      <c r="U649" s="23" t="n">
        <f>O649-S649</f>
        <v>0</v>
      </c>
      <c r="V649" s="23" t="n">
        <f>MAX(P649-O649,0)</f>
        <v>0</v>
      </c>
    </row>
    <row r="650">
      <c r="A650" s="19" t="str">
        <v>捷克区</v>
      </c>
      <c r="B650" s="19" t="str">
        <v>布拉格7号仓</v>
      </c>
      <c r="C650" s="19" t="str">
        <v>拣货组</v>
      </c>
      <c r="D650" s="21" t="n">
        <v>46132</v>
      </c>
      <c r="E650" s="19" t="str">
        <v>2026-04</v>
      </c>
      <c r="F650" s="19" t="str">
        <v>叉车司机</v>
      </c>
      <c r="G650" s="19" t="str">
        <v>捷克区07:00-15:30 / CZ 07:00-15:30</v>
      </c>
      <c r="H650" s="19" t="str">
        <v>S000317</v>
      </c>
      <c r="I650" s="19" t="str">
        <v>Středoevropská pracovní agentura s.r.o.</v>
      </c>
      <c r="J650" s="23" t="n">
        <v>1</v>
      </c>
      <c r="K650" s="23" t="n">
        <v>0</v>
      </c>
      <c r="L650" s="23" t="n">
        <f>J650+K650</f>
        <v>1</v>
      </c>
      <c r="M650" s="23" t="n">
        <v>1</v>
      </c>
      <c r="N650" s="23" t="n">
        <v>0</v>
      </c>
      <c r="O650" s="23" t="n">
        <v>1</v>
      </c>
      <c r="P650" s="23" t="n">
        <v>0</v>
      </c>
      <c r="Q650" s="23" t="n">
        <f>MIN(O650,P650)</f>
        <v>0</v>
      </c>
      <c r="R650" s="25" t="n">
        <f>IF(M650=0,0,MIN(1,L650/M650))</f>
        <v>1</v>
      </c>
      <c r="S650" s="23" t="n">
        <f>O650*R650</f>
        <v>1</v>
      </c>
      <c r="T650" s="23" t="n">
        <f>MIN(P650,S650)</f>
        <v>0</v>
      </c>
      <c r="U650" s="23" t="n">
        <f>O650-S650</f>
        <v>0</v>
      </c>
      <c r="V650" s="23" t="n">
        <f>MAX(P650-O650,0)</f>
        <v>0</v>
      </c>
    </row>
    <row r="651">
      <c r="A651" s="19" t="str">
        <v>捷克区</v>
      </c>
      <c r="B651" s="19" t="str">
        <v>布拉格7号仓</v>
      </c>
      <c r="C651" s="19" t="str">
        <v>拣货组</v>
      </c>
      <c r="D651" s="21" t="n">
        <v>46132</v>
      </c>
      <c r="E651" s="19" t="str">
        <v>2026-04</v>
      </c>
      <c r="F651" s="19" t="str">
        <v>操作员</v>
      </c>
      <c r="G651" s="19" t="str">
        <v>捷克区07:00-15:30 / CZ 07:00-15:30</v>
      </c>
      <c r="H651" s="19" t="str">
        <v>S000317</v>
      </c>
      <c r="I651" s="19" t="str">
        <v>Středoevropská pracovní agentura s.r.o.</v>
      </c>
      <c r="J651" s="23" t="n">
        <v>1</v>
      </c>
      <c r="K651" s="23" t="n">
        <v>0</v>
      </c>
      <c r="L651" s="23" t="n">
        <f>J651+K651</f>
        <v>1</v>
      </c>
      <c r="M651" s="23" t="n">
        <v>1</v>
      </c>
      <c r="N651" s="23" t="n">
        <v>0</v>
      </c>
      <c r="O651" s="23" t="n">
        <v>1</v>
      </c>
      <c r="P651" s="23" t="n">
        <v>0</v>
      </c>
      <c r="Q651" s="23" t="n">
        <f>MIN(O651,P651)</f>
        <v>0</v>
      </c>
      <c r="R651" s="25" t="n">
        <f>IF(M651=0,0,MIN(1,L651/M651))</f>
        <v>1</v>
      </c>
      <c r="S651" s="23" t="n">
        <f>O651*R651</f>
        <v>1</v>
      </c>
      <c r="T651" s="23" t="n">
        <f>MIN(P651,S651)</f>
        <v>0</v>
      </c>
      <c r="U651" s="23" t="n">
        <f>O651-S651</f>
        <v>0</v>
      </c>
      <c r="V651" s="23" t="n">
        <f>MAX(P651-O651,0)</f>
        <v>0</v>
      </c>
    </row>
    <row r="652">
      <c r="A652" s="19" t="str">
        <v>捷克区</v>
      </c>
      <c r="B652" s="19" t="str">
        <v>布拉格7号仓</v>
      </c>
      <c r="C652" s="19" t="str">
        <v>拣货组</v>
      </c>
      <c r="D652" s="21" t="n">
        <v>46133</v>
      </c>
      <c r="E652" s="19" t="str">
        <v>2026-04</v>
      </c>
      <c r="F652" s="19" t="str">
        <v>叉车司机</v>
      </c>
      <c r="G652" s="19" t="str">
        <v>捷克区07:00-15:30 / CZ 07:00-15:30</v>
      </c>
      <c r="H652" s="19" t="str">
        <v>S000317</v>
      </c>
      <c r="I652" s="19" t="str">
        <v>Středoevropská pracovní agentura s.r.o.</v>
      </c>
      <c r="J652" s="23" t="n">
        <v>1</v>
      </c>
      <c r="K652" s="23" t="n">
        <v>0</v>
      </c>
      <c r="L652" s="23" t="n">
        <f>J652+K652</f>
        <v>1</v>
      </c>
      <c r="M652" s="23" t="n">
        <v>1</v>
      </c>
      <c r="N652" s="23" t="n">
        <v>0</v>
      </c>
      <c r="O652" s="23" t="n">
        <v>1</v>
      </c>
      <c r="P652" s="23" t="n">
        <v>0</v>
      </c>
      <c r="Q652" s="23" t="n">
        <f>MIN(O652,P652)</f>
        <v>0</v>
      </c>
      <c r="R652" s="25" t="n">
        <f>IF(M652=0,0,MIN(1,L652/M652))</f>
        <v>1</v>
      </c>
      <c r="S652" s="23" t="n">
        <f>O652*R652</f>
        <v>1</v>
      </c>
      <c r="T652" s="23" t="n">
        <f>MIN(P652,S652)</f>
        <v>0</v>
      </c>
      <c r="U652" s="23" t="n">
        <f>O652-S652</f>
        <v>0</v>
      </c>
      <c r="V652" s="23" t="n">
        <f>MAX(P652-O652,0)</f>
        <v>0</v>
      </c>
    </row>
    <row r="653">
      <c r="A653" s="19" t="str">
        <v>捷克区</v>
      </c>
      <c r="B653" s="19" t="str">
        <v>布拉格7号仓</v>
      </c>
      <c r="C653" s="19" t="str">
        <v>拣货组</v>
      </c>
      <c r="D653" s="21" t="n">
        <v>46133</v>
      </c>
      <c r="E653" s="19" t="str">
        <v>2026-04</v>
      </c>
      <c r="F653" s="19" t="str">
        <v>操作员</v>
      </c>
      <c r="G653" s="19" t="str">
        <v>捷克区07:00-15:30 / CZ 07:00-15:30</v>
      </c>
      <c r="H653" s="19" t="str">
        <v>S000317</v>
      </c>
      <c r="I653" s="19" t="str">
        <v>Středoevropská pracovní agentura s.r.o.</v>
      </c>
      <c r="J653" s="23" t="n">
        <v>1</v>
      </c>
      <c r="K653" s="23" t="n">
        <v>0</v>
      </c>
      <c r="L653" s="23" t="n">
        <f>J653+K653</f>
        <v>1</v>
      </c>
      <c r="M653" s="23" t="n">
        <v>1</v>
      </c>
      <c r="N653" s="23" t="n">
        <v>0</v>
      </c>
      <c r="O653" s="23" t="n">
        <v>1</v>
      </c>
      <c r="P653" s="23" t="n">
        <v>0</v>
      </c>
      <c r="Q653" s="23" t="n">
        <f>MIN(O653,P653)</f>
        <v>0</v>
      </c>
      <c r="R653" s="25" t="n">
        <f>IF(M653=0,0,MIN(1,L653/M653))</f>
        <v>1</v>
      </c>
      <c r="S653" s="23" t="n">
        <f>O653*R653</f>
        <v>1</v>
      </c>
      <c r="T653" s="23" t="n">
        <f>MIN(P653,S653)</f>
        <v>0</v>
      </c>
      <c r="U653" s="23" t="n">
        <f>O653-S653</f>
        <v>0</v>
      </c>
      <c r="V653" s="23" t="n">
        <f>MAX(P653-O653,0)</f>
        <v>0</v>
      </c>
    </row>
    <row r="654">
      <c r="A654" s="19" t="str">
        <v>捷克区</v>
      </c>
      <c r="B654" s="19" t="str">
        <v>布拉格7号仓</v>
      </c>
      <c r="C654" s="19" t="str">
        <v>拣货组</v>
      </c>
      <c r="D654" s="21" t="n">
        <v>46134</v>
      </c>
      <c r="E654" s="19" t="str">
        <v>2026-04</v>
      </c>
      <c r="F654" s="19" t="str">
        <v>叉车司机</v>
      </c>
      <c r="G654" s="19" t="str">
        <v>捷克区07:00-15:30 / CZ 07:00-15:30</v>
      </c>
      <c r="H654" s="19" t="str">
        <v>S000317</v>
      </c>
      <c r="I654" s="19" t="str">
        <v>Středoevropská pracovní agentura s.r.o.</v>
      </c>
      <c r="J654" s="23" t="n">
        <v>1</v>
      </c>
      <c r="K654" s="23" t="n">
        <v>0</v>
      </c>
      <c r="L654" s="23" t="n">
        <f>J654+K654</f>
        <v>1</v>
      </c>
      <c r="M654" s="23" t="n">
        <v>1</v>
      </c>
      <c r="N654" s="23" t="n">
        <v>0</v>
      </c>
      <c r="O654" s="23" t="n">
        <v>1</v>
      </c>
      <c r="P654" s="23" t="n">
        <v>0</v>
      </c>
      <c r="Q654" s="23" t="n">
        <f>MIN(O654,P654)</f>
        <v>0</v>
      </c>
      <c r="R654" s="25" t="n">
        <f>IF(M654=0,0,MIN(1,L654/M654))</f>
        <v>1</v>
      </c>
      <c r="S654" s="23" t="n">
        <f>O654*R654</f>
        <v>1</v>
      </c>
      <c r="T654" s="23" t="n">
        <f>MIN(P654,S654)</f>
        <v>0</v>
      </c>
      <c r="U654" s="23" t="n">
        <f>O654-S654</f>
        <v>0</v>
      </c>
      <c r="V654" s="23" t="n">
        <f>MAX(P654-O654,0)</f>
        <v>0</v>
      </c>
    </row>
    <row r="655">
      <c r="A655" s="19" t="str">
        <v>捷克区</v>
      </c>
      <c r="B655" s="19" t="str">
        <v>布拉格7号仓</v>
      </c>
      <c r="C655" s="19" t="str">
        <v>拣货组</v>
      </c>
      <c r="D655" s="21" t="n">
        <v>46135</v>
      </c>
      <c r="E655" s="19" t="str">
        <v>2026-04</v>
      </c>
      <c r="F655" s="19" t="str">
        <v>叉车司机</v>
      </c>
      <c r="G655" s="19" t="str">
        <v>捷克区07:00-15:30 / CZ 07:00-15:30</v>
      </c>
      <c r="H655" s="19" t="str">
        <v>S000317</v>
      </c>
      <c r="I655" s="19" t="str">
        <v>Středoevropská pracovní agentura s.r.o.</v>
      </c>
      <c r="J655" s="23" t="n">
        <v>1</v>
      </c>
      <c r="K655" s="23" t="n">
        <v>0</v>
      </c>
      <c r="L655" s="23" t="n">
        <f>J655+K655</f>
        <v>1</v>
      </c>
      <c r="M655" s="23" t="n">
        <v>1</v>
      </c>
      <c r="N655" s="23" t="n">
        <v>0</v>
      </c>
      <c r="O655" s="23" t="n">
        <v>1</v>
      </c>
      <c r="P655" s="23" t="n">
        <v>0</v>
      </c>
      <c r="Q655" s="23" t="n">
        <f>MIN(O655,P655)</f>
        <v>0</v>
      </c>
      <c r="R655" s="25" t="n">
        <f>IF(M655=0,0,MIN(1,L655/M655))</f>
        <v>1</v>
      </c>
      <c r="S655" s="23" t="n">
        <f>O655*R655</f>
        <v>1</v>
      </c>
      <c r="T655" s="23" t="n">
        <f>MIN(P655,S655)</f>
        <v>0</v>
      </c>
      <c r="U655" s="23" t="n">
        <f>O655-S655</f>
        <v>0</v>
      </c>
      <c r="V655" s="23" t="n">
        <f>MAX(P655-O655,0)</f>
        <v>0</v>
      </c>
    </row>
    <row r="656">
      <c r="A656" s="19" t="str">
        <v>捷克区</v>
      </c>
      <c r="B656" s="19" t="str">
        <v>布拉格7号仓</v>
      </c>
      <c r="C656" s="19" t="str">
        <v>拣货组</v>
      </c>
      <c r="D656" s="21" t="n">
        <v>46168</v>
      </c>
      <c r="E656" s="19" t="str">
        <v>2026-05</v>
      </c>
      <c r="F656" s="19" t="str">
        <v>操作员</v>
      </c>
      <c r="G656" s="19" t="str">
        <v>捷克区07:00-15:30 / CZ 07:00-15:30</v>
      </c>
      <c r="H656" s="19" t="str">
        <v>S000310</v>
      </c>
      <c r="I656" s="19" t="str">
        <v>Easy Jobs s.r.o.</v>
      </c>
      <c r="J656" s="23" t="n">
        <v>1</v>
      </c>
      <c r="K656" s="23" t="n">
        <v>0</v>
      </c>
      <c r="L656" s="23" t="n">
        <f>J656+K656</f>
        <v>1</v>
      </c>
      <c r="M656" s="23" t="n">
        <v>1</v>
      </c>
      <c r="N656" s="23" t="n">
        <v>1</v>
      </c>
      <c r="O656" s="23" t="n">
        <v>1</v>
      </c>
      <c r="P656" s="23" t="n">
        <v>1</v>
      </c>
      <c r="Q656" s="23" t="n">
        <f>MIN(O656,P656)</f>
        <v>1</v>
      </c>
      <c r="R656" s="25" t="n">
        <f>IF(M656=0,0,MIN(1,L656/M656))</f>
        <v>1</v>
      </c>
      <c r="S656" s="23" t="n">
        <f>O656*R656</f>
        <v>1</v>
      </c>
      <c r="T656" s="23" t="n">
        <f>MIN(P656,S656)</f>
        <v>1</v>
      </c>
      <c r="U656" s="23" t="n">
        <f>O656-S656</f>
        <v>0</v>
      </c>
      <c r="V656" s="23" t="n">
        <f>MAX(P656-O656,0)</f>
        <v>0</v>
      </c>
    </row>
    <row r="657">
      <c r="A657" s="19" t="str">
        <v>捷克区</v>
      </c>
      <c r="B657" s="19" t="str">
        <v>布拉格7号仓</v>
      </c>
      <c r="C657" s="19" t="str">
        <v>拣货组</v>
      </c>
      <c r="D657" s="21" t="n">
        <v>46169</v>
      </c>
      <c r="E657" s="19" t="str">
        <v>2026-05</v>
      </c>
      <c r="F657" s="19" t="str">
        <v>操作员</v>
      </c>
      <c r="G657" s="19" t="str">
        <v>捷克区07:00-15:30 / CZ 07:00-15:30</v>
      </c>
      <c r="H657" s="19" t="str">
        <v>S000310</v>
      </c>
      <c r="I657" s="19" t="str">
        <v>Easy Jobs s.r.o.</v>
      </c>
      <c r="J657" s="23" t="n">
        <v>1</v>
      </c>
      <c r="K657" s="23" t="n">
        <v>0</v>
      </c>
      <c r="L657" s="23" t="n">
        <f>J657+K657</f>
        <v>1</v>
      </c>
      <c r="M657" s="23" t="n">
        <v>1</v>
      </c>
      <c r="N657" s="23" t="n">
        <v>1</v>
      </c>
      <c r="O657" s="23" t="n">
        <v>1</v>
      </c>
      <c r="P657" s="23" t="n">
        <v>1</v>
      </c>
      <c r="Q657" s="23" t="n">
        <f>MIN(O657,P657)</f>
        <v>1</v>
      </c>
      <c r="R657" s="25" t="n">
        <f>IF(M657=0,0,MIN(1,L657/M657))</f>
        <v>1</v>
      </c>
      <c r="S657" s="23" t="n">
        <f>O657*R657</f>
        <v>1</v>
      </c>
      <c r="T657" s="23" t="n">
        <f>MIN(P657,S657)</f>
        <v>1</v>
      </c>
      <c r="U657" s="23" t="n">
        <f>O657-S657</f>
        <v>0</v>
      </c>
      <c r="V657" s="23" t="n">
        <f>MAX(P657-O657,0)</f>
        <v>0</v>
      </c>
    </row>
    <row r="658">
      <c r="A658" s="19" t="str">
        <v>捷克区</v>
      </c>
      <c r="B658" s="19" t="str">
        <v>布拉格7号仓</v>
      </c>
      <c r="C658" s="19" t="str">
        <v>拣货组</v>
      </c>
      <c r="D658" s="21" t="n">
        <v>46170</v>
      </c>
      <c r="E658" s="19" t="str">
        <v>2026-05</v>
      </c>
      <c r="F658" s="19" t="str">
        <v>操作员</v>
      </c>
      <c r="G658" s="19" t="str">
        <v>捷克区07:00-15:30 / CZ 07:00-15:30</v>
      </c>
      <c r="H658" s="19" t="str">
        <v>S000310</v>
      </c>
      <c r="I658" s="19" t="str">
        <v>Easy Jobs s.r.o.</v>
      </c>
      <c r="J658" s="23" t="n">
        <v>1</v>
      </c>
      <c r="K658" s="23" t="n">
        <v>0</v>
      </c>
      <c r="L658" s="23" t="n">
        <f>J658+K658</f>
        <v>1</v>
      </c>
      <c r="M658" s="23" t="n">
        <v>1</v>
      </c>
      <c r="N658" s="23" t="n">
        <v>1</v>
      </c>
      <c r="O658" s="23" t="n">
        <v>1</v>
      </c>
      <c r="P658" s="23" t="n">
        <v>1</v>
      </c>
      <c r="Q658" s="23" t="n">
        <f>MIN(O658,P658)</f>
        <v>1</v>
      </c>
      <c r="R658" s="25" t="n">
        <f>IF(M658=0,0,MIN(1,L658/M658))</f>
        <v>1</v>
      </c>
      <c r="S658" s="23" t="n">
        <f>O658*R658</f>
        <v>1</v>
      </c>
      <c r="T658" s="23" t="n">
        <f>MIN(P658,S658)</f>
        <v>1</v>
      </c>
      <c r="U658" s="23" t="n">
        <f>O658-S658</f>
        <v>0</v>
      </c>
      <c r="V658" s="23" t="n">
        <f>MAX(P658-O658,0)</f>
        <v>0</v>
      </c>
    </row>
    <row r="659">
      <c r="A659" s="19" t="str">
        <v>捷克区</v>
      </c>
      <c r="B659" s="19" t="str">
        <v>布拉格7号仓</v>
      </c>
      <c r="C659" s="19" t="str">
        <v>拣货组</v>
      </c>
      <c r="D659" s="21" t="n">
        <v>46171</v>
      </c>
      <c r="E659" s="19" t="str">
        <v>2026-05</v>
      </c>
      <c r="F659" s="19" t="str">
        <v>操作员</v>
      </c>
      <c r="G659" s="19" t="str">
        <v>捷克区07:00-15:30 / CZ 07:00-15:30</v>
      </c>
      <c r="H659" s="19" t="str">
        <v>S000310</v>
      </c>
      <c r="I659" s="19" t="str">
        <v>Easy Jobs s.r.o.</v>
      </c>
      <c r="J659" s="23" t="n">
        <v>1</v>
      </c>
      <c r="K659" s="23" t="n">
        <v>0</v>
      </c>
      <c r="L659" s="23" t="n">
        <f>J659+K659</f>
        <v>1</v>
      </c>
      <c r="M659" s="23" t="n">
        <v>1</v>
      </c>
      <c r="N659" s="23" t="n">
        <v>1</v>
      </c>
      <c r="O659" s="23" t="n">
        <v>1</v>
      </c>
      <c r="P659" s="23" t="n">
        <v>1</v>
      </c>
      <c r="Q659" s="23" t="n">
        <f>MIN(O659,P659)</f>
        <v>1</v>
      </c>
      <c r="R659" s="25" t="n">
        <f>IF(M659=0,0,MIN(1,L659/M659))</f>
        <v>1</v>
      </c>
      <c r="S659" s="23" t="n">
        <f>O659*R659</f>
        <v>1</v>
      </c>
      <c r="T659" s="23" t="n">
        <f>MIN(P659,S659)</f>
        <v>1</v>
      </c>
      <c r="U659" s="23" t="n">
        <f>O659-S659</f>
        <v>0</v>
      </c>
      <c r="V659" s="23" t="n">
        <f>MAX(P659-O659,0)</f>
        <v>0</v>
      </c>
    </row>
    <row r="660">
      <c r="A660" s="19" t="str">
        <v>捷克区</v>
      </c>
      <c r="B660" s="19" t="str">
        <v>布拉格7号仓</v>
      </c>
      <c r="C660" s="19" t="str">
        <v>拣货组</v>
      </c>
      <c r="D660" s="21" t="n">
        <v>46172</v>
      </c>
      <c r="E660" s="19" t="str">
        <v>2026-05</v>
      </c>
      <c r="F660" s="19" t="str">
        <v>操作员</v>
      </c>
      <c r="G660" s="19" t="str">
        <v>捷克区07:00-15:30 / CZ 07:00-15:30</v>
      </c>
      <c r="H660" s="19" t="str">
        <v>S000310</v>
      </c>
      <c r="I660" s="19" t="str">
        <v>Easy Jobs s.r.o.</v>
      </c>
      <c r="J660" s="23" t="n">
        <v>1</v>
      </c>
      <c r="K660" s="23" t="n">
        <v>0</v>
      </c>
      <c r="L660" s="23" t="n">
        <f>J660+K660</f>
        <v>1</v>
      </c>
      <c r="M660" s="23" t="n">
        <v>1</v>
      </c>
      <c r="N660" s="23" t="n">
        <v>1</v>
      </c>
      <c r="O660" s="23" t="n">
        <v>1</v>
      </c>
      <c r="P660" s="23" t="n">
        <v>1</v>
      </c>
      <c r="Q660" s="23" t="n">
        <f>MIN(O660,P660)</f>
        <v>1</v>
      </c>
      <c r="R660" s="25" t="n">
        <f>IF(M660=0,0,MIN(1,L660/M660))</f>
        <v>1</v>
      </c>
      <c r="S660" s="23" t="n">
        <f>O660*R660</f>
        <v>1</v>
      </c>
      <c r="T660" s="23" t="n">
        <f>MIN(P660,S660)</f>
        <v>1</v>
      </c>
      <c r="U660" s="23" t="n">
        <f>O660-S660</f>
        <v>0</v>
      </c>
      <c r="V660" s="23" t="n">
        <f>MAX(P660-O660,0)</f>
        <v>0</v>
      </c>
    </row>
    <row r="661">
      <c r="A661" s="19" t="str">
        <v>捷克区</v>
      </c>
      <c r="B661" s="19" t="str">
        <v>布拉格7号仓</v>
      </c>
      <c r="C661" s="19" t="str">
        <v>拣货组</v>
      </c>
      <c r="D661" s="21" t="n">
        <v>46173</v>
      </c>
      <c r="E661" s="19" t="str">
        <v>2026-05</v>
      </c>
      <c r="F661" s="19" t="str">
        <v>操作员</v>
      </c>
      <c r="G661" s="19" t="str">
        <v>捷克区07:00-15:30 / CZ 07:00-15:30</v>
      </c>
      <c r="H661" s="19" t="str">
        <v>S000310</v>
      </c>
      <c r="I661" s="19" t="str">
        <v>Easy Jobs s.r.o.</v>
      </c>
      <c r="J661" s="23" t="n">
        <v>1</v>
      </c>
      <c r="K661" s="23" t="n">
        <v>0</v>
      </c>
      <c r="L661" s="23" t="n">
        <f>J661+K661</f>
        <v>1</v>
      </c>
      <c r="M661" s="23" t="n">
        <v>1</v>
      </c>
      <c r="N661" s="23" t="n">
        <v>1</v>
      </c>
      <c r="O661" s="23" t="n">
        <v>1</v>
      </c>
      <c r="P661" s="23" t="n">
        <v>1</v>
      </c>
      <c r="Q661" s="23" t="n">
        <f>MIN(O661,P661)</f>
        <v>1</v>
      </c>
      <c r="R661" s="25" t="n">
        <f>IF(M661=0,0,MIN(1,L661/M661))</f>
        <v>1</v>
      </c>
      <c r="S661" s="23" t="n">
        <f>O661*R661</f>
        <v>1</v>
      </c>
      <c r="T661" s="23" t="n">
        <f>MIN(P661,S661)</f>
        <v>1</v>
      </c>
      <c r="U661" s="23" t="n">
        <f>O661-S661</f>
        <v>0</v>
      </c>
      <c r="V661" s="23" t="n">
        <f>MAX(P661-O661,0)</f>
        <v>0</v>
      </c>
    </row>
    <row r="662">
      <c r="A662" s="19" t="str">
        <v>捷克区</v>
      </c>
      <c r="B662" s="19" t="str">
        <v>布拉格7号仓</v>
      </c>
      <c r="C662" s="19" t="str">
        <v>拣货组</v>
      </c>
      <c r="D662" s="21" t="n">
        <v>46174</v>
      </c>
      <c r="E662" s="19" t="str">
        <v>2026-06</v>
      </c>
      <c r="F662" s="19" t="str">
        <v>操作员</v>
      </c>
      <c r="G662" s="19" t="str">
        <v>捷克区07:00-15:30 / CZ 07:00-15:30</v>
      </c>
      <c r="H662" s="19" t="str">
        <v>S000310</v>
      </c>
      <c r="I662" s="19" t="str">
        <v>Easy Jobs s.r.o.</v>
      </c>
      <c r="J662" s="23" t="n">
        <v>1</v>
      </c>
      <c r="K662" s="23" t="n">
        <v>0</v>
      </c>
      <c r="L662" s="23" t="n">
        <f>J662+K662</f>
        <v>1</v>
      </c>
      <c r="M662" s="23" t="n">
        <v>1</v>
      </c>
      <c r="N662" s="23" t="n">
        <v>0</v>
      </c>
      <c r="O662" s="23" t="n">
        <v>1</v>
      </c>
      <c r="P662" s="23" t="n">
        <v>0</v>
      </c>
      <c r="Q662" s="23" t="n">
        <f>MIN(O662,P662)</f>
        <v>0</v>
      </c>
      <c r="R662" s="25" t="n">
        <f>IF(M662=0,0,MIN(1,L662/M662))</f>
        <v>1</v>
      </c>
      <c r="S662" s="23" t="n">
        <f>O662*R662</f>
        <v>1</v>
      </c>
      <c r="T662" s="23" t="n">
        <f>MIN(P662,S662)</f>
        <v>0</v>
      </c>
      <c r="U662" s="23" t="n">
        <f>O662-S662</f>
        <v>0</v>
      </c>
      <c r="V662" s="23" t="n">
        <f>MAX(P662-O662,0)</f>
        <v>0</v>
      </c>
    </row>
    <row r="663">
      <c r="A663" s="19" t="str">
        <v>捷克区</v>
      </c>
      <c r="B663" s="19" t="str">
        <v>布拉格7号仓</v>
      </c>
      <c r="C663" s="19" t="str">
        <v>拣货组</v>
      </c>
      <c r="D663" s="21" t="n">
        <v>46175</v>
      </c>
      <c r="E663" s="19" t="str">
        <v>2026-06</v>
      </c>
      <c r="F663" s="19" t="str">
        <v>操作员</v>
      </c>
      <c r="G663" s="19" t="str">
        <v>捷克区07:00-15:30 / CZ 07:00-15:30</v>
      </c>
      <c r="H663" s="19" t="str">
        <v>S000310</v>
      </c>
      <c r="I663" s="19" t="str">
        <v>Easy Jobs s.r.o.</v>
      </c>
      <c r="J663" s="23" t="n">
        <v>1</v>
      </c>
      <c r="K663" s="23" t="n">
        <v>0</v>
      </c>
      <c r="L663" s="23" t="n">
        <f>J663+K663</f>
        <v>1</v>
      </c>
      <c r="M663" s="23" t="n">
        <v>1</v>
      </c>
      <c r="N663" s="23" t="n">
        <v>0</v>
      </c>
      <c r="O663" s="23" t="n">
        <v>1</v>
      </c>
      <c r="P663" s="23" t="n">
        <v>0</v>
      </c>
      <c r="Q663" s="23" t="n">
        <f>MIN(O663,P663)</f>
        <v>0</v>
      </c>
      <c r="R663" s="25" t="n">
        <f>IF(M663=0,0,MIN(1,L663/M663))</f>
        <v>1</v>
      </c>
      <c r="S663" s="23" t="n">
        <f>O663*R663</f>
        <v>1</v>
      </c>
      <c r="T663" s="23" t="n">
        <f>MIN(P663,S663)</f>
        <v>0</v>
      </c>
      <c r="U663" s="23" t="n">
        <f>O663-S663</f>
        <v>0</v>
      </c>
      <c r="V663" s="23" t="n">
        <f>MAX(P663-O663,0)</f>
        <v>0</v>
      </c>
    </row>
    <row r="664">
      <c r="A664" s="19" t="str">
        <v>捷克区</v>
      </c>
      <c r="B664" s="19" t="str">
        <v>布拉格7号仓</v>
      </c>
      <c r="C664" s="19" t="str">
        <v>拣货组</v>
      </c>
      <c r="D664" s="21" t="n">
        <v>46176</v>
      </c>
      <c r="E664" s="19" t="str">
        <v>2026-06</v>
      </c>
      <c r="F664" s="19" t="str">
        <v>操作员</v>
      </c>
      <c r="G664" s="19" t="str">
        <v>捷克区07:00-15:30 / CZ 07:00-15:30</v>
      </c>
      <c r="H664" s="19" t="str">
        <v>S000310</v>
      </c>
      <c r="I664" s="19" t="str">
        <v>Easy Jobs s.r.o.</v>
      </c>
      <c r="J664" s="23" t="n">
        <v>1</v>
      </c>
      <c r="K664" s="23" t="n">
        <v>0</v>
      </c>
      <c r="L664" s="23" t="n">
        <f>J664+K664</f>
        <v>1</v>
      </c>
      <c r="M664" s="23" t="n">
        <v>1</v>
      </c>
      <c r="N664" s="23" t="n">
        <v>0</v>
      </c>
      <c r="O664" s="23" t="n">
        <v>1</v>
      </c>
      <c r="P664" s="23" t="n">
        <v>0</v>
      </c>
      <c r="Q664" s="23" t="n">
        <f>MIN(O664,P664)</f>
        <v>0</v>
      </c>
      <c r="R664" s="25" t="n">
        <f>IF(M664=0,0,MIN(1,L664/M664))</f>
        <v>1</v>
      </c>
      <c r="S664" s="23" t="n">
        <f>O664*R664</f>
        <v>1</v>
      </c>
      <c r="T664" s="23" t="n">
        <f>MIN(P664,S664)</f>
        <v>0</v>
      </c>
      <c r="U664" s="23" t="n">
        <f>O664-S664</f>
        <v>0</v>
      </c>
      <c r="V664" s="23" t="n">
        <f>MAX(P664-O664,0)</f>
        <v>0</v>
      </c>
    </row>
    <row r="665">
      <c r="A665" s="19" t="str">
        <v>捷克区</v>
      </c>
      <c r="B665" s="19" t="str">
        <v>布拉格7号仓</v>
      </c>
      <c r="C665" s="19" t="str">
        <v>理货组</v>
      </c>
      <c r="D665" s="21" t="n">
        <v>46199</v>
      </c>
      <c r="E665" s="19" t="str">
        <v>2026-06</v>
      </c>
      <c r="F665" s="19" t="str">
        <v>交运员 3.5T</v>
      </c>
      <c r="G665" s="19" t="str">
        <v>捷克区07:00-15:30 / CZ 07:00-15:30</v>
      </c>
      <c r="H665" s="19" t="str">
        <v>S000098</v>
      </c>
      <c r="I665" s="19" t="str">
        <v>PERSONALEK Plus s.r.o.</v>
      </c>
      <c r="J665" s="23" t="n">
        <v>1</v>
      </c>
      <c r="K665" s="23" t="n">
        <v>0</v>
      </c>
      <c r="L665" s="23" t="n">
        <f>J665+K665</f>
        <v>1</v>
      </c>
      <c r="M665" s="23" t="n">
        <v>1</v>
      </c>
      <c r="N665" s="23" t="n">
        <v>1</v>
      </c>
      <c r="O665" s="23" t="n">
        <v>1</v>
      </c>
      <c r="P665" s="23" t="n">
        <v>1</v>
      </c>
      <c r="Q665" s="23" t="n">
        <f>MIN(O665,P665)</f>
        <v>1</v>
      </c>
      <c r="R665" s="25" t="n">
        <f>IF(M665=0,0,MIN(1,L665/M665))</f>
        <v>1</v>
      </c>
      <c r="S665" s="23" t="n">
        <f>O665*R665</f>
        <v>1</v>
      </c>
      <c r="T665" s="23" t="n">
        <f>MIN(P665,S665)</f>
        <v>1</v>
      </c>
      <c r="U665" s="23" t="n">
        <f>O665-S665</f>
        <v>0</v>
      </c>
      <c r="V665" s="23" t="n">
        <f>MAX(P665-O665,0)</f>
        <v>0</v>
      </c>
    </row>
    <row r="666">
      <c r="A666" s="19" t="str">
        <v>捷克区</v>
      </c>
      <c r="B666" s="19" t="str">
        <v>布拉格7号仓</v>
      </c>
      <c r="C666" s="19" t="str">
        <v>理货组</v>
      </c>
      <c r="D666" s="21" t="n">
        <v>46200</v>
      </c>
      <c r="E666" s="19" t="str">
        <v>2026-06</v>
      </c>
      <c r="F666" s="19" t="str">
        <v>交运员 3.5T</v>
      </c>
      <c r="G666" s="19" t="str">
        <v>捷克区07:00-15:30 / CZ 07:00-15:30</v>
      </c>
      <c r="H666" s="19" t="str">
        <v>S000098</v>
      </c>
      <c r="I666" s="19" t="str">
        <v>PERSONALEK Plus s.r.o.</v>
      </c>
      <c r="J666" s="23" t="n">
        <v>1</v>
      </c>
      <c r="K666" s="23" t="n">
        <v>0</v>
      </c>
      <c r="L666" s="23" t="n">
        <f>J666+K666</f>
        <v>1</v>
      </c>
      <c r="M666" s="23" t="n">
        <v>1</v>
      </c>
      <c r="N666" s="23" t="n">
        <v>1</v>
      </c>
      <c r="O666" s="23" t="n">
        <v>1</v>
      </c>
      <c r="P666" s="23" t="n">
        <v>1</v>
      </c>
      <c r="Q666" s="23" t="n">
        <f>MIN(O666,P666)</f>
        <v>1</v>
      </c>
      <c r="R666" s="25" t="n">
        <f>IF(M666=0,0,MIN(1,L666/M666))</f>
        <v>1</v>
      </c>
      <c r="S666" s="23" t="n">
        <f>O666*R666</f>
        <v>1</v>
      </c>
      <c r="T666" s="23" t="n">
        <f>MIN(P666,S666)</f>
        <v>1</v>
      </c>
      <c r="U666" s="23" t="n">
        <f>O666-S666</f>
        <v>0</v>
      </c>
      <c r="V666" s="23" t="n">
        <f>MAX(P666-O666,0)</f>
        <v>0</v>
      </c>
    </row>
    <row r="667">
      <c r="A667" s="19" t="str">
        <v>捷克区</v>
      </c>
      <c r="B667" s="19" t="str">
        <v>布拉格7号仓</v>
      </c>
      <c r="C667" s="19" t="str">
        <v>理货组</v>
      </c>
      <c r="D667" s="21" t="n">
        <v>46201</v>
      </c>
      <c r="E667" s="19" t="str">
        <v>2026-06</v>
      </c>
      <c r="F667" s="19" t="str">
        <v>交运员 3.5T</v>
      </c>
      <c r="G667" s="19" t="str">
        <v>捷克区07:00-15:30 / CZ 07:00-15:30</v>
      </c>
      <c r="H667" s="19" t="str">
        <v>S000098</v>
      </c>
      <c r="I667" s="19" t="str">
        <v>PERSONALEK Plus s.r.o.</v>
      </c>
      <c r="J667" s="23" t="n">
        <v>1</v>
      </c>
      <c r="K667" s="23" t="n">
        <v>0</v>
      </c>
      <c r="L667" s="23" t="n">
        <f>J667+K667</f>
        <v>1</v>
      </c>
      <c r="M667" s="23" t="n">
        <v>1</v>
      </c>
      <c r="N667" s="23" t="n">
        <v>1</v>
      </c>
      <c r="O667" s="23" t="n">
        <v>1</v>
      </c>
      <c r="P667" s="23" t="n">
        <v>1</v>
      </c>
      <c r="Q667" s="23" t="n">
        <f>MIN(O667,P667)</f>
        <v>1</v>
      </c>
      <c r="R667" s="25" t="n">
        <f>IF(M667=0,0,MIN(1,L667/M667))</f>
        <v>1</v>
      </c>
      <c r="S667" s="23" t="n">
        <f>O667*R667</f>
        <v>1</v>
      </c>
      <c r="T667" s="23" t="n">
        <f>MIN(P667,S667)</f>
        <v>1</v>
      </c>
      <c r="U667" s="23" t="n">
        <f>O667-S667</f>
        <v>0</v>
      </c>
      <c r="V667" s="23" t="n">
        <f>MAX(P667-O667,0)</f>
        <v>0</v>
      </c>
    </row>
    <row r="668">
      <c r="A668" s="19" t="str">
        <v>捷克区</v>
      </c>
      <c r="B668" s="19" t="str">
        <v>布拉格7号仓</v>
      </c>
      <c r="C668" s="19" t="str">
        <v>理货组</v>
      </c>
      <c r="D668" s="21" t="n">
        <v>46202</v>
      </c>
      <c r="E668" s="19" t="str">
        <v>2026-06</v>
      </c>
      <c r="F668" s="19" t="str">
        <v>交运员 3.5T</v>
      </c>
      <c r="G668" s="19" t="str">
        <v>捷克区07:00-15:30 / CZ 07:00-15:30</v>
      </c>
      <c r="H668" s="19" t="str">
        <v>S000098</v>
      </c>
      <c r="I668" s="19" t="str">
        <v>PERSONALEK Plus s.r.o.</v>
      </c>
      <c r="J668" s="23" t="n">
        <v>1</v>
      </c>
      <c r="K668" s="23" t="n">
        <v>0</v>
      </c>
      <c r="L668" s="23" t="n">
        <f>J668+K668</f>
        <v>1</v>
      </c>
      <c r="M668" s="23" t="n">
        <v>1</v>
      </c>
      <c r="N668" s="23" t="n">
        <v>1</v>
      </c>
      <c r="O668" s="23" t="n">
        <v>1</v>
      </c>
      <c r="P668" s="23" t="n">
        <v>1</v>
      </c>
      <c r="Q668" s="23" t="n">
        <f>MIN(O668,P668)</f>
        <v>1</v>
      </c>
      <c r="R668" s="25" t="n">
        <f>IF(M668=0,0,MIN(1,L668/M668))</f>
        <v>1</v>
      </c>
      <c r="S668" s="23" t="n">
        <f>O668*R668</f>
        <v>1</v>
      </c>
      <c r="T668" s="23" t="n">
        <f>MIN(P668,S668)</f>
        <v>1</v>
      </c>
      <c r="U668" s="23" t="n">
        <f>O668-S668</f>
        <v>0</v>
      </c>
      <c r="V668" s="23" t="n">
        <f>MAX(P668-O668,0)</f>
        <v>0</v>
      </c>
    </row>
    <row r="669">
      <c r="A669" s="19" t="str">
        <v>捷克区</v>
      </c>
      <c r="B669" s="19" t="str">
        <v>布拉格7号仓</v>
      </c>
      <c r="C669" s="19" t="str">
        <v>理货组</v>
      </c>
      <c r="D669" s="21" t="n">
        <v>46203</v>
      </c>
      <c r="E669" s="19" t="str">
        <v>2026-06</v>
      </c>
      <c r="F669" s="19" t="str">
        <v>交运员 3.5T</v>
      </c>
      <c r="G669" s="19" t="str">
        <v>捷克区07:00-15:30 / CZ 07:00-15:30</v>
      </c>
      <c r="H669" s="19" t="str">
        <v>S000098</v>
      </c>
      <c r="I669" s="19" t="str">
        <v>PERSONALEK Plus s.r.o.</v>
      </c>
      <c r="J669" s="23" t="n">
        <v>1</v>
      </c>
      <c r="K669" s="23" t="n">
        <v>0</v>
      </c>
      <c r="L669" s="23" t="n">
        <f>J669+K669</f>
        <v>1</v>
      </c>
      <c r="M669" s="23" t="n">
        <v>1</v>
      </c>
      <c r="N669" s="23" t="n">
        <v>1</v>
      </c>
      <c r="O669" s="23" t="n">
        <v>1</v>
      </c>
      <c r="P669" s="23" t="n">
        <v>1</v>
      </c>
      <c r="Q669" s="23" t="n">
        <f>MIN(O669,P669)</f>
        <v>1</v>
      </c>
      <c r="R669" s="25" t="n">
        <f>IF(M669=0,0,MIN(1,L669/M669))</f>
        <v>1</v>
      </c>
      <c r="S669" s="23" t="n">
        <f>O669*R669</f>
        <v>1</v>
      </c>
      <c r="T669" s="23" t="n">
        <f>MIN(P669,S669)</f>
        <v>1</v>
      </c>
      <c r="U669" s="23" t="n">
        <f>O669-S669</f>
        <v>0</v>
      </c>
      <c r="V669" s="23" t="n">
        <f>MAX(P669-O669,0)</f>
        <v>0</v>
      </c>
    </row>
    <row r="670">
      <c r="A670" s="19" t="str">
        <v>捷克区</v>
      </c>
      <c r="B670" s="19" t="str">
        <v>布拉格8号仓</v>
      </c>
      <c r="C670" s="19" t="str">
        <v>入库组</v>
      </c>
      <c r="D670" s="21" t="n">
        <v>46203</v>
      </c>
      <c r="E670" s="19" t="str">
        <v>2026-06</v>
      </c>
      <c r="F670" s="19" t="str">
        <v>操作员</v>
      </c>
      <c r="G670" s="19" t="str">
        <v>捷克区07:00-15:30 / CZ 07:00-15:30</v>
      </c>
      <c r="H670" s="19" t="str">
        <v>S000098</v>
      </c>
      <c r="I670" s="19" t="str">
        <v>PERSONALEK Plus s.r.o.</v>
      </c>
      <c r="J670" s="23" t="n">
        <v>1</v>
      </c>
      <c r="K670" s="23" t="n">
        <v>0</v>
      </c>
      <c r="L670" s="23" t="n">
        <f>J670+K670</f>
        <v>1</v>
      </c>
      <c r="M670" s="23" t="n">
        <v>1</v>
      </c>
      <c r="N670" s="23" t="n">
        <v>1</v>
      </c>
      <c r="O670" s="23" t="n">
        <v>1</v>
      </c>
      <c r="P670" s="23" t="n">
        <v>1</v>
      </c>
      <c r="Q670" s="23" t="n">
        <f>MIN(O670,P670)</f>
        <v>1</v>
      </c>
      <c r="R670" s="25" t="n">
        <f>IF(M670=0,0,MIN(1,L670/M670))</f>
        <v>1</v>
      </c>
      <c r="S670" s="23" t="n">
        <f>O670*R670</f>
        <v>1</v>
      </c>
      <c r="T670" s="23" t="n">
        <f>MIN(P670,S670)</f>
        <v>1</v>
      </c>
      <c r="U670" s="23" t="n">
        <f>O670-S670</f>
        <v>0</v>
      </c>
      <c r="V670" s="23" t="n">
        <f>MAX(P670-O670,0)</f>
        <v>0</v>
      </c>
    </row>
    <row r="671">
      <c r="A671" s="19" t="str">
        <v>捷克区</v>
      </c>
      <c r="B671" s="19" t="str">
        <v>布拉格8号仓</v>
      </c>
      <c r="C671" s="19" t="str">
        <v>拣货组</v>
      </c>
      <c r="D671" s="21" t="n">
        <v>46121</v>
      </c>
      <c r="E671" s="19" t="str">
        <v>2026-04</v>
      </c>
      <c r="F671" s="19" t="str">
        <v>叉车司机</v>
      </c>
      <c r="G671" s="19" t="str">
        <v>捷克区07:00-15:30 / CZ 07:00-15:30</v>
      </c>
      <c r="H671" s="19" t="str">
        <v>S000266</v>
      </c>
      <c r="I671" s="19" t="str">
        <v>Wildenborch s.r.o.</v>
      </c>
      <c r="J671" s="23" t="n">
        <v>1</v>
      </c>
      <c r="K671" s="23" t="n">
        <v>0</v>
      </c>
      <c r="L671" s="23" t="n">
        <f>J671+K671</f>
        <v>1</v>
      </c>
      <c r="M671" s="23" t="n">
        <v>1</v>
      </c>
      <c r="N671" s="23" t="n">
        <v>1</v>
      </c>
      <c r="O671" s="23" t="n">
        <v>1</v>
      </c>
      <c r="P671" s="23" t="n">
        <v>1</v>
      </c>
      <c r="Q671" s="23" t="n">
        <f>MIN(O671,P671)</f>
        <v>1</v>
      </c>
      <c r="R671" s="25" t="n">
        <f>IF(M671=0,0,MIN(1,L671/M671))</f>
        <v>1</v>
      </c>
      <c r="S671" s="23" t="n">
        <f>O671*R671</f>
        <v>1</v>
      </c>
      <c r="T671" s="23" t="n">
        <f>MIN(P671,S671)</f>
        <v>1</v>
      </c>
      <c r="U671" s="23" t="n">
        <f>O671-S671</f>
        <v>0</v>
      </c>
      <c r="V671" s="23" t="n">
        <f>MAX(P671-O671,0)</f>
        <v>0</v>
      </c>
    </row>
    <row r="672">
      <c r="A672" s="19" t="str">
        <v>捷克区</v>
      </c>
      <c r="B672" s="19" t="str">
        <v>布拉格8号仓</v>
      </c>
      <c r="C672" s="19" t="str">
        <v>拣货组</v>
      </c>
      <c r="D672" s="21" t="n">
        <v>46132</v>
      </c>
      <c r="E672" s="19" t="str">
        <v>2026-04</v>
      </c>
      <c r="F672" s="19" t="str">
        <v>叉车司机</v>
      </c>
      <c r="G672" s="19" t="str">
        <v>捷克区07:00-15:30 / CZ 07:00-15:30</v>
      </c>
      <c r="H672" s="19" t="str">
        <v>S000317</v>
      </c>
      <c r="I672" s="19" t="str">
        <v>Středoevropská pracovní agentura s.r.o.</v>
      </c>
      <c r="J672" s="23" t="n">
        <v>2</v>
      </c>
      <c r="K672" s="23" t="n">
        <v>0</v>
      </c>
      <c r="L672" s="23" t="n">
        <f>J672+K672</f>
        <v>2</v>
      </c>
      <c r="M672" s="23" t="n">
        <v>2</v>
      </c>
      <c r="N672" s="23" t="n">
        <v>0</v>
      </c>
      <c r="O672" s="23" t="n">
        <v>2</v>
      </c>
      <c r="P672" s="23" t="n">
        <v>0</v>
      </c>
      <c r="Q672" s="23" t="n">
        <f>MIN(O672,P672)</f>
        <v>0</v>
      </c>
      <c r="R672" s="25" t="n">
        <f>IF(M672=0,0,MIN(1,L672/M672))</f>
        <v>1</v>
      </c>
      <c r="S672" s="23" t="n">
        <f>O672*R672</f>
        <v>2</v>
      </c>
      <c r="T672" s="23" t="n">
        <f>MIN(P672,S672)</f>
        <v>0</v>
      </c>
      <c r="U672" s="23" t="n">
        <f>O672-S672</f>
        <v>0</v>
      </c>
      <c r="V672" s="23" t="n">
        <f>MAX(P672-O672,0)</f>
        <v>0</v>
      </c>
    </row>
    <row r="673">
      <c r="A673" s="19" t="str">
        <v>捷克区</v>
      </c>
      <c r="B673" s="19" t="str">
        <v>布拉格8号仓</v>
      </c>
      <c r="C673" s="19" t="str">
        <v>拣货组</v>
      </c>
      <c r="D673" s="21" t="n">
        <v>46139</v>
      </c>
      <c r="E673" s="19" t="str">
        <v>2026-04</v>
      </c>
      <c r="F673" s="19" t="str">
        <v>操作员</v>
      </c>
      <c r="G673" s="19" t="str">
        <v>捷克区07:00-15:30 / CZ 07:00-15:30</v>
      </c>
      <c r="H673" s="19" t="str">
        <v>S000317</v>
      </c>
      <c r="I673" s="19" t="str">
        <v>Středoevropská pracovní agentura s.r.o.</v>
      </c>
      <c r="J673" s="23" t="n">
        <v>1</v>
      </c>
      <c r="K673" s="23" t="n">
        <v>0</v>
      </c>
      <c r="L673" s="23" t="n">
        <f>J673+K673</f>
        <v>1</v>
      </c>
      <c r="M673" s="23" t="n">
        <v>1</v>
      </c>
      <c r="N673" s="23" t="n">
        <v>1</v>
      </c>
      <c r="O673" s="23" t="n">
        <v>1</v>
      </c>
      <c r="P673" s="23" t="n">
        <v>1</v>
      </c>
      <c r="Q673" s="23" t="n">
        <f>MIN(O673,P673)</f>
        <v>1</v>
      </c>
      <c r="R673" s="25" t="n">
        <f>IF(M673=0,0,MIN(1,L673/M673))</f>
        <v>1</v>
      </c>
      <c r="S673" s="23" t="n">
        <f>O673*R673</f>
        <v>1</v>
      </c>
      <c r="T673" s="23" t="n">
        <f>MIN(P673,S673)</f>
        <v>1</v>
      </c>
      <c r="U673" s="23" t="n">
        <f>O673-S673</f>
        <v>0</v>
      </c>
      <c r="V673" s="23" t="n">
        <f>MAX(P673-O673,0)</f>
        <v>0</v>
      </c>
    </row>
    <row r="674">
      <c r="A674" s="19" t="str">
        <v>捷克区</v>
      </c>
      <c r="B674" s="19" t="str">
        <v>布拉格8号仓</v>
      </c>
      <c r="C674" s="19" t="str">
        <v>拣货组</v>
      </c>
      <c r="D674" s="21" t="n">
        <v>46178</v>
      </c>
      <c r="E674" s="19" t="str">
        <v>2026-06</v>
      </c>
      <c r="F674" s="19" t="str">
        <v>叉车司机</v>
      </c>
      <c r="G674" s="19" t="str">
        <v>捷克区07:00-15:30 / CZ 07:00-15:30</v>
      </c>
      <c r="H674" s="19" t="str">
        <v>S000098</v>
      </c>
      <c r="I674" s="19" t="str">
        <v>PERSONALEK Plus s.r.o.</v>
      </c>
      <c r="J674" s="23" t="n">
        <v>1</v>
      </c>
      <c r="K674" s="23" t="n">
        <v>0</v>
      </c>
      <c r="L674" s="23" t="n">
        <f>J674+K674</f>
        <v>1</v>
      </c>
      <c r="M674" s="23" t="n">
        <v>1</v>
      </c>
      <c r="N674" s="23" t="n">
        <v>1</v>
      </c>
      <c r="O674" s="23" t="n">
        <v>1</v>
      </c>
      <c r="P674" s="23" t="n">
        <v>1</v>
      </c>
      <c r="Q674" s="23" t="n">
        <f>MIN(O674,P674)</f>
        <v>1</v>
      </c>
      <c r="R674" s="25" t="n">
        <f>IF(M674=0,0,MIN(1,L674/M674))</f>
        <v>1</v>
      </c>
      <c r="S674" s="23" t="n">
        <f>O674*R674</f>
        <v>1</v>
      </c>
      <c r="T674" s="23" t="n">
        <f>MIN(P674,S674)</f>
        <v>1</v>
      </c>
      <c r="U674" s="23" t="n">
        <f>O674-S674</f>
        <v>0</v>
      </c>
      <c r="V674" s="23" t="n">
        <f>MAX(P674-O674,0)</f>
        <v>0</v>
      </c>
    </row>
    <row r="675">
      <c r="A675" s="19" t="str">
        <v>捷克区</v>
      </c>
      <c r="B675" s="19" t="str">
        <v>布拉格8号仓</v>
      </c>
      <c r="C675" s="19" t="str">
        <v>拣货组</v>
      </c>
      <c r="D675" s="21" t="n">
        <v>46190</v>
      </c>
      <c r="E675" s="19" t="str">
        <v>2026-06</v>
      </c>
      <c r="F675" s="19" t="str">
        <v>叉车司机</v>
      </c>
      <c r="G675" s="19" t="str">
        <v>捷克区07:00-15:30 / CZ 07:00-15:30</v>
      </c>
      <c r="H675" s="19" t="str">
        <v>S000341</v>
      </c>
      <c r="I675" s="19" t="str">
        <v>Personal work agency s.r.o.</v>
      </c>
      <c r="J675" s="23" t="n">
        <v>1</v>
      </c>
      <c r="K675" s="23" t="n">
        <v>0</v>
      </c>
      <c r="L675" s="23" t="n">
        <f>J675+K675</f>
        <v>1</v>
      </c>
      <c r="M675" s="23" t="n">
        <v>1</v>
      </c>
      <c r="N675" s="23" t="n">
        <v>1</v>
      </c>
      <c r="O675" s="23" t="n">
        <v>1</v>
      </c>
      <c r="P675" s="23" t="n">
        <v>1</v>
      </c>
      <c r="Q675" s="23" t="n">
        <f>MIN(O675,P675)</f>
        <v>1</v>
      </c>
      <c r="R675" s="25" t="n">
        <f>IF(M675=0,0,MIN(1,L675/M675))</f>
        <v>1</v>
      </c>
      <c r="S675" s="23" t="n">
        <f>O675*R675</f>
        <v>1</v>
      </c>
      <c r="T675" s="23" t="n">
        <f>MIN(P675,S675)</f>
        <v>1</v>
      </c>
      <c r="U675" s="23" t="n">
        <f>O675-S675</f>
        <v>0</v>
      </c>
      <c r="V675" s="23" t="n">
        <f>MAX(P675-O675,0)</f>
        <v>0</v>
      </c>
    </row>
    <row r="676">
      <c r="A676" s="19" t="str">
        <v>捷克区</v>
      </c>
      <c r="B676" s="19" t="str">
        <v>布拉格8号仓</v>
      </c>
      <c r="C676" s="19" t="str">
        <v>拣货组</v>
      </c>
      <c r="D676" s="21" t="n">
        <v>46191</v>
      </c>
      <c r="E676" s="19" t="str">
        <v>2026-06</v>
      </c>
      <c r="F676" s="19" t="str">
        <v>叉车司机</v>
      </c>
      <c r="G676" s="19" t="str">
        <v>捷克区07:00-15:30 / CZ 07:00-15:30</v>
      </c>
      <c r="H676" s="19" t="str">
        <v>S000341</v>
      </c>
      <c r="I676" s="19" t="str">
        <v>Personal work agency s.r.o.</v>
      </c>
      <c r="J676" s="23" t="n">
        <v>1</v>
      </c>
      <c r="K676" s="23" t="n">
        <v>0</v>
      </c>
      <c r="L676" s="23" t="n">
        <f>J676+K676</f>
        <v>1</v>
      </c>
      <c r="M676" s="23" t="n">
        <v>1</v>
      </c>
      <c r="N676" s="23" t="n">
        <v>1</v>
      </c>
      <c r="O676" s="23" t="n">
        <v>1</v>
      </c>
      <c r="P676" s="23" t="n">
        <v>1</v>
      </c>
      <c r="Q676" s="23" t="n">
        <f>MIN(O676,P676)</f>
        <v>1</v>
      </c>
      <c r="R676" s="25" t="n">
        <f>IF(M676=0,0,MIN(1,L676/M676))</f>
        <v>1</v>
      </c>
      <c r="S676" s="23" t="n">
        <f>O676*R676</f>
        <v>1</v>
      </c>
      <c r="T676" s="23" t="n">
        <f>MIN(P676,S676)</f>
        <v>1</v>
      </c>
      <c r="U676" s="23" t="n">
        <f>O676-S676</f>
        <v>0</v>
      </c>
      <c r="V676" s="23" t="n">
        <f>MAX(P676-O676,0)</f>
        <v>0</v>
      </c>
    </row>
    <row r="677">
      <c r="A677" s="19" t="str">
        <v>捷克区</v>
      </c>
      <c r="B677" s="19" t="str">
        <v>布拉格8号仓</v>
      </c>
      <c r="C677" s="19" t="str">
        <v>拣货组</v>
      </c>
      <c r="D677" s="21" t="n">
        <v>46192</v>
      </c>
      <c r="E677" s="19" t="str">
        <v>2026-06</v>
      </c>
      <c r="F677" s="19" t="str">
        <v>叉车司机</v>
      </c>
      <c r="G677" s="19" t="str">
        <v>捷克区07:00-15:30 / CZ 07:00-15:30</v>
      </c>
      <c r="H677" s="19" t="str">
        <v>S000341</v>
      </c>
      <c r="I677" s="19" t="str">
        <v>Personal work agency s.r.o.</v>
      </c>
      <c r="J677" s="23" t="n">
        <v>1</v>
      </c>
      <c r="K677" s="23" t="n">
        <v>0</v>
      </c>
      <c r="L677" s="23" t="n">
        <f>J677+K677</f>
        <v>1</v>
      </c>
      <c r="M677" s="23" t="n">
        <v>1</v>
      </c>
      <c r="N677" s="23" t="n">
        <v>1</v>
      </c>
      <c r="O677" s="23" t="n">
        <v>1</v>
      </c>
      <c r="P677" s="23" t="n">
        <v>1</v>
      </c>
      <c r="Q677" s="23" t="n">
        <f>MIN(O677,P677)</f>
        <v>1</v>
      </c>
      <c r="R677" s="25" t="n">
        <f>IF(M677=0,0,MIN(1,L677/M677))</f>
        <v>1</v>
      </c>
      <c r="S677" s="23" t="n">
        <f>O677*R677</f>
        <v>1</v>
      </c>
      <c r="T677" s="23" t="n">
        <f>MIN(P677,S677)</f>
        <v>1</v>
      </c>
      <c r="U677" s="23" t="n">
        <f>O677-S677</f>
        <v>0</v>
      </c>
      <c r="V677" s="23" t="n">
        <f>MAX(P677-O677,0)</f>
        <v>0</v>
      </c>
    </row>
    <row r="678">
      <c r="A678" s="19" t="str">
        <v>捷克区</v>
      </c>
      <c r="B678" s="19" t="str">
        <v>布拉格8号仓</v>
      </c>
      <c r="C678" s="19" t="str">
        <v>拣货组</v>
      </c>
      <c r="D678" s="21" t="n">
        <v>46193</v>
      </c>
      <c r="E678" s="19" t="str">
        <v>2026-06</v>
      </c>
      <c r="F678" s="19" t="str">
        <v>叉车司机</v>
      </c>
      <c r="G678" s="19" t="str">
        <v>捷克区07:00-15:30 / CZ 07:00-15:30</v>
      </c>
      <c r="H678" s="19" t="str">
        <v>S000341</v>
      </c>
      <c r="I678" s="19" t="str">
        <v>Personal work agency s.r.o.</v>
      </c>
      <c r="J678" s="23" t="n">
        <v>1</v>
      </c>
      <c r="K678" s="23" t="n">
        <v>0</v>
      </c>
      <c r="L678" s="23" t="n">
        <f>J678+K678</f>
        <v>1</v>
      </c>
      <c r="M678" s="23" t="n">
        <v>1</v>
      </c>
      <c r="N678" s="23" t="n">
        <v>1</v>
      </c>
      <c r="O678" s="23" t="n">
        <v>1</v>
      </c>
      <c r="P678" s="23" t="n">
        <v>1</v>
      </c>
      <c r="Q678" s="23" t="n">
        <f>MIN(O678,P678)</f>
        <v>1</v>
      </c>
      <c r="R678" s="25" t="n">
        <f>IF(M678=0,0,MIN(1,L678/M678))</f>
        <v>1</v>
      </c>
      <c r="S678" s="23" t="n">
        <f>O678*R678</f>
        <v>1</v>
      </c>
      <c r="T678" s="23" t="n">
        <f>MIN(P678,S678)</f>
        <v>1</v>
      </c>
      <c r="U678" s="23" t="n">
        <f>O678-S678</f>
        <v>0</v>
      </c>
      <c r="V678" s="23" t="n">
        <f>MAX(P678-O678,0)</f>
        <v>0</v>
      </c>
    </row>
    <row r="679">
      <c r="A679" s="19" t="str">
        <v>捷克区</v>
      </c>
      <c r="B679" s="19" t="str">
        <v>布拉格8号仓</v>
      </c>
      <c r="C679" s="19" t="str">
        <v>拣货组</v>
      </c>
      <c r="D679" s="21" t="n">
        <v>46194</v>
      </c>
      <c r="E679" s="19" t="str">
        <v>2026-06</v>
      </c>
      <c r="F679" s="19" t="str">
        <v>叉车司机</v>
      </c>
      <c r="G679" s="19" t="str">
        <v>捷克区07:00-15:30 / CZ 07:00-15:30</v>
      </c>
      <c r="H679" s="19" t="str">
        <v>S000341</v>
      </c>
      <c r="I679" s="19" t="str">
        <v>Personal work agency s.r.o.</v>
      </c>
      <c r="J679" s="23" t="n">
        <v>1</v>
      </c>
      <c r="K679" s="23" t="n">
        <v>0</v>
      </c>
      <c r="L679" s="23" t="n">
        <f>J679+K679</f>
        <v>1</v>
      </c>
      <c r="M679" s="23" t="n">
        <v>1</v>
      </c>
      <c r="N679" s="23" t="n">
        <v>1</v>
      </c>
      <c r="O679" s="23" t="n">
        <v>1</v>
      </c>
      <c r="P679" s="23" t="n">
        <v>1</v>
      </c>
      <c r="Q679" s="23" t="n">
        <f>MIN(O679,P679)</f>
        <v>1</v>
      </c>
      <c r="R679" s="25" t="n">
        <f>IF(M679=0,0,MIN(1,L679/M679))</f>
        <v>1</v>
      </c>
      <c r="S679" s="23" t="n">
        <f>O679*R679</f>
        <v>1</v>
      </c>
      <c r="T679" s="23" t="n">
        <f>MIN(P679,S679)</f>
        <v>1</v>
      </c>
      <c r="U679" s="23" t="n">
        <f>O679-S679</f>
        <v>0</v>
      </c>
      <c r="V679" s="23" t="n">
        <f>MAX(P679-O679,0)</f>
        <v>0</v>
      </c>
    </row>
    <row r="680">
      <c r="A680" s="19" t="str">
        <v>捷克区</v>
      </c>
      <c r="B680" s="19" t="str">
        <v>布拉格8号仓</v>
      </c>
      <c r="C680" s="19" t="str">
        <v>拣货组</v>
      </c>
      <c r="D680" s="21" t="n">
        <v>46195</v>
      </c>
      <c r="E680" s="19" t="str">
        <v>2026-06</v>
      </c>
      <c r="F680" s="19" t="str">
        <v>叉车司机</v>
      </c>
      <c r="G680" s="19" t="str">
        <v>捷克区07:00-15:30 / CZ 07:00-15:30</v>
      </c>
      <c r="H680" s="19" t="str">
        <v>S000341</v>
      </c>
      <c r="I680" s="19" t="str">
        <v>Personal work agency s.r.o.</v>
      </c>
      <c r="J680" s="23" t="n">
        <v>1</v>
      </c>
      <c r="K680" s="23" t="n">
        <v>0</v>
      </c>
      <c r="L680" s="23" t="n">
        <f>J680+K680</f>
        <v>1</v>
      </c>
      <c r="M680" s="23" t="n">
        <v>1</v>
      </c>
      <c r="N680" s="23" t="n">
        <v>1</v>
      </c>
      <c r="O680" s="23" t="n">
        <v>1</v>
      </c>
      <c r="P680" s="23" t="n">
        <v>1</v>
      </c>
      <c r="Q680" s="23" t="n">
        <f>MIN(O680,P680)</f>
        <v>1</v>
      </c>
      <c r="R680" s="25" t="n">
        <f>IF(M680=0,0,MIN(1,L680/M680))</f>
        <v>1</v>
      </c>
      <c r="S680" s="23" t="n">
        <f>O680*R680</f>
        <v>1</v>
      </c>
      <c r="T680" s="23" t="n">
        <f>MIN(P680,S680)</f>
        <v>1</v>
      </c>
      <c r="U680" s="23" t="n">
        <f>O680-S680</f>
        <v>0</v>
      </c>
      <c r="V680" s="23" t="n">
        <f>MAX(P680-O680,0)</f>
        <v>0</v>
      </c>
    </row>
    <row r="681">
      <c r="A681" s="19" t="str">
        <v>捷克区</v>
      </c>
      <c r="B681" s="19" t="str">
        <v>布拉格8号仓</v>
      </c>
      <c r="C681" s="19" t="str">
        <v>拣货组</v>
      </c>
      <c r="D681" s="21" t="n">
        <v>46196</v>
      </c>
      <c r="E681" s="19" t="str">
        <v>2026-06</v>
      </c>
      <c r="F681" s="19" t="str">
        <v>叉车司机</v>
      </c>
      <c r="G681" s="19" t="str">
        <v>捷克区07:00-15:30 / CZ 07:00-15:30</v>
      </c>
      <c r="H681" s="19" t="str">
        <v>S000341</v>
      </c>
      <c r="I681" s="19" t="str">
        <v>Personal work agency s.r.o.</v>
      </c>
      <c r="J681" s="23" t="n">
        <v>1</v>
      </c>
      <c r="K681" s="23" t="n">
        <v>0</v>
      </c>
      <c r="L681" s="23" t="n">
        <f>J681+K681</f>
        <v>1</v>
      </c>
      <c r="M681" s="23" t="n">
        <v>1</v>
      </c>
      <c r="N681" s="23" t="n">
        <v>1</v>
      </c>
      <c r="O681" s="23" t="n">
        <v>1</v>
      </c>
      <c r="P681" s="23" t="n">
        <v>1</v>
      </c>
      <c r="Q681" s="23" t="n">
        <f>MIN(O681,P681)</f>
        <v>1</v>
      </c>
      <c r="R681" s="25" t="n">
        <f>IF(M681=0,0,MIN(1,L681/M681))</f>
        <v>1</v>
      </c>
      <c r="S681" s="23" t="n">
        <f>O681*R681</f>
        <v>1</v>
      </c>
      <c r="T681" s="23" t="n">
        <f>MIN(P681,S681)</f>
        <v>1</v>
      </c>
      <c r="U681" s="23" t="n">
        <f>O681-S681</f>
        <v>0</v>
      </c>
      <c r="V681" s="23" t="n">
        <f>MAX(P681-O681,0)</f>
        <v>0</v>
      </c>
    </row>
    <row r="682">
      <c r="A682" s="19" t="str">
        <v>捷克区</v>
      </c>
      <c r="B682" s="19" t="str">
        <v>布拉格8号仓</v>
      </c>
      <c r="C682" s="19" t="str">
        <v>拣货组</v>
      </c>
      <c r="D682" s="21" t="n">
        <v>46197</v>
      </c>
      <c r="E682" s="19" t="str">
        <v>2026-06</v>
      </c>
      <c r="F682" s="19" t="str">
        <v>叉车司机</v>
      </c>
      <c r="G682" s="19" t="str">
        <v>捷克区07:00-15:30 / CZ 07:00-15:30</v>
      </c>
      <c r="H682" s="19" t="str">
        <v>S000341</v>
      </c>
      <c r="I682" s="19" t="str">
        <v>Personal work agency s.r.o.</v>
      </c>
      <c r="J682" s="23" t="n">
        <v>1</v>
      </c>
      <c r="K682" s="23" t="n">
        <v>0</v>
      </c>
      <c r="L682" s="23" t="n">
        <f>J682+K682</f>
        <v>1</v>
      </c>
      <c r="M682" s="23" t="n">
        <v>1</v>
      </c>
      <c r="N682" s="23" t="n">
        <v>1</v>
      </c>
      <c r="O682" s="23" t="n">
        <v>1</v>
      </c>
      <c r="P682" s="23" t="n">
        <v>1</v>
      </c>
      <c r="Q682" s="23" t="n">
        <f>MIN(O682,P682)</f>
        <v>1</v>
      </c>
      <c r="R682" s="25" t="n">
        <f>IF(M682=0,0,MIN(1,L682/M682))</f>
        <v>1</v>
      </c>
      <c r="S682" s="23" t="n">
        <f>O682*R682</f>
        <v>1</v>
      </c>
      <c r="T682" s="23" t="n">
        <f>MIN(P682,S682)</f>
        <v>1</v>
      </c>
      <c r="U682" s="23" t="n">
        <f>O682-S682</f>
        <v>0</v>
      </c>
      <c r="V682" s="23" t="n">
        <f>MAX(P682-O682,0)</f>
        <v>0</v>
      </c>
    </row>
    <row r="683">
      <c r="A683" s="19" t="str">
        <v>捷克区</v>
      </c>
      <c r="B683" s="19" t="str">
        <v>布拉格8号仓</v>
      </c>
      <c r="C683" s="19" t="str">
        <v>拣货组</v>
      </c>
      <c r="D683" s="21" t="n">
        <v>46198</v>
      </c>
      <c r="E683" s="19" t="str">
        <v>2026-06</v>
      </c>
      <c r="F683" s="19" t="str">
        <v>叉车司机</v>
      </c>
      <c r="G683" s="19" t="str">
        <v>捷克区07:00-15:30 / CZ 07:00-15:30</v>
      </c>
      <c r="H683" s="19" t="str">
        <v>S000098</v>
      </c>
      <c r="I683" s="19" t="str">
        <v>PERSONALEK Plus s.r.o.</v>
      </c>
      <c r="J683" s="23" t="n">
        <v>2</v>
      </c>
      <c r="K683" s="23" t="n">
        <v>0</v>
      </c>
      <c r="L683" s="23" t="n">
        <f>J683+K683</f>
        <v>2</v>
      </c>
      <c r="M683" s="23" t="n">
        <v>2</v>
      </c>
      <c r="N683" s="23" t="n">
        <v>2</v>
      </c>
      <c r="O683" s="23" t="n">
        <v>1</v>
      </c>
      <c r="P683" s="23" t="n">
        <v>1</v>
      </c>
      <c r="Q683" s="23" t="n">
        <f>MIN(O683,P683)</f>
        <v>1</v>
      </c>
      <c r="R683" s="25" t="n">
        <f>IF(M683=0,0,MIN(1,L683/M683))</f>
        <v>1</v>
      </c>
      <c r="S683" s="23" t="n">
        <f>O683*R683</f>
        <v>1</v>
      </c>
      <c r="T683" s="23" t="n">
        <f>MIN(P683,S683)</f>
        <v>1</v>
      </c>
      <c r="U683" s="23" t="n">
        <f>O683-S683</f>
        <v>0</v>
      </c>
      <c r="V683" s="23" t="n">
        <f>MAX(P683-O683,0)</f>
        <v>0</v>
      </c>
    </row>
    <row r="684">
      <c r="A684" s="19" t="str">
        <v>捷克区</v>
      </c>
      <c r="B684" s="19" t="str">
        <v>布拉格8号仓</v>
      </c>
      <c r="C684" s="19" t="str">
        <v>拣货组</v>
      </c>
      <c r="D684" s="21" t="n">
        <v>46198</v>
      </c>
      <c r="E684" s="19" t="str">
        <v>2026-06</v>
      </c>
      <c r="F684" s="19" t="str">
        <v>叉车司机</v>
      </c>
      <c r="G684" s="19" t="str">
        <v>捷克区07:00-15:30 / CZ 07:00-15:30</v>
      </c>
      <c r="H684" s="19" t="str">
        <v>S000341</v>
      </c>
      <c r="I684" s="19" t="str">
        <v>Personal work agency s.r.o.</v>
      </c>
      <c r="J684" s="23" t="n">
        <v>2</v>
      </c>
      <c r="K684" s="23" t="n">
        <v>0</v>
      </c>
      <c r="L684" s="23" t="n">
        <f>J684+K684</f>
        <v>2</v>
      </c>
      <c r="M684" s="23" t="n">
        <v>2</v>
      </c>
      <c r="N684" s="23" t="n">
        <v>2</v>
      </c>
      <c r="O684" s="23" t="n">
        <v>1</v>
      </c>
      <c r="P684" s="23" t="n">
        <v>1</v>
      </c>
      <c r="Q684" s="23" t="n">
        <f>MIN(O684,P684)</f>
        <v>1</v>
      </c>
      <c r="R684" s="25" t="n">
        <f>IF(M684=0,0,MIN(1,L684/M684))</f>
        <v>1</v>
      </c>
      <c r="S684" s="23" t="n">
        <f>O684*R684</f>
        <v>1</v>
      </c>
      <c r="T684" s="23" t="n">
        <f>MIN(P684,S684)</f>
        <v>1</v>
      </c>
      <c r="U684" s="23" t="n">
        <f>O684-S684</f>
        <v>0</v>
      </c>
      <c r="V684" s="23" t="n">
        <f>MAX(P684-O684,0)</f>
        <v>0</v>
      </c>
    </row>
    <row r="685">
      <c r="A685" s="19" t="str">
        <v>捷克区</v>
      </c>
      <c r="B685" s="19" t="str">
        <v>布拉格8号仓</v>
      </c>
      <c r="C685" s="19" t="str">
        <v>拣货组</v>
      </c>
      <c r="D685" s="21" t="n">
        <v>46199</v>
      </c>
      <c r="E685" s="19" t="str">
        <v>2026-06</v>
      </c>
      <c r="F685" s="19" t="str">
        <v>叉车司机</v>
      </c>
      <c r="G685" s="19" t="str">
        <v>捷克区07:00-15:30 / CZ 07:00-15:30</v>
      </c>
      <c r="H685" s="19" t="str">
        <v>S000098</v>
      </c>
      <c r="I685" s="19" t="str">
        <v>PERSONALEK Plus s.r.o.</v>
      </c>
      <c r="J685" s="23" t="n">
        <v>2</v>
      </c>
      <c r="K685" s="23" t="n">
        <v>0</v>
      </c>
      <c r="L685" s="23" t="n">
        <f>J685+K685</f>
        <v>2</v>
      </c>
      <c r="M685" s="23" t="n">
        <v>2</v>
      </c>
      <c r="N685" s="23" t="n">
        <v>2</v>
      </c>
      <c r="O685" s="23" t="n">
        <v>1</v>
      </c>
      <c r="P685" s="23" t="n">
        <v>1</v>
      </c>
      <c r="Q685" s="23" t="n">
        <f>MIN(O685,P685)</f>
        <v>1</v>
      </c>
      <c r="R685" s="25" t="n">
        <f>IF(M685=0,0,MIN(1,L685/M685))</f>
        <v>1</v>
      </c>
      <c r="S685" s="23" t="n">
        <f>O685*R685</f>
        <v>1</v>
      </c>
      <c r="T685" s="23" t="n">
        <f>MIN(P685,S685)</f>
        <v>1</v>
      </c>
      <c r="U685" s="23" t="n">
        <f>O685-S685</f>
        <v>0</v>
      </c>
      <c r="V685" s="23" t="n">
        <f>MAX(P685-O685,0)</f>
        <v>0</v>
      </c>
    </row>
    <row r="686">
      <c r="A686" s="19" t="str">
        <v>捷克区</v>
      </c>
      <c r="B686" s="19" t="str">
        <v>布拉格8号仓</v>
      </c>
      <c r="C686" s="19" t="str">
        <v>拣货组</v>
      </c>
      <c r="D686" s="21" t="n">
        <v>46199</v>
      </c>
      <c r="E686" s="19" t="str">
        <v>2026-06</v>
      </c>
      <c r="F686" s="19" t="str">
        <v>叉车司机</v>
      </c>
      <c r="G686" s="19" t="str">
        <v>捷克区07:00-15:30 / CZ 07:00-15:30</v>
      </c>
      <c r="H686" s="19" t="str">
        <v>S000341</v>
      </c>
      <c r="I686" s="19" t="str">
        <v>Personal work agency s.r.o.</v>
      </c>
      <c r="J686" s="23" t="n">
        <v>2</v>
      </c>
      <c r="K686" s="23" t="n">
        <v>0</v>
      </c>
      <c r="L686" s="23" t="n">
        <f>J686+K686</f>
        <v>2</v>
      </c>
      <c r="M686" s="23" t="n">
        <v>2</v>
      </c>
      <c r="N686" s="23" t="n">
        <v>2</v>
      </c>
      <c r="O686" s="23" t="n">
        <v>1</v>
      </c>
      <c r="P686" s="23" t="n">
        <v>1</v>
      </c>
      <c r="Q686" s="23" t="n">
        <f>MIN(O686,P686)</f>
        <v>1</v>
      </c>
      <c r="R686" s="25" t="n">
        <f>IF(M686=0,0,MIN(1,L686/M686))</f>
        <v>1</v>
      </c>
      <c r="S686" s="23" t="n">
        <f>O686*R686</f>
        <v>1</v>
      </c>
      <c r="T686" s="23" t="n">
        <f>MIN(P686,S686)</f>
        <v>1</v>
      </c>
      <c r="U686" s="23" t="n">
        <f>O686-S686</f>
        <v>0</v>
      </c>
      <c r="V686" s="23" t="n">
        <f>MAX(P686-O686,0)</f>
        <v>0</v>
      </c>
    </row>
    <row r="687">
      <c r="A687" s="19" t="str">
        <v>捷克区</v>
      </c>
      <c r="B687" s="19" t="str">
        <v>布拉格8号仓</v>
      </c>
      <c r="C687" s="19" t="str">
        <v>拣货组</v>
      </c>
      <c r="D687" s="21" t="n">
        <v>46200</v>
      </c>
      <c r="E687" s="19" t="str">
        <v>2026-06</v>
      </c>
      <c r="F687" s="19" t="str">
        <v>叉车司机</v>
      </c>
      <c r="G687" s="19" t="str">
        <v>捷克区07:00-15:30 / CZ 07:00-15:30</v>
      </c>
      <c r="H687" s="19" t="str">
        <v>S000098</v>
      </c>
      <c r="I687" s="19" t="str">
        <v>PERSONALEK Plus s.r.o.</v>
      </c>
      <c r="J687" s="23" t="n">
        <v>2</v>
      </c>
      <c r="K687" s="23" t="n">
        <v>0</v>
      </c>
      <c r="L687" s="23" t="n">
        <f>J687+K687</f>
        <v>2</v>
      </c>
      <c r="M687" s="23" t="n">
        <v>2</v>
      </c>
      <c r="N687" s="23" t="n">
        <v>2</v>
      </c>
      <c r="O687" s="23" t="n">
        <v>1</v>
      </c>
      <c r="P687" s="23" t="n">
        <v>1</v>
      </c>
      <c r="Q687" s="23" t="n">
        <f>MIN(O687,P687)</f>
        <v>1</v>
      </c>
      <c r="R687" s="25" t="n">
        <f>IF(M687=0,0,MIN(1,L687/M687))</f>
        <v>1</v>
      </c>
      <c r="S687" s="23" t="n">
        <f>O687*R687</f>
        <v>1</v>
      </c>
      <c r="T687" s="23" t="n">
        <f>MIN(P687,S687)</f>
        <v>1</v>
      </c>
      <c r="U687" s="23" t="n">
        <f>O687-S687</f>
        <v>0</v>
      </c>
      <c r="V687" s="23" t="n">
        <f>MAX(P687-O687,0)</f>
        <v>0</v>
      </c>
    </row>
    <row r="688">
      <c r="A688" s="19" t="str">
        <v>捷克区</v>
      </c>
      <c r="B688" s="19" t="str">
        <v>布拉格8号仓</v>
      </c>
      <c r="C688" s="19" t="str">
        <v>拣货组</v>
      </c>
      <c r="D688" s="21" t="n">
        <v>46200</v>
      </c>
      <c r="E688" s="19" t="str">
        <v>2026-06</v>
      </c>
      <c r="F688" s="19" t="str">
        <v>叉车司机</v>
      </c>
      <c r="G688" s="19" t="str">
        <v>捷克区07:00-15:30 / CZ 07:00-15:30</v>
      </c>
      <c r="H688" s="19" t="str">
        <v>S000341</v>
      </c>
      <c r="I688" s="19" t="str">
        <v>Personal work agency s.r.o.</v>
      </c>
      <c r="J688" s="23" t="n">
        <v>2</v>
      </c>
      <c r="K688" s="23" t="n">
        <v>0</v>
      </c>
      <c r="L688" s="23" t="n">
        <f>J688+K688</f>
        <v>2</v>
      </c>
      <c r="M688" s="23" t="n">
        <v>2</v>
      </c>
      <c r="N688" s="23" t="n">
        <v>2</v>
      </c>
      <c r="O688" s="23" t="n">
        <v>1</v>
      </c>
      <c r="P688" s="23" t="n">
        <v>1</v>
      </c>
      <c r="Q688" s="23" t="n">
        <f>MIN(O688,P688)</f>
        <v>1</v>
      </c>
      <c r="R688" s="25" t="n">
        <f>IF(M688=0,0,MIN(1,L688/M688))</f>
        <v>1</v>
      </c>
      <c r="S688" s="23" t="n">
        <f>O688*R688</f>
        <v>1</v>
      </c>
      <c r="T688" s="23" t="n">
        <f>MIN(P688,S688)</f>
        <v>1</v>
      </c>
      <c r="U688" s="23" t="n">
        <f>O688-S688</f>
        <v>0</v>
      </c>
      <c r="V688" s="23" t="n">
        <f>MAX(P688-O688,0)</f>
        <v>0</v>
      </c>
    </row>
    <row r="689">
      <c r="A689" s="19" t="str">
        <v>捷克区</v>
      </c>
      <c r="B689" s="19" t="str">
        <v>布拉格8号仓</v>
      </c>
      <c r="C689" s="19" t="str">
        <v>拣货组</v>
      </c>
      <c r="D689" s="21" t="n">
        <v>46201</v>
      </c>
      <c r="E689" s="19" t="str">
        <v>2026-06</v>
      </c>
      <c r="F689" s="19" t="str">
        <v>叉车司机</v>
      </c>
      <c r="G689" s="19" t="str">
        <v>捷克区07:00-15:30 / CZ 07:00-15:30</v>
      </c>
      <c r="H689" s="19" t="str">
        <v>S000098</v>
      </c>
      <c r="I689" s="19" t="str">
        <v>PERSONALEK Plus s.r.o.</v>
      </c>
      <c r="J689" s="23" t="n">
        <v>2</v>
      </c>
      <c r="K689" s="23" t="n">
        <v>0</v>
      </c>
      <c r="L689" s="23" t="n">
        <f>J689+K689</f>
        <v>2</v>
      </c>
      <c r="M689" s="23" t="n">
        <v>2</v>
      </c>
      <c r="N689" s="23" t="n">
        <v>2</v>
      </c>
      <c r="O689" s="23" t="n">
        <v>1</v>
      </c>
      <c r="P689" s="23" t="n">
        <v>1</v>
      </c>
      <c r="Q689" s="23" t="n">
        <f>MIN(O689,P689)</f>
        <v>1</v>
      </c>
      <c r="R689" s="25" t="n">
        <f>IF(M689=0,0,MIN(1,L689/M689))</f>
        <v>1</v>
      </c>
      <c r="S689" s="23" t="n">
        <f>O689*R689</f>
        <v>1</v>
      </c>
      <c r="T689" s="23" t="n">
        <f>MIN(P689,S689)</f>
        <v>1</v>
      </c>
      <c r="U689" s="23" t="n">
        <f>O689-S689</f>
        <v>0</v>
      </c>
      <c r="V689" s="23" t="n">
        <f>MAX(P689-O689,0)</f>
        <v>0</v>
      </c>
    </row>
    <row r="690">
      <c r="A690" s="19" t="str">
        <v>捷克区</v>
      </c>
      <c r="B690" s="19" t="str">
        <v>布拉格8号仓</v>
      </c>
      <c r="C690" s="19" t="str">
        <v>拣货组</v>
      </c>
      <c r="D690" s="21" t="n">
        <v>46201</v>
      </c>
      <c r="E690" s="19" t="str">
        <v>2026-06</v>
      </c>
      <c r="F690" s="19" t="str">
        <v>叉车司机</v>
      </c>
      <c r="G690" s="19" t="str">
        <v>捷克区07:00-15:30 / CZ 07:00-15:30</v>
      </c>
      <c r="H690" s="19" t="str">
        <v>S000341</v>
      </c>
      <c r="I690" s="19" t="str">
        <v>Personal work agency s.r.o.</v>
      </c>
      <c r="J690" s="23" t="n">
        <v>2</v>
      </c>
      <c r="K690" s="23" t="n">
        <v>0</v>
      </c>
      <c r="L690" s="23" t="n">
        <f>J690+K690</f>
        <v>2</v>
      </c>
      <c r="M690" s="23" t="n">
        <v>2</v>
      </c>
      <c r="N690" s="23" t="n">
        <v>2</v>
      </c>
      <c r="O690" s="23" t="n">
        <v>1</v>
      </c>
      <c r="P690" s="23" t="n">
        <v>1</v>
      </c>
      <c r="Q690" s="23" t="n">
        <f>MIN(O690,P690)</f>
        <v>1</v>
      </c>
      <c r="R690" s="25" t="n">
        <f>IF(M690=0,0,MIN(1,L690/M690))</f>
        <v>1</v>
      </c>
      <c r="S690" s="23" t="n">
        <f>O690*R690</f>
        <v>1</v>
      </c>
      <c r="T690" s="23" t="n">
        <f>MIN(P690,S690)</f>
        <v>1</v>
      </c>
      <c r="U690" s="23" t="n">
        <f>O690-S690</f>
        <v>0</v>
      </c>
      <c r="V690" s="23" t="n">
        <f>MAX(P690-O690,0)</f>
        <v>0</v>
      </c>
    </row>
    <row r="691">
      <c r="A691" s="19" t="str">
        <v>捷克区</v>
      </c>
      <c r="B691" s="19" t="str">
        <v>布拉格8号仓</v>
      </c>
      <c r="C691" s="19" t="str">
        <v>拣货组</v>
      </c>
      <c r="D691" s="21" t="n">
        <v>46202</v>
      </c>
      <c r="E691" s="19" t="str">
        <v>2026-06</v>
      </c>
      <c r="F691" s="19" t="str">
        <v>叉车司机</v>
      </c>
      <c r="G691" s="19" t="str">
        <v>捷克区07:00-15:30 / CZ 07:00-15:30</v>
      </c>
      <c r="H691" s="19" t="str">
        <v>S000098</v>
      </c>
      <c r="I691" s="19" t="str">
        <v>PERSONALEK Plus s.r.o.</v>
      </c>
      <c r="J691" s="23" t="n">
        <v>2</v>
      </c>
      <c r="K691" s="23" t="n">
        <v>0</v>
      </c>
      <c r="L691" s="23" t="n">
        <f>J691+K691</f>
        <v>2</v>
      </c>
      <c r="M691" s="23" t="n">
        <v>2</v>
      </c>
      <c r="N691" s="23" t="n">
        <v>2</v>
      </c>
      <c r="O691" s="23" t="n">
        <v>1</v>
      </c>
      <c r="P691" s="23" t="n">
        <v>1</v>
      </c>
      <c r="Q691" s="23" t="n">
        <f>MIN(O691,P691)</f>
        <v>1</v>
      </c>
      <c r="R691" s="25" t="n">
        <f>IF(M691=0,0,MIN(1,L691/M691))</f>
        <v>1</v>
      </c>
      <c r="S691" s="23" t="n">
        <f>O691*R691</f>
        <v>1</v>
      </c>
      <c r="T691" s="23" t="n">
        <f>MIN(P691,S691)</f>
        <v>1</v>
      </c>
      <c r="U691" s="23" t="n">
        <f>O691-S691</f>
        <v>0</v>
      </c>
      <c r="V691" s="23" t="n">
        <f>MAX(P691-O691,0)</f>
        <v>0</v>
      </c>
    </row>
    <row r="692">
      <c r="A692" s="19" t="str">
        <v>捷克区</v>
      </c>
      <c r="B692" s="19" t="str">
        <v>布拉格8号仓</v>
      </c>
      <c r="C692" s="19" t="str">
        <v>拣货组</v>
      </c>
      <c r="D692" s="21" t="n">
        <v>46202</v>
      </c>
      <c r="E692" s="19" t="str">
        <v>2026-06</v>
      </c>
      <c r="F692" s="19" t="str">
        <v>叉车司机</v>
      </c>
      <c r="G692" s="19" t="str">
        <v>捷克区07:00-15:30 / CZ 07:00-15:30</v>
      </c>
      <c r="H692" s="19" t="str">
        <v>S000341</v>
      </c>
      <c r="I692" s="19" t="str">
        <v>Personal work agency s.r.o.</v>
      </c>
      <c r="J692" s="23" t="n">
        <v>2</v>
      </c>
      <c r="K692" s="23" t="n">
        <v>0</v>
      </c>
      <c r="L692" s="23" t="n">
        <f>J692+K692</f>
        <v>2</v>
      </c>
      <c r="M692" s="23" t="n">
        <v>2</v>
      </c>
      <c r="N692" s="23" t="n">
        <v>2</v>
      </c>
      <c r="O692" s="23" t="n">
        <v>1</v>
      </c>
      <c r="P692" s="23" t="n">
        <v>1</v>
      </c>
      <c r="Q692" s="23" t="n">
        <f>MIN(O692,P692)</f>
        <v>1</v>
      </c>
      <c r="R692" s="25" t="n">
        <f>IF(M692=0,0,MIN(1,L692/M692))</f>
        <v>1</v>
      </c>
      <c r="S692" s="23" t="n">
        <f>O692*R692</f>
        <v>1</v>
      </c>
      <c r="T692" s="23" t="n">
        <f>MIN(P692,S692)</f>
        <v>1</v>
      </c>
      <c r="U692" s="23" t="n">
        <f>O692-S692</f>
        <v>0</v>
      </c>
      <c r="V692" s="23" t="n">
        <f>MAX(P692-O692,0)</f>
        <v>0</v>
      </c>
    </row>
    <row r="693">
      <c r="A693" s="19" t="str">
        <v>捷克区</v>
      </c>
      <c r="B693" s="19" t="str">
        <v>布拉格8号仓</v>
      </c>
      <c r="C693" s="19" t="str">
        <v>拣货组</v>
      </c>
      <c r="D693" s="21" t="n">
        <v>46203</v>
      </c>
      <c r="E693" s="19" t="str">
        <v>2026-06</v>
      </c>
      <c r="F693" s="19" t="str">
        <v>叉车司机</v>
      </c>
      <c r="G693" s="19" t="str">
        <v>捷克区07:00-15:30 / CZ 07:00-15:30</v>
      </c>
      <c r="H693" s="19" t="str">
        <v>S000098</v>
      </c>
      <c r="I693" s="19" t="str">
        <v>PERSONALEK Plus s.r.o.</v>
      </c>
      <c r="J693" s="23" t="n">
        <v>2</v>
      </c>
      <c r="K693" s="23" t="n">
        <v>0</v>
      </c>
      <c r="L693" s="23" t="n">
        <f>J693+K693</f>
        <v>2</v>
      </c>
      <c r="M693" s="23" t="n">
        <v>2</v>
      </c>
      <c r="N693" s="23" t="n">
        <v>2</v>
      </c>
      <c r="O693" s="23" t="n">
        <v>1</v>
      </c>
      <c r="P693" s="23" t="n">
        <v>1</v>
      </c>
      <c r="Q693" s="23" t="n">
        <f>MIN(O693,P693)</f>
        <v>1</v>
      </c>
      <c r="R693" s="25" t="n">
        <f>IF(M693=0,0,MIN(1,L693/M693))</f>
        <v>1</v>
      </c>
      <c r="S693" s="23" t="n">
        <f>O693*R693</f>
        <v>1</v>
      </c>
      <c r="T693" s="23" t="n">
        <f>MIN(P693,S693)</f>
        <v>1</v>
      </c>
      <c r="U693" s="23" t="n">
        <f>O693-S693</f>
        <v>0</v>
      </c>
      <c r="V693" s="23" t="n">
        <f>MAX(P693-O693,0)</f>
        <v>0</v>
      </c>
    </row>
    <row r="694">
      <c r="A694" s="19" t="str">
        <v>捷克区</v>
      </c>
      <c r="B694" s="19" t="str">
        <v>布拉格8号仓</v>
      </c>
      <c r="C694" s="19" t="str">
        <v>拣货组</v>
      </c>
      <c r="D694" s="21" t="n">
        <v>46203</v>
      </c>
      <c r="E694" s="19" t="str">
        <v>2026-06</v>
      </c>
      <c r="F694" s="19" t="str">
        <v>叉车司机</v>
      </c>
      <c r="G694" s="19" t="str">
        <v>捷克区07:00-15:30 / CZ 07:00-15:30</v>
      </c>
      <c r="H694" s="19" t="str">
        <v>S000341</v>
      </c>
      <c r="I694" s="19" t="str">
        <v>Personal work agency s.r.o.</v>
      </c>
      <c r="J694" s="23" t="n">
        <v>2</v>
      </c>
      <c r="K694" s="23" t="n">
        <v>0</v>
      </c>
      <c r="L694" s="23" t="n">
        <f>J694+K694</f>
        <v>2</v>
      </c>
      <c r="M694" s="23" t="n">
        <v>2</v>
      </c>
      <c r="N694" s="23" t="n">
        <v>2</v>
      </c>
      <c r="O694" s="23" t="n">
        <v>1</v>
      </c>
      <c r="P694" s="23" t="n">
        <v>1</v>
      </c>
      <c r="Q694" s="23" t="n">
        <f>MIN(O694,P694)</f>
        <v>1</v>
      </c>
      <c r="R694" s="25" t="n">
        <f>IF(M694=0,0,MIN(1,L694/M694))</f>
        <v>1</v>
      </c>
      <c r="S694" s="23" t="n">
        <f>O694*R694</f>
        <v>1</v>
      </c>
      <c r="T694" s="23" t="n">
        <f>MIN(P694,S694)</f>
        <v>1</v>
      </c>
      <c r="U694" s="23" t="n">
        <f>O694-S694</f>
        <v>0</v>
      </c>
      <c r="V694" s="23" t="n">
        <f>MAX(P694-O694,0)</f>
        <v>0</v>
      </c>
    </row>
    <row r="695">
      <c r="A695" s="19" t="str">
        <v>波兰区</v>
      </c>
      <c r="B695" s="19" t="str">
        <v>弗罗茨瓦夫3号仓(SN)</v>
      </c>
      <c r="C695" s="19" t="str">
        <v>A班组</v>
      </c>
      <c r="D695" s="21" t="n">
        <v>46114</v>
      </c>
      <c r="E695" s="19" t="str">
        <v>2026-04</v>
      </c>
      <c r="F695" s="19" t="str">
        <v>操作员</v>
      </c>
      <c r="G695" s="19" t="str">
        <v>波兰区07:00-15:15 / POL 07:00-15:15</v>
      </c>
      <c r="H695" s="19" t="str">
        <v>S000206</v>
      </c>
      <c r="I695" s="19" t="str">
        <v>Zenith Zone Sp. z o.o.</v>
      </c>
      <c r="J695" s="23" t="n">
        <v>0</v>
      </c>
      <c r="K695" s="23" t="n">
        <v>0</v>
      </c>
      <c r="L695" s="23" t="n">
        <f>J695+K695</f>
        <v>0</v>
      </c>
      <c r="M695" s="23" t="n">
        <v>5</v>
      </c>
      <c r="N695" s="23" t="n">
        <v>3</v>
      </c>
      <c r="O695" s="23" t="n">
        <v>5</v>
      </c>
      <c r="P695" s="23" t="n">
        <v>3</v>
      </c>
      <c r="Q695" s="23" t="n">
        <f>MIN(O695,P695)</f>
        <v>3</v>
      </c>
      <c r="R695" s="25" t="n">
        <f>IF(M695=0,0,MIN(1,L695/M695))</f>
        <v>0</v>
      </c>
      <c r="S695" s="23" t="n">
        <f>O695*R695</f>
        <v>0</v>
      </c>
      <c r="T695" s="23" t="n">
        <f>MIN(P695,S695)</f>
        <v>0</v>
      </c>
      <c r="U695" s="23" t="n">
        <f>O695-S695</f>
        <v>5</v>
      </c>
      <c r="V695" s="23" t="n">
        <f>MAX(P695-O695,0)</f>
        <v>0</v>
      </c>
    </row>
    <row r="696">
      <c r="A696" s="19" t="str">
        <v>波兰区</v>
      </c>
      <c r="B696" s="19" t="str">
        <v>弗罗茨瓦夫3号仓(SN)</v>
      </c>
      <c r="C696" s="19" t="str">
        <v>A班组</v>
      </c>
      <c r="D696" s="21" t="n">
        <v>46115</v>
      </c>
      <c r="E696" s="19" t="str">
        <v>2026-04</v>
      </c>
      <c r="F696" s="19" t="str">
        <v>操作员</v>
      </c>
      <c r="G696" s="19" t="str">
        <v>波兰区07:00-15:15 / POL 07:00-15:15</v>
      </c>
      <c r="H696" s="19" t="str">
        <v>S000206</v>
      </c>
      <c r="I696" s="19" t="str">
        <v>Zenith Zone Sp. z o.o.</v>
      </c>
      <c r="J696" s="23" t="n">
        <v>0</v>
      </c>
      <c r="K696" s="23" t="n">
        <v>0</v>
      </c>
      <c r="L696" s="23" t="n">
        <f>J696+K696</f>
        <v>0</v>
      </c>
      <c r="M696" s="23" t="n">
        <v>5</v>
      </c>
      <c r="N696" s="23" t="n">
        <v>3</v>
      </c>
      <c r="O696" s="23" t="n">
        <v>5</v>
      </c>
      <c r="P696" s="23" t="n">
        <v>3</v>
      </c>
      <c r="Q696" s="23" t="n">
        <f>MIN(O696,P696)</f>
        <v>3</v>
      </c>
      <c r="R696" s="25" t="n">
        <f>IF(M696=0,0,MIN(1,L696/M696))</f>
        <v>0</v>
      </c>
      <c r="S696" s="23" t="n">
        <f>O696*R696</f>
        <v>0</v>
      </c>
      <c r="T696" s="23" t="n">
        <f>MIN(P696,S696)</f>
        <v>0</v>
      </c>
      <c r="U696" s="23" t="n">
        <f>O696-S696</f>
        <v>5</v>
      </c>
      <c r="V696" s="23" t="n">
        <f>MAX(P696-O696,0)</f>
        <v>0</v>
      </c>
    </row>
    <row r="697">
      <c r="A697" s="19" t="str">
        <v>波兰区</v>
      </c>
      <c r="B697" s="19" t="str">
        <v>弗罗茨瓦夫3号仓(SN)</v>
      </c>
      <c r="C697" s="19" t="str">
        <v>A班组</v>
      </c>
      <c r="D697" s="21" t="n">
        <v>46116</v>
      </c>
      <c r="E697" s="19" t="str">
        <v>2026-04</v>
      </c>
      <c r="F697" s="19" t="str">
        <v>操作员</v>
      </c>
      <c r="G697" s="19" t="str">
        <v>波兰区07:00-15:15 / POL 07:00-15:15</v>
      </c>
      <c r="H697" s="19" t="str">
        <v>S000206</v>
      </c>
      <c r="I697" s="19" t="str">
        <v>Zenith Zone Sp. z o.o.</v>
      </c>
      <c r="J697" s="23" t="n">
        <v>0</v>
      </c>
      <c r="K697" s="23" t="n">
        <v>0</v>
      </c>
      <c r="L697" s="23" t="n">
        <f>J697+K697</f>
        <v>0</v>
      </c>
      <c r="M697" s="23" t="n">
        <v>5</v>
      </c>
      <c r="N697" s="23" t="n">
        <v>3</v>
      </c>
      <c r="O697" s="23" t="n">
        <v>5</v>
      </c>
      <c r="P697" s="23" t="n">
        <v>3</v>
      </c>
      <c r="Q697" s="23" t="n">
        <f>MIN(O697,P697)</f>
        <v>3</v>
      </c>
      <c r="R697" s="25" t="n">
        <f>IF(M697=0,0,MIN(1,L697/M697))</f>
        <v>0</v>
      </c>
      <c r="S697" s="23" t="n">
        <f>O697*R697</f>
        <v>0</v>
      </c>
      <c r="T697" s="23" t="n">
        <f>MIN(P697,S697)</f>
        <v>0</v>
      </c>
      <c r="U697" s="23" t="n">
        <f>O697-S697</f>
        <v>5</v>
      </c>
      <c r="V697" s="23" t="n">
        <f>MAX(P697-O697,0)</f>
        <v>0</v>
      </c>
    </row>
    <row r="698">
      <c r="A698" s="19" t="str">
        <v>波兰区</v>
      </c>
      <c r="B698" s="19" t="str">
        <v>弗罗茨瓦夫3号仓(SN)</v>
      </c>
      <c r="C698" s="19" t="str">
        <v>A班组</v>
      </c>
      <c r="D698" s="21" t="n">
        <v>46120</v>
      </c>
      <c r="E698" s="19" t="str">
        <v>2026-04</v>
      </c>
      <c r="F698" s="19" t="str">
        <v>操作员</v>
      </c>
      <c r="G698" s="19" t="str">
        <v>10.5小时-早班-休息不计费-含加班-Rano（06:00~16:45）</v>
      </c>
      <c r="H698" s="19" t="str">
        <v>S000201</v>
      </c>
      <c r="I698" s="19" t="str">
        <v>ATLAS WORK SPÓŁKA Z OGRANICZONĄ ODPOWIEDZIALNOŚCIĄ</v>
      </c>
      <c r="J698" s="23" t="n">
        <v>48</v>
      </c>
      <c r="K698" s="23" t="n">
        <v>0</v>
      </c>
      <c r="L698" s="23" t="n">
        <f>J698+K698</f>
        <v>48</v>
      </c>
      <c r="M698" s="23" t="n">
        <v>62</v>
      </c>
      <c r="N698" s="23" t="n">
        <v>49</v>
      </c>
      <c r="O698" s="23" t="n">
        <v>12</v>
      </c>
      <c r="P698" s="23" t="n">
        <v>8</v>
      </c>
      <c r="Q698" s="23" t="n">
        <f>MIN(O698,P698)</f>
        <v>8</v>
      </c>
      <c r="R698" s="25" t="n">
        <f>IF(M698=0,0,MIN(1,L698/M698))</f>
        <v>0.7741935483870968</v>
      </c>
      <c r="S698" s="23" t="n">
        <f>O698*R698</f>
        <v>9.29032258064516</v>
      </c>
      <c r="T698" s="23" t="n">
        <f>MIN(P698,S698)</f>
        <v>8</v>
      </c>
      <c r="U698" s="23" t="n">
        <f>O698-S698</f>
        <v>2.70967741935484</v>
      </c>
      <c r="V698" s="23" t="n">
        <f>MAX(P698-O698,0)</f>
        <v>0</v>
      </c>
    </row>
    <row r="699">
      <c r="A699" s="19" t="str">
        <v>波兰区</v>
      </c>
      <c r="B699" s="19" t="str">
        <v>弗罗茨瓦夫3号仓(SN)</v>
      </c>
      <c r="C699" s="19" t="str">
        <v>A班组</v>
      </c>
      <c r="D699" s="21" t="n">
        <v>46120</v>
      </c>
      <c r="E699" s="19" t="str">
        <v>2026-04</v>
      </c>
      <c r="F699" s="19" t="str">
        <v>操作员</v>
      </c>
      <c r="G699" s="19" t="str">
        <v>10.5小时-早班-休息不计费-含加班-Rano（06:00~16:45）</v>
      </c>
      <c r="H699" s="19" t="str">
        <v>S000207</v>
      </c>
      <c r="I699" s="19" t="str">
        <v>Niden Service Sp. z o.o.</v>
      </c>
      <c r="J699" s="23" t="n">
        <v>48</v>
      </c>
      <c r="K699" s="23" t="n">
        <v>0</v>
      </c>
      <c r="L699" s="23" t="n">
        <f>J699+K699</f>
        <v>48</v>
      </c>
      <c r="M699" s="23" t="n">
        <v>62</v>
      </c>
      <c r="N699" s="23" t="n">
        <v>49</v>
      </c>
      <c r="O699" s="23" t="n">
        <v>17</v>
      </c>
      <c r="P699" s="23" t="n">
        <v>13</v>
      </c>
      <c r="Q699" s="23" t="n">
        <f>MIN(O699,P699)</f>
        <v>13</v>
      </c>
      <c r="R699" s="25" t="n">
        <f>IF(M699=0,0,MIN(1,L699/M699))</f>
        <v>0.7741935483870968</v>
      </c>
      <c r="S699" s="23" t="n">
        <f>O699*R699</f>
        <v>13.161290322580644</v>
      </c>
      <c r="T699" s="23" t="n">
        <f>MIN(P699,S699)</f>
        <v>13</v>
      </c>
      <c r="U699" s="23" t="n">
        <f>O699-S699</f>
        <v>3.838709677419356</v>
      </c>
      <c r="V699" s="23" t="n">
        <f>MAX(P699-O699,0)</f>
        <v>0</v>
      </c>
    </row>
    <row r="700">
      <c r="A700" s="19" t="str">
        <v>波兰区</v>
      </c>
      <c r="B700" s="19" t="str">
        <v>弗罗茨瓦夫3号仓(SN)</v>
      </c>
      <c r="C700" s="19" t="str">
        <v>A班组</v>
      </c>
      <c r="D700" s="21" t="n">
        <v>46120</v>
      </c>
      <c r="E700" s="19" t="str">
        <v>2026-04</v>
      </c>
      <c r="F700" s="19" t="str">
        <v>操作员</v>
      </c>
      <c r="G700" s="19" t="str">
        <v>10.5小时-早班-休息不计费-含加班-Rano（06:00~16:45）</v>
      </c>
      <c r="H700" s="19" t="str">
        <v>S000212</v>
      </c>
      <c r="I700" s="19" t="str">
        <v>Dreman Sp. z o.o.</v>
      </c>
      <c r="J700" s="23" t="n">
        <v>48</v>
      </c>
      <c r="K700" s="23" t="n">
        <v>0</v>
      </c>
      <c r="L700" s="23" t="n">
        <f>J700+K700</f>
        <v>48</v>
      </c>
      <c r="M700" s="23" t="n">
        <v>62</v>
      </c>
      <c r="N700" s="23" t="n">
        <v>49</v>
      </c>
      <c r="O700" s="23" t="n">
        <v>12</v>
      </c>
      <c r="P700" s="23" t="n">
        <v>12</v>
      </c>
      <c r="Q700" s="23" t="n">
        <f>MIN(O700,P700)</f>
        <v>12</v>
      </c>
      <c r="R700" s="25" t="n">
        <f>IF(M700=0,0,MIN(1,L700/M700))</f>
        <v>0.7741935483870968</v>
      </c>
      <c r="S700" s="23" t="n">
        <f>O700*R700</f>
        <v>9.29032258064516</v>
      </c>
      <c r="T700" s="23" t="n">
        <f>MIN(P700,S700)</f>
        <v>9.29032258064516</v>
      </c>
      <c r="U700" s="23" t="n">
        <f>O700-S700</f>
        <v>2.70967741935484</v>
      </c>
      <c r="V700" s="23" t="n">
        <f>MAX(P700-O700,0)</f>
        <v>0</v>
      </c>
    </row>
    <row r="701">
      <c r="A701" s="19" t="str">
        <v>波兰区</v>
      </c>
      <c r="B701" s="19" t="str">
        <v>弗罗茨瓦夫3号仓(SN)</v>
      </c>
      <c r="C701" s="19" t="str">
        <v>A班组</v>
      </c>
      <c r="D701" s="21" t="n">
        <v>46120</v>
      </c>
      <c r="E701" s="19" t="str">
        <v>2026-04</v>
      </c>
      <c r="F701" s="19" t="str">
        <v>操作员</v>
      </c>
      <c r="G701" s="19" t="str">
        <v>10.5小时-早班-休息不计费-含加班-Rano（06:00~16:45）</v>
      </c>
      <c r="H701" s="19" t="str">
        <v>S000286</v>
      </c>
      <c r="I701" s="19" t="str">
        <v>Work-up sp. z o.o. sp. k.</v>
      </c>
      <c r="J701" s="23" t="n">
        <v>48</v>
      </c>
      <c r="K701" s="23" t="n">
        <v>0</v>
      </c>
      <c r="L701" s="23" t="n">
        <f>J701+K701</f>
        <v>48</v>
      </c>
      <c r="M701" s="23" t="n">
        <v>62</v>
      </c>
      <c r="N701" s="23" t="n">
        <v>49</v>
      </c>
      <c r="O701" s="23" t="n">
        <v>14</v>
      </c>
      <c r="P701" s="23" t="n">
        <v>10</v>
      </c>
      <c r="Q701" s="23" t="n">
        <f>MIN(O701,P701)</f>
        <v>10</v>
      </c>
      <c r="R701" s="25" t="n">
        <f>IF(M701=0,0,MIN(1,L701/M701))</f>
        <v>0.7741935483870968</v>
      </c>
      <c r="S701" s="23" t="n">
        <f>O701*R701</f>
        <v>10.838709677419354</v>
      </c>
      <c r="T701" s="23" t="n">
        <f>MIN(P701,S701)</f>
        <v>10</v>
      </c>
      <c r="U701" s="23" t="n">
        <f>O701-S701</f>
        <v>3.161290322580646</v>
      </c>
      <c r="V701" s="23" t="n">
        <f>MAX(P701-O701,0)</f>
        <v>0</v>
      </c>
    </row>
    <row r="702">
      <c r="A702" s="19" t="str">
        <v>波兰区</v>
      </c>
      <c r="B702" s="19" t="str">
        <v>弗罗茨瓦夫3号仓(SN)</v>
      </c>
      <c r="C702" s="19" t="str">
        <v>A班组</v>
      </c>
      <c r="D702" s="21" t="n">
        <v>46120</v>
      </c>
      <c r="E702" s="19" t="str">
        <v>2026-04</v>
      </c>
      <c r="F702" s="19" t="str">
        <v>操作员</v>
      </c>
      <c r="G702" s="19" t="str">
        <v>10.5小时-早班-休息不计费-含加班-Rano（06:00~16:45）</v>
      </c>
      <c r="H702" s="19" t="str">
        <v>S000288</v>
      </c>
      <c r="I702" s="19" t="str">
        <v>Global Solution</v>
      </c>
      <c r="J702" s="23" t="n">
        <v>48</v>
      </c>
      <c r="K702" s="23" t="n">
        <v>0</v>
      </c>
      <c r="L702" s="23" t="n">
        <f>J702+K702</f>
        <v>48</v>
      </c>
      <c r="M702" s="23" t="n">
        <v>62</v>
      </c>
      <c r="N702" s="23" t="n">
        <v>49</v>
      </c>
      <c r="O702" s="23" t="n">
        <v>7</v>
      </c>
      <c r="P702" s="23" t="n">
        <v>6</v>
      </c>
      <c r="Q702" s="23" t="n">
        <f>MIN(O702,P702)</f>
        <v>6</v>
      </c>
      <c r="R702" s="25" t="n">
        <f>IF(M702=0,0,MIN(1,L702/M702))</f>
        <v>0.7741935483870968</v>
      </c>
      <c r="S702" s="23" t="n">
        <f>O702*R702</f>
        <v>5.419354838709677</v>
      </c>
      <c r="T702" s="23" t="n">
        <f>MIN(P702,S702)</f>
        <v>5.419354838709677</v>
      </c>
      <c r="U702" s="23" t="n">
        <f>O702-S702</f>
        <v>1.580645161290323</v>
      </c>
      <c r="V702" s="23" t="n">
        <f>MAX(P702-O702,0)</f>
        <v>0</v>
      </c>
    </row>
    <row r="703">
      <c r="A703" s="19" t="str">
        <v>波兰区</v>
      </c>
      <c r="B703" s="19" t="str">
        <v>弗罗茨瓦夫3号仓(SN)</v>
      </c>
      <c r="C703" s="19" t="str">
        <v>A班组</v>
      </c>
      <c r="D703" s="21" t="n">
        <v>46126</v>
      </c>
      <c r="E703" s="19" t="str">
        <v>2026-04</v>
      </c>
      <c r="F703" s="19" t="str">
        <v>操作员</v>
      </c>
      <c r="G703" s="19" t="str">
        <v>10.5小时-晚班-休息不计费-含加班-NOC（18:00~04:45）</v>
      </c>
      <c r="H703" s="19" t="str">
        <v>S000201</v>
      </c>
      <c r="I703" s="19" t="str">
        <v>ATLAS WORK SPÓŁKA Z OGRANICZONĄ ODPOWIEDZIALNOŚCIĄ</v>
      </c>
      <c r="J703" s="23" t="n">
        <v>20</v>
      </c>
      <c r="K703" s="23" t="n">
        <v>0</v>
      </c>
      <c r="L703" s="23" t="n">
        <f>J703+K703</f>
        <v>20</v>
      </c>
      <c r="M703" s="23" t="n">
        <v>25</v>
      </c>
      <c r="N703" s="23" t="n">
        <v>25</v>
      </c>
      <c r="O703" s="23" t="n">
        <v>20</v>
      </c>
      <c r="P703" s="23" t="n">
        <v>20</v>
      </c>
      <c r="Q703" s="23" t="n">
        <f>MIN(O703,P703)</f>
        <v>20</v>
      </c>
      <c r="R703" s="25" t="n">
        <f>IF(M703=0,0,MIN(1,L703/M703))</f>
        <v>0.8</v>
      </c>
      <c r="S703" s="23" t="n">
        <f>O703*R703</f>
        <v>16</v>
      </c>
      <c r="T703" s="23" t="n">
        <f>MIN(P703,S703)</f>
        <v>16</v>
      </c>
      <c r="U703" s="23" t="n">
        <f>O703-S703</f>
        <v>4</v>
      </c>
      <c r="V703" s="23" t="n">
        <f>MAX(P703-O703,0)</f>
        <v>0</v>
      </c>
    </row>
    <row r="704">
      <c r="A704" s="19" t="str">
        <v>波兰区</v>
      </c>
      <c r="B704" s="19" t="str">
        <v>弗罗茨瓦夫3号仓(SN)</v>
      </c>
      <c r="C704" s="19" t="str">
        <v>A班组</v>
      </c>
      <c r="D704" s="21" t="n">
        <v>46126</v>
      </c>
      <c r="E704" s="19" t="str">
        <v>2026-04</v>
      </c>
      <c r="F704" s="19" t="str">
        <v>操作员</v>
      </c>
      <c r="G704" s="19" t="str">
        <v>10.5小时-晚班-休息不计费-含加班-NOC（18:00~04:45）</v>
      </c>
      <c r="H704" s="19" t="str">
        <v>S000288</v>
      </c>
      <c r="I704" s="19" t="str">
        <v>Global Solution</v>
      </c>
      <c r="J704" s="23" t="n">
        <v>20</v>
      </c>
      <c r="K704" s="23" t="n">
        <v>0</v>
      </c>
      <c r="L704" s="23" t="n">
        <f>J704+K704</f>
        <v>20</v>
      </c>
      <c r="M704" s="23" t="n">
        <v>25</v>
      </c>
      <c r="N704" s="23" t="n">
        <v>25</v>
      </c>
      <c r="O704" s="23" t="n">
        <v>5</v>
      </c>
      <c r="P704" s="23" t="n">
        <v>5</v>
      </c>
      <c r="Q704" s="23" t="n">
        <f>MIN(O704,P704)</f>
        <v>5</v>
      </c>
      <c r="R704" s="25" t="n">
        <f>IF(M704=0,0,MIN(1,L704/M704))</f>
        <v>0.8</v>
      </c>
      <c r="S704" s="23" t="n">
        <f>O704*R704</f>
        <v>4</v>
      </c>
      <c r="T704" s="23" t="n">
        <f>MIN(P704,S704)</f>
        <v>4</v>
      </c>
      <c r="U704" s="23" t="n">
        <f>O704-S704</f>
        <v>1</v>
      </c>
      <c r="V704" s="23" t="n">
        <f>MAX(P704-O704,0)</f>
        <v>0</v>
      </c>
    </row>
    <row r="705">
      <c r="A705" s="19" t="str">
        <v>波兰区</v>
      </c>
      <c r="B705" s="19" t="str">
        <v>弗罗茨瓦夫3号仓(SN)</v>
      </c>
      <c r="C705" s="19" t="str">
        <v>A班组</v>
      </c>
      <c r="D705" s="21" t="n">
        <v>46133</v>
      </c>
      <c r="E705" s="19" t="str">
        <v>2026-04</v>
      </c>
      <c r="F705" s="19" t="str">
        <v>操作员</v>
      </c>
      <c r="G705" s="19" t="str">
        <v>10.5小时-早班-休息不计费-含加班-Rano（06:00~16:45）</v>
      </c>
      <c r="H705" s="19" t="str">
        <v>S000196</v>
      </c>
      <c r="I705" s="19" t="str">
        <v>Gi Group sp. z o.o.</v>
      </c>
      <c r="J705" s="23" t="n">
        <v>25</v>
      </c>
      <c r="K705" s="23" t="n">
        <v>0</v>
      </c>
      <c r="L705" s="23" t="n">
        <f>J705+K705</f>
        <v>25</v>
      </c>
      <c r="M705" s="23" t="n">
        <v>30</v>
      </c>
      <c r="N705" s="23" t="n">
        <v>30</v>
      </c>
      <c r="O705" s="23" t="n">
        <v>18</v>
      </c>
      <c r="P705" s="23" t="n">
        <v>18</v>
      </c>
      <c r="Q705" s="23" t="n">
        <f>MIN(O705,P705)</f>
        <v>18</v>
      </c>
      <c r="R705" s="25" t="n">
        <f>IF(M705=0,0,MIN(1,L705/M705))</f>
        <v>0.8333333333333334</v>
      </c>
      <c r="S705" s="23" t="n">
        <f>O705*R705</f>
        <v>15</v>
      </c>
      <c r="T705" s="23" t="n">
        <f>MIN(P705,S705)</f>
        <v>15</v>
      </c>
      <c r="U705" s="23" t="n">
        <f>O705-S705</f>
        <v>3</v>
      </c>
      <c r="V705" s="23" t="n">
        <f>MAX(P705-O705,0)</f>
        <v>0</v>
      </c>
    </row>
    <row r="706">
      <c r="A706" s="19" t="str">
        <v>波兰区</v>
      </c>
      <c r="B706" s="19" t="str">
        <v>弗罗茨瓦夫3号仓(SN)</v>
      </c>
      <c r="C706" s="19" t="str">
        <v>A班组</v>
      </c>
      <c r="D706" s="21" t="n">
        <v>46133</v>
      </c>
      <c r="E706" s="19" t="str">
        <v>2026-04</v>
      </c>
      <c r="F706" s="19" t="str">
        <v>操作员</v>
      </c>
      <c r="G706" s="19" t="str">
        <v>10.5小时-早班-休息不计费-含加班-Rano（06:00~16:45）</v>
      </c>
      <c r="H706" s="19" t="str">
        <v>S000286</v>
      </c>
      <c r="I706" s="19" t="str">
        <v>Work-up sp. z o.o. sp. k.</v>
      </c>
      <c r="J706" s="23" t="n">
        <v>25</v>
      </c>
      <c r="K706" s="23" t="n">
        <v>0</v>
      </c>
      <c r="L706" s="23" t="n">
        <f>J706+K706</f>
        <v>25</v>
      </c>
      <c r="M706" s="23" t="n">
        <v>30</v>
      </c>
      <c r="N706" s="23" t="n">
        <v>30</v>
      </c>
      <c r="O706" s="23" t="n">
        <v>11</v>
      </c>
      <c r="P706" s="23" t="n">
        <v>11</v>
      </c>
      <c r="Q706" s="23" t="n">
        <f>MIN(O706,P706)</f>
        <v>11</v>
      </c>
      <c r="R706" s="25" t="n">
        <f>IF(M706=0,0,MIN(1,L706/M706))</f>
        <v>0.8333333333333334</v>
      </c>
      <c r="S706" s="23" t="n">
        <f>O706*R706</f>
        <v>9.166666666666668</v>
      </c>
      <c r="T706" s="23" t="n">
        <f>MIN(P706,S706)</f>
        <v>9.166666666666668</v>
      </c>
      <c r="U706" s="23" t="n">
        <f>O706-S706</f>
        <v>1.8333333333333321</v>
      </c>
      <c r="V706" s="23" t="n">
        <f>MAX(P706-O706,0)</f>
        <v>0</v>
      </c>
    </row>
    <row r="707">
      <c r="A707" s="19" t="str">
        <v>波兰区</v>
      </c>
      <c r="B707" s="19" t="str">
        <v>弗罗茨瓦夫3号仓(SN)</v>
      </c>
      <c r="C707" s="19" t="str">
        <v>A班组</v>
      </c>
      <c r="D707" s="21" t="n">
        <v>46133</v>
      </c>
      <c r="E707" s="19" t="str">
        <v>2026-04</v>
      </c>
      <c r="F707" s="19" t="str">
        <v>操作员</v>
      </c>
      <c r="G707" s="19" t="str">
        <v>10.5小时-早班-休息不计费-含加班-Rano（06:00~16:45）</v>
      </c>
      <c r="H707" s="19" t="str">
        <v>S000287</v>
      </c>
      <c r="I707" s="19" t="str">
        <v>DK Global</v>
      </c>
      <c r="J707" s="23" t="n">
        <v>25</v>
      </c>
      <c r="K707" s="23" t="n">
        <v>0</v>
      </c>
      <c r="L707" s="23" t="n">
        <f>J707+K707</f>
        <v>25</v>
      </c>
      <c r="M707" s="23" t="n">
        <v>30</v>
      </c>
      <c r="N707" s="23" t="n">
        <v>30</v>
      </c>
      <c r="O707" s="23" t="n">
        <v>1</v>
      </c>
      <c r="P707" s="23" t="n">
        <v>1</v>
      </c>
      <c r="Q707" s="23" t="n">
        <f>MIN(O707,P707)</f>
        <v>1</v>
      </c>
      <c r="R707" s="25" t="n">
        <f>IF(M707=0,0,MIN(1,L707/M707))</f>
        <v>0.8333333333333334</v>
      </c>
      <c r="S707" s="23" t="n">
        <f>O707*R707</f>
        <v>0.8333333333333334</v>
      </c>
      <c r="T707" s="23" t="n">
        <f>MIN(P707,S707)</f>
        <v>0.8333333333333334</v>
      </c>
      <c r="U707" s="23" t="n">
        <f>O707-S707</f>
        <v>0.16666666666666663</v>
      </c>
      <c r="V707" s="23" t="n">
        <f>MAX(P707-O707,0)</f>
        <v>0</v>
      </c>
    </row>
    <row r="708">
      <c r="A708" s="19" t="str">
        <v>波兰区</v>
      </c>
      <c r="B708" s="19" t="str">
        <v>弗罗茨瓦夫3号仓(SN)</v>
      </c>
      <c r="C708" s="19" t="str">
        <v>A班组</v>
      </c>
      <c r="D708" s="21" t="n">
        <v>46140</v>
      </c>
      <c r="E708" s="19" t="str">
        <v>2026-04</v>
      </c>
      <c r="F708" s="19" t="str">
        <v>操作员</v>
      </c>
      <c r="G708" s="19" t="str">
        <v>10.5小时-晚班-休息不计费-含加班-NOC（18:00~04:45）</v>
      </c>
      <c r="H708" s="19" t="str">
        <v>S000201</v>
      </c>
      <c r="I708" s="19" t="str">
        <v>ATLAS WORK SPÓŁKA Z OGRANICZONĄ ODPOWIEDZIALNOŚCIĄ</v>
      </c>
      <c r="J708" s="23" t="n">
        <v>40</v>
      </c>
      <c r="K708" s="23" t="n">
        <v>0</v>
      </c>
      <c r="L708" s="23" t="n">
        <f>J708+K708</f>
        <v>40</v>
      </c>
      <c r="M708" s="23" t="n">
        <v>58</v>
      </c>
      <c r="N708" s="23" t="n">
        <v>49</v>
      </c>
      <c r="O708" s="23" t="n">
        <v>17</v>
      </c>
      <c r="P708" s="23" t="n">
        <v>17</v>
      </c>
      <c r="Q708" s="23" t="n">
        <f>MIN(O708,P708)</f>
        <v>17</v>
      </c>
      <c r="R708" s="25" t="n">
        <f>IF(M708=0,0,MIN(1,L708/M708))</f>
        <v>0.6896551724137931</v>
      </c>
      <c r="S708" s="23" t="n">
        <f>O708*R708</f>
        <v>11.724137931034484</v>
      </c>
      <c r="T708" s="23" t="n">
        <f>MIN(P708,S708)</f>
        <v>11.724137931034484</v>
      </c>
      <c r="U708" s="23" t="n">
        <f>O708-S708</f>
        <v>5.275862068965516</v>
      </c>
      <c r="V708" s="23" t="n">
        <f>MAX(P708-O708,0)</f>
        <v>0</v>
      </c>
    </row>
    <row r="709">
      <c r="A709" s="19" t="str">
        <v>波兰区</v>
      </c>
      <c r="B709" s="19" t="str">
        <v>弗罗茨瓦夫3号仓(SN)</v>
      </c>
      <c r="C709" s="19" t="str">
        <v>A班组</v>
      </c>
      <c r="D709" s="21" t="n">
        <v>46140</v>
      </c>
      <c r="E709" s="19" t="str">
        <v>2026-04</v>
      </c>
      <c r="F709" s="19" t="str">
        <v>操作员</v>
      </c>
      <c r="G709" s="19" t="str">
        <v>10.5小时-晚班-休息不计费-含加班-NOC（18:00~04:45）</v>
      </c>
      <c r="H709" s="19" t="str">
        <v>S000212</v>
      </c>
      <c r="I709" s="19" t="str">
        <v>Dreman Sp. z o.o.</v>
      </c>
      <c r="J709" s="23" t="n">
        <v>40</v>
      </c>
      <c r="K709" s="23" t="n">
        <v>0</v>
      </c>
      <c r="L709" s="23" t="n">
        <f>J709+K709</f>
        <v>40</v>
      </c>
      <c r="M709" s="23" t="n">
        <v>58</v>
      </c>
      <c r="N709" s="23" t="n">
        <v>49</v>
      </c>
      <c r="O709" s="23" t="n">
        <v>10</v>
      </c>
      <c r="P709" s="23" t="n">
        <v>10</v>
      </c>
      <c r="Q709" s="23" t="n">
        <f>MIN(O709,P709)</f>
        <v>10</v>
      </c>
      <c r="R709" s="25" t="n">
        <f>IF(M709=0,0,MIN(1,L709/M709))</f>
        <v>0.6896551724137931</v>
      </c>
      <c r="S709" s="23" t="n">
        <f>O709*R709</f>
        <v>6.8965517241379315</v>
      </c>
      <c r="T709" s="23" t="n">
        <f>MIN(P709,S709)</f>
        <v>6.8965517241379315</v>
      </c>
      <c r="U709" s="23" t="n">
        <f>O709-S709</f>
        <v>3.1034482758620685</v>
      </c>
      <c r="V709" s="23" t="n">
        <f>MAX(P709-O709,0)</f>
        <v>0</v>
      </c>
    </row>
    <row r="710">
      <c r="A710" s="19" t="str">
        <v>波兰区</v>
      </c>
      <c r="B710" s="19" t="str">
        <v>弗罗茨瓦夫3号仓(SN)</v>
      </c>
      <c r="C710" s="19" t="str">
        <v>A班组</v>
      </c>
      <c r="D710" s="21" t="n">
        <v>46140</v>
      </c>
      <c r="E710" s="19" t="str">
        <v>2026-04</v>
      </c>
      <c r="F710" s="19" t="str">
        <v>操作员</v>
      </c>
      <c r="G710" s="19" t="str">
        <v>10.5小时-晚班-休息不计费-含加班-NOC（18:00~04:45）</v>
      </c>
      <c r="H710" s="19" t="str">
        <v>S000286</v>
      </c>
      <c r="I710" s="19" t="str">
        <v>Work-up sp. z o.o. sp. k.</v>
      </c>
      <c r="J710" s="23" t="n">
        <v>40</v>
      </c>
      <c r="K710" s="23" t="n">
        <v>0</v>
      </c>
      <c r="L710" s="23" t="n">
        <f>J710+K710</f>
        <v>40</v>
      </c>
      <c r="M710" s="23" t="n">
        <v>58</v>
      </c>
      <c r="N710" s="23" t="n">
        <v>49</v>
      </c>
      <c r="O710" s="23" t="n">
        <v>15</v>
      </c>
      <c r="P710" s="23" t="n">
        <v>10</v>
      </c>
      <c r="Q710" s="23" t="n">
        <f>MIN(O710,P710)</f>
        <v>10</v>
      </c>
      <c r="R710" s="25" t="n">
        <f>IF(M710=0,0,MIN(1,L710/M710))</f>
        <v>0.6896551724137931</v>
      </c>
      <c r="S710" s="23" t="n">
        <f>O710*R710</f>
        <v>10.344827586206897</v>
      </c>
      <c r="T710" s="23" t="n">
        <f>MIN(P710,S710)</f>
        <v>10</v>
      </c>
      <c r="U710" s="23" t="n">
        <f>O710-S710</f>
        <v>4.655172413793103</v>
      </c>
      <c r="V710" s="23" t="n">
        <f>MAX(P710-O710,0)</f>
        <v>0</v>
      </c>
    </row>
    <row r="711">
      <c r="A711" s="19" t="str">
        <v>波兰区</v>
      </c>
      <c r="B711" s="19" t="str">
        <v>弗罗茨瓦夫3号仓(SN)</v>
      </c>
      <c r="C711" s="19" t="str">
        <v>A班组</v>
      </c>
      <c r="D711" s="21" t="n">
        <v>46140</v>
      </c>
      <c r="E711" s="19" t="str">
        <v>2026-04</v>
      </c>
      <c r="F711" s="19" t="str">
        <v>操作员</v>
      </c>
      <c r="G711" s="19" t="str">
        <v>10.5小时-晚班-休息不计费-含加班-NOC（18:00~04:45）</v>
      </c>
      <c r="H711" s="19" t="str">
        <v>S000323</v>
      </c>
      <c r="I711" s="19" t="str">
        <v>PWP NIAGARA HREBENIUKOV SPÓŁKA JAWNA</v>
      </c>
      <c r="J711" s="23" t="n">
        <v>40</v>
      </c>
      <c r="K711" s="23" t="n">
        <v>0</v>
      </c>
      <c r="L711" s="23" t="n">
        <f>J711+K711</f>
        <v>40</v>
      </c>
      <c r="M711" s="23" t="n">
        <v>58</v>
      </c>
      <c r="N711" s="23" t="n">
        <v>49</v>
      </c>
      <c r="O711" s="23" t="n">
        <v>6</v>
      </c>
      <c r="P711" s="23" t="n">
        <v>6</v>
      </c>
      <c r="Q711" s="23" t="n">
        <f>MIN(O711,P711)</f>
        <v>6</v>
      </c>
      <c r="R711" s="25" t="n">
        <f>IF(M711=0,0,MIN(1,L711/M711))</f>
        <v>0.6896551724137931</v>
      </c>
      <c r="S711" s="23" t="n">
        <f>O711*R711</f>
        <v>4.137931034482759</v>
      </c>
      <c r="T711" s="23" t="n">
        <f>MIN(P711,S711)</f>
        <v>4.137931034482759</v>
      </c>
      <c r="U711" s="23" t="n">
        <f>O711-S711</f>
        <v>1.862068965517241</v>
      </c>
      <c r="V711" s="23" t="n">
        <f>MAX(P711-O711,0)</f>
        <v>0</v>
      </c>
    </row>
    <row r="712">
      <c r="A712" s="19" t="str">
        <v>波兰区</v>
      </c>
      <c r="B712" s="19" t="str">
        <v>弗罗茨瓦夫3号仓(SN)</v>
      </c>
      <c r="C712" s="19" t="str">
        <v>A班组</v>
      </c>
      <c r="D712" s="21" t="n">
        <v>46140</v>
      </c>
      <c r="E712" s="19" t="str">
        <v>2026-04</v>
      </c>
      <c r="F712" s="19" t="str">
        <v>操作员</v>
      </c>
      <c r="G712" s="19" t="str">
        <v>10.5小时-晚班-休息不计费-含加班-NOC（18:00~04:45）</v>
      </c>
      <c r="H712" s="19" t="str">
        <v>S000330</v>
      </c>
      <c r="I712" s="19" t="str">
        <v>APT CREATION</v>
      </c>
      <c r="J712" s="23" t="n">
        <v>40</v>
      </c>
      <c r="K712" s="23" t="n">
        <v>0</v>
      </c>
      <c r="L712" s="23" t="n">
        <f>J712+K712</f>
        <v>40</v>
      </c>
      <c r="M712" s="23" t="n">
        <v>58</v>
      </c>
      <c r="N712" s="23" t="n">
        <v>49</v>
      </c>
      <c r="O712" s="23" t="n">
        <v>10</v>
      </c>
      <c r="P712" s="23" t="n">
        <v>6</v>
      </c>
      <c r="Q712" s="23" t="n">
        <f>MIN(O712,P712)</f>
        <v>6</v>
      </c>
      <c r="R712" s="25" t="n">
        <f>IF(M712=0,0,MIN(1,L712/M712))</f>
        <v>0.6896551724137931</v>
      </c>
      <c r="S712" s="23" t="n">
        <f>O712*R712</f>
        <v>6.8965517241379315</v>
      </c>
      <c r="T712" s="23" t="n">
        <f>MIN(P712,S712)</f>
        <v>6</v>
      </c>
      <c r="U712" s="23" t="n">
        <f>O712-S712</f>
        <v>3.1034482758620685</v>
      </c>
      <c r="V712" s="23" t="n">
        <f>MAX(P712-O712,0)</f>
        <v>0</v>
      </c>
    </row>
    <row r="713">
      <c r="A713" s="19" t="str">
        <v>波兰区</v>
      </c>
      <c r="B713" s="19" t="str">
        <v>弗罗茨瓦夫3号仓(SN)</v>
      </c>
      <c r="C713" s="19" t="str">
        <v>A班组</v>
      </c>
      <c r="D713" s="21" t="n">
        <v>46143</v>
      </c>
      <c r="E713" s="19" t="str">
        <v>2026-05</v>
      </c>
      <c r="F713" s="19" t="str">
        <v>操作员</v>
      </c>
      <c r="G713" s="19" t="str">
        <v>10.5小时-早班-休息不计费-含加班-Rano（06:00~16:45）</v>
      </c>
      <c r="H713" s="19" t="str">
        <v>S000201</v>
      </c>
      <c r="I713" s="19" t="str">
        <v>ATLAS WORK SPÓŁKA Z OGRANICZONĄ ODPOWIEDZIALNOŚCIĄ</v>
      </c>
      <c r="J713" s="23" t="n">
        <v>40</v>
      </c>
      <c r="K713" s="23" t="n">
        <v>0</v>
      </c>
      <c r="L713" s="23" t="n">
        <f>J713+K713</f>
        <v>40</v>
      </c>
      <c r="M713" s="23" t="n">
        <v>20</v>
      </c>
      <c r="N713" s="23" t="n">
        <v>20</v>
      </c>
      <c r="O713" s="23" t="n">
        <v>11</v>
      </c>
      <c r="P713" s="23" t="n">
        <v>11</v>
      </c>
      <c r="Q713" s="23" t="n">
        <f>MIN(O713,P713)</f>
        <v>11</v>
      </c>
      <c r="R713" s="25" t="n">
        <f>IF(M713=0,0,MIN(1,L713/M713))</f>
        <v>1</v>
      </c>
      <c r="S713" s="23" t="n">
        <f>O713*R713</f>
        <v>11</v>
      </c>
      <c r="T713" s="23" t="n">
        <f>MIN(P713,S713)</f>
        <v>11</v>
      </c>
      <c r="U713" s="23" t="n">
        <f>O713-S713</f>
        <v>0</v>
      </c>
      <c r="V713" s="23" t="n">
        <f>MAX(P713-O713,0)</f>
        <v>0</v>
      </c>
    </row>
    <row r="714">
      <c r="A714" s="19" t="str">
        <v>波兰区</v>
      </c>
      <c r="B714" s="19" t="str">
        <v>弗罗茨瓦夫3号仓(SN)</v>
      </c>
      <c r="C714" s="19" t="str">
        <v>A班组</v>
      </c>
      <c r="D714" s="21" t="n">
        <v>46143</v>
      </c>
      <c r="E714" s="19" t="str">
        <v>2026-05</v>
      </c>
      <c r="F714" s="19" t="str">
        <v>操作员</v>
      </c>
      <c r="G714" s="19" t="str">
        <v>10.5小时-早班-休息不计费-含加班-Rano（06:00~16:45）</v>
      </c>
      <c r="H714" s="19" t="str">
        <v>S000212</v>
      </c>
      <c r="I714" s="19" t="str">
        <v>Dreman Sp. z o.o.</v>
      </c>
      <c r="J714" s="23" t="n">
        <v>40</v>
      </c>
      <c r="K714" s="23" t="n">
        <v>0</v>
      </c>
      <c r="L714" s="23" t="n">
        <f>J714+K714</f>
        <v>40</v>
      </c>
      <c r="M714" s="23" t="n">
        <v>20</v>
      </c>
      <c r="N714" s="23" t="n">
        <v>20</v>
      </c>
      <c r="O714" s="23" t="n">
        <v>3</v>
      </c>
      <c r="P714" s="23" t="n">
        <v>3</v>
      </c>
      <c r="Q714" s="23" t="n">
        <f>MIN(O714,P714)</f>
        <v>3</v>
      </c>
      <c r="R714" s="25" t="n">
        <f>IF(M714=0,0,MIN(1,L714/M714))</f>
        <v>1</v>
      </c>
      <c r="S714" s="23" t="n">
        <f>O714*R714</f>
        <v>3</v>
      </c>
      <c r="T714" s="23" t="n">
        <f>MIN(P714,S714)</f>
        <v>3</v>
      </c>
      <c r="U714" s="23" t="n">
        <f>O714-S714</f>
        <v>0</v>
      </c>
      <c r="V714" s="23" t="n">
        <f>MAX(P714-O714,0)</f>
        <v>0</v>
      </c>
    </row>
    <row r="715">
      <c r="A715" s="19" t="str">
        <v>波兰区</v>
      </c>
      <c r="B715" s="19" t="str">
        <v>弗罗茨瓦夫3号仓(SN)</v>
      </c>
      <c r="C715" s="19" t="str">
        <v>A班组</v>
      </c>
      <c r="D715" s="21" t="n">
        <v>46143</v>
      </c>
      <c r="E715" s="19" t="str">
        <v>2026-05</v>
      </c>
      <c r="F715" s="19" t="str">
        <v>操作员</v>
      </c>
      <c r="G715" s="19" t="str">
        <v>10.5小时-早班-休息不计费-含加班-Rano（06:00~16:45）</v>
      </c>
      <c r="H715" s="19" t="str">
        <v>S000287</v>
      </c>
      <c r="I715" s="19" t="str">
        <v>DK Global</v>
      </c>
      <c r="J715" s="23" t="n">
        <v>40</v>
      </c>
      <c r="K715" s="23" t="n">
        <v>0</v>
      </c>
      <c r="L715" s="23" t="n">
        <f>J715+K715</f>
        <v>40</v>
      </c>
      <c r="M715" s="23" t="n">
        <v>20</v>
      </c>
      <c r="N715" s="23" t="n">
        <v>20</v>
      </c>
      <c r="O715" s="23" t="n">
        <v>2</v>
      </c>
      <c r="P715" s="23" t="n">
        <v>2</v>
      </c>
      <c r="Q715" s="23" t="n">
        <f>MIN(O715,P715)</f>
        <v>2</v>
      </c>
      <c r="R715" s="25" t="n">
        <f>IF(M715=0,0,MIN(1,L715/M715))</f>
        <v>1</v>
      </c>
      <c r="S715" s="23" t="n">
        <f>O715*R715</f>
        <v>2</v>
      </c>
      <c r="T715" s="23" t="n">
        <f>MIN(P715,S715)</f>
        <v>2</v>
      </c>
      <c r="U715" s="23" t="n">
        <f>O715-S715</f>
        <v>0</v>
      </c>
      <c r="V715" s="23" t="n">
        <f>MAX(P715-O715,0)</f>
        <v>0</v>
      </c>
    </row>
    <row r="716">
      <c r="A716" s="19" t="str">
        <v>波兰区</v>
      </c>
      <c r="B716" s="19" t="str">
        <v>弗罗茨瓦夫3号仓(SN)</v>
      </c>
      <c r="C716" s="19" t="str">
        <v>A班组</v>
      </c>
      <c r="D716" s="21" t="n">
        <v>46143</v>
      </c>
      <c r="E716" s="19" t="str">
        <v>2026-05</v>
      </c>
      <c r="F716" s="19" t="str">
        <v>操作员</v>
      </c>
      <c r="G716" s="19" t="str">
        <v>10.5小时-早班-休息不计费-含加班-Rano（06:00~16:45）</v>
      </c>
      <c r="H716" s="19" t="str">
        <v>S000298</v>
      </c>
      <c r="I716" s="19" t="str">
        <v>Tez sp z o.o.</v>
      </c>
      <c r="J716" s="23" t="n">
        <v>40</v>
      </c>
      <c r="K716" s="23" t="n">
        <v>0</v>
      </c>
      <c r="L716" s="23" t="n">
        <f>J716+K716</f>
        <v>40</v>
      </c>
      <c r="M716" s="23" t="n">
        <v>20</v>
      </c>
      <c r="N716" s="23" t="n">
        <v>20</v>
      </c>
      <c r="O716" s="23" t="n">
        <v>4</v>
      </c>
      <c r="P716" s="23" t="n">
        <v>4</v>
      </c>
      <c r="Q716" s="23" t="n">
        <f>MIN(O716,P716)</f>
        <v>4</v>
      </c>
      <c r="R716" s="25" t="n">
        <f>IF(M716=0,0,MIN(1,L716/M716))</f>
        <v>1</v>
      </c>
      <c r="S716" s="23" t="n">
        <f>O716*R716</f>
        <v>4</v>
      </c>
      <c r="T716" s="23" t="n">
        <f>MIN(P716,S716)</f>
        <v>4</v>
      </c>
      <c r="U716" s="23" t="n">
        <f>O716-S716</f>
        <v>0</v>
      </c>
      <c r="V716" s="23" t="n">
        <f>MAX(P716-O716,0)</f>
        <v>0</v>
      </c>
    </row>
    <row r="717">
      <c r="A717" s="19" t="str">
        <v>波兰区</v>
      </c>
      <c r="B717" s="19" t="str">
        <v>弗罗茨瓦夫3号仓(SN)</v>
      </c>
      <c r="C717" s="19" t="str">
        <v>A班组</v>
      </c>
      <c r="D717" s="21" t="n">
        <v>46147</v>
      </c>
      <c r="E717" s="19" t="str">
        <v>2026-05</v>
      </c>
      <c r="F717" s="19" t="str">
        <v>操作员</v>
      </c>
      <c r="G717" s="19" t="str">
        <v>10.5小时-早班-休息不计费-含加班-Rano（06:00~16:45）</v>
      </c>
      <c r="H717" s="19" t="str">
        <v>S000196</v>
      </c>
      <c r="I717" s="19" t="str">
        <v>Gi Group sp. z o.o.</v>
      </c>
      <c r="J717" s="23" t="n">
        <v>50</v>
      </c>
      <c r="K717" s="23" t="n">
        <v>0</v>
      </c>
      <c r="L717" s="23" t="n">
        <f>J717+K717</f>
        <v>50</v>
      </c>
      <c r="M717" s="23" t="n">
        <v>62</v>
      </c>
      <c r="N717" s="23" t="n">
        <v>35</v>
      </c>
      <c r="O717" s="23" t="n">
        <v>3</v>
      </c>
      <c r="P717" s="23" t="n">
        <v>0</v>
      </c>
      <c r="Q717" s="23" t="n">
        <f>MIN(O717,P717)</f>
        <v>0</v>
      </c>
      <c r="R717" s="25" t="n">
        <f>IF(M717=0,0,MIN(1,L717/M717))</f>
        <v>0.8064516129032258</v>
      </c>
      <c r="S717" s="23" t="n">
        <f>O717*R717</f>
        <v>2.419354838709677</v>
      </c>
      <c r="T717" s="23" t="n">
        <f>MIN(P717,S717)</f>
        <v>0</v>
      </c>
      <c r="U717" s="23" t="n">
        <f>O717-S717</f>
        <v>0.580645161290323</v>
      </c>
      <c r="V717" s="23" t="n">
        <f>MAX(P717-O717,0)</f>
        <v>0</v>
      </c>
    </row>
    <row r="718">
      <c r="A718" s="19" t="str">
        <v>波兰区</v>
      </c>
      <c r="B718" s="19" t="str">
        <v>弗罗茨瓦夫3号仓(SN)</v>
      </c>
      <c r="C718" s="19" t="str">
        <v>A班组</v>
      </c>
      <c r="D718" s="21" t="n">
        <v>46147</v>
      </c>
      <c r="E718" s="19" t="str">
        <v>2026-05</v>
      </c>
      <c r="F718" s="19" t="str">
        <v>操作员</v>
      </c>
      <c r="G718" s="19" t="str">
        <v>10.5小时-早班-休息不计费-含加班-Rano（06:00~16:45）</v>
      </c>
      <c r="H718" s="19" t="str">
        <v>S000201</v>
      </c>
      <c r="I718" s="19" t="str">
        <v>ATLAS WORK SPÓŁKA Z OGRANICZONĄ ODPOWIEDZIALNOŚCIĄ</v>
      </c>
      <c r="J718" s="23" t="n">
        <v>50</v>
      </c>
      <c r="K718" s="23" t="n">
        <v>0</v>
      </c>
      <c r="L718" s="23" t="n">
        <f>J718+K718</f>
        <v>50</v>
      </c>
      <c r="M718" s="23" t="n">
        <v>62</v>
      </c>
      <c r="N718" s="23" t="n">
        <v>35</v>
      </c>
      <c r="O718" s="23" t="n">
        <v>15</v>
      </c>
      <c r="P718" s="23" t="n">
        <v>0</v>
      </c>
      <c r="Q718" s="23" t="n">
        <f>MIN(O718,P718)</f>
        <v>0</v>
      </c>
      <c r="R718" s="25" t="n">
        <f>IF(M718=0,0,MIN(1,L718/M718))</f>
        <v>0.8064516129032258</v>
      </c>
      <c r="S718" s="23" t="n">
        <f>O718*R718</f>
        <v>12.096774193548386</v>
      </c>
      <c r="T718" s="23" t="n">
        <f>MIN(P718,S718)</f>
        <v>0</v>
      </c>
      <c r="U718" s="23" t="n">
        <f>O718-S718</f>
        <v>2.903225806451614</v>
      </c>
      <c r="V718" s="23" t="n">
        <f>MAX(P718-O718,0)</f>
        <v>0</v>
      </c>
    </row>
    <row r="719">
      <c r="A719" s="19" t="str">
        <v>波兰区</v>
      </c>
      <c r="B719" s="19" t="str">
        <v>弗罗茨瓦夫3号仓(SN)</v>
      </c>
      <c r="C719" s="19" t="str">
        <v>A班组</v>
      </c>
      <c r="D719" s="21" t="n">
        <v>46147</v>
      </c>
      <c r="E719" s="19" t="str">
        <v>2026-05</v>
      </c>
      <c r="F719" s="19" t="str">
        <v>操作员</v>
      </c>
      <c r="G719" s="19" t="str">
        <v>10.5小时-早班-休息不计费-含加班-Rano（06:00~16:45）</v>
      </c>
      <c r="H719" s="19" t="str">
        <v>S000212</v>
      </c>
      <c r="I719" s="19" t="str">
        <v>Dreman Sp. z o.o.</v>
      </c>
      <c r="J719" s="23" t="n">
        <v>50</v>
      </c>
      <c r="K719" s="23" t="n">
        <v>0</v>
      </c>
      <c r="L719" s="23" t="n">
        <f>J719+K719</f>
        <v>50</v>
      </c>
      <c r="M719" s="23" t="n">
        <v>62</v>
      </c>
      <c r="N719" s="23" t="n">
        <v>35</v>
      </c>
      <c r="O719" s="23" t="n">
        <v>10</v>
      </c>
      <c r="P719" s="23" t="n">
        <v>4</v>
      </c>
      <c r="Q719" s="23" t="n">
        <f>MIN(O719,P719)</f>
        <v>4</v>
      </c>
      <c r="R719" s="25" t="n">
        <f>IF(M719=0,0,MIN(1,L719/M719))</f>
        <v>0.8064516129032258</v>
      </c>
      <c r="S719" s="23" t="n">
        <f>O719*R719</f>
        <v>8.064516129032258</v>
      </c>
      <c r="T719" s="23" t="n">
        <f>MIN(P719,S719)</f>
        <v>4</v>
      </c>
      <c r="U719" s="23" t="n">
        <f>O719-S719</f>
        <v>1.935483870967742</v>
      </c>
      <c r="V719" s="23" t="n">
        <f>MAX(P719-O719,0)</f>
        <v>0</v>
      </c>
    </row>
    <row r="720">
      <c r="A720" s="19" t="str">
        <v>波兰区</v>
      </c>
      <c r="B720" s="19" t="str">
        <v>弗罗茨瓦夫3号仓(SN)</v>
      </c>
      <c r="C720" s="19" t="str">
        <v>A班组</v>
      </c>
      <c r="D720" s="21" t="n">
        <v>46147</v>
      </c>
      <c r="E720" s="19" t="str">
        <v>2026-05</v>
      </c>
      <c r="F720" s="19" t="str">
        <v>操作员</v>
      </c>
      <c r="G720" s="19" t="str">
        <v>10.5小时-早班-休息不计费-含加班-Rano（06:00~16:45）</v>
      </c>
      <c r="H720" s="19" t="str">
        <v>S000286</v>
      </c>
      <c r="I720" s="19" t="str">
        <v>Work-up sp. z o.o. sp. k.</v>
      </c>
      <c r="J720" s="23" t="n">
        <v>50</v>
      </c>
      <c r="K720" s="23" t="n">
        <v>0</v>
      </c>
      <c r="L720" s="23" t="n">
        <f>J720+K720</f>
        <v>50</v>
      </c>
      <c r="M720" s="23" t="n">
        <v>62</v>
      </c>
      <c r="N720" s="23" t="n">
        <v>35</v>
      </c>
      <c r="O720" s="23" t="n">
        <v>17</v>
      </c>
      <c r="P720" s="23" t="n">
        <v>14</v>
      </c>
      <c r="Q720" s="23" t="n">
        <f>MIN(O720,P720)</f>
        <v>14</v>
      </c>
      <c r="R720" s="25" t="n">
        <f>IF(M720=0,0,MIN(1,L720/M720))</f>
        <v>0.8064516129032258</v>
      </c>
      <c r="S720" s="23" t="n">
        <f>O720*R720</f>
        <v>13.709677419354838</v>
      </c>
      <c r="T720" s="23" t="n">
        <f>MIN(P720,S720)</f>
        <v>13.709677419354838</v>
      </c>
      <c r="U720" s="23" t="n">
        <f>O720-S720</f>
        <v>3.290322580645162</v>
      </c>
      <c r="V720" s="23" t="n">
        <f>MAX(P720-O720,0)</f>
        <v>0</v>
      </c>
    </row>
    <row r="721">
      <c r="A721" s="19" t="str">
        <v>波兰区</v>
      </c>
      <c r="B721" s="19" t="str">
        <v>弗罗茨瓦夫3号仓(SN)</v>
      </c>
      <c r="C721" s="19" t="str">
        <v>A班组</v>
      </c>
      <c r="D721" s="21" t="n">
        <v>46147</v>
      </c>
      <c r="E721" s="19" t="str">
        <v>2026-05</v>
      </c>
      <c r="F721" s="19" t="str">
        <v>操作员</v>
      </c>
      <c r="G721" s="19" t="str">
        <v>10.5小时-早班-休息不计费-含加班-Rano（06:00~16:45）</v>
      </c>
      <c r="H721" s="19" t="str">
        <v>S000298</v>
      </c>
      <c r="I721" s="19" t="str">
        <v>Tez sp z o.o.</v>
      </c>
      <c r="J721" s="23" t="n">
        <v>50</v>
      </c>
      <c r="K721" s="23" t="n">
        <v>0</v>
      </c>
      <c r="L721" s="23" t="n">
        <f>J721+K721</f>
        <v>50</v>
      </c>
      <c r="M721" s="23" t="n">
        <v>62</v>
      </c>
      <c r="N721" s="23" t="n">
        <v>35</v>
      </c>
      <c r="O721" s="23" t="n">
        <v>11</v>
      </c>
      <c r="P721" s="23" t="n">
        <v>11</v>
      </c>
      <c r="Q721" s="23" t="n">
        <f>MIN(O721,P721)</f>
        <v>11</v>
      </c>
      <c r="R721" s="25" t="n">
        <f>IF(M721=0,0,MIN(1,L721/M721))</f>
        <v>0.8064516129032258</v>
      </c>
      <c r="S721" s="23" t="n">
        <f>O721*R721</f>
        <v>8.870967741935484</v>
      </c>
      <c r="T721" s="23" t="n">
        <f>MIN(P721,S721)</f>
        <v>8.870967741935484</v>
      </c>
      <c r="U721" s="23" t="n">
        <f>O721-S721</f>
        <v>2.129032258064516</v>
      </c>
      <c r="V721" s="23" t="n">
        <f>MAX(P721-O721,0)</f>
        <v>0</v>
      </c>
    </row>
    <row r="722">
      <c r="A722" s="19" t="str">
        <v>波兰区</v>
      </c>
      <c r="B722" s="19" t="str">
        <v>弗罗茨瓦夫3号仓(SN)</v>
      </c>
      <c r="C722" s="19" t="str">
        <v>A班组</v>
      </c>
      <c r="D722" s="21" t="n">
        <v>46147</v>
      </c>
      <c r="E722" s="19" t="str">
        <v>2026-05</v>
      </c>
      <c r="F722" s="19" t="str">
        <v>操作员</v>
      </c>
      <c r="G722" s="19" t="str">
        <v>10.5小时-早班-休息不计费-含加班-Rano（06:00~16:45）</v>
      </c>
      <c r="H722" s="19" t="str">
        <v>S000323</v>
      </c>
      <c r="I722" s="19" t="str">
        <v>PWP NIAGARA HREBENIUKOV SPÓŁKA JAWNA</v>
      </c>
      <c r="J722" s="23" t="n">
        <v>50</v>
      </c>
      <c r="K722" s="23" t="n">
        <v>0</v>
      </c>
      <c r="L722" s="23" t="n">
        <f>J722+K722</f>
        <v>50</v>
      </c>
      <c r="M722" s="23" t="n">
        <v>62</v>
      </c>
      <c r="N722" s="23" t="n">
        <v>35</v>
      </c>
      <c r="O722" s="23" t="n">
        <v>6</v>
      </c>
      <c r="P722" s="23" t="n">
        <v>6</v>
      </c>
      <c r="Q722" s="23" t="n">
        <f>MIN(O722,P722)</f>
        <v>6</v>
      </c>
      <c r="R722" s="25" t="n">
        <f>IF(M722=0,0,MIN(1,L722/M722))</f>
        <v>0.8064516129032258</v>
      </c>
      <c r="S722" s="23" t="n">
        <f>O722*R722</f>
        <v>4.838709677419354</v>
      </c>
      <c r="T722" s="23" t="n">
        <f>MIN(P722,S722)</f>
        <v>4.838709677419354</v>
      </c>
      <c r="U722" s="23" t="n">
        <f>O722-S722</f>
        <v>1.161290322580646</v>
      </c>
      <c r="V722" s="23" t="n">
        <f>MAX(P722-O722,0)</f>
        <v>0</v>
      </c>
    </row>
    <row r="723">
      <c r="A723" s="19" t="str">
        <v>波兰区</v>
      </c>
      <c r="B723" s="19" t="str">
        <v>弗罗茨瓦夫3号仓(SN)</v>
      </c>
      <c r="C723" s="19" t="str">
        <v>A班组</v>
      </c>
      <c r="D723" s="21" t="n">
        <v>46150</v>
      </c>
      <c r="E723" s="19" t="str">
        <v>2026-05</v>
      </c>
      <c r="F723" s="19" t="str">
        <v>操作员</v>
      </c>
      <c r="G723" s="19" t="str">
        <v>10.5小时-晚班-休息不计费-含加班-NOC（18:00~04:45）</v>
      </c>
      <c r="H723" s="19" t="str">
        <v>S000201</v>
      </c>
      <c r="I723" s="19" t="str">
        <v>ATLAS WORK SPÓŁKA Z OGRANICZONĄ ODPOWIEDZIALNOŚCIĄ</v>
      </c>
      <c r="J723" s="23" t="n">
        <v>20</v>
      </c>
      <c r="K723" s="23" t="n">
        <v>0</v>
      </c>
      <c r="L723" s="23" t="n">
        <f>J723+K723</f>
        <v>20</v>
      </c>
      <c r="M723" s="23" t="n">
        <v>22</v>
      </c>
      <c r="N723" s="23" t="n">
        <v>22</v>
      </c>
      <c r="O723" s="23" t="n">
        <v>11</v>
      </c>
      <c r="P723" s="23" t="n">
        <v>11</v>
      </c>
      <c r="Q723" s="23" t="n">
        <f>MIN(O723,P723)</f>
        <v>11</v>
      </c>
      <c r="R723" s="25" t="n">
        <f>IF(M723=0,0,MIN(1,L723/M723))</f>
        <v>0.9090909090909091</v>
      </c>
      <c r="S723" s="23" t="n">
        <f>O723*R723</f>
        <v>10</v>
      </c>
      <c r="T723" s="23" t="n">
        <f>MIN(P723,S723)</f>
        <v>10</v>
      </c>
      <c r="U723" s="23" t="n">
        <f>O723-S723</f>
        <v>1</v>
      </c>
      <c r="V723" s="23" t="n">
        <f>MAX(P723-O723,0)</f>
        <v>0</v>
      </c>
    </row>
    <row r="724">
      <c r="A724" s="19" t="str">
        <v>波兰区</v>
      </c>
      <c r="B724" s="19" t="str">
        <v>弗罗茨瓦夫3号仓(SN)</v>
      </c>
      <c r="C724" s="19" t="str">
        <v>A班组</v>
      </c>
      <c r="D724" s="21" t="n">
        <v>46150</v>
      </c>
      <c r="E724" s="19" t="str">
        <v>2026-05</v>
      </c>
      <c r="F724" s="19" t="str">
        <v>操作员</v>
      </c>
      <c r="G724" s="19" t="str">
        <v>10.5小时-晚班-休息不计费-含加班-NOC（18:00~04:45）</v>
      </c>
      <c r="H724" s="19" t="str">
        <v>S000286</v>
      </c>
      <c r="I724" s="19" t="str">
        <v>Work-up sp. z o.o. sp. k.</v>
      </c>
      <c r="J724" s="23" t="n">
        <v>20</v>
      </c>
      <c r="K724" s="23" t="n">
        <v>0</v>
      </c>
      <c r="L724" s="23" t="n">
        <f>J724+K724</f>
        <v>20</v>
      </c>
      <c r="M724" s="23" t="n">
        <v>22</v>
      </c>
      <c r="N724" s="23" t="n">
        <v>22</v>
      </c>
      <c r="O724" s="23" t="n">
        <v>11</v>
      </c>
      <c r="P724" s="23" t="n">
        <v>11</v>
      </c>
      <c r="Q724" s="23" t="n">
        <f>MIN(O724,P724)</f>
        <v>11</v>
      </c>
      <c r="R724" s="25" t="n">
        <f>IF(M724=0,0,MIN(1,L724/M724))</f>
        <v>0.9090909090909091</v>
      </c>
      <c r="S724" s="23" t="n">
        <f>O724*R724</f>
        <v>10</v>
      </c>
      <c r="T724" s="23" t="n">
        <f>MIN(P724,S724)</f>
        <v>10</v>
      </c>
      <c r="U724" s="23" t="n">
        <f>O724-S724</f>
        <v>1</v>
      </c>
      <c r="V724" s="23" t="n">
        <f>MAX(P724-O724,0)</f>
        <v>0</v>
      </c>
    </row>
    <row r="725">
      <c r="A725" s="19" t="str">
        <v>波兰区</v>
      </c>
      <c r="B725" s="19" t="str">
        <v>弗罗茨瓦夫3号仓(SN)</v>
      </c>
      <c r="C725" s="19" t="str">
        <v>A班组</v>
      </c>
      <c r="D725" s="21" t="n">
        <v>46156</v>
      </c>
      <c r="E725" s="19" t="str">
        <v>2026-05</v>
      </c>
      <c r="F725" s="19" t="str">
        <v>操作员</v>
      </c>
      <c r="G725" s="19" t="str">
        <v>10.5小时-早班-休息不计费-含加班-Rano（06:00~16:45）</v>
      </c>
      <c r="H725" s="19" t="str">
        <v>S000196</v>
      </c>
      <c r="I725" s="19" t="str">
        <v>Gi Group sp. z o.o.</v>
      </c>
      <c r="J725" s="23" t="n">
        <v>50</v>
      </c>
      <c r="K725" s="23" t="n">
        <v>0</v>
      </c>
      <c r="L725" s="23" t="n">
        <f>J725+K725</f>
        <v>50</v>
      </c>
      <c r="M725" s="23" t="n">
        <v>87</v>
      </c>
      <c r="N725" s="23" t="n">
        <v>35</v>
      </c>
      <c r="O725" s="23" t="n">
        <v>15</v>
      </c>
      <c r="P725" s="23" t="n">
        <v>3</v>
      </c>
      <c r="Q725" s="23" t="n">
        <f>MIN(O725,P725)</f>
        <v>3</v>
      </c>
      <c r="R725" s="25" t="n">
        <f>IF(M725=0,0,MIN(1,L725/M725))</f>
        <v>0.5747126436781609</v>
      </c>
      <c r="S725" s="23" t="n">
        <f>O725*R725</f>
        <v>8.620689655172413</v>
      </c>
      <c r="T725" s="23" t="n">
        <f>MIN(P725,S725)</f>
        <v>3</v>
      </c>
      <c r="U725" s="23" t="n">
        <f>O725-S725</f>
        <v>6.379310344827587</v>
      </c>
      <c r="V725" s="23" t="n">
        <f>MAX(P725-O725,0)</f>
        <v>0</v>
      </c>
    </row>
    <row r="726">
      <c r="A726" s="19" t="str">
        <v>波兰区</v>
      </c>
      <c r="B726" s="19" t="str">
        <v>弗罗茨瓦夫3号仓(SN)</v>
      </c>
      <c r="C726" s="19" t="str">
        <v>A班组</v>
      </c>
      <c r="D726" s="21" t="n">
        <v>46156</v>
      </c>
      <c r="E726" s="19" t="str">
        <v>2026-05</v>
      </c>
      <c r="F726" s="19" t="str">
        <v>操作员</v>
      </c>
      <c r="G726" s="19" t="str">
        <v>10.5小时-早班-休息不计费-含加班-Rano（06:00~16:45）</v>
      </c>
      <c r="H726" s="19" t="str">
        <v>S000201</v>
      </c>
      <c r="I726" s="19" t="str">
        <v>ATLAS WORK SPÓŁKA Z OGRANICZONĄ ODPOWIEDZIALNOŚCIĄ</v>
      </c>
      <c r="J726" s="23" t="n">
        <v>50</v>
      </c>
      <c r="K726" s="23" t="n">
        <v>0</v>
      </c>
      <c r="L726" s="23" t="n">
        <f>J726+K726</f>
        <v>50</v>
      </c>
      <c r="M726" s="23" t="n">
        <v>87</v>
      </c>
      <c r="N726" s="23" t="n">
        <v>35</v>
      </c>
      <c r="O726" s="23" t="n">
        <v>12</v>
      </c>
      <c r="P726" s="23" t="n">
        <v>0</v>
      </c>
      <c r="Q726" s="23" t="n">
        <f>MIN(O726,P726)</f>
        <v>0</v>
      </c>
      <c r="R726" s="25" t="n">
        <f>IF(M726=0,0,MIN(1,L726/M726))</f>
        <v>0.5747126436781609</v>
      </c>
      <c r="S726" s="23" t="n">
        <f>O726*R726</f>
        <v>6.896551724137931</v>
      </c>
      <c r="T726" s="23" t="n">
        <f>MIN(P726,S726)</f>
        <v>0</v>
      </c>
      <c r="U726" s="23" t="n">
        <f>O726-S726</f>
        <v>5.103448275862069</v>
      </c>
      <c r="V726" s="23" t="n">
        <f>MAX(P726-O726,0)</f>
        <v>0</v>
      </c>
    </row>
    <row r="727">
      <c r="A727" s="19" t="str">
        <v>波兰区</v>
      </c>
      <c r="B727" s="19" t="str">
        <v>弗罗茨瓦夫3号仓(SN)</v>
      </c>
      <c r="C727" s="19" t="str">
        <v>A班组</v>
      </c>
      <c r="D727" s="21" t="n">
        <v>46156</v>
      </c>
      <c r="E727" s="19" t="str">
        <v>2026-05</v>
      </c>
      <c r="F727" s="19" t="str">
        <v>操作员</v>
      </c>
      <c r="G727" s="19" t="str">
        <v>10.5小时-早班-休息不计费-含加班-Rano（06:00~16:45）</v>
      </c>
      <c r="H727" s="19" t="str">
        <v>S000206</v>
      </c>
      <c r="I727" s="19" t="str">
        <v>Zenith Zone Sp. z o.o.</v>
      </c>
      <c r="J727" s="23" t="n">
        <v>50</v>
      </c>
      <c r="K727" s="23" t="n">
        <v>0</v>
      </c>
      <c r="L727" s="23" t="n">
        <f>J727+K727</f>
        <v>50</v>
      </c>
      <c r="M727" s="23" t="n">
        <v>87</v>
      </c>
      <c r="N727" s="23" t="n">
        <v>35</v>
      </c>
      <c r="O727" s="23" t="n">
        <v>10</v>
      </c>
      <c r="P727" s="23" t="n">
        <v>5</v>
      </c>
      <c r="Q727" s="23" t="n">
        <f>MIN(O727,P727)</f>
        <v>5</v>
      </c>
      <c r="R727" s="25" t="n">
        <f>IF(M727=0,0,MIN(1,L727/M727))</f>
        <v>0.5747126436781609</v>
      </c>
      <c r="S727" s="23" t="n">
        <f>O727*R727</f>
        <v>5.747126436781609</v>
      </c>
      <c r="T727" s="23" t="n">
        <f>MIN(P727,S727)</f>
        <v>5</v>
      </c>
      <c r="U727" s="23" t="n">
        <f>O727-S727</f>
        <v>4.252873563218391</v>
      </c>
      <c r="V727" s="23" t="n">
        <f>MAX(P727-O727,0)</f>
        <v>0</v>
      </c>
    </row>
    <row r="728">
      <c r="A728" s="19" t="str">
        <v>波兰区</v>
      </c>
      <c r="B728" s="19" t="str">
        <v>弗罗茨瓦夫3号仓(SN)</v>
      </c>
      <c r="C728" s="19" t="str">
        <v>A班组</v>
      </c>
      <c r="D728" s="21" t="n">
        <v>46156</v>
      </c>
      <c r="E728" s="19" t="str">
        <v>2026-05</v>
      </c>
      <c r="F728" s="19" t="str">
        <v>操作员</v>
      </c>
      <c r="G728" s="19" t="str">
        <v>10.5小时-早班-休息不计费-含加班-Rano（06:00~16:45）</v>
      </c>
      <c r="H728" s="19" t="str">
        <v>S000286</v>
      </c>
      <c r="I728" s="19" t="str">
        <v>Work-up sp. z o.o. sp. k.</v>
      </c>
      <c r="J728" s="23" t="n">
        <v>50</v>
      </c>
      <c r="K728" s="23" t="n">
        <v>0</v>
      </c>
      <c r="L728" s="23" t="n">
        <f>J728+K728</f>
        <v>50</v>
      </c>
      <c r="M728" s="23" t="n">
        <v>87</v>
      </c>
      <c r="N728" s="23" t="n">
        <v>35</v>
      </c>
      <c r="O728" s="23" t="n">
        <v>20</v>
      </c>
      <c r="P728" s="23" t="n">
        <v>11</v>
      </c>
      <c r="Q728" s="23" t="n">
        <f>MIN(O728,P728)</f>
        <v>11</v>
      </c>
      <c r="R728" s="25" t="n">
        <f>IF(M728=0,0,MIN(1,L728/M728))</f>
        <v>0.5747126436781609</v>
      </c>
      <c r="S728" s="23" t="n">
        <f>O728*R728</f>
        <v>11.494252873563218</v>
      </c>
      <c r="T728" s="23" t="n">
        <f>MIN(P728,S728)</f>
        <v>11</v>
      </c>
      <c r="U728" s="23" t="n">
        <f>O728-S728</f>
        <v>8.505747126436782</v>
      </c>
      <c r="V728" s="23" t="n">
        <f>MAX(P728-O728,0)</f>
        <v>0</v>
      </c>
    </row>
    <row r="729">
      <c r="A729" s="19" t="str">
        <v>波兰区</v>
      </c>
      <c r="B729" s="19" t="str">
        <v>弗罗茨瓦夫3号仓(SN)</v>
      </c>
      <c r="C729" s="19" t="str">
        <v>A班组</v>
      </c>
      <c r="D729" s="21" t="n">
        <v>46156</v>
      </c>
      <c r="E729" s="19" t="str">
        <v>2026-05</v>
      </c>
      <c r="F729" s="19" t="str">
        <v>操作员</v>
      </c>
      <c r="G729" s="19" t="str">
        <v>10.5小时-早班-休息不计费-含加班-Rano（06:00~16:45）</v>
      </c>
      <c r="H729" s="19" t="str">
        <v>S000298</v>
      </c>
      <c r="I729" s="19" t="str">
        <v>Tez sp z o.o.</v>
      </c>
      <c r="J729" s="23" t="n">
        <v>50</v>
      </c>
      <c r="K729" s="23" t="n">
        <v>0</v>
      </c>
      <c r="L729" s="23" t="n">
        <f>J729+K729</f>
        <v>50</v>
      </c>
      <c r="M729" s="23" t="n">
        <v>87</v>
      </c>
      <c r="N729" s="23" t="n">
        <v>35</v>
      </c>
      <c r="O729" s="23" t="n">
        <v>25</v>
      </c>
      <c r="P729" s="23" t="n">
        <v>11</v>
      </c>
      <c r="Q729" s="23" t="n">
        <f>MIN(O729,P729)</f>
        <v>11</v>
      </c>
      <c r="R729" s="25" t="n">
        <f>IF(M729=0,0,MIN(1,L729/M729))</f>
        <v>0.5747126436781609</v>
      </c>
      <c r="S729" s="23" t="n">
        <f>O729*R729</f>
        <v>14.367816091954023</v>
      </c>
      <c r="T729" s="23" t="n">
        <f>MIN(P729,S729)</f>
        <v>11</v>
      </c>
      <c r="U729" s="23" t="n">
        <f>O729-S729</f>
        <v>10.632183908045977</v>
      </c>
      <c r="V729" s="23" t="n">
        <f>MAX(P729-O729,0)</f>
        <v>0</v>
      </c>
    </row>
    <row r="730">
      <c r="A730" s="19" t="str">
        <v>波兰区</v>
      </c>
      <c r="B730" s="19" t="str">
        <v>弗罗茨瓦夫3号仓(SN)</v>
      </c>
      <c r="C730" s="19" t="str">
        <v>A班组</v>
      </c>
      <c r="D730" s="21" t="n">
        <v>46156</v>
      </c>
      <c r="E730" s="19" t="str">
        <v>2026-05</v>
      </c>
      <c r="F730" s="19" t="str">
        <v>操作员</v>
      </c>
      <c r="G730" s="19" t="str">
        <v>10.5小时-早班-休息不计费-含加班-Rano（06:00~16:45）</v>
      </c>
      <c r="H730" s="19" t="str">
        <v>S000323</v>
      </c>
      <c r="I730" s="19" t="str">
        <v>PWP NIAGARA HREBENIUKOV SPÓŁKA JAWNA</v>
      </c>
      <c r="J730" s="23" t="n">
        <v>50</v>
      </c>
      <c r="K730" s="23" t="n">
        <v>0</v>
      </c>
      <c r="L730" s="23" t="n">
        <f>J730+K730</f>
        <v>50</v>
      </c>
      <c r="M730" s="23" t="n">
        <v>87</v>
      </c>
      <c r="N730" s="23" t="n">
        <v>35</v>
      </c>
      <c r="O730" s="23" t="n">
        <v>5</v>
      </c>
      <c r="P730" s="23" t="n">
        <v>5</v>
      </c>
      <c r="Q730" s="23" t="n">
        <f>MIN(O730,P730)</f>
        <v>5</v>
      </c>
      <c r="R730" s="25" t="n">
        <f>IF(M730=0,0,MIN(1,L730/M730))</f>
        <v>0.5747126436781609</v>
      </c>
      <c r="S730" s="23" t="n">
        <f>O730*R730</f>
        <v>2.8735632183908044</v>
      </c>
      <c r="T730" s="23" t="n">
        <f>MIN(P730,S730)</f>
        <v>2.8735632183908044</v>
      </c>
      <c r="U730" s="23" t="n">
        <f>O730-S730</f>
        <v>2.1264367816091956</v>
      </c>
      <c r="V730" s="23" t="n">
        <f>MAX(P730-O730,0)</f>
        <v>0</v>
      </c>
    </row>
    <row r="731">
      <c r="A731" s="19" t="str">
        <v>波兰区</v>
      </c>
      <c r="B731" s="19" t="str">
        <v>弗罗茨瓦夫3号仓(SN)</v>
      </c>
      <c r="C731" s="19" t="str">
        <v>A班组</v>
      </c>
      <c r="D731" s="21" t="n">
        <v>46168</v>
      </c>
      <c r="E731" s="19" t="str">
        <v>2026-05</v>
      </c>
      <c r="F731" s="19" t="str">
        <v>操作员</v>
      </c>
      <c r="G731" s="19" t="str">
        <v>10.5小时-早班-休息不计费-含加班-Rano（06:00~16:45）</v>
      </c>
      <c r="H731" s="19" t="str">
        <v>S000212</v>
      </c>
      <c r="I731" s="19" t="str">
        <v>Dreman Sp. z o.o.</v>
      </c>
      <c r="J731" s="23" t="n">
        <v>40</v>
      </c>
      <c r="K731" s="23" t="n">
        <v>0</v>
      </c>
      <c r="L731" s="23" t="n">
        <f>J731+K731</f>
        <v>40</v>
      </c>
      <c r="M731" s="23" t="n">
        <v>32</v>
      </c>
      <c r="N731" s="23" t="n">
        <v>32</v>
      </c>
      <c r="O731" s="23" t="n">
        <v>10</v>
      </c>
      <c r="P731" s="23" t="n">
        <v>10</v>
      </c>
      <c r="Q731" s="23" t="n">
        <f>MIN(O731,P731)</f>
        <v>10</v>
      </c>
      <c r="R731" s="25" t="n">
        <f>IF(M731=0,0,MIN(1,L731/M731))</f>
        <v>1</v>
      </c>
      <c r="S731" s="23" t="n">
        <f>O731*R731</f>
        <v>10</v>
      </c>
      <c r="T731" s="23" t="n">
        <f>MIN(P731,S731)</f>
        <v>10</v>
      </c>
      <c r="U731" s="23" t="n">
        <f>O731-S731</f>
        <v>0</v>
      </c>
      <c r="V731" s="23" t="n">
        <f>MAX(P731-O731,0)</f>
        <v>0</v>
      </c>
    </row>
    <row r="732">
      <c r="A732" s="19" t="str">
        <v>波兰区</v>
      </c>
      <c r="B732" s="19" t="str">
        <v>弗罗茨瓦夫3号仓(SN)</v>
      </c>
      <c r="C732" s="19" t="str">
        <v>A班组</v>
      </c>
      <c r="D732" s="21" t="n">
        <v>46168</v>
      </c>
      <c r="E732" s="19" t="str">
        <v>2026-05</v>
      </c>
      <c r="F732" s="19" t="str">
        <v>操作员</v>
      </c>
      <c r="G732" s="19" t="str">
        <v>10.5小时-早班-休息不计费-含加班-Rano（06:00~16:45）</v>
      </c>
      <c r="H732" s="19" t="str">
        <v>S000286</v>
      </c>
      <c r="I732" s="19" t="str">
        <v>Work-up sp. z o.o. sp. k.</v>
      </c>
      <c r="J732" s="23" t="n">
        <v>40</v>
      </c>
      <c r="K732" s="23" t="n">
        <v>0</v>
      </c>
      <c r="L732" s="23" t="n">
        <f>J732+K732</f>
        <v>40</v>
      </c>
      <c r="M732" s="23" t="n">
        <v>32</v>
      </c>
      <c r="N732" s="23" t="n">
        <v>32</v>
      </c>
      <c r="O732" s="23" t="n">
        <v>22</v>
      </c>
      <c r="P732" s="23" t="n">
        <v>22</v>
      </c>
      <c r="Q732" s="23" t="n">
        <f>MIN(O732,P732)</f>
        <v>22</v>
      </c>
      <c r="R732" s="25" t="n">
        <f>IF(M732=0,0,MIN(1,L732/M732))</f>
        <v>1</v>
      </c>
      <c r="S732" s="23" t="n">
        <f>O732*R732</f>
        <v>22</v>
      </c>
      <c r="T732" s="23" t="n">
        <f>MIN(P732,S732)</f>
        <v>22</v>
      </c>
      <c r="U732" s="23" t="n">
        <f>O732-S732</f>
        <v>0</v>
      </c>
      <c r="V732" s="23" t="n">
        <f>MAX(P732-O732,0)</f>
        <v>0</v>
      </c>
    </row>
    <row r="733">
      <c r="A733" s="19" t="str">
        <v>波兰区</v>
      </c>
      <c r="B733" s="19" t="str">
        <v>弗罗茨瓦夫3号仓(SN)</v>
      </c>
      <c r="C733" s="19" t="str">
        <v>A班组</v>
      </c>
      <c r="D733" s="21" t="n">
        <v>46175</v>
      </c>
      <c r="E733" s="19" t="str">
        <v>2026-06</v>
      </c>
      <c r="F733" s="19" t="str">
        <v>操作员</v>
      </c>
      <c r="G733" s="19" t="str">
        <v>10.5小时-晚班-休息不计费-含加班-NOC（18:00~04:45）</v>
      </c>
      <c r="H733" s="19" t="str">
        <v>S000201</v>
      </c>
      <c r="I733" s="19" t="str">
        <v>ATLAS WORK SPÓŁKA Z OGRANICZONĄ ODPOWIEDZIALNOŚCIĄ</v>
      </c>
      <c r="J733" s="23" t="n">
        <v>70</v>
      </c>
      <c r="K733" s="23" t="n">
        <v>0</v>
      </c>
      <c r="L733" s="23" t="n">
        <f>J733+K733</f>
        <v>70</v>
      </c>
      <c r="M733" s="23" t="n">
        <v>26</v>
      </c>
      <c r="N733" s="23" t="n">
        <v>12</v>
      </c>
      <c r="O733" s="23" t="n">
        <v>10</v>
      </c>
      <c r="P733" s="23" t="n">
        <v>6</v>
      </c>
      <c r="Q733" s="23" t="n">
        <f>MIN(O733,P733)</f>
        <v>6</v>
      </c>
      <c r="R733" s="25" t="n">
        <f>IF(M733=0,0,MIN(1,L733/M733))</f>
        <v>1</v>
      </c>
      <c r="S733" s="23" t="n">
        <f>O733*R733</f>
        <v>10</v>
      </c>
      <c r="T733" s="23" t="n">
        <f>MIN(P733,S733)</f>
        <v>6</v>
      </c>
      <c r="U733" s="23" t="n">
        <f>O733-S733</f>
        <v>0</v>
      </c>
      <c r="V733" s="23" t="n">
        <f>MAX(P733-O733,0)</f>
        <v>0</v>
      </c>
    </row>
    <row r="734">
      <c r="A734" s="19" t="str">
        <v>波兰区</v>
      </c>
      <c r="B734" s="19" t="str">
        <v>弗罗茨瓦夫3号仓(SN)</v>
      </c>
      <c r="C734" s="19" t="str">
        <v>A班组</v>
      </c>
      <c r="D734" s="21" t="n">
        <v>46175</v>
      </c>
      <c r="E734" s="19" t="str">
        <v>2026-06</v>
      </c>
      <c r="F734" s="19" t="str">
        <v>操作员</v>
      </c>
      <c r="G734" s="19" t="str">
        <v>10.5小时-晚班-休息不计费-含加班-NOC（18:00~04:45）</v>
      </c>
      <c r="H734" s="19" t="str">
        <v>S000288</v>
      </c>
      <c r="I734" s="19" t="str">
        <v>Global Solution</v>
      </c>
      <c r="J734" s="23" t="n">
        <v>70</v>
      </c>
      <c r="K734" s="23" t="n">
        <v>0</v>
      </c>
      <c r="L734" s="23" t="n">
        <f>J734+K734</f>
        <v>70</v>
      </c>
      <c r="M734" s="23" t="n">
        <v>26</v>
      </c>
      <c r="N734" s="23" t="n">
        <v>12</v>
      </c>
      <c r="O734" s="23" t="n">
        <v>10</v>
      </c>
      <c r="P734" s="23" t="n">
        <v>6</v>
      </c>
      <c r="Q734" s="23" t="n">
        <f>MIN(O734,P734)</f>
        <v>6</v>
      </c>
      <c r="R734" s="25" t="n">
        <f>IF(M734=0,0,MIN(1,L734/M734))</f>
        <v>1</v>
      </c>
      <c r="S734" s="23" t="n">
        <f>O734*R734</f>
        <v>10</v>
      </c>
      <c r="T734" s="23" t="n">
        <f>MIN(P734,S734)</f>
        <v>6</v>
      </c>
      <c r="U734" s="23" t="n">
        <f>O734-S734</f>
        <v>0</v>
      </c>
      <c r="V734" s="23" t="n">
        <f>MAX(P734-O734,0)</f>
        <v>0</v>
      </c>
    </row>
    <row r="735">
      <c r="A735" s="19" t="str">
        <v>波兰区</v>
      </c>
      <c r="B735" s="19" t="str">
        <v>弗罗茨瓦夫3号仓(SN)</v>
      </c>
      <c r="C735" s="19" t="str">
        <v>A班组</v>
      </c>
      <c r="D735" s="21" t="n">
        <v>46175</v>
      </c>
      <c r="E735" s="19" t="str">
        <v>2026-06</v>
      </c>
      <c r="F735" s="19" t="str">
        <v>操作员</v>
      </c>
      <c r="G735" s="19" t="str">
        <v>10.5小时-晚班-休息不计费-含加班-NOC（18:00~04:45）</v>
      </c>
      <c r="H735" s="19" t="str">
        <v>S000323</v>
      </c>
      <c r="I735" s="19" t="str">
        <v>PWP NIAGARA HREBENIUKOV SPÓŁKA JAWNA</v>
      </c>
      <c r="J735" s="23" t="n">
        <v>70</v>
      </c>
      <c r="K735" s="23" t="n">
        <v>0</v>
      </c>
      <c r="L735" s="23" t="n">
        <f>J735+K735</f>
        <v>70</v>
      </c>
      <c r="M735" s="23" t="n">
        <v>26</v>
      </c>
      <c r="N735" s="23" t="n">
        <v>12</v>
      </c>
      <c r="O735" s="23" t="n">
        <v>6</v>
      </c>
      <c r="P735" s="23" t="n">
        <v>0</v>
      </c>
      <c r="Q735" s="23" t="n">
        <f>MIN(O735,P735)</f>
        <v>0</v>
      </c>
      <c r="R735" s="25" t="n">
        <f>IF(M735=0,0,MIN(1,L735/M735))</f>
        <v>1</v>
      </c>
      <c r="S735" s="23" t="n">
        <f>O735*R735</f>
        <v>6</v>
      </c>
      <c r="T735" s="23" t="n">
        <f>MIN(P735,S735)</f>
        <v>0</v>
      </c>
      <c r="U735" s="23" t="n">
        <f>O735-S735</f>
        <v>0</v>
      </c>
      <c r="V735" s="23" t="n">
        <f>MAX(P735-O735,0)</f>
        <v>0</v>
      </c>
    </row>
    <row r="736">
      <c r="A736" s="19" t="str">
        <v>波兰区</v>
      </c>
      <c r="B736" s="19" t="str">
        <v>弗罗茨瓦夫3号仓(SN)</v>
      </c>
      <c r="C736" s="19" t="str">
        <v>A班组</v>
      </c>
      <c r="D736" s="21" t="n">
        <v>46182</v>
      </c>
      <c r="E736" s="19" t="str">
        <v>2026-06</v>
      </c>
      <c r="F736" s="19" t="str">
        <v>操作员</v>
      </c>
      <c r="G736" s="19" t="str">
        <v>10.5小时-早班-休息不计费-含加班-Rano（06:00~16:45）</v>
      </c>
      <c r="H736" s="19" t="str">
        <v>S000201</v>
      </c>
      <c r="I736" s="19" t="str">
        <v>ATLAS WORK SPÓŁKA Z OGRANICZONĄ ODPOWIEDZIALNOŚCIĄ</v>
      </c>
      <c r="J736" s="23" t="n">
        <v>70</v>
      </c>
      <c r="K736" s="23" t="n">
        <v>0</v>
      </c>
      <c r="L736" s="23" t="n">
        <f>J736+K736</f>
        <v>70</v>
      </c>
      <c r="M736" s="23" t="n">
        <v>25</v>
      </c>
      <c r="N736" s="23" t="n">
        <v>20</v>
      </c>
      <c r="O736" s="23" t="n">
        <v>25</v>
      </c>
      <c r="P736" s="23" t="n">
        <v>20</v>
      </c>
      <c r="Q736" s="23" t="n">
        <f>MIN(O736,P736)</f>
        <v>20</v>
      </c>
      <c r="R736" s="25" t="n">
        <f>IF(M736=0,0,MIN(1,L736/M736))</f>
        <v>1</v>
      </c>
      <c r="S736" s="23" t="n">
        <f>O736*R736</f>
        <v>25</v>
      </c>
      <c r="T736" s="23" t="n">
        <f>MIN(P736,S736)</f>
        <v>20</v>
      </c>
      <c r="U736" s="23" t="n">
        <f>O736-S736</f>
        <v>0</v>
      </c>
      <c r="V736" s="23" t="n">
        <f>MAX(P736-O736,0)</f>
        <v>0</v>
      </c>
    </row>
    <row r="737">
      <c r="A737" s="19" t="str">
        <v>波兰区</v>
      </c>
      <c r="B737" s="19" t="str">
        <v>弗罗茨瓦夫3号仓(SN)</v>
      </c>
      <c r="C737" s="19" t="str">
        <v>A班组</v>
      </c>
      <c r="D737" s="21" t="n">
        <v>46189</v>
      </c>
      <c r="E737" s="19" t="str">
        <v>2026-06</v>
      </c>
      <c r="F737" s="19" t="str">
        <v>操作员</v>
      </c>
      <c r="G737" s="19" t="str">
        <v>10.5小时-晚班-休息不计费-含加班-NOC（18:00~04:45）</v>
      </c>
      <c r="H737" s="19" t="str">
        <v>S000201</v>
      </c>
      <c r="I737" s="19" t="str">
        <v>ATLAS WORK SPÓŁKA Z OGRANICZONĄ ODPOWIEDZIALNOŚCIĄ</v>
      </c>
      <c r="J737" s="23" t="n">
        <v>70</v>
      </c>
      <c r="K737" s="23" t="n">
        <v>0</v>
      </c>
      <c r="L737" s="23" t="n">
        <f>J737+K737</f>
        <v>70</v>
      </c>
      <c r="M737" s="23" t="n">
        <v>20</v>
      </c>
      <c r="N737" s="23" t="n">
        <v>11</v>
      </c>
      <c r="O737" s="23" t="n">
        <v>15</v>
      </c>
      <c r="P737" s="23" t="n">
        <v>8</v>
      </c>
      <c r="Q737" s="23" t="n">
        <f>MIN(O737,P737)</f>
        <v>8</v>
      </c>
      <c r="R737" s="25" t="n">
        <f>IF(M737=0,0,MIN(1,L737/M737))</f>
        <v>1</v>
      </c>
      <c r="S737" s="23" t="n">
        <f>O737*R737</f>
        <v>15</v>
      </c>
      <c r="T737" s="23" t="n">
        <f>MIN(P737,S737)</f>
        <v>8</v>
      </c>
      <c r="U737" s="23" t="n">
        <f>O737-S737</f>
        <v>0</v>
      </c>
      <c r="V737" s="23" t="n">
        <f>MAX(P737-O737,0)</f>
        <v>0</v>
      </c>
    </row>
    <row r="738">
      <c r="A738" s="19" t="str">
        <v>波兰区</v>
      </c>
      <c r="B738" s="19" t="str">
        <v>弗罗茨瓦夫3号仓(SN)</v>
      </c>
      <c r="C738" s="19" t="str">
        <v>A班组</v>
      </c>
      <c r="D738" s="21" t="n">
        <v>46189</v>
      </c>
      <c r="E738" s="19" t="str">
        <v>2026-06</v>
      </c>
      <c r="F738" s="19" t="str">
        <v>操作员</v>
      </c>
      <c r="G738" s="19" t="str">
        <v>10.5小时-晚班-休息不计费-含加班-NOC（18:00~04:45）</v>
      </c>
      <c r="H738" s="19" t="str">
        <v>S000297</v>
      </c>
      <c r="I738" s="19" t="str">
        <v>Eurojob-West</v>
      </c>
      <c r="J738" s="23" t="n">
        <v>70</v>
      </c>
      <c r="K738" s="23" t="n">
        <v>0</v>
      </c>
      <c r="L738" s="23" t="n">
        <f>J738+K738</f>
        <v>70</v>
      </c>
      <c r="M738" s="23" t="n">
        <v>20</v>
      </c>
      <c r="N738" s="23" t="n">
        <v>11</v>
      </c>
      <c r="O738" s="23" t="n">
        <v>5</v>
      </c>
      <c r="P738" s="23" t="n">
        <v>3</v>
      </c>
      <c r="Q738" s="23" t="n">
        <f>MIN(O738,P738)</f>
        <v>3</v>
      </c>
      <c r="R738" s="25" t="n">
        <f>IF(M738=0,0,MIN(1,L738/M738))</f>
        <v>1</v>
      </c>
      <c r="S738" s="23" t="n">
        <f>O738*R738</f>
        <v>5</v>
      </c>
      <c r="T738" s="23" t="n">
        <f>MIN(P738,S738)</f>
        <v>3</v>
      </c>
      <c r="U738" s="23" t="n">
        <f>O738-S738</f>
        <v>0</v>
      </c>
      <c r="V738" s="23" t="n">
        <f>MAX(P738-O738,0)</f>
        <v>0</v>
      </c>
    </row>
    <row r="739">
      <c r="A739" s="19" t="str">
        <v>波兰区</v>
      </c>
      <c r="B739" s="19" t="str">
        <v>弗罗茨瓦夫3号仓(SN)</v>
      </c>
      <c r="C739" s="19" t="str">
        <v>A班组</v>
      </c>
      <c r="D739" s="21" t="n">
        <v>46198</v>
      </c>
      <c r="E739" s="19" t="str">
        <v>2026-06</v>
      </c>
      <c r="F739" s="19" t="str">
        <v>操作员</v>
      </c>
      <c r="G739" s="19" t="str">
        <v>10.5小时-晚班-休息不计费-含加班-NOC（18:00~04:45）</v>
      </c>
      <c r="H739" s="19" t="str">
        <v>S000207</v>
      </c>
      <c r="I739" s="19" t="str">
        <v>Niden Service Sp. z o.o.</v>
      </c>
      <c r="J739" s="23" t="n">
        <v>70</v>
      </c>
      <c r="K739" s="23" t="n">
        <v>0</v>
      </c>
      <c r="L739" s="23" t="n">
        <f>J739+K739</f>
        <v>70</v>
      </c>
      <c r="M739" s="23" t="n">
        <v>64</v>
      </c>
      <c r="N739" s="23" t="n">
        <v>22</v>
      </c>
      <c r="O739" s="23" t="n">
        <v>10</v>
      </c>
      <c r="P739" s="23" t="n">
        <v>1</v>
      </c>
      <c r="Q739" s="23" t="n">
        <f>MIN(O739,P739)</f>
        <v>1</v>
      </c>
      <c r="R739" s="25" t="n">
        <f>IF(M739=0,0,MIN(1,L739/M739))</f>
        <v>1</v>
      </c>
      <c r="S739" s="23" t="n">
        <f>O739*R739</f>
        <v>10</v>
      </c>
      <c r="T739" s="23" t="n">
        <f>MIN(P739,S739)</f>
        <v>1</v>
      </c>
      <c r="U739" s="23" t="n">
        <f>O739-S739</f>
        <v>0</v>
      </c>
      <c r="V739" s="23" t="n">
        <f>MAX(P739-O739,0)</f>
        <v>0</v>
      </c>
    </row>
    <row r="740">
      <c r="A740" s="19" t="str">
        <v>波兰区</v>
      </c>
      <c r="B740" s="19" t="str">
        <v>弗罗茨瓦夫3号仓(SN)</v>
      </c>
      <c r="C740" s="19" t="str">
        <v>A班组</v>
      </c>
      <c r="D740" s="21" t="n">
        <v>46198</v>
      </c>
      <c r="E740" s="19" t="str">
        <v>2026-06</v>
      </c>
      <c r="F740" s="19" t="str">
        <v>操作员</v>
      </c>
      <c r="G740" s="19" t="str">
        <v>10.5小时-晚班-休息不计费-含加班-NOC（18:00~04:45）</v>
      </c>
      <c r="H740" s="19" t="str">
        <v>S000212</v>
      </c>
      <c r="I740" s="19" t="str">
        <v>Dreman Sp. z o.o.</v>
      </c>
      <c r="J740" s="23" t="n">
        <v>70</v>
      </c>
      <c r="K740" s="23" t="n">
        <v>0</v>
      </c>
      <c r="L740" s="23" t="n">
        <f>J740+K740</f>
        <v>70</v>
      </c>
      <c r="M740" s="23" t="n">
        <v>64</v>
      </c>
      <c r="N740" s="23" t="n">
        <v>22</v>
      </c>
      <c r="O740" s="23" t="n">
        <v>7</v>
      </c>
      <c r="P740" s="23" t="n">
        <v>2</v>
      </c>
      <c r="Q740" s="23" t="n">
        <f>MIN(O740,P740)</f>
        <v>2</v>
      </c>
      <c r="R740" s="25" t="n">
        <f>IF(M740=0,0,MIN(1,L740/M740))</f>
        <v>1</v>
      </c>
      <c r="S740" s="23" t="n">
        <f>O740*R740</f>
        <v>7</v>
      </c>
      <c r="T740" s="23" t="n">
        <f>MIN(P740,S740)</f>
        <v>2</v>
      </c>
      <c r="U740" s="23" t="n">
        <f>O740-S740</f>
        <v>0</v>
      </c>
      <c r="V740" s="23" t="n">
        <f>MAX(P740-O740,0)</f>
        <v>0</v>
      </c>
    </row>
    <row r="741">
      <c r="A741" s="19" t="str">
        <v>波兰区</v>
      </c>
      <c r="B741" s="19" t="str">
        <v>弗罗茨瓦夫3号仓(SN)</v>
      </c>
      <c r="C741" s="19" t="str">
        <v>A班组</v>
      </c>
      <c r="D741" s="21" t="n">
        <v>46198</v>
      </c>
      <c r="E741" s="19" t="str">
        <v>2026-06</v>
      </c>
      <c r="F741" s="19" t="str">
        <v>操作员</v>
      </c>
      <c r="G741" s="19" t="str">
        <v>10.5小时-晚班-休息不计费-含加班-NOC（18:00~04:45）</v>
      </c>
      <c r="H741" s="19" t="str">
        <v>S000286</v>
      </c>
      <c r="I741" s="19" t="str">
        <v>Work-up sp. z o.o. sp. k.</v>
      </c>
      <c r="J741" s="23" t="n">
        <v>70</v>
      </c>
      <c r="K741" s="23" t="n">
        <v>0</v>
      </c>
      <c r="L741" s="23" t="n">
        <f>J741+K741</f>
        <v>70</v>
      </c>
      <c r="M741" s="23" t="n">
        <v>64</v>
      </c>
      <c r="N741" s="23" t="n">
        <v>22</v>
      </c>
      <c r="O741" s="23" t="n">
        <v>35</v>
      </c>
      <c r="P741" s="23" t="n">
        <v>14</v>
      </c>
      <c r="Q741" s="23" t="n">
        <f>MIN(O741,P741)</f>
        <v>14</v>
      </c>
      <c r="R741" s="25" t="n">
        <f>IF(M741=0,0,MIN(1,L741/M741))</f>
        <v>1</v>
      </c>
      <c r="S741" s="23" t="n">
        <f>O741*R741</f>
        <v>35</v>
      </c>
      <c r="T741" s="23" t="n">
        <f>MIN(P741,S741)</f>
        <v>14</v>
      </c>
      <c r="U741" s="23" t="n">
        <f>O741-S741</f>
        <v>0</v>
      </c>
      <c r="V741" s="23" t="n">
        <f>MAX(P741-O741,0)</f>
        <v>0</v>
      </c>
    </row>
    <row r="742">
      <c r="A742" s="19" t="str">
        <v>波兰区</v>
      </c>
      <c r="B742" s="19" t="str">
        <v>弗罗茨瓦夫3号仓(SN)</v>
      </c>
      <c r="C742" s="19" t="str">
        <v>A班组</v>
      </c>
      <c r="D742" s="21" t="n">
        <v>46198</v>
      </c>
      <c r="E742" s="19" t="str">
        <v>2026-06</v>
      </c>
      <c r="F742" s="19" t="str">
        <v>操作员</v>
      </c>
      <c r="G742" s="19" t="str">
        <v>10.5小时-晚班-休息不计费-含加班-NOC（18:00~04:45）</v>
      </c>
      <c r="H742" s="19" t="str">
        <v>S000288</v>
      </c>
      <c r="I742" s="19" t="str">
        <v>Global Solution</v>
      </c>
      <c r="J742" s="23" t="n">
        <v>70</v>
      </c>
      <c r="K742" s="23" t="n">
        <v>0</v>
      </c>
      <c r="L742" s="23" t="n">
        <f>J742+K742</f>
        <v>70</v>
      </c>
      <c r="M742" s="23" t="n">
        <v>64</v>
      </c>
      <c r="N742" s="23" t="n">
        <v>22</v>
      </c>
      <c r="O742" s="23" t="n">
        <v>5</v>
      </c>
      <c r="P742" s="23" t="n">
        <v>0</v>
      </c>
      <c r="Q742" s="23" t="n">
        <f>MIN(O742,P742)</f>
        <v>0</v>
      </c>
      <c r="R742" s="25" t="n">
        <f>IF(M742=0,0,MIN(1,L742/M742))</f>
        <v>1</v>
      </c>
      <c r="S742" s="23" t="n">
        <f>O742*R742</f>
        <v>5</v>
      </c>
      <c r="T742" s="23" t="n">
        <f>MIN(P742,S742)</f>
        <v>0</v>
      </c>
      <c r="U742" s="23" t="n">
        <f>O742-S742</f>
        <v>0</v>
      </c>
      <c r="V742" s="23" t="n">
        <f>MAX(P742-O742,0)</f>
        <v>0</v>
      </c>
    </row>
    <row r="743">
      <c r="A743" s="19" t="str">
        <v>波兰区</v>
      </c>
      <c r="B743" s="19" t="str">
        <v>弗罗茨瓦夫3号仓(SN)</v>
      </c>
      <c r="C743" s="19" t="str">
        <v>A班组</v>
      </c>
      <c r="D743" s="21" t="n">
        <v>46198</v>
      </c>
      <c r="E743" s="19" t="str">
        <v>2026-06</v>
      </c>
      <c r="F743" s="19" t="str">
        <v>操作员</v>
      </c>
      <c r="G743" s="19" t="str">
        <v>10.5小时-晚班-休息不计费-含加班-NOC（18:00~04:45）</v>
      </c>
      <c r="H743" s="19" t="str">
        <v>S000323</v>
      </c>
      <c r="I743" s="19" t="str">
        <v>PWP NIAGARA HREBENIUKOV SPÓŁKA JAWNA</v>
      </c>
      <c r="J743" s="23" t="n">
        <v>70</v>
      </c>
      <c r="K743" s="23" t="n">
        <v>0</v>
      </c>
      <c r="L743" s="23" t="n">
        <f>J743+K743</f>
        <v>70</v>
      </c>
      <c r="M743" s="23" t="n">
        <v>64</v>
      </c>
      <c r="N743" s="23" t="n">
        <v>22</v>
      </c>
      <c r="O743" s="23" t="n">
        <v>7</v>
      </c>
      <c r="P743" s="23" t="n">
        <v>5</v>
      </c>
      <c r="Q743" s="23" t="n">
        <f>MIN(O743,P743)</f>
        <v>5</v>
      </c>
      <c r="R743" s="25" t="n">
        <f>IF(M743=0,0,MIN(1,L743/M743))</f>
        <v>1</v>
      </c>
      <c r="S743" s="23" t="n">
        <f>O743*R743</f>
        <v>7</v>
      </c>
      <c r="T743" s="23" t="n">
        <f>MIN(P743,S743)</f>
        <v>5</v>
      </c>
      <c r="U743" s="23" t="n">
        <f>O743-S743</f>
        <v>0</v>
      </c>
      <c r="V743" s="23" t="n">
        <f>MAX(P743-O743,0)</f>
        <v>0</v>
      </c>
    </row>
    <row r="744">
      <c r="A744" s="19" t="str">
        <v>波兰区</v>
      </c>
      <c r="B744" s="19" t="str">
        <v>弗罗茨瓦夫3号仓(SN)</v>
      </c>
      <c r="C744" s="19" t="str">
        <v>B班组</v>
      </c>
      <c r="D744" s="21" t="n">
        <v>46120</v>
      </c>
      <c r="E744" s="19" t="str">
        <v>2026-04</v>
      </c>
      <c r="F744" s="19" t="str">
        <v>操作员</v>
      </c>
      <c r="G744" s="19" t="str">
        <v>波兰区07:00-15:15 / POL 07:00-15:15</v>
      </c>
      <c r="H744" s="19" t="str">
        <v>S000287</v>
      </c>
      <c r="I744" s="19" t="str">
        <v>DK Global</v>
      </c>
      <c r="J744" s="23" t="n">
        <v>0</v>
      </c>
      <c r="K744" s="23" t="n">
        <v>0</v>
      </c>
      <c r="L744" s="23" t="n">
        <f>J744+K744</f>
        <v>0</v>
      </c>
      <c r="M744" s="23" t="n">
        <v>5</v>
      </c>
      <c r="N744" s="23" t="n">
        <v>5</v>
      </c>
      <c r="O744" s="23" t="n">
        <v>5</v>
      </c>
      <c r="P744" s="23" t="n">
        <v>5</v>
      </c>
      <c r="Q744" s="23" t="n">
        <f>MIN(O744,P744)</f>
        <v>5</v>
      </c>
      <c r="R744" s="25" t="n">
        <f>IF(M744=0,0,MIN(1,L744/M744))</f>
        <v>0</v>
      </c>
      <c r="S744" s="23" t="n">
        <f>O744*R744</f>
        <v>0</v>
      </c>
      <c r="T744" s="23" t="n">
        <f>MIN(P744,S744)</f>
        <v>0</v>
      </c>
      <c r="U744" s="23" t="n">
        <f>O744-S744</f>
        <v>5</v>
      </c>
      <c r="V744" s="23" t="n">
        <f>MAX(P744-O744,0)</f>
        <v>0</v>
      </c>
    </row>
    <row r="745">
      <c r="A745" s="19" t="str">
        <v>波兰区</v>
      </c>
      <c r="B745" s="19" t="str">
        <v>弗罗茨瓦夫3号仓(SN)</v>
      </c>
      <c r="C745" s="19" t="str">
        <v>B班组</v>
      </c>
      <c r="D745" s="21" t="n">
        <v>46121</v>
      </c>
      <c r="E745" s="19" t="str">
        <v>2026-04</v>
      </c>
      <c r="F745" s="19" t="str">
        <v>操作员</v>
      </c>
      <c r="G745" s="19" t="str">
        <v>10.5小时-晚班-休息不计费-含加班-NOC（18:00~04:45）</v>
      </c>
      <c r="H745" s="19" t="str">
        <v>S000278</v>
      </c>
      <c r="I745" s="19" t="str">
        <v>VOKS Service</v>
      </c>
      <c r="J745" s="23" t="n">
        <v>0</v>
      </c>
      <c r="K745" s="23" t="n">
        <v>0</v>
      </c>
      <c r="L745" s="23" t="n">
        <f>J745+K745</f>
        <v>0</v>
      </c>
      <c r="M745" s="23" t="n">
        <v>5</v>
      </c>
      <c r="N745" s="23" t="n">
        <v>4</v>
      </c>
      <c r="O745" s="23" t="n">
        <v>5</v>
      </c>
      <c r="P745" s="23" t="n">
        <v>4</v>
      </c>
      <c r="Q745" s="23" t="n">
        <f>MIN(O745,P745)</f>
        <v>4</v>
      </c>
      <c r="R745" s="25" t="n">
        <f>IF(M745=0,0,MIN(1,L745/M745))</f>
        <v>0</v>
      </c>
      <c r="S745" s="23" t="n">
        <f>O745*R745</f>
        <v>0</v>
      </c>
      <c r="T745" s="23" t="n">
        <f>MIN(P745,S745)</f>
        <v>0</v>
      </c>
      <c r="U745" s="23" t="n">
        <f>O745-S745</f>
        <v>5</v>
      </c>
      <c r="V745" s="23" t="n">
        <f>MAX(P745-O745,0)</f>
        <v>0</v>
      </c>
    </row>
    <row r="746">
      <c r="A746" s="19" t="str">
        <v>波兰区</v>
      </c>
      <c r="B746" s="19" t="str">
        <v>弗罗茨瓦夫3号仓(SN)</v>
      </c>
      <c r="C746" s="19" t="str">
        <v>B班组</v>
      </c>
      <c r="D746" s="21" t="n">
        <v>46122</v>
      </c>
      <c r="E746" s="19" t="str">
        <v>2026-04</v>
      </c>
      <c r="F746" s="19" t="str">
        <v>操作员</v>
      </c>
      <c r="G746" s="19" t="str">
        <v>10.5小时-晚班-休息不计费-含加班-NOC（18:00~04:45）</v>
      </c>
      <c r="H746" s="19" t="str">
        <v>S000249</v>
      </c>
      <c r="I746" s="19" t="str">
        <v>Gremi 2024.07</v>
      </c>
      <c r="J746" s="23" t="n">
        <v>29</v>
      </c>
      <c r="K746" s="23" t="n">
        <v>0</v>
      </c>
      <c r="L746" s="23" t="n">
        <f>J746+K746</f>
        <v>29</v>
      </c>
      <c r="M746" s="23" t="n">
        <v>39</v>
      </c>
      <c r="N746" s="23" t="n">
        <v>33</v>
      </c>
      <c r="O746" s="23" t="n">
        <v>10</v>
      </c>
      <c r="P746" s="23" t="n">
        <v>8</v>
      </c>
      <c r="Q746" s="23" t="n">
        <f>MIN(O746,P746)</f>
        <v>8</v>
      </c>
      <c r="R746" s="25" t="n">
        <f>IF(M746=0,0,MIN(1,L746/M746))</f>
        <v>0.7435897435897436</v>
      </c>
      <c r="S746" s="23" t="n">
        <f>O746*R746</f>
        <v>7.435897435897436</v>
      </c>
      <c r="T746" s="23" t="n">
        <f>MIN(P746,S746)</f>
        <v>7.435897435897436</v>
      </c>
      <c r="U746" s="23" t="n">
        <f>O746-S746</f>
        <v>2.564102564102564</v>
      </c>
      <c r="V746" s="23" t="n">
        <f>MAX(P746-O746,0)</f>
        <v>0</v>
      </c>
    </row>
    <row r="747">
      <c r="A747" s="19" t="str">
        <v>波兰区</v>
      </c>
      <c r="B747" s="19" t="str">
        <v>弗罗茨瓦夫3号仓(SN)</v>
      </c>
      <c r="C747" s="19" t="str">
        <v>B班组</v>
      </c>
      <c r="D747" s="21" t="n">
        <v>46122</v>
      </c>
      <c r="E747" s="19" t="str">
        <v>2026-04</v>
      </c>
      <c r="F747" s="19" t="str">
        <v>操作员</v>
      </c>
      <c r="G747" s="19" t="str">
        <v>10.5小时-晚班-休息不计费-含加班-NOC（18:00~04:45）</v>
      </c>
      <c r="H747" s="19" t="str">
        <v>S000286</v>
      </c>
      <c r="I747" s="19" t="str">
        <v>Work-up sp. z o.o. sp. k.</v>
      </c>
      <c r="J747" s="23" t="n">
        <v>29</v>
      </c>
      <c r="K747" s="23" t="n">
        <v>0</v>
      </c>
      <c r="L747" s="23" t="n">
        <f>J747+K747</f>
        <v>29</v>
      </c>
      <c r="M747" s="23" t="n">
        <v>39</v>
      </c>
      <c r="N747" s="23" t="n">
        <v>33</v>
      </c>
      <c r="O747" s="23" t="n">
        <v>14</v>
      </c>
      <c r="P747" s="23" t="n">
        <v>13</v>
      </c>
      <c r="Q747" s="23" t="n">
        <f>MIN(O747,P747)</f>
        <v>13</v>
      </c>
      <c r="R747" s="25" t="n">
        <f>IF(M747=0,0,MIN(1,L747/M747))</f>
        <v>0.7435897435897436</v>
      </c>
      <c r="S747" s="23" t="n">
        <f>O747*R747</f>
        <v>10.41025641025641</v>
      </c>
      <c r="T747" s="23" t="n">
        <f>MIN(P747,S747)</f>
        <v>10.41025641025641</v>
      </c>
      <c r="U747" s="23" t="n">
        <f>O747-S747</f>
        <v>3.5897435897435894</v>
      </c>
      <c r="V747" s="23" t="n">
        <f>MAX(P747-O747,0)</f>
        <v>0</v>
      </c>
    </row>
    <row r="748">
      <c r="A748" s="19" t="str">
        <v>波兰区</v>
      </c>
      <c r="B748" s="19" t="str">
        <v>弗罗茨瓦夫3号仓(SN)</v>
      </c>
      <c r="C748" s="19" t="str">
        <v>B班组</v>
      </c>
      <c r="D748" s="21" t="n">
        <v>46122</v>
      </c>
      <c r="E748" s="19" t="str">
        <v>2026-04</v>
      </c>
      <c r="F748" s="19" t="str">
        <v>操作员</v>
      </c>
      <c r="G748" s="19" t="str">
        <v>10.5小时-晚班-休息不计费-含加班-NOC（18:00~04:45）</v>
      </c>
      <c r="H748" s="19" t="str">
        <v>S000323</v>
      </c>
      <c r="I748" s="19" t="str">
        <v>PWP NIAGARA HREBENIUKOV SPÓŁKA JAWNA</v>
      </c>
      <c r="J748" s="23" t="n">
        <v>29</v>
      </c>
      <c r="K748" s="23" t="n">
        <v>0</v>
      </c>
      <c r="L748" s="23" t="n">
        <f>J748+K748</f>
        <v>29</v>
      </c>
      <c r="M748" s="23" t="n">
        <v>39</v>
      </c>
      <c r="N748" s="23" t="n">
        <v>33</v>
      </c>
      <c r="O748" s="23" t="n">
        <v>15</v>
      </c>
      <c r="P748" s="23" t="n">
        <v>12</v>
      </c>
      <c r="Q748" s="23" t="n">
        <f>MIN(O748,P748)</f>
        <v>12</v>
      </c>
      <c r="R748" s="25" t="n">
        <f>IF(M748=0,0,MIN(1,L748/M748))</f>
        <v>0.7435897435897436</v>
      </c>
      <c r="S748" s="23" t="n">
        <f>O748*R748</f>
        <v>11.153846153846153</v>
      </c>
      <c r="T748" s="23" t="n">
        <f>MIN(P748,S748)</f>
        <v>11.153846153846153</v>
      </c>
      <c r="U748" s="23" t="n">
        <f>O748-S748</f>
        <v>3.8461538461538467</v>
      </c>
      <c r="V748" s="23" t="n">
        <f>MAX(P748-O748,0)</f>
        <v>0</v>
      </c>
    </row>
    <row r="749">
      <c r="A749" s="19" t="str">
        <v>波兰区</v>
      </c>
      <c r="B749" s="19" t="str">
        <v>弗罗茨瓦夫3号仓(SN)</v>
      </c>
      <c r="C749" s="19" t="str">
        <v>B班组</v>
      </c>
      <c r="D749" s="21" t="n">
        <v>46128</v>
      </c>
      <c r="E749" s="19" t="str">
        <v>2026-04</v>
      </c>
      <c r="F749" s="19" t="str">
        <v>操作员</v>
      </c>
      <c r="G749" s="19" t="str">
        <v>10.5小时-早班-休息不计费-含加班-Rano（06:00~16:45）</v>
      </c>
      <c r="H749" s="19" t="str">
        <v>S000212</v>
      </c>
      <c r="I749" s="19" t="str">
        <v>Dreman Sp. z o.o.</v>
      </c>
      <c r="J749" s="23" t="n">
        <v>20</v>
      </c>
      <c r="K749" s="23" t="n">
        <v>0</v>
      </c>
      <c r="L749" s="23" t="n">
        <f>J749+K749</f>
        <v>20</v>
      </c>
      <c r="M749" s="23" t="n">
        <v>26</v>
      </c>
      <c r="N749" s="23" t="n">
        <v>23</v>
      </c>
      <c r="O749" s="23" t="n">
        <v>11</v>
      </c>
      <c r="P749" s="23" t="n">
        <v>8</v>
      </c>
      <c r="Q749" s="23" t="n">
        <f>MIN(O749,P749)</f>
        <v>8</v>
      </c>
      <c r="R749" s="25" t="n">
        <f>IF(M749=0,0,MIN(1,L749/M749))</f>
        <v>0.7692307692307693</v>
      </c>
      <c r="S749" s="23" t="n">
        <f>O749*R749</f>
        <v>8.461538461538462</v>
      </c>
      <c r="T749" s="23" t="n">
        <f>MIN(P749,S749)</f>
        <v>8</v>
      </c>
      <c r="U749" s="23" t="n">
        <f>O749-S749</f>
        <v>2.5384615384615383</v>
      </c>
      <c r="V749" s="23" t="n">
        <f>MAX(P749-O749,0)</f>
        <v>0</v>
      </c>
    </row>
    <row r="750">
      <c r="A750" s="19" t="str">
        <v>波兰区</v>
      </c>
      <c r="B750" s="19" t="str">
        <v>弗罗茨瓦夫3号仓(SN)</v>
      </c>
      <c r="C750" s="19" t="str">
        <v>B班组</v>
      </c>
      <c r="D750" s="21" t="n">
        <v>46128</v>
      </c>
      <c r="E750" s="19" t="str">
        <v>2026-04</v>
      </c>
      <c r="F750" s="19" t="str">
        <v>操作员</v>
      </c>
      <c r="G750" s="19" t="str">
        <v>10.5小时-早班-休息不计费-含加班-Rano（06:00~16:45）</v>
      </c>
      <c r="H750" s="19" t="str">
        <v>S000286</v>
      </c>
      <c r="I750" s="19" t="str">
        <v>Work-up sp. z o.o. sp. k.</v>
      </c>
      <c r="J750" s="23" t="n">
        <v>20</v>
      </c>
      <c r="K750" s="23" t="n">
        <v>0</v>
      </c>
      <c r="L750" s="23" t="n">
        <f>J750+K750</f>
        <v>20</v>
      </c>
      <c r="M750" s="23" t="n">
        <v>26</v>
      </c>
      <c r="N750" s="23" t="n">
        <v>23</v>
      </c>
      <c r="O750" s="23" t="n">
        <v>15</v>
      </c>
      <c r="P750" s="23" t="n">
        <v>15</v>
      </c>
      <c r="Q750" s="23" t="n">
        <f>MIN(O750,P750)</f>
        <v>15</v>
      </c>
      <c r="R750" s="25" t="n">
        <f>IF(M750=0,0,MIN(1,L750/M750))</f>
        <v>0.7692307692307693</v>
      </c>
      <c r="S750" s="23" t="n">
        <f>O750*R750</f>
        <v>11.538461538461538</v>
      </c>
      <c r="T750" s="23" t="n">
        <f>MIN(P750,S750)</f>
        <v>11.538461538461538</v>
      </c>
      <c r="U750" s="23" t="n">
        <f>O750-S750</f>
        <v>3.4615384615384617</v>
      </c>
      <c r="V750" s="23" t="n">
        <f>MAX(P750-O750,0)</f>
        <v>0</v>
      </c>
    </row>
    <row r="751">
      <c r="A751" s="19" t="str">
        <v>波兰区</v>
      </c>
      <c r="B751" s="19" t="str">
        <v>弗罗茨瓦夫3号仓(SN)</v>
      </c>
      <c r="C751" s="19" t="str">
        <v>B班组</v>
      </c>
      <c r="D751" s="21" t="n">
        <v>46134</v>
      </c>
      <c r="E751" s="19" t="str">
        <v>2026-04</v>
      </c>
      <c r="F751" s="19" t="str">
        <v>操作员</v>
      </c>
      <c r="G751" s="19" t="str">
        <v>10.5小时-晚班-休息不计费-含加班-NOC（18:00~04:45）</v>
      </c>
      <c r="H751" s="19" t="str">
        <v>S000207</v>
      </c>
      <c r="I751" s="19" t="str">
        <v>Niden Service Sp. z o.o.</v>
      </c>
      <c r="J751" s="23" t="n">
        <v>25</v>
      </c>
      <c r="K751" s="23" t="n">
        <v>0</v>
      </c>
      <c r="L751" s="23" t="n">
        <f>J751+K751</f>
        <v>25</v>
      </c>
      <c r="M751" s="23" t="n">
        <v>30</v>
      </c>
      <c r="N751" s="23" t="n">
        <v>29</v>
      </c>
      <c r="O751" s="23" t="n">
        <v>13</v>
      </c>
      <c r="P751" s="23" t="n">
        <v>13</v>
      </c>
      <c r="Q751" s="23" t="n">
        <f>MIN(O751,P751)</f>
        <v>13</v>
      </c>
      <c r="R751" s="25" t="n">
        <f>IF(M751=0,0,MIN(1,L751/M751))</f>
        <v>0.8333333333333334</v>
      </c>
      <c r="S751" s="23" t="n">
        <f>O751*R751</f>
        <v>10.833333333333334</v>
      </c>
      <c r="T751" s="23" t="n">
        <f>MIN(P751,S751)</f>
        <v>10.833333333333334</v>
      </c>
      <c r="U751" s="23" t="n">
        <f>O751-S751</f>
        <v>2.166666666666666</v>
      </c>
      <c r="V751" s="23" t="n">
        <f>MAX(P751-O751,0)</f>
        <v>0</v>
      </c>
    </row>
    <row r="752">
      <c r="A752" s="19" t="str">
        <v>波兰区</v>
      </c>
      <c r="B752" s="19" t="str">
        <v>弗罗茨瓦夫3号仓(SN)</v>
      </c>
      <c r="C752" s="19" t="str">
        <v>B班组</v>
      </c>
      <c r="D752" s="21" t="n">
        <v>46134</v>
      </c>
      <c r="E752" s="19" t="str">
        <v>2026-04</v>
      </c>
      <c r="F752" s="19" t="str">
        <v>操作员</v>
      </c>
      <c r="G752" s="19" t="str">
        <v>10.5小时-晚班-休息不计费-含加班-NOC（18:00~04:45）</v>
      </c>
      <c r="H752" s="19" t="str">
        <v>S000212</v>
      </c>
      <c r="I752" s="19" t="str">
        <v>Dreman Sp. z o.o.</v>
      </c>
      <c r="J752" s="23" t="n">
        <v>25</v>
      </c>
      <c r="K752" s="23" t="n">
        <v>0</v>
      </c>
      <c r="L752" s="23" t="n">
        <f>J752+K752</f>
        <v>25</v>
      </c>
      <c r="M752" s="23" t="n">
        <v>30</v>
      </c>
      <c r="N752" s="23" t="n">
        <v>29</v>
      </c>
      <c r="O752" s="23" t="n">
        <v>10</v>
      </c>
      <c r="P752" s="23" t="n">
        <v>9</v>
      </c>
      <c r="Q752" s="23" t="n">
        <f>MIN(O752,P752)</f>
        <v>9</v>
      </c>
      <c r="R752" s="25" t="n">
        <f>IF(M752=0,0,MIN(1,L752/M752))</f>
        <v>0.8333333333333334</v>
      </c>
      <c r="S752" s="23" t="n">
        <f>O752*R752</f>
        <v>8.333333333333334</v>
      </c>
      <c r="T752" s="23" t="n">
        <f>MIN(P752,S752)</f>
        <v>8.333333333333334</v>
      </c>
      <c r="U752" s="23" t="n">
        <f>O752-S752</f>
        <v>1.666666666666666</v>
      </c>
      <c r="V752" s="23" t="n">
        <f>MAX(P752-O752,0)</f>
        <v>0</v>
      </c>
    </row>
    <row r="753">
      <c r="A753" s="19" t="str">
        <v>波兰区</v>
      </c>
      <c r="B753" s="19" t="str">
        <v>弗罗茨瓦夫3号仓(SN)</v>
      </c>
      <c r="C753" s="19" t="str">
        <v>B班组</v>
      </c>
      <c r="D753" s="21" t="n">
        <v>46134</v>
      </c>
      <c r="E753" s="19" t="str">
        <v>2026-04</v>
      </c>
      <c r="F753" s="19" t="str">
        <v>操作员</v>
      </c>
      <c r="G753" s="19" t="str">
        <v>10.5小时-晚班-休息不计费-含加班-NOC（18:00~04:45）</v>
      </c>
      <c r="H753" s="19" t="str">
        <v>S000259</v>
      </c>
      <c r="I753" s="19" t="str">
        <v>PROWORK APT Sp. z o.o.</v>
      </c>
      <c r="J753" s="23" t="n">
        <v>25</v>
      </c>
      <c r="K753" s="23" t="n">
        <v>0</v>
      </c>
      <c r="L753" s="23" t="n">
        <f>J753+K753</f>
        <v>25</v>
      </c>
      <c r="M753" s="23" t="n">
        <v>30</v>
      </c>
      <c r="N753" s="23" t="n">
        <v>29</v>
      </c>
      <c r="O753" s="23" t="n">
        <v>7</v>
      </c>
      <c r="P753" s="23" t="n">
        <v>7</v>
      </c>
      <c r="Q753" s="23" t="n">
        <f>MIN(O753,P753)</f>
        <v>7</v>
      </c>
      <c r="R753" s="25" t="n">
        <f>IF(M753=0,0,MIN(1,L753/M753))</f>
        <v>0.8333333333333334</v>
      </c>
      <c r="S753" s="23" t="n">
        <f>O753*R753</f>
        <v>5.833333333333334</v>
      </c>
      <c r="T753" s="23" t="n">
        <f>MIN(P753,S753)</f>
        <v>5.833333333333334</v>
      </c>
      <c r="U753" s="23" t="n">
        <f>O753-S753</f>
        <v>1.166666666666666</v>
      </c>
      <c r="V753" s="23" t="n">
        <f>MAX(P753-O753,0)</f>
        <v>0</v>
      </c>
    </row>
    <row r="754">
      <c r="A754" s="19" t="str">
        <v>波兰区</v>
      </c>
      <c r="B754" s="19" t="str">
        <v>弗罗茨瓦夫3号仓(SN)</v>
      </c>
      <c r="C754" s="19" t="str">
        <v>B班组</v>
      </c>
      <c r="D754" s="21" t="n">
        <v>46140</v>
      </c>
      <c r="E754" s="19" t="str">
        <v>2026-04</v>
      </c>
      <c r="F754" s="19" t="str">
        <v>操作员</v>
      </c>
      <c r="G754" s="19" t="str">
        <v>10.5小时-早班-休息不计费-含加班-Rano（06:00~16:45）</v>
      </c>
      <c r="H754" s="19" t="str">
        <v>S000206</v>
      </c>
      <c r="I754" s="19" t="str">
        <v>Zenith Zone Sp. z o.o.</v>
      </c>
      <c r="J754" s="23" t="n">
        <v>40</v>
      </c>
      <c r="K754" s="23" t="n">
        <v>0</v>
      </c>
      <c r="L754" s="23" t="n">
        <f>J754+K754</f>
        <v>40</v>
      </c>
      <c r="M754" s="23" t="n">
        <v>55</v>
      </c>
      <c r="N754" s="23" t="n">
        <v>28</v>
      </c>
      <c r="O754" s="23" t="n">
        <v>10</v>
      </c>
      <c r="P754" s="23" t="n">
        <v>7</v>
      </c>
      <c r="Q754" s="23" t="n">
        <f>MIN(O754,P754)</f>
        <v>7</v>
      </c>
      <c r="R754" s="25" t="n">
        <f>IF(M754=0,0,MIN(1,L754/M754))</f>
        <v>0.7272727272727273</v>
      </c>
      <c r="S754" s="23" t="n">
        <f>O754*R754</f>
        <v>7.272727272727273</v>
      </c>
      <c r="T754" s="23" t="n">
        <f>MIN(P754,S754)</f>
        <v>7</v>
      </c>
      <c r="U754" s="23" t="n">
        <f>O754-S754</f>
        <v>2.7272727272727266</v>
      </c>
      <c r="V754" s="23" t="n">
        <f>MAX(P754-O754,0)</f>
        <v>0</v>
      </c>
    </row>
    <row r="755">
      <c r="A755" s="19" t="str">
        <v>波兰区</v>
      </c>
      <c r="B755" s="19" t="str">
        <v>弗罗茨瓦夫3号仓(SN)</v>
      </c>
      <c r="C755" s="19" t="str">
        <v>B班组</v>
      </c>
      <c r="D755" s="21" t="n">
        <v>46140</v>
      </c>
      <c r="E755" s="19" t="str">
        <v>2026-04</v>
      </c>
      <c r="F755" s="19" t="str">
        <v>操作员</v>
      </c>
      <c r="G755" s="19" t="str">
        <v>10.5小时-早班-休息不计费-含加班-Rano（06:00~16:45）</v>
      </c>
      <c r="H755" s="19" t="str">
        <v>S000278</v>
      </c>
      <c r="I755" s="19" t="str">
        <v>VOKS Service</v>
      </c>
      <c r="J755" s="23" t="n">
        <v>40</v>
      </c>
      <c r="K755" s="23" t="n">
        <v>0</v>
      </c>
      <c r="L755" s="23" t="n">
        <f>J755+K755</f>
        <v>40</v>
      </c>
      <c r="M755" s="23" t="n">
        <v>55</v>
      </c>
      <c r="N755" s="23" t="n">
        <v>28</v>
      </c>
      <c r="O755" s="23" t="n">
        <v>15</v>
      </c>
      <c r="P755" s="23" t="n">
        <v>0</v>
      </c>
      <c r="Q755" s="23" t="n">
        <f>MIN(O755,P755)</f>
        <v>0</v>
      </c>
      <c r="R755" s="25" t="n">
        <f>IF(M755=0,0,MIN(1,L755/M755))</f>
        <v>0.7272727272727273</v>
      </c>
      <c r="S755" s="23" t="n">
        <f>O755*R755</f>
        <v>10.90909090909091</v>
      </c>
      <c r="T755" s="23" t="n">
        <f>MIN(P755,S755)</f>
        <v>0</v>
      </c>
      <c r="U755" s="23" t="n">
        <f>O755-S755</f>
        <v>4.09090909090909</v>
      </c>
      <c r="V755" s="23" t="n">
        <f>MAX(P755-O755,0)</f>
        <v>0</v>
      </c>
    </row>
    <row r="756">
      <c r="A756" s="19" t="str">
        <v>波兰区</v>
      </c>
      <c r="B756" s="19" t="str">
        <v>弗罗茨瓦夫3号仓(SN)</v>
      </c>
      <c r="C756" s="19" t="str">
        <v>B班组</v>
      </c>
      <c r="D756" s="21" t="n">
        <v>46140</v>
      </c>
      <c r="E756" s="19" t="str">
        <v>2026-04</v>
      </c>
      <c r="F756" s="19" t="str">
        <v>操作员</v>
      </c>
      <c r="G756" s="19" t="str">
        <v>10.5小时-早班-休息不计费-含加班-Rano（06:00~16:45）</v>
      </c>
      <c r="H756" s="19" t="str">
        <v>S000286</v>
      </c>
      <c r="I756" s="19" t="str">
        <v>Work-up sp. z o.o. sp. k.</v>
      </c>
      <c r="J756" s="23" t="n">
        <v>40</v>
      </c>
      <c r="K756" s="23" t="n">
        <v>0</v>
      </c>
      <c r="L756" s="23" t="n">
        <f>J756+K756</f>
        <v>40</v>
      </c>
      <c r="M756" s="23" t="n">
        <v>55</v>
      </c>
      <c r="N756" s="23" t="n">
        <v>28</v>
      </c>
      <c r="O756" s="23" t="n">
        <v>15</v>
      </c>
      <c r="P756" s="23" t="n">
        <v>11</v>
      </c>
      <c r="Q756" s="23" t="n">
        <f>MIN(O756,P756)</f>
        <v>11</v>
      </c>
      <c r="R756" s="25" t="n">
        <f>IF(M756=0,0,MIN(1,L756/M756))</f>
        <v>0.7272727272727273</v>
      </c>
      <c r="S756" s="23" t="n">
        <f>O756*R756</f>
        <v>10.90909090909091</v>
      </c>
      <c r="T756" s="23" t="n">
        <f>MIN(P756,S756)</f>
        <v>10.90909090909091</v>
      </c>
      <c r="U756" s="23" t="n">
        <f>O756-S756</f>
        <v>4.09090909090909</v>
      </c>
      <c r="V756" s="23" t="n">
        <f>MAX(P756-O756,0)</f>
        <v>0</v>
      </c>
    </row>
    <row r="757">
      <c r="A757" s="19" t="str">
        <v>波兰区</v>
      </c>
      <c r="B757" s="19" t="str">
        <v>弗罗茨瓦夫3号仓(SN)</v>
      </c>
      <c r="C757" s="19" t="str">
        <v>B班组</v>
      </c>
      <c r="D757" s="21" t="n">
        <v>46140</v>
      </c>
      <c r="E757" s="19" t="str">
        <v>2026-04</v>
      </c>
      <c r="F757" s="19" t="str">
        <v>操作员</v>
      </c>
      <c r="G757" s="19" t="str">
        <v>10.5小时-早班-休息不计费-含加班-Rano（06:00~16:45）</v>
      </c>
      <c r="H757" s="19" t="str">
        <v>S000330</v>
      </c>
      <c r="I757" s="19" t="str">
        <v>APT CREATION</v>
      </c>
      <c r="J757" s="23" t="n">
        <v>40</v>
      </c>
      <c r="K757" s="23" t="n">
        <v>0</v>
      </c>
      <c r="L757" s="23" t="n">
        <f>J757+K757</f>
        <v>40</v>
      </c>
      <c r="M757" s="23" t="n">
        <v>55</v>
      </c>
      <c r="N757" s="23" t="n">
        <v>28</v>
      </c>
      <c r="O757" s="23" t="n">
        <v>15</v>
      </c>
      <c r="P757" s="23" t="n">
        <v>10</v>
      </c>
      <c r="Q757" s="23" t="n">
        <f>MIN(O757,P757)</f>
        <v>10</v>
      </c>
      <c r="R757" s="25" t="n">
        <f>IF(M757=0,0,MIN(1,L757/M757))</f>
        <v>0.7272727272727273</v>
      </c>
      <c r="S757" s="23" t="n">
        <f>O757*R757</f>
        <v>10.90909090909091</v>
      </c>
      <c r="T757" s="23" t="n">
        <f>MIN(P757,S757)</f>
        <v>10</v>
      </c>
      <c r="U757" s="23" t="n">
        <f>O757-S757</f>
        <v>4.09090909090909</v>
      </c>
      <c r="V757" s="23" t="n">
        <f>MAX(P757-O757,0)</f>
        <v>0</v>
      </c>
    </row>
    <row r="758">
      <c r="A758" s="19" t="str">
        <v>波兰区</v>
      </c>
      <c r="B758" s="19" t="str">
        <v>弗罗茨瓦夫3号仓(SN)</v>
      </c>
      <c r="C758" s="19" t="str">
        <v>B班组</v>
      </c>
      <c r="D758" s="21" t="n">
        <v>46147</v>
      </c>
      <c r="E758" s="19" t="str">
        <v>2026-05</v>
      </c>
      <c r="F758" s="19" t="str">
        <v>操作员</v>
      </c>
      <c r="G758" s="19" t="str">
        <v>10.5小时-晚班-休息不计费-含加班-NOC（18:00~04:45）</v>
      </c>
      <c r="H758" s="19" t="str">
        <v>S000206</v>
      </c>
      <c r="I758" s="19" t="str">
        <v>Zenith Zone Sp. z o.o.</v>
      </c>
      <c r="J758" s="23" t="n">
        <v>50</v>
      </c>
      <c r="K758" s="23" t="n">
        <v>0</v>
      </c>
      <c r="L758" s="23" t="n">
        <f>J758+K758</f>
        <v>50</v>
      </c>
      <c r="M758" s="23" t="n">
        <v>56</v>
      </c>
      <c r="N758" s="23" t="n">
        <v>26</v>
      </c>
      <c r="O758" s="23" t="n">
        <v>15</v>
      </c>
      <c r="P758" s="23" t="n">
        <v>6</v>
      </c>
      <c r="Q758" s="23" t="n">
        <f>MIN(O758,P758)</f>
        <v>6</v>
      </c>
      <c r="R758" s="25" t="n">
        <f>IF(M758=0,0,MIN(1,L758/M758))</f>
        <v>0.8928571428571429</v>
      </c>
      <c r="S758" s="23" t="n">
        <f>O758*R758</f>
        <v>13.392857142857144</v>
      </c>
      <c r="T758" s="23" t="n">
        <f>MIN(P758,S758)</f>
        <v>6</v>
      </c>
      <c r="U758" s="23" t="n">
        <f>O758-S758</f>
        <v>1.6071428571428559</v>
      </c>
      <c r="V758" s="23" t="n">
        <f>MAX(P758-O758,0)</f>
        <v>0</v>
      </c>
    </row>
    <row r="759">
      <c r="A759" s="19" t="str">
        <v>波兰区</v>
      </c>
      <c r="B759" s="19" t="str">
        <v>弗罗茨瓦夫3号仓(SN)</v>
      </c>
      <c r="C759" s="19" t="str">
        <v>B班组</v>
      </c>
      <c r="D759" s="21" t="n">
        <v>46147</v>
      </c>
      <c r="E759" s="19" t="str">
        <v>2026-05</v>
      </c>
      <c r="F759" s="19" t="str">
        <v>操作员</v>
      </c>
      <c r="G759" s="19" t="str">
        <v>10.5小时-晚班-休息不计费-含加班-NOC（18:00~04:45）</v>
      </c>
      <c r="H759" s="19" t="str">
        <v>S000207</v>
      </c>
      <c r="I759" s="19" t="str">
        <v>Niden Service Sp. z o.o.</v>
      </c>
      <c r="J759" s="23" t="n">
        <v>50</v>
      </c>
      <c r="K759" s="23" t="n">
        <v>0</v>
      </c>
      <c r="L759" s="23" t="n">
        <f>J759+K759</f>
        <v>50</v>
      </c>
      <c r="M759" s="23" t="n">
        <v>56</v>
      </c>
      <c r="N759" s="23" t="n">
        <v>26</v>
      </c>
      <c r="O759" s="23" t="n">
        <v>15</v>
      </c>
      <c r="P759" s="23" t="n">
        <v>9</v>
      </c>
      <c r="Q759" s="23" t="n">
        <f>MIN(O759,P759)</f>
        <v>9</v>
      </c>
      <c r="R759" s="25" t="n">
        <f>IF(M759=0,0,MIN(1,L759/M759))</f>
        <v>0.8928571428571429</v>
      </c>
      <c r="S759" s="23" t="n">
        <f>O759*R759</f>
        <v>13.392857142857144</v>
      </c>
      <c r="T759" s="23" t="n">
        <f>MIN(P759,S759)</f>
        <v>9</v>
      </c>
      <c r="U759" s="23" t="n">
        <f>O759-S759</f>
        <v>1.6071428571428559</v>
      </c>
      <c r="V759" s="23" t="n">
        <f>MAX(P759-O759,0)</f>
        <v>0</v>
      </c>
    </row>
    <row r="760">
      <c r="A760" s="19" t="str">
        <v>波兰区</v>
      </c>
      <c r="B760" s="19" t="str">
        <v>弗罗茨瓦夫3号仓(SN)</v>
      </c>
      <c r="C760" s="19" t="str">
        <v>B班组</v>
      </c>
      <c r="D760" s="21" t="n">
        <v>46147</v>
      </c>
      <c r="E760" s="19" t="str">
        <v>2026-05</v>
      </c>
      <c r="F760" s="19" t="str">
        <v>操作员</v>
      </c>
      <c r="G760" s="19" t="str">
        <v>10.5小时-晚班-休息不计费-含加班-NOC（18:00~04:45）</v>
      </c>
      <c r="H760" s="19" t="str">
        <v>S000249</v>
      </c>
      <c r="I760" s="19" t="str">
        <v>Gremi 2024.07</v>
      </c>
      <c r="J760" s="23" t="n">
        <v>50</v>
      </c>
      <c r="K760" s="23" t="n">
        <v>0</v>
      </c>
      <c r="L760" s="23" t="n">
        <f>J760+K760</f>
        <v>50</v>
      </c>
      <c r="M760" s="23" t="n">
        <v>56</v>
      </c>
      <c r="N760" s="23" t="n">
        <v>26</v>
      </c>
      <c r="O760" s="23" t="n">
        <v>11</v>
      </c>
      <c r="P760" s="23" t="n">
        <v>11</v>
      </c>
      <c r="Q760" s="23" t="n">
        <f>MIN(O760,P760)</f>
        <v>11</v>
      </c>
      <c r="R760" s="25" t="n">
        <f>IF(M760=0,0,MIN(1,L760/M760))</f>
        <v>0.8928571428571429</v>
      </c>
      <c r="S760" s="23" t="n">
        <f>O760*R760</f>
        <v>9.821428571428571</v>
      </c>
      <c r="T760" s="23" t="n">
        <f>MIN(P760,S760)</f>
        <v>9.821428571428571</v>
      </c>
      <c r="U760" s="23" t="n">
        <f>O760-S760</f>
        <v>1.1785714285714288</v>
      </c>
      <c r="V760" s="23" t="n">
        <f>MAX(P760-O760,0)</f>
        <v>0</v>
      </c>
    </row>
    <row r="761">
      <c r="A761" s="19" t="str">
        <v>波兰区</v>
      </c>
      <c r="B761" s="19" t="str">
        <v>弗罗茨瓦夫3号仓(SN)</v>
      </c>
      <c r="C761" s="19" t="str">
        <v>B班组</v>
      </c>
      <c r="D761" s="21" t="n">
        <v>46147</v>
      </c>
      <c r="E761" s="19" t="str">
        <v>2026-05</v>
      </c>
      <c r="F761" s="19" t="str">
        <v>操作员</v>
      </c>
      <c r="G761" s="19" t="str">
        <v>10.5小时-晚班-休息不计费-含加班-NOC（18:00~04:45）</v>
      </c>
      <c r="H761" s="19" t="str">
        <v>S000286</v>
      </c>
      <c r="I761" s="19" t="str">
        <v>Work-up sp. z o.o. sp. k.</v>
      </c>
      <c r="J761" s="23" t="n">
        <v>50</v>
      </c>
      <c r="K761" s="23" t="n">
        <v>0</v>
      </c>
      <c r="L761" s="23" t="n">
        <f>J761+K761</f>
        <v>50</v>
      </c>
      <c r="M761" s="23" t="n">
        <v>56</v>
      </c>
      <c r="N761" s="23" t="n">
        <v>26</v>
      </c>
      <c r="O761" s="23" t="n">
        <v>15</v>
      </c>
      <c r="P761" s="23" t="n">
        <v>0</v>
      </c>
      <c r="Q761" s="23" t="n">
        <f>MIN(O761,P761)</f>
        <v>0</v>
      </c>
      <c r="R761" s="25" t="n">
        <f>IF(M761=0,0,MIN(1,L761/M761))</f>
        <v>0.8928571428571429</v>
      </c>
      <c r="S761" s="23" t="n">
        <f>O761*R761</f>
        <v>13.392857142857144</v>
      </c>
      <c r="T761" s="23" t="n">
        <f>MIN(P761,S761)</f>
        <v>0</v>
      </c>
      <c r="U761" s="23" t="n">
        <f>O761-S761</f>
        <v>1.6071428571428559</v>
      </c>
      <c r="V761" s="23" t="n">
        <f>MAX(P761-O761,0)</f>
        <v>0</v>
      </c>
    </row>
    <row r="762">
      <c r="A762" s="19" t="str">
        <v>波兰区</v>
      </c>
      <c r="B762" s="19" t="str">
        <v>弗罗茨瓦夫3号仓(SN)</v>
      </c>
      <c r="C762" s="19" t="str">
        <v>B班组</v>
      </c>
      <c r="D762" s="21" t="n">
        <v>46154</v>
      </c>
      <c r="E762" s="19" t="str">
        <v>2026-05</v>
      </c>
      <c r="F762" s="19" t="str">
        <v>操作员</v>
      </c>
      <c r="G762" s="19" t="str">
        <v>10.5小时-早班-休息不计费-含加班-Rano（06:00~16:45）</v>
      </c>
      <c r="H762" s="19" t="str">
        <v>S000201</v>
      </c>
      <c r="I762" s="19" t="str">
        <v>ATLAS WORK SPÓŁKA Z OGRANICZONĄ ODPOWIEDZIALNOŚCIĄ</v>
      </c>
      <c r="J762" s="23" t="n">
        <v>50</v>
      </c>
      <c r="K762" s="23" t="n">
        <v>0</v>
      </c>
      <c r="L762" s="23" t="n">
        <f>J762+K762</f>
        <v>50</v>
      </c>
      <c r="M762" s="23" t="n">
        <v>41</v>
      </c>
      <c r="N762" s="23" t="n">
        <v>30</v>
      </c>
      <c r="O762" s="23" t="n">
        <v>12</v>
      </c>
      <c r="P762" s="23" t="n">
        <v>11</v>
      </c>
      <c r="Q762" s="23" t="n">
        <f>MIN(O762,P762)</f>
        <v>11</v>
      </c>
      <c r="R762" s="25" t="n">
        <f>IF(M762=0,0,MIN(1,L762/M762))</f>
        <v>1</v>
      </c>
      <c r="S762" s="23" t="n">
        <f>O762*R762</f>
        <v>12</v>
      </c>
      <c r="T762" s="23" t="n">
        <f>MIN(P762,S762)</f>
        <v>11</v>
      </c>
      <c r="U762" s="23" t="n">
        <f>O762-S762</f>
        <v>0</v>
      </c>
      <c r="V762" s="23" t="n">
        <f>MAX(P762-O762,0)</f>
        <v>0</v>
      </c>
    </row>
    <row r="763">
      <c r="A763" s="19" t="str">
        <v>波兰区</v>
      </c>
      <c r="B763" s="19" t="str">
        <v>弗罗茨瓦夫3号仓(SN)</v>
      </c>
      <c r="C763" s="19" t="str">
        <v>B班组</v>
      </c>
      <c r="D763" s="21" t="n">
        <v>46154</v>
      </c>
      <c r="E763" s="19" t="str">
        <v>2026-05</v>
      </c>
      <c r="F763" s="19" t="str">
        <v>操作员</v>
      </c>
      <c r="G763" s="19" t="str">
        <v>10.5小时-早班-休息不计费-含加班-Rano（06:00~16:45）</v>
      </c>
      <c r="H763" s="19" t="str">
        <v>S000207</v>
      </c>
      <c r="I763" s="19" t="str">
        <v>Niden Service Sp. z o.o.</v>
      </c>
      <c r="J763" s="23" t="n">
        <v>50</v>
      </c>
      <c r="K763" s="23" t="n">
        <v>0</v>
      </c>
      <c r="L763" s="23" t="n">
        <f>J763+K763</f>
        <v>50</v>
      </c>
      <c r="M763" s="23" t="n">
        <v>41</v>
      </c>
      <c r="N763" s="23" t="n">
        <v>30</v>
      </c>
      <c r="O763" s="23" t="n">
        <v>11</v>
      </c>
      <c r="P763" s="23" t="n">
        <v>5</v>
      </c>
      <c r="Q763" s="23" t="n">
        <f>MIN(O763,P763)</f>
        <v>5</v>
      </c>
      <c r="R763" s="25" t="n">
        <f>IF(M763=0,0,MIN(1,L763/M763))</f>
        <v>1</v>
      </c>
      <c r="S763" s="23" t="n">
        <f>O763*R763</f>
        <v>11</v>
      </c>
      <c r="T763" s="23" t="n">
        <f>MIN(P763,S763)</f>
        <v>5</v>
      </c>
      <c r="U763" s="23" t="n">
        <f>O763-S763</f>
        <v>0</v>
      </c>
      <c r="V763" s="23" t="n">
        <f>MAX(P763-O763,0)</f>
        <v>0</v>
      </c>
    </row>
    <row r="764">
      <c r="A764" s="19" t="str">
        <v>波兰区</v>
      </c>
      <c r="B764" s="19" t="str">
        <v>弗罗茨瓦夫3号仓(SN)</v>
      </c>
      <c r="C764" s="19" t="str">
        <v>B班组</v>
      </c>
      <c r="D764" s="21" t="n">
        <v>46154</v>
      </c>
      <c r="E764" s="19" t="str">
        <v>2026-05</v>
      </c>
      <c r="F764" s="19" t="str">
        <v>操作员</v>
      </c>
      <c r="G764" s="19" t="str">
        <v>10.5小时-早班-休息不计费-含加班-Rano（06:00~16:45）</v>
      </c>
      <c r="H764" s="19" t="str">
        <v>S000212</v>
      </c>
      <c r="I764" s="19" t="str">
        <v>Dreman Sp. z o.o.</v>
      </c>
      <c r="J764" s="23" t="n">
        <v>50</v>
      </c>
      <c r="K764" s="23" t="n">
        <v>0</v>
      </c>
      <c r="L764" s="23" t="n">
        <f>J764+K764</f>
        <v>50</v>
      </c>
      <c r="M764" s="23" t="n">
        <v>41</v>
      </c>
      <c r="N764" s="23" t="n">
        <v>30</v>
      </c>
      <c r="O764" s="23" t="n">
        <v>10</v>
      </c>
      <c r="P764" s="23" t="n">
        <v>8</v>
      </c>
      <c r="Q764" s="23" t="n">
        <f>MIN(O764,P764)</f>
        <v>8</v>
      </c>
      <c r="R764" s="25" t="n">
        <f>IF(M764=0,0,MIN(1,L764/M764))</f>
        <v>1</v>
      </c>
      <c r="S764" s="23" t="n">
        <f>O764*R764</f>
        <v>10</v>
      </c>
      <c r="T764" s="23" t="n">
        <f>MIN(P764,S764)</f>
        <v>8</v>
      </c>
      <c r="U764" s="23" t="n">
        <f>O764-S764</f>
        <v>0</v>
      </c>
      <c r="V764" s="23" t="n">
        <f>MAX(P764-O764,0)</f>
        <v>0</v>
      </c>
    </row>
    <row r="765">
      <c r="A765" s="19" t="str">
        <v>波兰区</v>
      </c>
      <c r="B765" s="19" t="str">
        <v>弗罗茨瓦夫3号仓(SN)</v>
      </c>
      <c r="C765" s="19" t="str">
        <v>B班组</v>
      </c>
      <c r="D765" s="21" t="n">
        <v>46154</v>
      </c>
      <c r="E765" s="19" t="str">
        <v>2026-05</v>
      </c>
      <c r="F765" s="19" t="str">
        <v>操作员</v>
      </c>
      <c r="G765" s="19" t="str">
        <v>10.5小时-早班-休息不计费-含加班-Rano（06:00~16:45）</v>
      </c>
      <c r="H765" s="19" t="str">
        <v>S000288</v>
      </c>
      <c r="I765" s="19" t="str">
        <v>Global Solution</v>
      </c>
      <c r="J765" s="23" t="n">
        <v>50</v>
      </c>
      <c r="K765" s="23" t="n">
        <v>0</v>
      </c>
      <c r="L765" s="23" t="n">
        <f>J765+K765</f>
        <v>50</v>
      </c>
      <c r="M765" s="23" t="n">
        <v>41</v>
      </c>
      <c r="N765" s="23" t="n">
        <v>30</v>
      </c>
      <c r="O765" s="23" t="n">
        <v>8</v>
      </c>
      <c r="P765" s="23" t="n">
        <v>6</v>
      </c>
      <c r="Q765" s="23" t="n">
        <f>MIN(O765,P765)</f>
        <v>6</v>
      </c>
      <c r="R765" s="25" t="n">
        <f>IF(M765=0,0,MIN(1,L765/M765))</f>
        <v>1</v>
      </c>
      <c r="S765" s="23" t="n">
        <f>O765*R765</f>
        <v>8</v>
      </c>
      <c r="T765" s="23" t="n">
        <f>MIN(P765,S765)</f>
        <v>6</v>
      </c>
      <c r="U765" s="23" t="n">
        <f>O765-S765</f>
        <v>0</v>
      </c>
      <c r="V765" s="23" t="n">
        <f>MAX(P765-O765,0)</f>
        <v>0</v>
      </c>
    </row>
    <row r="766">
      <c r="A766" s="19" t="str">
        <v>波兰区</v>
      </c>
      <c r="B766" s="19" t="str">
        <v>弗罗茨瓦夫3号仓(SN)</v>
      </c>
      <c r="C766" s="19" t="str">
        <v>B班组</v>
      </c>
      <c r="D766" s="21" t="n">
        <v>46170</v>
      </c>
      <c r="E766" s="19" t="str">
        <v>2026-05</v>
      </c>
      <c r="F766" s="19" t="str">
        <v>操作员</v>
      </c>
      <c r="G766" s="19" t="str">
        <v>10.5小时-晚班-休息不计费-含加班-NOC（18:00~04:45）</v>
      </c>
      <c r="H766" s="19" t="str">
        <v>S000196</v>
      </c>
      <c r="I766" s="19" t="str">
        <v>Gi Group sp. z o.o.</v>
      </c>
      <c r="J766" s="23" t="n">
        <v>50</v>
      </c>
      <c r="K766" s="23" t="n">
        <v>0</v>
      </c>
      <c r="L766" s="23" t="n">
        <f>J766+K766</f>
        <v>50</v>
      </c>
      <c r="M766" s="23" t="n">
        <v>91</v>
      </c>
      <c r="N766" s="23" t="n">
        <v>45</v>
      </c>
      <c r="O766" s="23" t="n">
        <v>5</v>
      </c>
      <c r="P766" s="23" t="n">
        <v>2</v>
      </c>
      <c r="Q766" s="23" t="n">
        <f>MIN(O766,P766)</f>
        <v>2</v>
      </c>
      <c r="R766" s="25" t="n">
        <f>IF(M766=0,0,MIN(1,L766/M766))</f>
        <v>0.5494505494505495</v>
      </c>
      <c r="S766" s="23" t="n">
        <f>O766*R766</f>
        <v>2.7472527472527473</v>
      </c>
      <c r="T766" s="23" t="n">
        <f>MIN(P766,S766)</f>
        <v>2</v>
      </c>
      <c r="U766" s="23" t="n">
        <f>O766-S766</f>
        <v>2.2527472527472527</v>
      </c>
      <c r="V766" s="23" t="n">
        <f>MAX(P766-O766,0)</f>
        <v>0</v>
      </c>
    </row>
    <row r="767">
      <c r="A767" s="19" t="str">
        <v>波兰区</v>
      </c>
      <c r="B767" s="19" t="str">
        <v>弗罗茨瓦夫3号仓(SN)</v>
      </c>
      <c r="C767" s="19" t="str">
        <v>B班组</v>
      </c>
      <c r="D767" s="21" t="n">
        <v>46170</v>
      </c>
      <c r="E767" s="19" t="str">
        <v>2026-05</v>
      </c>
      <c r="F767" s="19" t="str">
        <v>操作员</v>
      </c>
      <c r="G767" s="19" t="str">
        <v>10.5小时-晚班-休息不计费-含加班-NOC（18:00~04:45）</v>
      </c>
      <c r="H767" s="19" t="str">
        <v>S000201</v>
      </c>
      <c r="I767" s="19" t="str">
        <v>ATLAS WORK SPÓŁKA Z OGRANICZONĄ ODPOWIEDZIALNOŚCIĄ</v>
      </c>
      <c r="J767" s="23" t="n">
        <v>50</v>
      </c>
      <c r="K767" s="23" t="n">
        <v>0</v>
      </c>
      <c r="L767" s="23" t="n">
        <f>J767+K767</f>
        <v>50</v>
      </c>
      <c r="M767" s="23" t="n">
        <v>91</v>
      </c>
      <c r="N767" s="23" t="n">
        <v>45</v>
      </c>
      <c r="O767" s="23" t="n">
        <v>10</v>
      </c>
      <c r="P767" s="23" t="n">
        <v>10</v>
      </c>
      <c r="Q767" s="23" t="n">
        <f>MIN(O767,P767)</f>
        <v>10</v>
      </c>
      <c r="R767" s="25" t="n">
        <f>IF(M767=0,0,MIN(1,L767/M767))</f>
        <v>0.5494505494505495</v>
      </c>
      <c r="S767" s="23" t="n">
        <f>O767*R767</f>
        <v>5.4945054945054945</v>
      </c>
      <c r="T767" s="23" t="n">
        <f>MIN(P767,S767)</f>
        <v>5.4945054945054945</v>
      </c>
      <c r="U767" s="23" t="n">
        <f>O767-S767</f>
        <v>4.5054945054945055</v>
      </c>
      <c r="V767" s="23" t="n">
        <f>MAX(P767-O767,0)</f>
        <v>0</v>
      </c>
    </row>
    <row r="768">
      <c r="A768" s="19" t="str">
        <v>波兰区</v>
      </c>
      <c r="B768" s="19" t="str">
        <v>弗罗茨瓦夫3号仓(SN)</v>
      </c>
      <c r="C768" s="19" t="str">
        <v>B班组</v>
      </c>
      <c r="D768" s="21" t="n">
        <v>46170</v>
      </c>
      <c r="E768" s="19" t="str">
        <v>2026-05</v>
      </c>
      <c r="F768" s="19" t="str">
        <v>操作员</v>
      </c>
      <c r="G768" s="19" t="str">
        <v>10.5小时-晚班-休息不计费-含加班-NOC（18:00~04:45）</v>
      </c>
      <c r="H768" s="19" t="str">
        <v>S000207</v>
      </c>
      <c r="I768" s="19" t="str">
        <v>Niden Service Sp. z o.o.</v>
      </c>
      <c r="J768" s="23" t="n">
        <v>50</v>
      </c>
      <c r="K768" s="23" t="n">
        <v>0</v>
      </c>
      <c r="L768" s="23" t="n">
        <f>J768+K768</f>
        <v>50</v>
      </c>
      <c r="M768" s="23" t="n">
        <v>91</v>
      </c>
      <c r="N768" s="23" t="n">
        <v>45</v>
      </c>
      <c r="O768" s="23" t="n">
        <v>15</v>
      </c>
      <c r="P768" s="23" t="n">
        <v>1</v>
      </c>
      <c r="Q768" s="23" t="n">
        <f>MIN(O768,P768)</f>
        <v>1</v>
      </c>
      <c r="R768" s="25" t="n">
        <f>IF(M768=0,0,MIN(1,L768/M768))</f>
        <v>0.5494505494505495</v>
      </c>
      <c r="S768" s="23" t="n">
        <f>O768*R768</f>
        <v>8.241758241758243</v>
      </c>
      <c r="T768" s="23" t="n">
        <f>MIN(P768,S768)</f>
        <v>1</v>
      </c>
      <c r="U768" s="23" t="n">
        <f>O768-S768</f>
        <v>6.758241758241757</v>
      </c>
      <c r="V768" s="23" t="n">
        <f>MAX(P768-O768,0)</f>
        <v>0</v>
      </c>
    </row>
    <row r="769">
      <c r="A769" s="19" t="str">
        <v>波兰区</v>
      </c>
      <c r="B769" s="19" t="str">
        <v>弗罗茨瓦夫3号仓(SN)</v>
      </c>
      <c r="C769" s="19" t="str">
        <v>B班组</v>
      </c>
      <c r="D769" s="21" t="n">
        <v>46170</v>
      </c>
      <c r="E769" s="19" t="str">
        <v>2026-05</v>
      </c>
      <c r="F769" s="19" t="str">
        <v>操作员</v>
      </c>
      <c r="G769" s="19" t="str">
        <v>10.5小时-晚班-休息不计费-含加班-NOC（18:00~04:45）</v>
      </c>
      <c r="H769" s="19" t="str">
        <v>S000212</v>
      </c>
      <c r="I769" s="19" t="str">
        <v>Dreman Sp. z o.o.</v>
      </c>
      <c r="J769" s="23" t="n">
        <v>50</v>
      </c>
      <c r="K769" s="23" t="n">
        <v>0</v>
      </c>
      <c r="L769" s="23" t="n">
        <f>J769+K769</f>
        <v>50</v>
      </c>
      <c r="M769" s="23" t="n">
        <v>91</v>
      </c>
      <c r="N769" s="23" t="n">
        <v>45</v>
      </c>
      <c r="O769" s="23" t="n">
        <v>5</v>
      </c>
      <c r="P769" s="23" t="n">
        <v>5</v>
      </c>
      <c r="Q769" s="23" t="n">
        <f>MIN(O769,P769)</f>
        <v>5</v>
      </c>
      <c r="R769" s="25" t="n">
        <f>IF(M769=0,0,MIN(1,L769/M769))</f>
        <v>0.5494505494505495</v>
      </c>
      <c r="S769" s="23" t="n">
        <f>O769*R769</f>
        <v>2.7472527472527473</v>
      </c>
      <c r="T769" s="23" t="n">
        <f>MIN(P769,S769)</f>
        <v>2.7472527472527473</v>
      </c>
      <c r="U769" s="23" t="n">
        <f>O769-S769</f>
        <v>2.2527472527472527</v>
      </c>
      <c r="V769" s="23" t="n">
        <f>MAX(P769-O769,0)</f>
        <v>0</v>
      </c>
    </row>
    <row r="770">
      <c r="A770" s="19" t="str">
        <v>波兰区</v>
      </c>
      <c r="B770" s="19" t="str">
        <v>弗罗茨瓦夫3号仓(SN)</v>
      </c>
      <c r="C770" s="19" t="str">
        <v>B班组</v>
      </c>
      <c r="D770" s="21" t="n">
        <v>46170</v>
      </c>
      <c r="E770" s="19" t="str">
        <v>2026-05</v>
      </c>
      <c r="F770" s="19" t="str">
        <v>操作员</v>
      </c>
      <c r="G770" s="19" t="str">
        <v>10.5小时-晚班-休息不计费-含加班-NOC（18:00~04:45）</v>
      </c>
      <c r="H770" s="19" t="str">
        <v>S000249</v>
      </c>
      <c r="I770" s="19" t="str">
        <v>Gremi 2024.07</v>
      </c>
      <c r="J770" s="23" t="n">
        <v>50</v>
      </c>
      <c r="K770" s="23" t="n">
        <v>0</v>
      </c>
      <c r="L770" s="23" t="n">
        <f>J770+K770</f>
        <v>50</v>
      </c>
      <c r="M770" s="23" t="n">
        <v>91</v>
      </c>
      <c r="N770" s="23" t="n">
        <v>45</v>
      </c>
      <c r="O770" s="23" t="n">
        <v>10</v>
      </c>
      <c r="P770" s="23" t="n">
        <v>2</v>
      </c>
      <c r="Q770" s="23" t="n">
        <f>MIN(O770,P770)</f>
        <v>2</v>
      </c>
      <c r="R770" s="25" t="n">
        <f>IF(M770=0,0,MIN(1,L770/M770))</f>
        <v>0.5494505494505495</v>
      </c>
      <c r="S770" s="23" t="n">
        <f>O770*R770</f>
        <v>5.4945054945054945</v>
      </c>
      <c r="T770" s="23" t="n">
        <f>MIN(P770,S770)</f>
        <v>2</v>
      </c>
      <c r="U770" s="23" t="n">
        <f>O770-S770</f>
        <v>4.5054945054945055</v>
      </c>
      <c r="V770" s="23" t="n">
        <f>MAX(P770-O770,0)</f>
        <v>0</v>
      </c>
    </row>
    <row r="771">
      <c r="A771" s="19" t="str">
        <v>波兰区</v>
      </c>
      <c r="B771" s="19" t="str">
        <v>弗罗茨瓦夫3号仓(SN)</v>
      </c>
      <c r="C771" s="19" t="str">
        <v>B班组</v>
      </c>
      <c r="D771" s="21" t="n">
        <v>46170</v>
      </c>
      <c r="E771" s="19" t="str">
        <v>2026-05</v>
      </c>
      <c r="F771" s="19" t="str">
        <v>操作员</v>
      </c>
      <c r="G771" s="19" t="str">
        <v>10.5小时-晚班-休息不计费-含加班-NOC（18:00~04:45）</v>
      </c>
      <c r="H771" s="19" t="str">
        <v>S000278</v>
      </c>
      <c r="I771" s="19" t="str">
        <v>VOKS Service</v>
      </c>
      <c r="J771" s="23" t="n">
        <v>50</v>
      </c>
      <c r="K771" s="23" t="n">
        <v>0</v>
      </c>
      <c r="L771" s="23" t="n">
        <f>J771+K771</f>
        <v>50</v>
      </c>
      <c r="M771" s="23" t="n">
        <v>91</v>
      </c>
      <c r="N771" s="23" t="n">
        <v>45</v>
      </c>
      <c r="O771" s="23" t="n">
        <v>10</v>
      </c>
      <c r="P771" s="23" t="n">
        <v>0</v>
      </c>
      <c r="Q771" s="23" t="n">
        <f>MIN(O771,P771)</f>
        <v>0</v>
      </c>
      <c r="R771" s="25" t="n">
        <f>IF(M771=0,0,MIN(1,L771/M771))</f>
        <v>0.5494505494505495</v>
      </c>
      <c r="S771" s="23" t="n">
        <f>O771*R771</f>
        <v>5.4945054945054945</v>
      </c>
      <c r="T771" s="23" t="n">
        <f>MIN(P771,S771)</f>
        <v>0</v>
      </c>
      <c r="U771" s="23" t="n">
        <f>O771-S771</f>
        <v>4.5054945054945055</v>
      </c>
      <c r="V771" s="23" t="n">
        <f>MAX(P771-O771,0)</f>
        <v>0</v>
      </c>
    </row>
    <row r="772">
      <c r="A772" s="19" t="str">
        <v>波兰区</v>
      </c>
      <c r="B772" s="19" t="str">
        <v>弗罗茨瓦夫3号仓(SN)</v>
      </c>
      <c r="C772" s="19" t="str">
        <v>B班组</v>
      </c>
      <c r="D772" s="21" t="n">
        <v>46170</v>
      </c>
      <c r="E772" s="19" t="str">
        <v>2026-05</v>
      </c>
      <c r="F772" s="19" t="str">
        <v>操作员</v>
      </c>
      <c r="G772" s="19" t="str">
        <v>10.5小时-晚班-休息不计费-含加班-NOC（18:00~04:45）</v>
      </c>
      <c r="H772" s="19" t="str">
        <v>S000286</v>
      </c>
      <c r="I772" s="19" t="str">
        <v>Work-up sp. z o.o. sp. k.</v>
      </c>
      <c r="J772" s="23" t="n">
        <v>50</v>
      </c>
      <c r="K772" s="23" t="n">
        <v>0</v>
      </c>
      <c r="L772" s="23" t="n">
        <f>J772+K772</f>
        <v>50</v>
      </c>
      <c r="M772" s="23" t="n">
        <v>91</v>
      </c>
      <c r="N772" s="23" t="n">
        <v>45</v>
      </c>
      <c r="O772" s="23" t="n">
        <v>10</v>
      </c>
      <c r="P772" s="23" t="n">
        <v>7</v>
      </c>
      <c r="Q772" s="23" t="n">
        <f>MIN(O772,P772)</f>
        <v>7</v>
      </c>
      <c r="R772" s="25" t="n">
        <f>IF(M772=0,0,MIN(1,L772/M772))</f>
        <v>0.5494505494505495</v>
      </c>
      <c r="S772" s="23" t="n">
        <f>O772*R772</f>
        <v>5.4945054945054945</v>
      </c>
      <c r="T772" s="23" t="n">
        <f>MIN(P772,S772)</f>
        <v>5.4945054945054945</v>
      </c>
      <c r="U772" s="23" t="n">
        <f>O772-S772</f>
        <v>4.5054945054945055</v>
      </c>
      <c r="V772" s="23" t="n">
        <f>MAX(P772-O772,0)</f>
        <v>0</v>
      </c>
    </row>
    <row r="773">
      <c r="A773" s="19" t="str">
        <v>波兰区</v>
      </c>
      <c r="B773" s="19" t="str">
        <v>弗罗茨瓦夫3号仓(SN)</v>
      </c>
      <c r="C773" s="19" t="str">
        <v>B班组</v>
      </c>
      <c r="D773" s="21" t="n">
        <v>46170</v>
      </c>
      <c r="E773" s="19" t="str">
        <v>2026-05</v>
      </c>
      <c r="F773" s="19" t="str">
        <v>操作员</v>
      </c>
      <c r="G773" s="19" t="str">
        <v>10.5小时-晚班-休息不计费-含加班-NOC（18:00~04:45）</v>
      </c>
      <c r="H773" s="19" t="str">
        <v>S000287</v>
      </c>
      <c r="I773" s="19" t="str">
        <v>DK Global</v>
      </c>
      <c r="J773" s="23" t="n">
        <v>50</v>
      </c>
      <c r="K773" s="23" t="n">
        <v>0</v>
      </c>
      <c r="L773" s="23" t="n">
        <f>J773+K773</f>
        <v>50</v>
      </c>
      <c r="M773" s="23" t="n">
        <v>91</v>
      </c>
      <c r="N773" s="23" t="n">
        <v>45</v>
      </c>
      <c r="O773" s="23" t="n">
        <v>8</v>
      </c>
      <c r="P773" s="23" t="n">
        <v>2</v>
      </c>
      <c r="Q773" s="23" t="n">
        <f>MIN(O773,P773)</f>
        <v>2</v>
      </c>
      <c r="R773" s="25" t="n">
        <f>IF(M773=0,0,MIN(1,L773/M773))</f>
        <v>0.5494505494505495</v>
      </c>
      <c r="S773" s="23" t="n">
        <f>O773*R773</f>
        <v>4.395604395604396</v>
      </c>
      <c r="T773" s="23" t="n">
        <f>MIN(P773,S773)</f>
        <v>2</v>
      </c>
      <c r="U773" s="23" t="n">
        <f>O773-S773</f>
        <v>3.604395604395604</v>
      </c>
      <c r="V773" s="23" t="n">
        <f>MAX(P773-O773,0)</f>
        <v>0</v>
      </c>
    </row>
    <row r="774">
      <c r="A774" s="19" t="str">
        <v>波兰区</v>
      </c>
      <c r="B774" s="19" t="str">
        <v>弗罗茨瓦夫3号仓(SN)</v>
      </c>
      <c r="C774" s="19" t="str">
        <v>B班组</v>
      </c>
      <c r="D774" s="21" t="n">
        <v>46170</v>
      </c>
      <c r="E774" s="19" t="str">
        <v>2026-05</v>
      </c>
      <c r="F774" s="19" t="str">
        <v>操作员</v>
      </c>
      <c r="G774" s="19" t="str">
        <v>10.5小时-晚班-休息不计费-含加班-NOC（18:00~04:45）</v>
      </c>
      <c r="H774" s="19" t="str">
        <v>S000288</v>
      </c>
      <c r="I774" s="19" t="str">
        <v>Global Solution</v>
      </c>
      <c r="J774" s="23" t="n">
        <v>50</v>
      </c>
      <c r="K774" s="23" t="n">
        <v>0</v>
      </c>
      <c r="L774" s="23" t="n">
        <f>J774+K774</f>
        <v>50</v>
      </c>
      <c r="M774" s="23" t="n">
        <v>91</v>
      </c>
      <c r="N774" s="23" t="n">
        <v>45</v>
      </c>
      <c r="O774" s="23" t="n">
        <v>10</v>
      </c>
      <c r="P774" s="23" t="n">
        <v>8</v>
      </c>
      <c r="Q774" s="23" t="n">
        <f>MIN(O774,P774)</f>
        <v>8</v>
      </c>
      <c r="R774" s="25" t="n">
        <f>IF(M774=0,0,MIN(1,L774/M774))</f>
        <v>0.5494505494505495</v>
      </c>
      <c r="S774" s="23" t="n">
        <f>O774*R774</f>
        <v>5.4945054945054945</v>
      </c>
      <c r="T774" s="23" t="n">
        <f>MIN(P774,S774)</f>
        <v>5.4945054945054945</v>
      </c>
      <c r="U774" s="23" t="n">
        <f>O774-S774</f>
        <v>4.5054945054945055</v>
      </c>
      <c r="V774" s="23" t="n">
        <f>MAX(P774-O774,0)</f>
        <v>0</v>
      </c>
    </row>
    <row r="775">
      <c r="A775" s="19" t="str">
        <v>波兰区</v>
      </c>
      <c r="B775" s="19" t="str">
        <v>弗罗茨瓦夫3号仓(SN)</v>
      </c>
      <c r="C775" s="19" t="str">
        <v>B班组</v>
      </c>
      <c r="D775" s="21" t="n">
        <v>46170</v>
      </c>
      <c r="E775" s="19" t="str">
        <v>2026-05</v>
      </c>
      <c r="F775" s="19" t="str">
        <v>操作员</v>
      </c>
      <c r="G775" s="19" t="str">
        <v>10.5小时-晚班-休息不计费-含加班-NOC（18:00~04:45）</v>
      </c>
      <c r="H775" s="19" t="str">
        <v>S000297</v>
      </c>
      <c r="I775" s="19" t="str">
        <v>Eurojob-West</v>
      </c>
      <c r="J775" s="23" t="n">
        <v>50</v>
      </c>
      <c r="K775" s="23" t="n">
        <v>0</v>
      </c>
      <c r="L775" s="23" t="n">
        <f>J775+K775</f>
        <v>50</v>
      </c>
      <c r="M775" s="23" t="n">
        <v>91</v>
      </c>
      <c r="N775" s="23" t="n">
        <v>45</v>
      </c>
      <c r="O775" s="23" t="n">
        <v>2</v>
      </c>
      <c r="P775" s="23" t="n">
        <v>2</v>
      </c>
      <c r="Q775" s="23" t="n">
        <f>MIN(O775,P775)</f>
        <v>2</v>
      </c>
      <c r="R775" s="25" t="n">
        <f>IF(M775=0,0,MIN(1,L775/M775))</f>
        <v>0.5494505494505495</v>
      </c>
      <c r="S775" s="23" t="n">
        <f>O775*R775</f>
        <v>1.098901098901099</v>
      </c>
      <c r="T775" s="23" t="n">
        <f>MIN(P775,S775)</f>
        <v>1.098901098901099</v>
      </c>
      <c r="U775" s="23" t="n">
        <f>O775-S775</f>
        <v>0.901098901098901</v>
      </c>
      <c r="V775" s="23" t="n">
        <f>MAX(P775-O775,0)</f>
        <v>0</v>
      </c>
    </row>
    <row r="776">
      <c r="A776" s="19" t="str">
        <v>波兰区</v>
      </c>
      <c r="B776" s="19" t="str">
        <v>弗罗茨瓦夫3号仓(SN)</v>
      </c>
      <c r="C776" s="19" t="str">
        <v>B班组</v>
      </c>
      <c r="D776" s="21" t="n">
        <v>46170</v>
      </c>
      <c r="E776" s="19" t="str">
        <v>2026-05</v>
      </c>
      <c r="F776" s="19" t="str">
        <v>操作员</v>
      </c>
      <c r="G776" s="19" t="str">
        <v>10.5小时-晚班-休息不计费-含加班-NOC（18:00~04:45）</v>
      </c>
      <c r="H776" s="19" t="str">
        <v>S000323</v>
      </c>
      <c r="I776" s="19" t="str">
        <v>PWP NIAGARA HREBENIUKOV SPÓŁKA JAWNA</v>
      </c>
      <c r="J776" s="23" t="n">
        <v>50</v>
      </c>
      <c r="K776" s="23" t="n">
        <v>0</v>
      </c>
      <c r="L776" s="23" t="n">
        <f>J776+K776</f>
        <v>50</v>
      </c>
      <c r="M776" s="23" t="n">
        <v>91</v>
      </c>
      <c r="N776" s="23" t="n">
        <v>45</v>
      </c>
      <c r="O776" s="23" t="n">
        <v>6</v>
      </c>
      <c r="P776" s="23" t="n">
        <v>6</v>
      </c>
      <c r="Q776" s="23" t="n">
        <f>MIN(O776,P776)</f>
        <v>6</v>
      </c>
      <c r="R776" s="25" t="n">
        <f>IF(M776=0,0,MIN(1,L776/M776))</f>
        <v>0.5494505494505495</v>
      </c>
      <c r="S776" s="23" t="n">
        <f>O776*R776</f>
        <v>3.296703296703297</v>
      </c>
      <c r="T776" s="23" t="n">
        <f>MIN(P776,S776)</f>
        <v>3.296703296703297</v>
      </c>
      <c r="U776" s="23" t="n">
        <f>O776-S776</f>
        <v>2.703296703296703</v>
      </c>
      <c r="V776" s="23" t="n">
        <f>MAX(P776-O776,0)</f>
        <v>0</v>
      </c>
    </row>
    <row r="777">
      <c r="A777" s="19" t="str">
        <v>波兰区</v>
      </c>
      <c r="B777" s="19" t="str">
        <v>弗罗茨瓦夫3号仓(SN)</v>
      </c>
      <c r="C777" s="19" t="str">
        <v>B班组</v>
      </c>
      <c r="D777" s="21" t="n">
        <v>46176</v>
      </c>
      <c r="E777" s="19" t="str">
        <v>2026-06</v>
      </c>
      <c r="F777" s="19" t="str">
        <v>操作员</v>
      </c>
      <c r="G777" s="19" t="str">
        <v>10.5小时-早班-休息不计费-含加班-Rano（06:00~16:45）</v>
      </c>
      <c r="H777" s="19" t="str">
        <v>S000206</v>
      </c>
      <c r="I777" s="19" t="str">
        <v>Zenith Zone Sp. z o.o.</v>
      </c>
      <c r="J777" s="23" t="n">
        <v>60</v>
      </c>
      <c r="K777" s="23" t="n">
        <v>0</v>
      </c>
      <c r="L777" s="23" t="n">
        <f>J777+K777</f>
        <v>60</v>
      </c>
      <c r="M777" s="23" t="n">
        <v>55</v>
      </c>
      <c r="N777" s="23" t="n">
        <v>32</v>
      </c>
      <c r="O777" s="23" t="n">
        <v>6</v>
      </c>
      <c r="P777" s="23" t="n">
        <v>3</v>
      </c>
      <c r="Q777" s="23" t="n">
        <f>MIN(O777,P777)</f>
        <v>3</v>
      </c>
      <c r="R777" s="25" t="n">
        <f>IF(M777=0,0,MIN(1,L777/M777))</f>
        <v>1</v>
      </c>
      <c r="S777" s="23" t="n">
        <f>O777*R777</f>
        <v>6</v>
      </c>
      <c r="T777" s="23" t="n">
        <f>MIN(P777,S777)</f>
        <v>3</v>
      </c>
      <c r="U777" s="23" t="n">
        <f>O777-S777</f>
        <v>0</v>
      </c>
      <c r="V777" s="23" t="n">
        <f>MAX(P777-O777,0)</f>
        <v>0</v>
      </c>
    </row>
    <row r="778">
      <c r="A778" s="19" t="str">
        <v>波兰区</v>
      </c>
      <c r="B778" s="19" t="str">
        <v>弗罗茨瓦夫3号仓(SN)</v>
      </c>
      <c r="C778" s="19" t="str">
        <v>B班组</v>
      </c>
      <c r="D778" s="21" t="n">
        <v>46176</v>
      </c>
      <c r="E778" s="19" t="str">
        <v>2026-06</v>
      </c>
      <c r="F778" s="19" t="str">
        <v>操作员</v>
      </c>
      <c r="G778" s="19" t="str">
        <v>10.5小时-早班-休息不计费-含加班-Rano（06:00~16:45）</v>
      </c>
      <c r="H778" s="19" t="str">
        <v>S000207</v>
      </c>
      <c r="I778" s="19" t="str">
        <v>Niden Service Sp. z o.o.</v>
      </c>
      <c r="J778" s="23" t="n">
        <v>60</v>
      </c>
      <c r="K778" s="23" t="n">
        <v>0</v>
      </c>
      <c r="L778" s="23" t="n">
        <f>J778+K778</f>
        <v>60</v>
      </c>
      <c r="M778" s="23" t="n">
        <v>55</v>
      </c>
      <c r="N778" s="23" t="n">
        <v>32</v>
      </c>
      <c r="O778" s="23" t="n">
        <v>7</v>
      </c>
      <c r="P778" s="23" t="n">
        <v>3</v>
      </c>
      <c r="Q778" s="23" t="n">
        <f>MIN(O778,P778)</f>
        <v>3</v>
      </c>
      <c r="R778" s="25" t="n">
        <f>IF(M778=0,0,MIN(1,L778/M778))</f>
        <v>1</v>
      </c>
      <c r="S778" s="23" t="n">
        <f>O778*R778</f>
        <v>7</v>
      </c>
      <c r="T778" s="23" t="n">
        <f>MIN(P778,S778)</f>
        <v>3</v>
      </c>
      <c r="U778" s="23" t="n">
        <f>O778-S778</f>
        <v>0</v>
      </c>
      <c r="V778" s="23" t="n">
        <f>MAX(P778-O778,0)</f>
        <v>0</v>
      </c>
    </row>
    <row r="779">
      <c r="A779" s="19" t="str">
        <v>波兰区</v>
      </c>
      <c r="B779" s="19" t="str">
        <v>弗罗茨瓦夫3号仓(SN)</v>
      </c>
      <c r="C779" s="19" t="str">
        <v>B班组</v>
      </c>
      <c r="D779" s="21" t="n">
        <v>46176</v>
      </c>
      <c r="E779" s="19" t="str">
        <v>2026-06</v>
      </c>
      <c r="F779" s="19" t="str">
        <v>操作员</v>
      </c>
      <c r="G779" s="19" t="str">
        <v>10.5小时-早班-休息不计费-含加班-Rano（06:00~16:45）</v>
      </c>
      <c r="H779" s="19" t="str">
        <v>S000212</v>
      </c>
      <c r="I779" s="19" t="str">
        <v>Dreman Sp. z o.o.</v>
      </c>
      <c r="J779" s="23" t="n">
        <v>60</v>
      </c>
      <c r="K779" s="23" t="n">
        <v>0</v>
      </c>
      <c r="L779" s="23" t="n">
        <f>J779+K779</f>
        <v>60</v>
      </c>
      <c r="M779" s="23" t="n">
        <v>55</v>
      </c>
      <c r="N779" s="23" t="n">
        <v>32</v>
      </c>
      <c r="O779" s="23" t="n">
        <v>12</v>
      </c>
      <c r="P779" s="23" t="n">
        <v>7</v>
      </c>
      <c r="Q779" s="23" t="n">
        <f>MIN(O779,P779)</f>
        <v>7</v>
      </c>
      <c r="R779" s="25" t="n">
        <f>IF(M779=0,0,MIN(1,L779/M779))</f>
        <v>1</v>
      </c>
      <c r="S779" s="23" t="n">
        <f>O779*R779</f>
        <v>12</v>
      </c>
      <c r="T779" s="23" t="n">
        <f>MIN(P779,S779)</f>
        <v>7</v>
      </c>
      <c r="U779" s="23" t="n">
        <f>O779-S779</f>
        <v>0</v>
      </c>
      <c r="V779" s="23" t="n">
        <f>MAX(P779-O779,0)</f>
        <v>0</v>
      </c>
    </row>
    <row r="780">
      <c r="A780" s="19" t="str">
        <v>波兰区</v>
      </c>
      <c r="B780" s="19" t="str">
        <v>弗罗茨瓦夫3号仓(SN)</v>
      </c>
      <c r="C780" s="19" t="str">
        <v>B班组</v>
      </c>
      <c r="D780" s="21" t="n">
        <v>46176</v>
      </c>
      <c r="E780" s="19" t="str">
        <v>2026-06</v>
      </c>
      <c r="F780" s="19" t="str">
        <v>操作员</v>
      </c>
      <c r="G780" s="19" t="str">
        <v>10.5小时-早班-休息不计费-含加班-Rano（06:00~16:45）</v>
      </c>
      <c r="H780" s="19" t="str">
        <v>S000286</v>
      </c>
      <c r="I780" s="19" t="str">
        <v>Work-up sp. z o.o. sp. k.</v>
      </c>
      <c r="J780" s="23" t="n">
        <v>60</v>
      </c>
      <c r="K780" s="23" t="n">
        <v>0</v>
      </c>
      <c r="L780" s="23" t="n">
        <f>J780+K780</f>
        <v>60</v>
      </c>
      <c r="M780" s="23" t="n">
        <v>55</v>
      </c>
      <c r="N780" s="23" t="n">
        <v>32</v>
      </c>
      <c r="O780" s="23" t="n">
        <v>30</v>
      </c>
      <c r="P780" s="23" t="n">
        <v>19</v>
      </c>
      <c r="Q780" s="23" t="n">
        <f>MIN(O780,P780)</f>
        <v>19</v>
      </c>
      <c r="R780" s="25" t="n">
        <f>IF(M780=0,0,MIN(1,L780/M780))</f>
        <v>1</v>
      </c>
      <c r="S780" s="23" t="n">
        <f>O780*R780</f>
        <v>30</v>
      </c>
      <c r="T780" s="23" t="n">
        <f>MIN(P780,S780)</f>
        <v>19</v>
      </c>
      <c r="U780" s="23" t="n">
        <f>O780-S780</f>
        <v>0</v>
      </c>
      <c r="V780" s="23" t="n">
        <f>MAX(P780-O780,0)</f>
        <v>0</v>
      </c>
    </row>
    <row r="781">
      <c r="A781" s="19" t="str">
        <v>波兰区</v>
      </c>
      <c r="B781" s="19" t="str">
        <v>弗罗茨瓦夫3号仓(SN)</v>
      </c>
      <c r="C781" s="19" t="str">
        <v>B班组</v>
      </c>
      <c r="D781" s="21" t="n">
        <v>46182</v>
      </c>
      <c r="E781" s="19" t="str">
        <v>2026-06</v>
      </c>
      <c r="F781" s="19" t="str">
        <v>操作员</v>
      </c>
      <c r="G781" s="19" t="str">
        <v>10.5小时-晚班-休息不计费-含加班-NOC（18:00~04:45）</v>
      </c>
      <c r="H781" s="19" t="str">
        <v>S000298</v>
      </c>
      <c r="I781" s="19" t="str">
        <v>Tez sp z o.o.</v>
      </c>
      <c r="J781" s="23" t="n">
        <v>70</v>
      </c>
      <c r="K781" s="23" t="n">
        <v>0</v>
      </c>
      <c r="L781" s="23" t="n">
        <f>J781+K781</f>
        <v>70</v>
      </c>
      <c r="M781" s="23" t="n">
        <v>35</v>
      </c>
      <c r="N781" s="23" t="n">
        <v>28</v>
      </c>
      <c r="O781" s="23" t="n">
        <v>35</v>
      </c>
      <c r="P781" s="23" t="n">
        <v>28</v>
      </c>
      <c r="Q781" s="23" t="n">
        <f>MIN(O781,P781)</f>
        <v>28</v>
      </c>
      <c r="R781" s="25" t="n">
        <f>IF(M781=0,0,MIN(1,L781/M781))</f>
        <v>1</v>
      </c>
      <c r="S781" s="23" t="n">
        <f>O781*R781</f>
        <v>35</v>
      </c>
      <c r="T781" s="23" t="n">
        <f>MIN(P781,S781)</f>
        <v>28</v>
      </c>
      <c r="U781" s="23" t="n">
        <f>O781-S781</f>
        <v>0</v>
      </c>
      <c r="V781" s="23" t="n">
        <f>MAX(P781-O781,0)</f>
        <v>0</v>
      </c>
    </row>
    <row r="782">
      <c r="A782" s="19" t="str">
        <v>波兰区</v>
      </c>
      <c r="B782" s="19" t="str">
        <v>弗罗茨瓦夫3号仓(SN)</v>
      </c>
      <c r="C782" s="19" t="str">
        <v>B班组</v>
      </c>
      <c r="D782" s="21" t="n">
        <v>46189</v>
      </c>
      <c r="E782" s="19" t="str">
        <v>2026-06</v>
      </c>
      <c r="F782" s="19" t="str">
        <v>操作员</v>
      </c>
      <c r="G782" s="19" t="str">
        <v>10.5小时-早班-休息不计费-含加班-Rano（06:00~16:45）</v>
      </c>
      <c r="H782" s="19" t="str">
        <v>S000298</v>
      </c>
      <c r="I782" s="19" t="str">
        <v>Tez sp z o.o.</v>
      </c>
      <c r="J782" s="23" t="n">
        <v>70</v>
      </c>
      <c r="K782" s="23" t="n">
        <v>0</v>
      </c>
      <c r="L782" s="23" t="n">
        <f>J782+K782</f>
        <v>70</v>
      </c>
      <c r="M782" s="23" t="n">
        <v>35</v>
      </c>
      <c r="N782" s="23" t="n">
        <v>21</v>
      </c>
      <c r="O782" s="23" t="n">
        <v>35</v>
      </c>
      <c r="P782" s="23" t="n">
        <v>21</v>
      </c>
      <c r="Q782" s="23" t="n">
        <f>MIN(O782,P782)</f>
        <v>21</v>
      </c>
      <c r="R782" s="25" t="n">
        <f>IF(M782=0,0,MIN(1,L782/M782))</f>
        <v>1</v>
      </c>
      <c r="S782" s="23" t="n">
        <f>O782*R782</f>
        <v>35</v>
      </c>
      <c r="T782" s="23" t="n">
        <f>MIN(P782,S782)</f>
        <v>21</v>
      </c>
      <c r="U782" s="23" t="n">
        <f>O782-S782</f>
        <v>0</v>
      </c>
      <c r="V782" s="23" t="n">
        <f>MAX(P782-O782,0)</f>
        <v>0</v>
      </c>
    </row>
    <row r="783">
      <c r="A783" s="19" t="str">
        <v>波兰区</v>
      </c>
      <c r="B783" s="19" t="str">
        <v>弗罗茨瓦夫3号仓(SN)</v>
      </c>
      <c r="C783" s="19" t="str">
        <v>B班组</v>
      </c>
      <c r="D783" s="21" t="n">
        <v>46190</v>
      </c>
      <c r="E783" s="19" t="str">
        <v>2026-06</v>
      </c>
      <c r="F783" s="19" t="str">
        <v>操作员</v>
      </c>
      <c r="G783" s="19" t="str">
        <v>10.5小时-早班-休息不计费-含加班-Rano（06:00~16:45）</v>
      </c>
      <c r="H783" s="19" t="str">
        <v>S000212</v>
      </c>
      <c r="I783" s="19" t="str">
        <v>Dreman Sp. z o.o.</v>
      </c>
      <c r="J783" s="23" t="n">
        <v>70</v>
      </c>
      <c r="K783" s="23" t="n">
        <v>0</v>
      </c>
      <c r="L783" s="23" t="n">
        <f>J783+K783</f>
        <v>70</v>
      </c>
      <c r="M783" s="23" t="n">
        <v>118</v>
      </c>
      <c r="N783" s="23" t="n">
        <v>35</v>
      </c>
      <c r="O783" s="23" t="n">
        <v>15</v>
      </c>
      <c r="P783" s="23" t="n">
        <v>3</v>
      </c>
      <c r="Q783" s="23" t="n">
        <f>MIN(O783,P783)</f>
        <v>3</v>
      </c>
      <c r="R783" s="25" t="n">
        <f>IF(M783=0,0,MIN(1,L783/M783))</f>
        <v>0.5932203389830508</v>
      </c>
      <c r="S783" s="23" t="n">
        <f>O783*R783</f>
        <v>8.898305084745763</v>
      </c>
      <c r="T783" s="23" t="n">
        <f>MIN(P783,S783)</f>
        <v>3</v>
      </c>
      <c r="U783" s="23" t="n">
        <f>O783-S783</f>
        <v>6.101694915254237</v>
      </c>
      <c r="V783" s="23" t="n">
        <f>MAX(P783-O783,0)</f>
        <v>0</v>
      </c>
    </row>
    <row r="784">
      <c r="A784" s="19" t="str">
        <v>波兰区</v>
      </c>
      <c r="B784" s="19" t="str">
        <v>弗罗茨瓦夫3号仓(SN)</v>
      </c>
      <c r="C784" s="19" t="str">
        <v>B班组</v>
      </c>
      <c r="D784" s="21" t="n">
        <v>46190</v>
      </c>
      <c r="E784" s="19" t="str">
        <v>2026-06</v>
      </c>
      <c r="F784" s="19" t="str">
        <v>操作员</v>
      </c>
      <c r="G784" s="19" t="str">
        <v>10.5小时-早班-休息不计费-含加班-Rano（06:00~16:45）</v>
      </c>
      <c r="H784" s="19" t="str">
        <v>S000249</v>
      </c>
      <c r="I784" s="19" t="str">
        <v>Gremi 2024.07</v>
      </c>
      <c r="J784" s="23" t="n">
        <v>70</v>
      </c>
      <c r="K784" s="23" t="n">
        <v>0</v>
      </c>
      <c r="L784" s="23" t="n">
        <f>J784+K784</f>
        <v>70</v>
      </c>
      <c r="M784" s="23" t="n">
        <v>118</v>
      </c>
      <c r="N784" s="23" t="n">
        <v>35</v>
      </c>
      <c r="O784" s="23" t="n">
        <v>16</v>
      </c>
      <c r="P784" s="23" t="n">
        <v>16</v>
      </c>
      <c r="Q784" s="23" t="n">
        <f>MIN(O784,P784)</f>
        <v>16</v>
      </c>
      <c r="R784" s="25" t="n">
        <f>IF(M784=0,0,MIN(1,L784/M784))</f>
        <v>0.5932203389830508</v>
      </c>
      <c r="S784" s="23" t="n">
        <f>O784*R784</f>
        <v>9.491525423728813</v>
      </c>
      <c r="T784" s="23" t="n">
        <f>MIN(P784,S784)</f>
        <v>9.491525423728813</v>
      </c>
      <c r="U784" s="23" t="n">
        <f>O784-S784</f>
        <v>6.508474576271187</v>
      </c>
      <c r="V784" s="23" t="n">
        <f>MAX(P784-O784,0)</f>
        <v>0</v>
      </c>
    </row>
    <row r="785">
      <c r="A785" s="19" t="str">
        <v>波兰区</v>
      </c>
      <c r="B785" s="19" t="str">
        <v>弗罗茨瓦夫3号仓(SN)</v>
      </c>
      <c r="C785" s="19" t="str">
        <v>B班组</v>
      </c>
      <c r="D785" s="21" t="n">
        <v>46190</v>
      </c>
      <c r="E785" s="19" t="str">
        <v>2026-06</v>
      </c>
      <c r="F785" s="19" t="str">
        <v>操作员</v>
      </c>
      <c r="G785" s="19" t="str">
        <v>10.5小时-早班-休息不计费-含加班-Rano（06:00~16:45）</v>
      </c>
      <c r="H785" s="19" t="str">
        <v>S000286</v>
      </c>
      <c r="I785" s="19" t="str">
        <v>Work-up sp. z o.o. sp. k.</v>
      </c>
      <c r="J785" s="23" t="n">
        <v>70</v>
      </c>
      <c r="K785" s="23" t="n">
        <v>0</v>
      </c>
      <c r="L785" s="23" t="n">
        <f>J785+K785</f>
        <v>70</v>
      </c>
      <c r="M785" s="23" t="n">
        <v>118</v>
      </c>
      <c r="N785" s="23" t="n">
        <v>35</v>
      </c>
      <c r="O785" s="23" t="n">
        <v>35</v>
      </c>
      <c r="P785" s="23" t="n">
        <v>16</v>
      </c>
      <c r="Q785" s="23" t="n">
        <f>MIN(O785,P785)</f>
        <v>16</v>
      </c>
      <c r="R785" s="25" t="n">
        <f>IF(M785=0,0,MIN(1,L785/M785))</f>
        <v>0.5932203389830508</v>
      </c>
      <c r="S785" s="23" t="n">
        <f>O785*R785</f>
        <v>20.76271186440678</v>
      </c>
      <c r="T785" s="23" t="n">
        <f>MIN(P785,S785)</f>
        <v>16</v>
      </c>
      <c r="U785" s="23" t="n">
        <f>O785-S785</f>
        <v>14.237288135593221</v>
      </c>
      <c r="V785" s="23" t="n">
        <f>MAX(P785-O785,0)</f>
        <v>0</v>
      </c>
    </row>
    <row r="786">
      <c r="A786" s="19" t="str">
        <v>波兰区</v>
      </c>
      <c r="B786" s="19" t="str">
        <v>弗罗茨瓦夫3号仓(SN)</v>
      </c>
      <c r="C786" s="19" t="str">
        <v>B班组</v>
      </c>
      <c r="D786" s="21" t="n">
        <v>46190</v>
      </c>
      <c r="E786" s="19" t="str">
        <v>2026-06</v>
      </c>
      <c r="F786" s="19" t="str">
        <v>操作员</v>
      </c>
      <c r="G786" s="19" t="str">
        <v>10.5小时-早班-休息不计费-含加班-Rano（06:00~16:45）</v>
      </c>
      <c r="H786" s="19" t="str">
        <v>S000288</v>
      </c>
      <c r="I786" s="19" t="str">
        <v>Global Solution</v>
      </c>
      <c r="J786" s="23" t="n">
        <v>70</v>
      </c>
      <c r="K786" s="23" t="n">
        <v>0</v>
      </c>
      <c r="L786" s="23" t="n">
        <f>J786+K786</f>
        <v>70</v>
      </c>
      <c r="M786" s="23" t="n">
        <v>118</v>
      </c>
      <c r="N786" s="23" t="n">
        <v>35</v>
      </c>
      <c r="O786" s="23" t="n">
        <v>15</v>
      </c>
      <c r="P786" s="23" t="n">
        <v>0</v>
      </c>
      <c r="Q786" s="23" t="n">
        <f>MIN(O786,P786)</f>
        <v>0</v>
      </c>
      <c r="R786" s="25" t="n">
        <f>IF(M786=0,0,MIN(1,L786/M786))</f>
        <v>0.5932203389830508</v>
      </c>
      <c r="S786" s="23" t="n">
        <f>O786*R786</f>
        <v>8.898305084745763</v>
      </c>
      <c r="T786" s="23" t="n">
        <f>MIN(P786,S786)</f>
        <v>0</v>
      </c>
      <c r="U786" s="23" t="n">
        <f>O786-S786</f>
        <v>6.101694915254237</v>
      </c>
      <c r="V786" s="23" t="n">
        <f>MAX(P786-O786,0)</f>
        <v>0</v>
      </c>
    </row>
    <row r="787">
      <c r="A787" s="19" t="str">
        <v>波兰区</v>
      </c>
      <c r="B787" s="19" t="str">
        <v>弗罗茨瓦夫3号仓(SN)</v>
      </c>
      <c r="C787" s="19" t="str">
        <v>B班组</v>
      </c>
      <c r="D787" s="21" t="n">
        <v>46190</v>
      </c>
      <c r="E787" s="19" t="str">
        <v>2026-06</v>
      </c>
      <c r="F787" s="19" t="str">
        <v>操作员</v>
      </c>
      <c r="G787" s="19" t="str">
        <v>10.5小时-早班-休息不计费-含加班-Rano（06:00~16:45）</v>
      </c>
      <c r="H787" s="19" t="str">
        <v>S000298</v>
      </c>
      <c r="I787" s="19" t="str">
        <v>Tez sp z o.o.</v>
      </c>
      <c r="J787" s="23" t="n">
        <v>70</v>
      </c>
      <c r="K787" s="23" t="n">
        <v>0</v>
      </c>
      <c r="L787" s="23" t="n">
        <f>J787+K787</f>
        <v>70</v>
      </c>
      <c r="M787" s="23" t="n">
        <v>118</v>
      </c>
      <c r="N787" s="23" t="n">
        <v>35</v>
      </c>
      <c r="O787" s="23" t="n">
        <v>25</v>
      </c>
      <c r="P787" s="23" t="n">
        <v>0</v>
      </c>
      <c r="Q787" s="23" t="n">
        <f>MIN(O787,P787)</f>
        <v>0</v>
      </c>
      <c r="R787" s="25" t="n">
        <f>IF(M787=0,0,MIN(1,L787/M787))</f>
        <v>0.5932203389830508</v>
      </c>
      <c r="S787" s="23" t="n">
        <f>O787*R787</f>
        <v>14.83050847457627</v>
      </c>
      <c r="T787" s="23" t="n">
        <f>MIN(P787,S787)</f>
        <v>0</v>
      </c>
      <c r="U787" s="23" t="n">
        <f>O787-S787</f>
        <v>10.16949152542373</v>
      </c>
      <c r="V787" s="23" t="n">
        <f>MAX(P787-O787,0)</f>
        <v>0</v>
      </c>
    </row>
    <row r="788">
      <c r="A788" s="19" t="str">
        <v>波兰区</v>
      </c>
      <c r="B788" s="19" t="str">
        <v>弗罗茨瓦夫3号仓(SN)</v>
      </c>
      <c r="C788" s="19" t="str">
        <v>B班组</v>
      </c>
      <c r="D788" s="21" t="n">
        <v>46190</v>
      </c>
      <c r="E788" s="19" t="str">
        <v>2026-06</v>
      </c>
      <c r="F788" s="19" t="str">
        <v>操作员</v>
      </c>
      <c r="G788" s="19" t="str">
        <v>10.5小时-早班-休息不计费-含加班-Rano（06:00~16:45）</v>
      </c>
      <c r="H788" s="19" t="str">
        <v>S000342</v>
      </c>
      <c r="I788" s="19" t="str">
        <v>VIKTORIA SOLUTION</v>
      </c>
      <c r="J788" s="23" t="n">
        <v>70</v>
      </c>
      <c r="K788" s="23" t="n">
        <v>0</v>
      </c>
      <c r="L788" s="23" t="n">
        <f>J788+K788</f>
        <v>70</v>
      </c>
      <c r="M788" s="23" t="n">
        <v>118</v>
      </c>
      <c r="N788" s="23" t="n">
        <v>35</v>
      </c>
      <c r="O788" s="23" t="n">
        <v>12</v>
      </c>
      <c r="P788" s="23" t="n">
        <v>0</v>
      </c>
      <c r="Q788" s="23" t="n">
        <f>MIN(O788,P788)</f>
        <v>0</v>
      </c>
      <c r="R788" s="25" t="n">
        <f>IF(M788=0,0,MIN(1,L788/M788))</f>
        <v>0.5932203389830508</v>
      </c>
      <c r="S788" s="23" t="n">
        <f>O788*R788</f>
        <v>7.11864406779661</v>
      </c>
      <c r="T788" s="23" t="n">
        <f>MIN(P788,S788)</f>
        <v>0</v>
      </c>
      <c r="U788" s="23" t="n">
        <f>O788-S788</f>
        <v>4.88135593220339</v>
      </c>
      <c r="V788" s="23" t="n">
        <f>MAX(P788-O788,0)</f>
        <v>0</v>
      </c>
    </row>
    <row r="789">
      <c r="A789" s="19" t="str">
        <v>波兰区</v>
      </c>
      <c r="B789" s="19" t="str">
        <v>弗罗茨瓦夫3号仓(SN)</v>
      </c>
      <c r="C789" s="19" t="str">
        <v>C班组</v>
      </c>
      <c r="D789" s="21" t="n">
        <v>46120</v>
      </c>
      <c r="E789" s="19" t="str">
        <v>2026-04</v>
      </c>
      <c r="F789" s="19" t="str">
        <v>操作员</v>
      </c>
      <c r="G789" s="19" t="str">
        <v>10.5小时-晚班-休息不计费-含加班-NOC（18:00~04:45）</v>
      </c>
      <c r="H789" s="19" t="str">
        <v>S000249</v>
      </c>
      <c r="I789" s="19" t="str">
        <v>Gremi 2024.07</v>
      </c>
      <c r="J789" s="23" t="n">
        <v>26</v>
      </c>
      <c r="K789" s="23" t="n">
        <v>0</v>
      </c>
      <c r="L789" s="23" t="n">
        <f>J789+K789</f>
        <v>26</v>
      </c>
      <c r="M789" s="23" t="n">
        <v>25</v>
      </c>
      <c r="N789" s="23" t="n">
        <v>25</v>
      </c>
      <c r="O789" s="23" t="n">
        <v>16</v>
      </c>
      <c r="P789" s="23" t="n">
        <v>16</v>
      </c>
      <c r="Q789" s="23" t="n">
        <f>MIN(O789,P789)</f>
        <v>16</v>
      </c>
      <c r="R789" s="25" t="n">
        <f>IF(M789=0,0,MIN(1,L789/M789))</f>
        <v>1</v>
      </c>
      <c r="S789" s="23" t="n">
        <f>O789*R789</f>
        <v>16</v>
      </c>
      <c r="T789" s="23" t="n">
        <f>MIN(P789,S789)</f>
        <v>16</v>
      </c>
      <c r="U789" s="23" t="n">
        <f>O789-S789</f>
        <v>0</v>
      </c>
      <c r="V789" s="23" t="n">
        <f>MAX(P789-O789,0)</f>
        <v>0</v>
      </c>
    </row>
    <row r="790">
      <c r="A790" s="19" t="str">
        <v>波兰区</v>
      </c>
      <c r="B790" s="19" t="str">
        <v>弗罗茨瓦夫3号仓(SN)</v>
      </c>
      <c r="C790" s="19" t="str">
        <v>C班组</v>
      </c>
      <c r="D790" s="21" t="n">
        <v>46120</v>
      </c>
      <c r="E790" s="19" t="str">
        <v>2026-04</v>
      </c>
      <c r="F790" s="19" t="str">
        <v>操作员</v>
      </c>
      <c r="G790" s="19" t="str">
        <v>10.5小时-晚班-休息不计费-含加班-NOC（18:00~04:45）</v>
      </c>
      <c r="H790" s="19" t="str">
        <v>S000298</v>
      </c>
      <c r="I790" s="19" t="str">
        <v>Tez sp z o.o.</v>
      </c>
      <c r="J790" s="23" t="n">
        <v>26</v>
      </c>
      <c r="K790" s="23" t="n">
        <v>0</v>
      </c>
      <c r="L790" s="23" t="n">
        <f>J790+K790</f>
        <v>26</v>
      </c>
      <c r="M790" s="23" t="n">
        <v>25</v>
      </c>
      <c r="N790" s="23" t="n">
        <v>25</v>
      </c>
      <c r="O790" s="23" t="n">
        <v>9</v>
      </c>
      <c r="P790" s="23" t="n">
        <v>9</v>
      </c>
      <c r="Q790" s="23" t="n">
        <f>MIN(O790,P790)</f>
        <v>9</v>
      </c>
      <c r="R790" s="25" t="n">
        <f>IF(M790=0,0,MIN(1,L790/M790))</f>
        <v>1</v>
      </c>
      <c r="S790" s="23" t="n">
        <f>O790*R790</f>
        <v>9</v>
      </c>
      <c r="T790" s="23" t="n">
        <f>MIN(P790,S790)</f>
        <v>9</v>
      </c>
      <c r="U790" s="23" t="n">
        <f>O790-S790</f>
        <v>0</v>
      </c>
      <c r="V790" s="23" t="n">
        <f>MAX(P790-O790,0)</f>
        <v>0</v>
      </c>
    </row>
    <row r="791">
      <c r="A791" s="19" t="str">
        <v>波兰区</v>
      </c>
      <c r="B791" s="19" t="str">
        <v>弗罗茨瓦夫3号仓(SN)</v>
      </c>
      <c r="C791" s="19" t="str">
        <v>C班组</v>
      </c>
      <c r="D791" s="21" t="n">
        <v>46122</v>
      </c>
      <c r="E791" s="19" t="str">
        <v>2026-04</v>
      </c>
      <c r="F791" s="19" t="str">
        <v>操作员</v>
      </c>
      <c r="G791" s="19" t="str">
        <v>10.5小时-晚班-休息不计费-含加班-NOC（18:00~04:45）</v>
      </c>
      <c r="H791" s="19" t="str">
        <v>S000287</v>
      </c>
      <c r="I791" s="19" t="str">
        <v>DK Global</v>
      </c>
      <c r="J791" s="23" t="n">
        <v>0</v>
      </c>
      <c r="K791" s="23" t="n">
        <v>0</v>
      </c>
      <c r="L791" s="23" t="n">
        <f>J791+K791</f>
        <v>0</v>
      </c>
      <c r="M791" s="23" t="n">
        <v>5</v>
      </c>
      <c r="N791" s="23" t="n">
        <v>5</v>
      </c>
      <c r="O791" s="23" t="n">
        <v>5</v>
      </c>
      <c r="P791" s="23" t="n">
        <v>5</v>
      </c>
      <c r="Q791" s="23" t="n">
        <f>MIN(O791,P791)</f>
        <v>5</v>
      </c>
      <c r="R791" s="25" t="n">
        <f>IF(M791=0,0,MIN(1,L791/M791))</f>
        <v>0</v>
      </c>
      <c r="S791" s="23" t="n">
        <f>O791*R791</f>
        <v>0</v>
      </c>
      <c r="T791" s="23" t="n">
        <f>MIN(P791,S791)</f>
        <v>0</v>
      </c>
      <c r="U791" s="23" t="n">
        <f>O791-S791</f>
        <v>5</v>
      </c>
      <c r="V791" s="23" t="n">
        <f>MAX(P791-O791,0)</f>
        <v>0</v>
      </c>
    </row>
    <row r="792">
      <c r="A792" s="19" t="str">
        <v>波兰区</v>
      </c>
      <c r="B792" s="19" t="str">
        <v>弗罗茨瓦夫3号仓(SN)</v>
      </c>
      <c r="C792" s="19" t="str">
        <v>C班组</v>
      </c>
      <c r="D792" s="21" t="n">
        <v>46126</v>
      </c>
      <c r="E792" s="19" t="str">
        <v>2026-04</v>
      </c>
      <c r="F792" s="19" t="str">
        <v>操作员</v>
      </c>
      <c r="G792" s="19" t="str">
        <v>10.5小时-早班-休息不计费-含加班-Rano（06:00~16:45）</v>
      </c>
      <c r="H792" s="19" t="str">
        <v>S000207</v>
      </c>
      <c r="I792" s="19" t="str">
        <v>Niden Service Sp. z o.o.</v>
      </c>
      <c r="J792" s="23" t="n">
        <v>20</v>
      </c>
      <c r="K792" s="23" t="n">
        <v>0</v>
      </c>
      <c r="L792" s="23" t="n">
        <f>J792+K792</f>
        <v>20</v>
      </c>
      <c r="M792" s="23" t="n">
        <v>27</v>
      </c>
      <c r="N792" s="23" t="n">
        <v>25</v>
      </c>
      <c r="O792" s="23" t="n">
        <v>12</v>
      </c>
      <c r="P792" s="23" t="n">
        <v>12</v>
      </c>
      <c r="Q792" s="23" t="n">
        <f>MIN(O792,P792)</f>
        <v>12</v>
      </c>
      <c r="R792" s="25" t="n">
        <f>IF(M792=0,0,MIN(1,L792/M792))</f>
        <v>0.7407407407407407</v>
      </c>
      <c r="S792" s="23" t="n">
        <f>O792*R792</f>
        <v>8.88888888888889</v>
      </c>
      <c r="T792" s="23" t="n">
        <f>MIN(P792,S792)</f>
        <v>8.88888888888889</v>
      </c>
      <c r="U792" s="23" t="n">
        <f>O792-S792</f>
        <v>3.1111111111111107</v>
      </c>
      <c r="V792" s="23" t="n">
        <f>MAX(P792-O792,0)</f>
        <v>0</v>
      </c>
    </row>
    <row r="793">
      <c r="A793" s="19" t="str">
        <v>波兰区</v>
      </c>
      <c r="B793" s="19" t="str">
        <v>弗罗茨瓦夫3号仓(SN)</v>
      </c>
      <c r="C793" s="19" t="str">
        <v>C班组</v>
      </c>
      <c r="D793" s="21" t="n">
        <v>46126</v>
      </c>
      <c r="E793" s="19" t="str">
        <v>2026-04</v>
      </c>
      <c r="F793" s="19" t="str">
        <v>操作员</v>
      </c>
      <c r="G793" s="19" t="str">
        <v>10.5小时-早班-休息不计费-含加班-Rano（06:00~16:45）</v>
      </c>
      <c r="H793" s="19" t="str">
        <v>S000288</v>
      </c>
      <c r="I793" s="19" t="str">
        <v>Global Solution</v>
      </c>
      <c r="J793" s="23" t="n">
        <v>20</v>
      </c>
      <c r="K793" s="23" t="n">
        <v>0</v>
      </c>
      <c r="L793" s="23" t="n">
        <f>J793+K793</f>
        <v>20</v>
      </c>
      <c r="M793" s="23" t="n">
        <v>27</v>
      </c>
      <c r="N793" s="23" t="n">
        <v>25</v>
      </c>
      <c r="O793" s="23" t="n">
        <v>5</v>
      </c>
      <c r="P793" s="23" t="n">
        <v>3</v>
      </c>
      <c r="Q793" s="23" t="n">
        <f>MIN(O793,P793)</f>
        <v>3</v>
      </c>
      <c r="R793" s="25" t="n">
        <f>IF(M793=0,0,MIN(1,L793/M793))</f>
        <v>0.7407407407407407</v>
      </c>
      <c r="S793" s="23" t="n">
        <f>O793*R793</f>
        <v>3.7037037037037033</v>
      </c>
      <c r="T793" s="23" t="n">
        <f>MIN(P793,S793)</f>
        <v>3</v>
      </c>
      <c r="U793" s="23" t="n">
        <f>O793-S793</f>
        <v>1.2962962962962967</v>
      </c>
      <c r="V793" s="23" t="n">
        <f>MAX(P793-O793,0)</f>
        <v>0</v>
      </c>
    </row>
    <row r="794">
      <c r="A794" s="19" t="str">
        <v>波兰区</v>
      </c>
      <c r="B794" s="19" t="str">
        <v>弗罗茨瓦夫3号仓(SN)</v>
      </c>
      <c r="C794" s="19" t="str">
        <v>C班组</v>
      </c>
      <c r="D794" s="21" t="n">
        <v>46126</v>
      </c>
      <c r="E794" s="19" t="str">
        <v>2026-04</v>
      </c>
      <c r="F794" s="19" t="str">
        <v>操作员</v>
      </c>
      <c r="G794" s="19" t="str">
        <v>10.5小时-早班-休息不计费-含加班-Rano（06:00~16:45）</v>
      </c>
      <c r="H794" s="19" t="str">
        <v>S000330</v>
      </c>
      <c r="I794" s="19" t="str">
        <v>APT CREATION</v>
      </c>
      <c r="J794" s="23" t="n">
        <v>20</v>
      </c>
      <c r="K794" s="23" t="n">
        <v>0</v>
      </c>
      <c r="L794" s="23" t="n">
        <f>J794+K794</f>
        <v>20</v>
      </c>
      <c r="M794" s="23" t="n">
        <v>27</v>
      </c>
      <c r="N794" s="23" t="n">
        <v>25</v>
      </c>
      <c r="O794" s="23" t="n">
        <v>10</v>
      </c>
      <c r="P794" s="23" t="n">
        <v>10</v>
      </c>
      <c r="Q794" s="23" t="n">
        <f>MIN(O794,P794)</f>
        <v>10</v>
      </c>
      <c r="R794" s="25" t="n">
        <f>IF(M794=0,0,MIN(1,L794/M794))</f>
        <v>0.7407407407407407</v>
      </c>
      <c r="S794" s="23" t="n">
        <f>O794*R794</f>
        <v>7.4074074074074066</v>
      </c>
      <c r="T794" s="23" t="n">
        <f>MIN(P794,S794)</f>
        <v>7.4074074074074066</v>
      </c>
      <c r="U794" s="23" t="n">
        <f>O794-S794</f>
        <v>2.5925925925925934</v>
      </c>
      <c r="V794" s="23" t="n">
        <f>MAX(P794-O794,0)</f>
        <v>0</v>
      </c>
    </row>
    <row r="795">
      <c r="A795" s="19" t="str">
        <v>波兰区</v>
      </c>
      <c r="B795" s="19" t="str">
        <v>弗罗茨瓦夫3号仓(SN)</v>
      </c>
      <c r="C795" s="19" t="str">
        <v>C班组</v>
      </c>
      <c r="D795" s="21" t="n">
        <v>46133</v>
      </c>
      <c r="E795" s="19" t="str">
        <v>2026-04</v>
      </c>
      <c r="F795" s="19" t="str">
        <v>操作员</v>
      </c>
      <c r="G795" s="19" t="str">
        <v>10.5小时-晚班-休息不计费-含加班-NOC（18:00~04:45）</v>
      </c>
      <c r="H795" s="19" t="str">
        <v>S000298</v>
      </c>
      <c r="I795" s="19" t="str">
        <v>Tez sp z o.o.</v>
      </c>
      <c r="J795" s="23" t="n">
        <v>25</v>
      </c>
      <c r="K795" s="23" t="n">
        <v>0</v>
      </c>
      <c r="L795" s="23" t="n">
        <f>J795+K795</f>
        <v>25</v>
      </c>
      <c r="M795" s="23" t="n">
        <v>30</v>
      </c>
      <c r="N795" s="23" t="n">
        <v>27</v>
      </c>
      <c r="O795" s="23" t="n">
        <v>15</v>
      </c>
      <c r="P795" s="23" t="n">
        <v>15</v>
      </c>
      <c r="Q795" s="23" t="n">
        <f>MIN(O795,P795)</f>
        <v>15</v>
      </c>
      <c r="R795" s="25" t="n">
        <f>IF(M795=0,0,MIN(1,L795/M795))</f>
        <v>0.8333333333333334</v>
      </c>
      <c r="S795" s="23" t="n">
        <f>O795*R795</f>
        <v>12.5</v>
      </c>
      <c r="T795" s="23" t="n">
        <f>MIN(P795,S795)</f>
        <v>12.5</v>
      </c>
      <c r="U795" s="23" t="n">
        <f>O795-S795</f>
        <v>2.5</v>
      </c>
      <c r="V795" s="23" t="n">
        <f>MAX(P795-O795,0)</f>
        <v>0</v>
      </c>
    </row>
    <row r="796">
      <c r="A796" s="19" t="str">
        <v>波兰区</v>
      </c>
      <c r="B796" s="19" t="str">
        <v>弗罗茨瓦夫3号仓(SN)</v>
      </c>
      <c r="C796" s="19" t="str">
        <v>C班组</v>
      </c>
      <c r="D796" s="21" t="n">
        <v>46133</v>
      </c>
      <c r="E796" s="19" t="str">
        <v>2026-04</v>
      </c>
      <c r="F796" s="19" t="str">
        <v>操作员</v>
      </c>
      <c r="G796" s="19" t="str">
        <v>10.5小时-晚班-休息不计费-含加班-NOC（18:00~04:45）</v>
      </c>
      <c r="H796" s="19" t="str">
        <v>S000330</v>
      </c>
      <c r="I796" s="19" t="str">
        <v>APT CREATION</v>
      </c>
      <c r="J796" s="23" t="n">
        <v>25</v>
      </c>
      <c r="K796" s="23" t="n">
        <v>0</v>
      </c>
      <c r="L796" s="23" t="n">
        <f>J796+K796</f>
        <v>25</v>
      </c>
      <c r="M796" s="23" t="n">
        <v>30</v>
      </c>
      <c r="N796" s="23" t="n">
        <v>27</v>
      </c>
      <c r="O796" s="23" t="n">
        <v>15</v>
      </c>
      <c r="P796" s="23" t="n">
        <v>12</v>
      </c>
      <c r="Q796" s="23" t="n">
        <f>MIN(O796,P796)</f>
        <v>12</v>
      </c>
      <c r="R796" s="25" t="n">
        <f>IF(M796=0,0,MIN(1,L796/M796))</f>
        <v>0.8333333333333334</v>
      </c>
      <c r="S796" s="23" t="n">
        <f>O796*R796</f>
        <v>12.5</v>
      </c>
      <c r="T796" s="23" t="n">
        <f>MIN(P796,S796)</f>
        <v>12</v>
      </c>
      <c r="U796" s="23" t="n">
        <f>O796-S796</f>
        <v>2.5</v>
      </c>
      <c r="V796" s="23" t="n">
        <f>MAX(P796-O796,0)</f>
        <v>0</v>
      </c>
    </row>
    <row r="797">
      <c r="A797" s="19" t="str">
        <v>波兰区</v>
      </c>
      <c r="B797" s="19" t="str">
        <v>弗罗茨瓦夫3号仓(SN)</v>
      </c>
      <c r="C797" s="19" t="str">
        <v>C班组</v>
      </c>
      <c r="D797" s="21" t="n">
        <v>46142</v>
      </c>
      <c r="E797" s="19" t="str">
        <v>2026-04</v>
      </c>
      <c r="F797" s="19" t="str">
        <v>操作员</v>
      </c>
      <c r="G797" s="19" t="str">
        <v>10.5小时-晚班-休息不计费-含加班-NOC（18:00~04:45）</v>
      </c>
      <c r="H797" s="19" t="str">
        <v>S000207</v>
      </c>
      <c r="I797" s="19" t="str">
        <v>Niden Service Sp. z o.o.</v>
      </c>
      <c r="J797" s="23" t="n">
        <v>40</v>
      </c>
      <c r="K797" s="23" t="n">
        <v>0</v>
      </c>
      <c r="L797" s="23" t="n">
        <f>J797+K797</f>
        <v>40</v>
      </c>
      <c r="M797" s="23" t="n">
        <v>48</v>
      </c>
      <c r="N797" s="23" t="n">
        <v>38</v>
      </c>
      <c r="O797" s="23" t="n">
        <v>18</v>
      </c>
      <c r="P797" s="23" t="n">
        <v>15</v>
      </c>
      <c r="Q797" s="23" t="n">
        <f>MIN(O797,P797)</f>
        <v>15</v>
      </c>
      <c r="R797" s="25" t="n">
        <f>IF(M797=0,0,MIN(1,L797/M797))</f>
        <v>0.8333333333333334</v>
      </c>
      <c r="S797" s="23" t="n">
        <f>O797*R797</f>
        <v>15</v>
      </c>
      <c r="T797" s="23" t="n">
        <f>MIN(P797,S797)</f>
        <v>15</v>
      </c>
      <c r="U797" s="23" t="n">
        <f>O797-S797</f>
        <v>3</v>
      </c>
      <c r="V797" s="23" t="n">
        <f>MAX(P797-O797,0)</f>
        <v>0</v>
      </c>
    </row>
    <row r="798">
      <c r="A798" s="19" t="str">
        <v>波兰区</v>
      </c>
      <c r="B798" s="19" t="str">
        <v>弗罗茨瓦夫3号仓(SN)</v>
      </c>
      <c r="C798" s="19" t="str">
        <v>C班组</v>
      </c>
      <c r="D798" s="21" t="n">
        <v>46142</v>
      </c>
      <c r="E798" s="19" t="str">
        <v>2026-04</v>
      </c>
      <c r="F798" s="19" t="str">
        <v>操作员</v>
      </c>
      <c r="G798" s="19" t="str">
        <v>10.5小时-晚班-休息不计费-含加班-NOC（18:00~04:45）</v>
      </c>
      <c r="H798" s="19" t="str">
        <v>S000259</v>
      </c>
      <c r="I798" s="19" t="str">
        <v>PROWORK APT Sp. z o.o.</v>
      </c>
      <c r="J798" s="23" t="n">
        <v>40</v>
      </c>
      <c r="K798" s="23" t="n">
        <v>0</v>
      </c>
      <c r="L798" s="23" t="n">
        <f>J798+K798</f>
        <v>40</v>
      </c>
      <c r="M798" s="23" t="n">
        <v>48</v>
      </c>
      <c r="N798" s="23" t="n">
        <v>38</v>
      </c>
      <c r="O798" s="23" t="n">
        <v>5</v>
      </c>
      <c r="P798" s="23" t="n">
        <v>0</v>
      </c>
      <c r="Q798" s="23" t="n">
        <f>MIN(O798,P798)</f>
        <v>0</v>
      </c>
      <c r="R798" s="25" t="n">
        <f>IF(M798=0,0,MIN(1,L798/M798))</f>
        <v>0.8333333333333334</v>
      </c>
      <c r="S798" s="23" t="n">
        <f>O798*R798</f>
        <v>4.166666666666667</v>
      </c>
      <c r="T798" s="23" t="n">
        <f>MIN(P798,S798)</f>
        <v>0</v>
      </c>
      <c r="U798" s="23" t="n">
        <f>O798-S798</f>
        <v>0.833333333333333</v>
      </c>
      <c r="V798" s="23" t="n">
        <f>MAX(P798-O798,0)</f>
        <v>0</v>
      </c>
    </row>
    <row r="799">
      <c r="A799" s="19" t="str">
        <v>波兰区</v>
      </c>
      <c r="B799" s="19" t="str">
        <v>弗罗茨瓦夫3号仓(SN)</v>
      </c>
      <c r="C799" s="19" t="str">
        <v>C班组</v>
      </c>
      <c r="D799" s="21" t="n">
        <v>46142</v>
      </c>
      <c r="E799" s="19" t="str">
        <v>2026-04</v>
      </c>
      <c r="F799" s="19" t="str">
        <v>操作员</v>
      </c>
      <c r="G799" s="19" t="str">
        <v>10.5小时-晚班-休息不计费-含加班-NOC（18:00~04:45）</v>
      </c>
      <c r="H799" s="19" t="str">
        <v>S000288</v>
      </c>
      <c r="I799" s="19" t="str">
        <v>Global Solution</v>
      </c>
      <c r="J799" s="23" t="n">
        <v>40</v>
      </c>
      <c r="K799" s="23" t="n">
        <v>0</v>
      </c>
      <c r="L799" s="23" t="n">
        <f>J799+K799</f>
        <v>40</v>
      </c>
      <c r="M799" s="23" t="n">
        <v>48</v>
      </c>
      <c r="N799" s="23" t="n">
        <v>38</v>
      </c>
      <c r="O799" s="23" t="n">
        <v>10</v>
      </c>
      <c r="P799" s="23" t="n">
        <v>8</v>
      </c>
      <c r="Q799" s="23" t="n">
        <f>MIN(O799,P799)</f>
        <v>8</v>
      </c>
      <c r="R799" s="25" t="n">
        <f>IF(M799=0,0,MIN(1,L799/M799))</f>
        <v>0.8333333333333334</v>
      </c>
      <c r="S799" s="23" t="n">
        <f>O799*R799</f>
        <v>8.333333333333334</v>
      </c>
      <c r="T799" s="23" t="n">
        <f>MIN(P799,S799)</f>
        <v>8</v>
      </c>
      <c r="U799" s="23" t="n">
        <f>O799-S799</f>
        <v>1.666666666666666</v>
      </c>
      <c r="V799" s="23" t="n">
        <f>MAX(P799-O799,0)</f>
        <v>0</v>
      </c>
    </row>
    <row r="800">
      <c r="A800" s="19" t="str">
        <v>波兰区</v>
      </c>
      <c r="B800" s="19" t="str">
        <v>弗罗茨瓦夫3号仓(SN)</v>
      </c>
      <c r="C800" s="19" t="str">
        <v>C班组</v>
      </c>
      <c r="D800" s="21" t="n">
        <v>46142</v>
      </c>
      <c r="E800" s="19" t="str">
        <v>2026-04</v>
      </c>
      <c r="F800" s="19" t="str">
        <v>操作员</v>
      </c>
      <c r="G800" s="19" t="str">
        <v>10.5小时-晚班-休息不计费-含加班-NOC（18:00~04:45）</v>
      </c>
      <c r="H800" s="19" t="str">
        <v>S000298</v>
      </c>
      <c r="I800" s="19" t="str">
        <v>Tez sp z o.o.</v>
      </c>
      <c r="J800" s="23" t="n">
        <v>40</v>
      </c>
      <c r="K800" s="23" t="n">
        <v>0</v>
      </c>
      <c r="L800" s="23" t="n">
        <f>J800+K800</f>
        <v>40</v>
      </c>
      <c r="M800" s="23" t="n">
        <v>48</v>
      </c>
      <c r="N800" s="23" t="n">
        <v>38</v>
      </c>
      <c r="O800" s="23" t="n">
        <v>15</v>
      </c>
      <c r="P800" s="23" t="n">
        <v>15</v>
      </c>
      <c r="Q800" s="23" t="n">
        <f>MIN(O800,P800)</f>
        <v>15</v>
      </c>
      <c r="R800" s="25" t="n">
        <f>IF(M800=0,0,MIN(1,L800/M800))</f>
        <v>0.8333333333333334</v>
      </c>
      <c r="S800" s="23" t="n">
        <f>O800*R800</f>
        <v>12.5</v>
      </c>
      <c r="T800" s="23" t="n">
        <f>MIN(P800,S800)</f>
        <v>12.5</v>
      </c>
      <c r="U800" s="23" t="n">
        <f>O800-S800</f>
        <v>2.5</v>
      </c>
      <c r="V800" s="23" t="n">
        <f>MAX(P800-O800,0)</f>
        <v>0</v>
      </c>
    </row>
    <row r="801">
      <c r="A801" s="19" t="str">
        <v>波兰区</v>
      </c>
      <c r="B801" s="19" t="str">
        <v>弗罗茨瓦夫3号仓(SN)</v>
      </c>
      <c r="C801" s="19" t="str">
        <v>C班组</v>
      </c>
      <c r="D801" s="21" t="n">
        <v>46148</v>
      </c>
      <c r="E801" s="19" t="str">
        <v>2026-05</v>
      </c>
      <c r="F801" s="19" t="str">
        <v>操作员</v>
      </c>
      <c r="G801" s="19" t="str">
        <v>10.5小时-早班-休息不计费-含加班-Rano（06:00~16:45）</v>
      </c>
      <c r="H801" s="19" t="str">
        <v>S000196</v>
      </c>
      <c r="I801" s="19" t="str">
        <v>Gi Group sp. z o.o.</v>
      </c>
      <c r="J801" s="23" t="n">
        <v>50</v>
      </c>
      <c r="K801" s="23" t="n">
        <v>0</v>
      </c>
      <c r="L801" s="23" t="n">
        <f>J801+K801</f>
        <v>50</v>
      </c>
      <c r="M801" s="23" t="n">
        <v>75</v>
      </c>
      <c r="N801" s="23" t="n">
        <v>43</v>
      </c>
      <c r="O801" s="23" t="n">
        <v>3</v>
      </c>
      <c r="P801" s="23" t="n">
        <v>3</v>
      </c>
      <c r="Q801" s="23" t="n">
        <f>MIN(O801,P801)</f>
        <v>3</v>
      </c>
      <c r="R801" s="25" t="n">
        <f>IF(M801=0,0,MIN(1,L801/M801))</f>
        <v>0.6666666666666666</v>
      </c>
      <c r="S801" s="23" t="n">
        <f>O801*R801</f>
        <v>2</v>
      </c>
      <c r="T801" s="23" t="n">
        <f>MIN(P801,S801)</f>
        <v>2</v>
      </c>
      <c r="U801" s="23" t="n">
        <f>O801-S801</f>
        <v>1</v>
      </c>
      <c r="V801" s="23" t="n">
        <f>MAX(P801-O801,0)</f>
        <v>0</v>
      </c>
    </row>
    <row r="802">
      <c r="A802" s="19" t="str">
        <v>波兰区</v>
      </c>
      <c r="B802" s="19" t="str">
        <v>弗罗茨瓦夫3号仓(SN)</v>
      </c>
      <c r="C802" s="19" t="str">
        <v>C班组</v>
      </c>
      <c r="D802" s="21" t="n">
        <v>46148</v>
      </c>
      <c r="E802" s="19" t="str">
        <v>2026-05</v>
      </c>
      <c r="F802" s="19" t="str">
        <v>操作员</v>
      </c>
      <c r="G802" s="19" t="str">
        <v>10.5小时-早班-休息不计费-含加班-Rano（06:00~16:45）</v>
      </c>
      <c r="H802" s="19" t="str">
        <v>S000201</v>
      </c>
      <c r="I802" s="19" t="str">
        <v>ATLAS WORK SPÓŁKA Z OGRANICZONĄ ODPOWIEDZIALNOŚCIĄ</v>
      </c>
      <c r="J802" s="23" t="n">
        <v>50</v>
      </c>
      <c r="K802" s="23" t="n">
        <v>0</v>
      </c>
      <c r="L802" s="23" t="n">
        <f>J802+K802</f>
        <v>50</v>
      </c>
      <c r="M802" s="23" t="n">
        <v>75</v>
      </c>
      <c r="N802" s="23" t="n">
        <v>43</v>
      </c>
      <c r="O802" s="23" t="n">
        <v>10</v>
      </c>
      <c r="P802" s="23" t="n">
        <v>10</v>
      </c>
      <c r="Q802" s="23" t="n">
        <f>MIN(O802,P802)</f>
        <v>10</v>
      </c>
      <c r="R802" s="25" t="n">
        <f>IF(M802=0,0,MIN(1,L802/M802))</f>
        <v>0.6666666666666666</v>
      </c>
      <c r="S802" s="23" t="n">
        <f>O802*R802</f>
        <v>6.666666666666666</v>
      </c>
      <c r="T802" s="23" t="n">
        <f>MIN(P802,S802)</f>
        <v>6.666666666666666</v>
      </c>
      <c r="U802" s="23" t="n">
        <f>O802-S802</f>
        <v>3.333333333333334</v>
      </c>
      <c r="V802" s="23" t="n">
        <f>MAX(P802-O802,0)</f>
        <v>0</v>
      </c>
    </row>
    <row r="803">
      <c r="A803" s="19" t="str">
        <v>波兰区</v>
      </c>
      <c r="B803" s="19" t="str">
        <v>弗罗茨瓦夫3号仓(SN)</v>
      </c>
      <c r="C803" s="19" t="str">
        <v>C班组</v>
      </c>
      <c r="D803" s="21" t="n">
        <v>46148</v>
      </c>
      <c r="E803" s="19" t="str">
        <v>2026-05</v>
      </c>
      <c r="F803" s="19" t="str">
        <v>操作员</v>
      </c>
      <c r="G803" s="19" t="str">
        <v>10.5小时-早班-休息不计费-含加班-Rano（06:00~16:45）</v>
      </c>
      <c r="H803" s="19" t="str">
        <v>S000206</v>
      </c>
      <c r="I803" s="19" t="str">
        <v>Zenith Zone Sp. z o.o.</v>
      </c>
      <c r="J803" s="23" t="n">
        <v>50</v>
      </c>
      <c r="K803" s="23" t="n">
        <v>0</v>
      </c>
      <c r="L803" s="23" t="n">
        <f>J803+K803</f>
        <v>50</v>
      </c>
      <c r="M803" s="23" t="n">
        <v>75</v>
      </c>
      <c r="N803" s="23" t="n">
        <v>43</v>
      </c>
      <c r="O803" s="23" t="n">
        <v>3</v>
      </c>
      <c r="P803" s="23" t="n">
        <v>3</v>
      </c>
      <c r="Q803" s="23" t="n">
        <f>MIN(O803,P803)</f>
        <v>3</v>
      </c>
      <c r="R803" s="25" t="n">
        <f>IF(M803=0,0,MIN(1,L803/M803))</f>
        <v>0.6666666666666666</v>
      </c>
      <c r="S803" s="23" t="n">
        <f>O803*R803</f>
        <v>2</v>
      </c>
      <c r="T803" s="23" t="n">
        <f>MIN(P803,S803)</f>
        <v>2</v>
      </c>
      <c r="U803" s="23" t="n">
        <f>O803-S803</f>
        <v>1</v>
      </c>
      <c r="V803" s="23" t="n">
        <f>MAX(P803-O803,0)</f>
        <v>0</v>
      </c>
    </row>
    <row r="804">
      <c r="A804" s="19" t="str">
        <v>波兰区</v>
      </c>
      <c r="B804" s="19" t="str">
        <v>弗罗茨瓦夫3号仓(SN)</v>
      </c>
      <c r="C804" s="19" t="str">
        <v>C班组</v>
      </c>
      <c r="D804" s="21" t="n">
        <v>46148</v>
      </c>
      <c r="E804" s="19" t="str">
        <v>2026-05</v>
      </c>
      <c r="F804" s="19" t="str">
        <v>操作员</v>
      </c>
      <c r="G804" s="19" t="str">
        <v>10.5小时-早班-休息不计费-含加班-Rano（06:00~16:45）</v>
      </c>
      <c r="H804" s="19" t="str">
        <v>S000207</v>
      </c>
      <c r="I804" s="19" t="str">
        <v>Niden Service Sp. z o.o.</v>
      </c>
      <c r="J804" s="23" t="n">
        <v>50</v>
      </c>
      <c r="K804" s="23" t="n">
        <v>0</v>
      </c>
      <c r="L804" s="23" t="n">
        <f>J804+K804</f>
        <v>50</v>
      </c>
      <c r="M804" s="23" t="n">
        <v>75</v>
      </c>
      <c r="N804" s="23" t="n">
        <v>43</v>
      </c>
      <c r="O804" s="23" t="n">
        <v>18</v>
      </c>
      <c r="P804" s="23" t="n">
        <v>0</v>
      </c>
      <c r="Q804" s="23" t="n">
        <f>MIN(O804,P804)</f>
        <v>0</v>
      </c>
      <c r="R804" s="25" t="n">
        <f>IF(M804=0,0,MIN(1,L804/M804))</f>
        <v>0.6666666666666666</v>
      </c>
      <c r="S804" s="23" t="n">
        <f>O804*R804</f>
        <v>12</v>
      </c>
      <c r="T804" s="23" t="n">
        <f>MIN(P804,S804)</f>
        <v>0</v>
      </c>
      <c r="U804" s="23" t="n">
        <f>O804-S804</f>
        <v>6</v>
      </c>
      <c r="V804" s="23" t="n">
        <f>MAX(P804-O804,0)</f>
        <v>0</v>
      </c>
    </row>
    <row r="805">
      <c r="A805" s="19" t="str">
        <v>波兰区</v>
      </c>
      <c r="B805" s="19" t="str">
        <v>弗罗茨瓦夫3号仓(SN)</v>
      </c>
      <c r="C805" s="19" t="str">
        <v>C班组</v>
      </c>
      <c r="D805" s="21" t="n">
        <v>46148</v>
      </c>
      <c r="E805" s="19" t="str">
        <v>2026-05</v>
      </c>
      <c r="F805" s="19" t="str">
        <v>操作员</v>
      </c>
      <c r="G805" s="19" t="str">
        <v>10.5小时-早班-休息不计费-含加班-Rano（06:00~16:45）</v>
      </c>
      <c r="H805" s="19" t="str">
        <v>S000259</v>
      </c>
      <c r="I805" s="19" t="str">
        <v>PROWORK APT Sp. z o.o.</v>
      </c>
      <c r="J805" s="23" t="n">
        <v>50</v>
      </c>
      <c r="K805" s="23" t="n">
        <v>0</v>
      </c>
      <c r="L805" s="23" t="n">
        <f>J805+K805</f>
        <v>50</v>
      </c>
      <c r="M805" s="23" t="n">
        <v>75</v>
      </c>
      <c r="N805" s="23" t="n">
        <v>43</v>
      </c>
      <c r="O805" s="23" t="n">
        <v>5</v>
      </c>
      <c r="P805" s="23" t="n">
        <v>0</v>
      </c>
      <c r="Q805" s="23" t="n">
        <f>MIN(O805,P805)</f>
        <v>0</v>
      </c>
      <c r="R805" s="25" t="n">
        <f>IF(M805=0,0,MIN(1,L805/M805))</f>
        <v>0.6666666666666666</v>
      </c>
      <c r="S805" s="23" t="n">
        <f>O805*R805</f>
        <v>3.333333333333333</v>
      </c>
      <c r="T805" s="23" t="n">
        <f>MIN(P805,S805)</f>
        <v>0</v>
      </c>
      <c r="U805" s="23" t="n">
        <f>O805-S805</f>
        <v>1.666666666666667</v>
      </c>
      <c r="V805" s="23" t="n">
        <f>MAX(P805-O805,0)</f>
        <v>0</v>
      </c>
    </row>
    <row r="806">
      <c r="A806" s="19" t="str">
        <v>波兰区</v>
      </c>
      <c r="B806" s="19" t="str">
        <v>弗罗茨瓦夫3号仓(SN)</v>
      </c>
      <c r="C806" s="19" t="str">
        <v>C班组</v>
      </c>
      <c r="D806" s="21" t="n">
        <v>46148</v>
      </c>
      <c r="E806" s="19" t="str">
        <v>2026-05</v>
      </c>
      <c r="F806" s="19" t="str">
        <v>操作员</v>
      </c>
      <c r="G806" s="19" t="str">
        <v>10.5小时-早班-休息不计费-含加班-Rano（06:00~16:45）</v>
      </c>
      <c r="H806" s="19" t="str">
        <v>S000287</v>
      </c>
      <c r="I806" s="19" t="str">
        <v>DK Global</v>
      </c>
      <c r="J806" s="23" t="n">
        <v>50</v>
      </c>
      <c r="K806" s="23" t="n">
        <v>0</v>
      </c>
      <c r="L806" s="23" t="n">
        <f>J806+K806</f>
        <v>50</v>
      </c>
      <c r="M806" s="23" t="n">
        <v>75</v>
      </c>
      <c r="N806" s="23" t="n">
        <v>43</v>
      </c>
      <c r="O806" s="23" t="n">
        <v>8</v>
      </c>
      <c r="P806" s="23" t="n">
        <v>5</v>
      </c>
      <c r="Q806" s="23" t="n">
        <f>MIN(O806,P806)</f>
        <v>5</v>
      </c>
      <c r="R806" s="25" t="n">
        <f>IF(M806=0,0,MIN(1,L806/M806))</f>
        <v>0.6666666666666666</v>
      </c>
      <c r="S806" s="23" t="n">
        <f>O806*R806</f>
        <v>5.333333333333333</v>
      </c>
      <c r="T806" s="23" t="n">
        <f>MIN(P806,S806)</f>
        <v>5</v>
      </c>
      <c r="U806" s="23" t="n">
        <f>O806-S806</f>
        <v>2.666666666666667</v>
      </c>
      <c r="V806" s="23" t="n">
        <f>MAX(P806-O806,0)</f>
        <v>0</v>
      </c>
    </row>
    <row r="807">
      <c r="A807" s="19" t="str">
        <v>波兰区</v>
      </c>
      <c r="B807" s="19" t="str">
        <v>弗罗茨瓦夫3号仓(SN)</v>
      </c>
      <c r="C807" s="19" t="str">
        <v>C班组</v>
      </c>
      <c r="D807" s="21" t="n">
        <v>46148</v>
      </c>
      <c r="E807" s="19" t="str">
        <v>2026-05</v>
      </c>
      <c r="F807" s="19" t="str">
        <v>操作员</v>
      </c>
      <c r="G807" s="19" t="str">
        <v>10.5小时-早班-休息不计费-含加班-Rano（06:00~16:45）</v>
      </c>
      <c r="H807" s="19" t="str">
        <v>S000288</v>
      </c>
      <c r="I807" s="19" t="str">
        <v>Global Solution</v>
      </c>
      <c r="J807" s="23" t="n">
        <v>50</v>
      </c>
      <c r="K807" s="23" t="n">
        <v>0</v>
      </c>
      <c r="L807" s="23" t="n">
        <f>J807+K807</f>
        <v>50</v>
      </c>
      <c r="M807" s="23" t="n">
        <v>75</v>
      </c>
      <c r="N807" s="23" t="n">
        <v>43</v>
      </c>
      <c r="O807" s="23" t="n">
        <v>10</v>
      </c>
      <c r="P807" s="23" t="n">
        <v>4</v>
      </c>
      <c r="Q807" s="23" t="n">
        <f>MIN(O807,P807)</f>
        <v>4</v>
      </c>
      <c r="R807" s="25" t="n">
        <f>IF(M807=0,0,MIN(1,L807/M807))</f>
        <v>0.6666666666666666</v>
      </c>
      <c r="S807" s="23" t="n">
        <f>O807*R807</f>
        <v>6.666666666666666</v>
      </c>
      <c r="T807" s="23" t="n">
        <f>MIN(P807,S807)</f>
        <v>4</v>
      </c>
      <c r="U807" s="23" t="n">
        <f>O807-S807</f>
        <v>3.333333333333334</v>
      </c>
      <c r="V807" s="23" t="n">
        <f>MAX(P807-O807,0)</f>
        <v>0</v>
      </c>
    </row>
    <row r="808">
      <c r="A808" s="19" t="str">
        <v>波兰区</v>
      </c>
      <c r="B808" s="19" t="str">
        <v>弗罗茨瓦夫3号仓(SN)</v>
      </c>
      <c r="C808" s="19" t="str">
        <v>C班组</v>
      </c>
      <c r="D808" s="21" t="n">
        <v>46148</v>
      </c>
      <c r="E808" s="19" t="str">
        <v>2026-05</v>
      </c>
      <c r="F808" s="19" t="str">
        <v>操作员</v>
      </c>
      <c r="G808" s="19" t="str">
        <v>10.5小时-早班-休息不计费-含加班-Rano（06:00~16:45）</v>
      </c>
      <c r="H808" s="19" t="str">
        <v>S000298</v>
      </c>
      <c r="I808" s="19" t="str">
        <v>Tez sp z o.o.</v>
      </c>
      <c r="J808" s="23" t="n">
        <v>50</v>
      </c>
      <c r="K808" s="23" t="n">
        <v>0</v>
      </c>
      <c r="L808" s="23" t="n">
        <f>J808+K808</f>
        <v>50</v>
      </c>
      <c r="M808" s="23" t="n">
        <v>75</v>
      </c>
      <c r="N808" s="23" t="n">
        <v>43</v>
      </c>
      <c r="O808" s="23" t="n">
        <v>18</v>
      </c>
      <c r="P808" s="23" t="n">
        <v>18</v>
      </c>
      <c r="Q808" s="23" t="n">
        <f>MIN(O808,P808)</f>
        <v>18</v>
      </c>
      <c r="R808" s="25" t="n">
        <f>IF(M808=0,0,MIN(1,L808/M808))</f>
        <v>0.6666666666666666</v>
      </c>
      <c r="S808" s="23" t="n">
        <f>O808*R808</f>
        <v>12</v>
      </c>
      <c r="T808" s="23" t="n">
        <f>MIN(P808,S808)</f>
        <v>12</v>
      </c>
      <c r="U808" s="23" t="n">
        <f>O808-S808</f>
        <v>6</v>
      </c>
      <c r="V808" s="23" t="n">
        <f>MAX(P808-O808,0)</f>
        <v>0</v>
      </c>
    </row>
    <row r="809">
      <c r="A809" s="19" t="str">
        <v>波兰区</v>
      </c>
      <c r="B809" s="19" t="str">
        <v>弗罗茨瓦夫3号仓(SN)</v>
      </c>
      <c r="C809" s="19" t="str">
        <v>C班组</v>
      </c>
      <c r="D809" s="21" t="n">
        <v>46154</v>
      </c>
      <c r="E809" s="19" t="str">
        <v>2026-05</v>
      </c>
      <c r="F809" s="19" t="str">
        <v>操作员</v>
      </c>
      <c r="G809" s="19" t="str">
        <v>10.5小时-晚班-休息不计费-含加班-NOC（18:00~04:45）</v>
      </c>
      <c r="H809" s="19" t="str">
        <v>S000196</v>
      </c>
      <c r="I809" s="19" t="str">
        <v>Gi Group sp. z o.o.</v>
      </c>
      <c r="J809" s="23" t="n">
        <v>50</v>
      </c>
      <c r="K809" s="23" t="n">
        <v>0</v>
      </c>
      <c r="L809" s="23" t="n">
        <f>J809+K809</f>
        <v>50</v>
      </c>
      <c r="M809" s="23" t="n">
        <v>63</v>
      </c>
      <c r="N809" s="23" t="n">
        <v>48</v>
      </c>
      <c r="O809" s="23" t="n">
        <v>15</v>
      </c>
      <c r="P809" s="23" t="n">
        <v>4</v>
      </c>
      <c r="Q809" s="23" t="n">
        <f>MIN(O809,P809)</f>
        <v>4</v>
      </c>
      <c r="R809" s="25" t="n">
        <f>IF(M809=0,0,MIN(1,L809/M809))</f>
        <v>0.7936507936507936</v>
      </c>
      <c r="S809" s="23" t="n">
        <f>O809*R809</f>
        <v>11.904761904761903</v>
      </c>
      <c r="T809" s="23" t="n">
        <f>MIN(P809,S809)</f>
        <v>4</v>
      </c>
      <c r="U809" s="23" t="n">
        <f>O809-S809</f>
        <v>3.0952380952380967</v>
      </c>
      <c r="V809" s="23" t="n">
        <f>MAX(P809-O809,0)</f>
        <v>0</v>
      </c>
    </row>
    <row r="810">
      <c r="A810" s="19" t="str">
        <v>波兰区</v>
      </c>
      <c r="B810" s="19" t="str">
        <v>弗罗茨瓦夫3号仓(SN)</v>
      </c>
      <c r="C810" s="19" t="str">
        <v>C班组</v>
      </c>
      <c r="D810" s="21" t="n">
        <v>46154</v>
      </c>
      <c r="E810" s="19" t="str">
        <v>2026-05</v>
      </c>
      <c r="F810" s="19" t="str">
        <v>操作员</v>
      </c>
      <c r="G810" s="19" t="str">
        <v>10.5小时-晚班-休息不计费-含加班-NOC（18:00~04:45）</v>
      </c>
      <c r="H810" s="19" t="str">
        <v>S000249</v>
      </c>
      <c r="I810" s="19" t="str">
        <v>Gremi 2024.07</v>
      </c>
      <c r="J810" s="23" t="n">
        <v>50</v>
      </c>
      <c r="K810" s="23" t="n">
        <v>0</v>
      </c>
      <c r="L810" s="23" t="n">
        <f>J810+K810</f>
        <v>50</v>
      </c>
      <c r="M810" s="23" t="n">
        <v>63</v>
      </c>
      <c r="N810" s="23" t="n">
        <v>48</v>
      </c>
      <c r="O810" s="23" t="n">
        <v>12</v>
      </c>
      <c r="P810" s="23" t="n">
        <v>11</v>
      </c>
      <c r="Q810" s="23" t="n">
        <f>MIN(O810,P810)</f>
        <v>11</v>
      </c>
      <c r="R810" s="25" t="n">
        <f>IF(M810=0,0,MIN(1,L810/M810))</f>
        <v>0.7936507936507936</v>
      </c>
      <c r="S810" s="23" t="n">
        <f>O810*R810</f>
        <v>9.523809523809524</v>
      </c>
      <c r="T810" s="23" t="n">
        <f>MIN(P810,S810)</f>
        <v>9.523809523809524</v>
      </c>
      <c r="U810" s="23" t="n">
        <f>O810-S810</f>
        <v>2.4761904761904763</v>
      </c>
      <c r="V810" s="23" t="n">
        <f>MAX(P810-O810,0)</f>
        <v>0</v>
      </c>
    </row>
    <row r="811">
      <c r="A811" s="19" t="str">
        <v>波兰区</v>
      </c>
      <c r="B811" s="19" t="str">
        <v>弗罗茨瓦夫3号仓(SN)</v>
      </c>
      <c r="C811" s="19" t="str">
        <v>C班组</v>
      </c>
      <c r="D811" s="21" t="n">
        <v>46154</v>
      </c>
      <c r="E811" s="19" t="str">
        <v>2026-05</v>
      </c>
      <c r="F811" s="19" t="str">
        <v>操作员</v>
      </c>
      <c r="G811" s="19" t="str">
        <v>10.5小时-晚班-休息不计费-含加班-NOC（18:00~04:45）</v>
      </c>
      <c r="H811" s="19" t="str">
        <v>S000287</v>
      </c>
      <c r="I811" s="19" t="str">
        <v>DK Global</v>
      </c>
      <c r="J811" s="23" t="n">
        <v>50</v>
      </c>
      <c r="K811" s="23" t="n">
        <v>0</v>
      </c>
      <c r="L811" s="23" t="n">
        <f>J811+K811</f>
        <v>50</v>
      </c>
      <c r="M811" s="23" t="n">
        <v>63</v>
      </c>
      <c r="N811" s="23" t="n">
        <v>48</v>
      </c>
      <c r="O811" s="23" t="n">
        <v>10</v>
      </c>
      <c r="P811" s="23" t="n">
        <v>7</v>
      </c>
      <c r="Q811" s="23" t="n">
        <f>MIN(O811,P811)</f>
        <v>7</v>
      </c>
      <c r="R811" s="25" t="n">
        <f>IF(M811=0,0,MIN(1,L811/M811))</f>
        <v>0.7936507936507936</v>
      </c>
      <c r="S811" s="23" t="n">
        <f>O811*R811</f>
        <v>7.936507936507936</v>
      </c>
      <c r="T811" s="23" t="n">
        <f>MIN(P811,S811)</f>
        <v>7</v>
      </c>
      <c r="U811" s="23" t="n">
        <f>O811-S811</f>
        <v>2.063492063492064</v>
      </c>
      <c r="V811" s="23" t="n">
        <f>MAX(P811-O811,0)</f>
        <v>0</v>
      </c>
    </row>
    <row r="812">
      <c r="A812" s="19" t="str">
        <v>波兰区</v>
      </c>
      <c r="B812" s="19" t="str">
        <v>弗罗茨瓦夫3号仓(SN)</v>
      </c>
      <c r="C812" s="19" t="str">
        <v>C班组</v>
      </c>
      <c r="D812" s="21" t="n">
        <v>46154</v>
      </c>
      <c r="E812" s="19" t="str">
        <v>2026-05</v>
      </c>
      <c r="F812" s="19" t="str">
        <v>操作员</v>
      </c>
      <c r="G812" s="19" t="str">
        <v>10.5小时-晚班-休息不计费-含加班-NOC（18:00~04:45）</v>
      </c>
      <c r="H812" s="19" t="str">
        <v>S000297</v>
      </c>
      <c r="I812" s="19" t="str">
        <v>Eurojob-West</v>
      </c>
      <c r="J812" s="23" t="n">
        <v>50</v>
      </c>
      <c r="K812" s="23" t="n">
        <v>0</v>
      </c>
      <c r="L812" s="23" t="n">
        <f>J812+K812</f>
        <v>50</v>
      </c>
      <c r="M812" s="23" t="n">
        <v>63</v>
      </c>
      <c r="N812" s="23" t="n">
        <v>48</v>
      </c>
      <c r="O812" s="23" t="n">
        <v>1</v>
      </c>
      <c r="P812" s="23" t="n">
        <v>1</v>
      </c>
      <c r="Q812" s="23" t="n">
        <f>MIN(O812,P812)</f>
        <v>1</v>
      </c>
      <c r="R812" s="25" t="n">
        <f>IF(M812=0,0,MIN(1,L812/M812))</f>
        <v>0.7936507936507936</v>
      </c>
      <c r="S812" s="23" t="n">
        <f>O812*R812</f>
        <v>0.7936507936507936</v>
      </c>
      <c r="T812" s="23" t="n">
        <f>MIN(P812,S812)</f>
        <v>0.7936507936507936</v>
      </c>
      <c r="U812" s="23" t="n">
        <f>O812-S812</f>
        <v>0.2063492063492064</v>
      </c>
      <c r="V812" s="23" t="n">
        <f>MAX(P812-O812,0)</f>
        <v>0</v>
      </c>
    </row>
    <row r="813">
      <c r="A813" s="19" t="str">
        <v>波兰区</v>
      </c>
      <c r="B813" s="19" t="str">
        <v>弗罗茨瓦夫3号仓(SN)</v>
      </c>
      <c r="C813" s="19" t="str">
        <v>C班组</v>
      </c>
      <c r="D813" s="21" t="n">
        <v>46154</v>
      </c>
      <c r="E813" s="19" t="str">
        <v>2026-05</v>
      </c>
      <c r="F813" s="19" t="str">
        <v>操作员</v>
      </c>
      <c r="G813" s="19" t="str">
        <v>10.5小时-晚班-休息不计费-含加班-NOC（18:00~04:45）</v>
      </c>
      <c r="H813" s="19" t="str">
        <v>S000298</v>
      </c>
      <c r="I813" s="19" t="str">
        <v>Tez sp z o.o.</v>
      </c>
      <c r="J813" s="23" t="n">
        <v>50</v>
      </c>
      <c r="K813" s="23" t="n">
        <v>0</v>
      </c>
      <c r="L813" s="23" t="n">
        <f>J813+K813</f>
        <v>50</v>
      </c>
      <c r="M813" s="23" t="n">
        <v>63</v>
      </c>
      <c r="N813" s="23" t="n">
        <v>48</v>
      </c>
      <c r="O813" s="23" t="n">
        <v>25</v>
      </c>
      <c r="P813" s="23" t="n">
        <v>25</v>
      </c>
      <c r="Q813" s="23" t="n">
        <f>MIN(O813,P813)</f>
        <v>25</v>
      </c>
      <c r="R813" s="25" t="n">
        <f>IF(M813=0,0,MIN(1,L813/M813))</f>
        <v>0.7936507936507936</v>
      </c>
      <c r="S813" s="23" t="n">
        <f>O813*R813</f>
        <v>19.841269841269842</v>
      </c>
      <c r="T813" s="23" t="n">
        <f>MIN(P813,S813)</f>
        <v>19.841269841269842</v>
      </c>
      <c r="U813" s="23" t="n">
        <f>O813-S813</f>
        <v>5.158730158730158</v>
      </c>
      <c r="V813" s="23" t="n">
        <f>MAX(P813-O813,0)</f>
        <v>0</v>
      </c>
    </row>
    <row r="814">
      <c r="A814" s="19" t="str">
        <v>波兰区</v>
      </c>
      <c r="B814" s="19" t="str">
        <v>弗罗茨瓦夫3号仓(SN)</v>
      </c>
      <c r="C814" s="19" t="str">
        <v>C班组</v>
      </c>
      <c r="D814" s="21" t="n">
        <v>46168</v>
      </c>
      <c r="E814" s="19" t="str">
        <v>2026-05</v>
      </c>
      <c r="F814" s="19" t="str">
        <v>操作员</v>
      </c>
      <c r="G814" s="19" t="str">
        <v>10.5小时-晚班-休息不计费-含加班-NOC（18:00~04:45）</v>
      </c>
      <c r="H814" s="19" t="str">
        <v>S000201</v>
      </c>
      <c r="I814" s="19" t="str">
        <v>ATLAS WORK SPÓŁKA Z OGRANICZONĄ ODPOWIEDZIALNOŚCIĄ</v>
      </c>
      <c r="J814" s="23" t="n">
        <v>65</v>
      </c>
      <c r="K814" s="23" t="n">
        <v>0</v>
      </c>
      <c r="L814" s="23" t="n">
        <f>J814+K814</f>
        <v>65</v>
      </c>
      <c r="M814" s="23" t="n">
        <v>70</v>
      </c>
      <c r="N814" s="23" t="n">
        <v>54</v>
      </c>
      <c r="O814" s="23" t="n">
        <v>12</v>
      </c>
      <c r="P814" s="23" t="n">
        <v>10</v>
      </c>
      <c r="Q814" s="23" t="n">
        <f>MIN(O814,P814)</f>
        <v>10</v>
      </c>
      <c r="R814" s="25" t="n">
        <f>IF(M814=0,0,MIN(1,L814/M814))</f>
        <v>0.9285714285714286</v>
      </c>
      <c r="S814" s="23" t="n">
        <f>O814*R814</f>
        <v>11.142857142857142</v>
      </c>
      <c r="T814" s="23" t="n">
        <f>MIN(P814,S814)</f>
        <v>10</v>
      </c>
      <c r="U814" s="23" t="n">
        <f>O814-S814</f>
        <v>0.8571428571428577</v>
      </c>
      <c r="V814" s="23" t="n">
        <f>MAX(P814-O814,0)</f>
        <v>0</v>
      </c>
    </row>
    <row r="815">
      <c r="A815" s="19" t="str">
        <v>波兰区</v>
      </c>
      <c r="B815" s="19" t="str">
        <v>弗罗茨瓦夫3号仓(SN)</v>
      </c>
      <c r="C815" s="19" t="str">
        <v>C班组</v>
      </c>
      <c r="D815" s="21" t="n">
        <v>46168</v>
      </c>
      <c r="E815" s="19" t="str">
        <v>2026-05</v>
      </c>
      <c r="F815" s="19" t="str">
        <v>操作员</v>
      </c>
      <c r="G815" s="19" t="str">
        <v>10.5小时-晚班-休息不计费-含加班-NOC（18:00~04:45）</v>
      </c>
      <c r="H815" s="19" t="str">
        <v>S000206</v>
      </c>
      <c r="I815" s="19" t="str">
        <v>Zenith Zone Sp. z o.o.</v>
      </c>
      <c r="J815" s="23" t="n">
        <v>65</v>
      </c>
      <c r="K815" s="23" t="n">
        <v>0</v>
      </c>
      <c r="L815" s="23" t="n">
        <f>J815+K815</f>
        <v>65</v>
      </c>
      <c r="M815" s="23" t="n">
        <v>70</v>
      </c>
      <c r="N815" s="23" t="n">
        <v>54</v>
      </c>
      <c r="O815" s="23" t="n">
        <v>10</v>
      </c>
      <c r="P815" s="23" t="n">
        <v>3</v>
      </c>
      <c r="Q815" s="23" t="n">
        <f>MIN(O815,P815)</f>
        <v>3</v>
      </c>
      <c r="R815" s="25" t="n">
        <f>IF(M815=0,0,MIN(1,L815/M815))</f>
        <v>0.9285714285714286</v>
      </c>
      <c r="S815" s="23" t="n">
        <f>O815*R815</f>
        <v>9.285714285714286</v>
      </c>
      <c r="T815" s="23" t="n">
        <f>MIN(P815,S815)</f>
        <v>3</v>
      </c>
      <c r="U815" s="23" t="n">
        <f>O815-S815</f>
        <v>0.7142857142857135</v>
      </c>
      <c r="V815" s="23" t="n">
        <f>MAX(P815-O815,0)</f>
        <v>0</v>
      </c>
    </row>
    <row r="816">
      <c r="A816" s="19" t="str">
        <v>波兰区</v>
      </c>
      <c r="B816" s="19" t="str">
        <v>弗罗茨瓦夫3号仓(SN)</v>
      </c>
      <c r="C816" s="19" t="str">
        <v>C班组</v>
      </c>
      <c r="D816" s="21" t="n">
        <v>46168</v>
      </c>
      <c r="E816" s="19" t="str">
        <v>2026-05</v>
      </c>
      <c r="F816" s="19" t="str">
        <v>操作员</v>
      </c>
      <c r="G816" s="19" t="str">
        <v>10.5小时-晚班-休息不计费-含加班-NOC（18:00~04:45）</v>
      </c>
      <c r="H816" s="19" t="str">
        <v>S000249</v>
      </c>
      <c r="I816" s="19" t="str">
        <v>Gremi 2024.07</v>
      </c>
      <c r="J816" s="23" t="n">
        <v>65</v>
      </c>
      <c r="K816" s="23" t="n">
        <v>0</v>
      </c>
      <c r="L816" s="23" t="n">
        <f>J816+K816</f>
        <v>65</v>
      </c>
      <c r="M816" s="23" t="n">
        <v>70</v>
      </c>
      <c r="N816" s="23" t="n">
        <v>54</v>
      </c>
      <c r="O816" s="23" t="n">
        <v>10</v>
      </c>
      <c r="P816" s="23" t="n">
        <v>10</v>
      </c>
      <c r="Q816" s="23" t="n">
        <f>MIN(O816,P816)</f>
        <v>10</v>
      </c>
      <c r="R816" s="25" t="n">
        <f>IF(M816=0,0,MIN(1,L816/M816))</f>
        <v>0.9285714285714286</v>
      </c>
      <c r="S816" s="23" t="n">
        <f>O816*R816</f>
        <v>9.285714285714286</v>
      </c>
      <c r="T816" s="23" t="n">
        <f>MIN(P816,S816)</f>
        <v>9.285714285714286</v>
      </c>
      <c r="U816" s="23" t="n">
        <f>O816-S816</f>
        <v>0.7142857142857135</v>
      </c>
      <c r="V816" s="23" t="n">
        <f>MAX(P816-O816,0)</f>
        <v>0</v>
      </c>
    </row>
    <row r="817">
      <c r="A817" s="19" t="str">
        <v>波兰区</v>
      </c>
      <c r="B817" s="19" t="str">
        <v>弗罗茨瓦夫3号仓(SN)</v>
      </c>
      <c r="C817" s="19" t="str">
        <v>C班组</v>
      </c>
      <c r="D817" s="21" t="n">
        <v>46168</v>
      </c>
      <c r="E817" s="19" t="str">
        <v>2026-05</v>
      </c>
      <c r="F817" s="19" t="str">
        <v>操作员</v>
      </c>
      <c r="G817" s="19" t="str">
        <v>10.5小时-晚班-休息不计费-含加班-NOC（18:00~04:45）</v>
      </c>
      <c r="H817" s="19" t="str">
        <v>S000287</v>
      </c>
      <c r="I817" s="19" t="str">
        <v>DK Global</v>
      </c>
      <c r="J817" s="23" t="n">
        <v>65</v>
      </c>
      <c r="K817" s="23" t="n">
        <v>0</v>
      </c>
      <c r="L817" s="23" t="n">
        <f>J817+K817</f>
        <v>65</v>
      </c>
      <c r="M817" s="23" t="n">
        <v>70</v>
      </c>
      <c r="N817" s="23" t="n">
        <v>54</v>
      </c>
      <c r="O817" s="23" t="n">
        <v>7</v>
      </c>
      <c r="P817" s="23" t="n">
        <v>3</v>
      </c>
      <c r="Q817" s="23" t="n">
        <f>MIN(O817,P817)</f>
        <v>3</v>
      </c>
      <c r="R817" s="25" t="n">
        <f>IF(M817=0,0,MIN(1,L817/M817))</f>
        <v>0.9285714285714286</v>
      </c>
      <c r="S817" s="23" t="n">
        <f>O817*R817</f>
        <v>6.5</v>
      </c>
      <c r="T817" s="23" t="n">
        <f>MIN(P817,S817)</f>
        <v>3</v>
      </c>
      <c r="U817" s="23" t="n">
        <f>O817-S817</f>
        <v>0.5</v>
      </c>
      <c r="V817" s="23" t="n">
        <f>MAX(P817-O817,0)</f>
        <v>0</v>
      </c>
    </row>
    <row r="818">
      <c r="A818" s="19" t="str">
        <v>波兰区</v>
      </c>
      <c r="B818" s="19" t="str">
        <v>弗罗茨瓦夫3号仓(SN)</v>
      </c>
      <c r="C818" s="19" t="str">
        <v>C班组</v>
      </c>
      <c r="D818" s="21" t="n">
        <v>46168</v>
      </c>
      <c r="E818" s="19" t="str">
        <v>2026-05</v>
      </c>
      <c r="F818" s="19" t="str">
        <v>操作员</v>
      </c>
      <c r="G818" s="19" t="str">
        <v>10.5小时-晚班-休息不计费-含加班-NOC（18:00~04:45）</v>
      </c>
      <c r="H818" s="19" t="str">
        <v>S000297</v>
      </c>
      <c r="I818" s="19" t="str">
        <v>Eurojob-West</v>
      </c>
      <c r="J818" s="23" t="n">
        <v>65</v>
      </c>
      <c r="K818" s="23" t="n">
        <v>0</v>
      </c>
      <c r="L818" s="23" t="n">
        <f>J818+K818</f>
        <v>65</v>
      </c>
      <c r="M818" s="23" t="n">
        <v>70</v>
      </c>
      <c r="N818" s="23" t="n">
        <v>54</v>
      </c>
      <c r="O818" s="23" t="n">
        <v>1</v>
      </c>
      <c r="P818" s="23" t="n">
        <v>1</v>
      </c>
      <c r="Q818" s="23" t="n">
        <f>MIN(O818,P818)</f>
        <v>1</v>
      </c>
      <c r="R818" s="25" t="n">
        <f>IF(M818=0,0,MIN(1,L818/M818))</f>
        <v>0.9285714285714286</v>
      </c>
      <c r="S818" s="23" t="n">
        <f>O818*R818</f>
        <v>0.9285714285714286</v>
      </c>
      <c r="T818" s="23" t="n">
        <f>MIN(P818,S818)</f>
        <v>0.9285714285714286</v>
      </c>
      <c r="U818" s="23" t="n">
        <f>O818-S818</f>
        <v>0.0714285714285714</v>
      </c>
      <c r="V818" s="23" t="n">
        <f>MAX(P818-O818,0)</f>
        <v>0</v>
      </c>
    </row>
    <row r="819">
      <c r="A819" s="19" t="str">
        <v>波兰区</v>
      </c>
      <c r="B819" s="19" t="str">
        <v>弗罗茨瓦夫3号仓(SN)</v>
      </c>
      <c r="C819" s="19" t="str">
        <v>C班组</v>
      </c>
      <c r="D819" s="21" t="n">
        <v>46168</v>
      </c>
      <c r="E819" s="19" t="str">
        <v>2026-05</v>
      </c>
      <c r="F819" s="19" t="str">
        <v>操作员</v>
      </c>
      <c r="G819" s="19" t="str">
        <v>10.5小时-晚班-休息不计费-含加班-NOC（18:00~04:45）</v>
      </c>
      <c r="H819" s="19" t="str">
        <v>S000298</v>
      </c>
      <c r="I819" s="19" t="str">
        <v>Tez sp z o.o.</v>
      </c>
      <c r="J819" s="23" t="n">
        <v>65</v>
      </c>
      <c r="K819" s="23" t="n">
        <v>0</v>
      </c>
      <c r="L819" s="23" t="n">
        <f>J819+K819</f>
        <v>65</v>
      </c>
      <c r="M819" s="23" t="n">
        <v>70</v>
      </c>
      <c r="N819" s="23" t="n">
        <v>54</v>
      </c>
      <c r="O819" s="23" t="n">
        <v>30</v>
      </c>
      <c r="P819" s="23" t="n">
        <v>27</v>
      </c>
      <c r="Q819" s="23" t="n">
        <f>MIN(O819,P819)</f>
        <v>27</v>
      </c>
      <c r="R819" s="25" t="n">
        <f>IF(M819=0,0,MIN(1,L819/M819))</f>
        <v>0.9285714285714286</v>
      </c>
      <c r="S819" s="23" t="n">
        <f>O819*R819</f>
        <v>27.857142857142858</v>
      </c>
      <c r="T819" s="23" t="n">
        <f>MIN(P819,S819)</f>
        <v>27</v>
      </c>
      <c r="U819" s="23" t="n">
        <f>O819-S819</f>
        <v>2.1428571428571423</v>
      </c>
      <c r="V819" s="23" t="n">
        <f>MAX(P819-O819,0)</f>
        <v>0</v>
      </c>
    </row>
    <row r="820">
      <c r="A820" s="19" t="str">
        <v>波兰区</v>
      </c>
      <c r="B820" s="19" t="str">
        <v>弗罗茨瓦夫3号仓(SN)</v>
      </c>
      <c r="C820" s="19" t="str">
        <v>C班组</v>
      </c>
      <c r="D820" s="21" t="n">
        <v>46175</v>
      </c>
      <c r="E820" s="19" t="str">
        <v>2026-06</v>
      </c>
      <c r="F820" s="19" t="str">
        <v>操作员</v>
      </c>
      <c r="G820" s="19" t="str">
        <v>10.5小时-早班-休息不计费-含加班-Rano（06:00~16:45）</v>
      </c>
      <c r="H820" s="19" t="str">
        <v>S000196</v>
      </c>
      <c r="I820" s="19" t="str">
        <v>Gi Group sp. z o.o.</v>
      </c>
      <c r="J820" s="23" t="n">
        <v>50</v>
      </c>
      <c r="K820" s="23" t="n">
        <v>0</v>
      </c>
      <c r="L820" s="23" t="n">
        <f>J820+K820</f>
        <v>50</v>
      </c>
      <c r="M820" s="23" t="n">
        <v>25</v>
      </c>
      <c r="N820" s="23" t="n">
        <v>8</v>
      </c>
      <c r="O820" s="23" t="n">
        <v>8</v>
      </c>
      <c r="P820" s="23" t="n">
        <v>0</v>
      </c>
      <c r="Q820" s="23" t="n">
        <f>MIN(O820,P820)</f>
        <v>0</v>
      </c>
      <c r="R820" s="25" t="n">
        <f>IF(M820=0,0,MIN(1,L820/M820))</f>
        <v>1</v>
      </c>
      <c r="S820" s="23" t="n">
        <f>O820*R820</f>
        <v>8</v>
      </c>
      <c r="T820" s="23" t="n">
        <f>MIN(P820,S820)</f>
        <v>0</v>
      </c>
      <c r="U820" s="23" t="n">
        <f>O820-S820</f>
        <v>0</v>
      </c>
      <c r="V820" s="23" t="n">
        <f>MAX(P820-O820,0)</f>
        <v>0</v>
      </c>
    </row>
    <row r="821">
      <c r="A821" s="19" t="str">
        <v>波兰区</v>
      </c>
      <c r="B821" s="19" t="str">
        <v>弗罗茨瓦夫3号仓(SN)</v>
      </c>
      <c r="C821" s="19" t="str">
        <v>C班组</v>
      </c>
      <c r="D821" s="21" t="n">
        <v>46175</v>
      </c>
      <c r="E821" s="19" t="str">
        <v>2026-06</v>
      </c>
      <c r="F821" s="19" t="str">
        <v>操作员</v>
      </c>
      <c r="G821" s="19" t="str">
        <v>10.5小时-早班-休息不计费-含加班-Rano（06:00~16:45）</v>
      </c>
      <c r="H821" s="19" t="str">
        <v>S000249</v>
      </c>
      <c r="I821" s="19" t="str">
        <v>Gremi 2024.07</v>
      </c>
      <c r="J821" s="23" t="n">
        <v>50</v>
      </c>
      <c r="K821" s="23" t="n">
        <v>0</v>
      </c>
      <c r="L821" s="23" t="n">
        <f>J821+K821</f>
        <v>50</v>
      </c>
      <c r="M821" s="23" t="n">
        <v>25</v>
      </c>
      <c r="N821" s="23" t="n">
        <v>8</v>
      </c>
      <c r="O821" s="23" t="n">
        <v>15</v>
      </c>
      <c r="P821" s="23" t="n">
        <v>6</v>
      </c>
      <c r="Q821" s="23" t="n">
        <f>MIN(O821,P821)</f>
        <v>6</v>
      </c>
      <c r="R821" s="25" t="n">
        <f>IF(M821=0,0,MIN(1,L821/M821))</f>
        <v>1</v>
      </c>
      <c r="S821" s="23" t="n">
        <f>O821*R821</f>
        <v>15</v>
      </c>
      <c r="T821" s="23" t="n">
        <f>MIN(P821,S821)</f>
        <v>6</v>
      </c>
      <c r="U821" s="23" t="n">
        <f>O821-S821</f>
        <v>0</v>
      </c>
      <c r="V821" s="23" t="n">
        <f>MAX(P821-O821,0)</f>
        <v>0</v>
      </c>
    </row>
    <row r="822">
      <c r="A822" s="19" t="str">
        <v>波兰区</v>
      </c>
      <c r="B822" s="19" t="str">
        <v>弗罗茨瓦夫3号仓(SN)</v>
      </c>
      <c r="C822" s="19" t="str">
        <v>C班组</v>
      </c>
      <c r="D822" s="21" t="n">
        <v>46175</v>
      </c>
      <c r="E822" s="19" t="str">
        <v>2026-06</v>
      </c>
      <c r="F822" s="19" t="str">
        <v>操作员</v>
      </c>
      <c r="G822" s="19" t="str">
        <v>10.5小时-早班-休息不计费-含加班-Rano（06:00~16:45）</v>
      </c>
      <c r="H822" s="19" t="str">
        <v>S000297</v>
      </c>
      <c r="I822" s="19" t="str">
        <v>Eurojob-West</v>
      </c>
      <c r="J822" s="23" t="n">
        <v>50</v>
      </c>
      <c r="K822" s="23" t="n">
        <v>0</v>
      </c>
      <c r="L822" s="23" t="n">
        <f>J822+K822</f>
        <v>50</v>
      </c>
      <c r="M822" s="23" t="n">
        <v>25</v>
      </c>
      <c r="N822" s="23" t="n">
        <v>8</v>
      </c>
      <c r="O822" s="23" t="n">
        <v>2</v>
      </c>
      <c r="P822" s="23" t="n">
        <v>2</v>
      </c>
      <c r="Q822" s="23" t="n">
        <f>MIN(O822,P822)</f>
        <v>2</v>
      </c>
      <c r="R822" s="25" t="n">
        <f>IF(M822=0,0,MIN(1,L822/M822))</f>
        <v>1</v>
      </c>
      <c r="S822" s="23" t="n">
        <f>O822*R822</f>
        <v>2</v>
      </c>
      <c r="T822" s="23" t="n">
        <f>MIN(P822,S822)</f>
        <v>2</v>
      </c>
      <c r="U822" s="23" t="n">
        <f>O822-S822</f>
        <v>0</v>
      </c>
      <c r="V822" s="23" t="n">
        <f>MAX(P822-O822,0)</f>
        <v>0</v>
      </c>
    </row>
    <row r="823">
      <c r="A823" s="19" t="str">
        <v>波兰区</v>
      </c>
      <c r="B823" s="19" t="str">
        <v>弗罗茨瓦夫3号仓(SN)</v>
      </c>
      <c r="C823" s="19" t="str">
        <v>C班组</v>
      </c>
      <c r="D823" s="21" t="n">
        <v>46183</v>
      </c>
      <c r="E823" s="19" t="str">
        <v>2026-06</v>
      </c>
      <c r="F823" s="19" t="str">
        <v>操作员</v>
      </c>
      <c r="G823" s="19" t="str">
        <v>10.5小时-早班-休息不计费-含加班-Rano（06:00~16:45）</v>
      </c>
      <c r="H823" s="19" t="str">
        <v>S000207</v>
      </c>
      <c r="I823" s="19" t="str">
        <v>Niden Service Sp. z o.o.</v>
      </c>
      <c r="J823" s="23" t="n">
        <v>70</v>
      </c>
      <c r="K823" s="23" t="n">
        <v>0</v>
      </c>
      <c r="L823" s="23" t="n">
        <f>J823+K823</f>
        <v>70</v>
      </c>
      <c r="M823" s="23" t="n">
        <v>88</v>
      </c>
      <c r="N823" s="23" t="n">
        <v>34</v>
      </c>
      <c r="O823" s="23" t="n">
        <v>10</v>
      </c>
      <c r="P823" s="23" t="n">
        <v>7</v>
      </c>
      <c r="Q823" s="23" t="n">
        <f>MIN(O823,P823)</f>
        <v>7</v>
      </c>
      <c r="R823" s="25" t="n">
        <f>IF(M823=0,0,MIN(1,L823/M823))</f>
        <v>0.7954545454545454</v>
      </c>
      <c r="S823" s="23" t="n">
        <f>O823*R823</f>
        <v>7.954545454545454</v>
      </c>
      <c r="T823" s="23" t="n">
        <f>MIN(P823,S823)</f>
        <v>7</v>
      </c>
      <c r="U823" s="23" t="n">
        <f>O823-S823</f>
        <v>2.045454545454546</v>
      </c>
      <c r="V823" s="23" t="n">
        <f>MAX(P823-O823,0)</f>
        <v>0</v>
      </c>
    </row>
    <row r="824">
      <c r="A824" s="19" t="str">
        <v>波兰区</v>
      </c>
      <c r="B824" s="19" t="str">
        <v>弗罗茨瓦夫3号仓(SN)</v>
      </c>
      <c r="C824" s="19" t="str">
        <v>C班组</v>
      </c>
      <c r="D824" s="21" t="n">
        <v>46183</v>
      </c>
      <c r="E824" s="19" t="str">
        <v>2026-06</v>
      </c>
      <c r="F824" s="19" t="str">
        <v>操作员</v>
      </c>
      <c r="G824" s="19" t="str">
        <v>10.5小时-早班-休息不计费-含加班-Rano（06:00~16:45）</v>
      </c>
      <c r="H824" s="19" t="str">
        <v>S000212</v>
      </c>
      <c r="I824" s="19" t="str">
        <v>Dreman Sp. z o.o.</v>
      </c>
      <c r="J824" s="23" t="n">
        <v>70</v>
      </c>
      <c r="K824" s="23" t="n">
        <v>0</v>
      </c>
      <c r="L824" s="23" t="n">
        <f>J824+K824</f>
        <v>70</v>
      </c>
      <c r="M824" s="23" t="n">
        <v>88</v>
      </c>
      <c r="N824" s="23" t="n">
        <v>34</v>
      </c>
      <c r="O824" s="23" t="n">
        <v>10</v>
      </c>
      <c r="P824" s="23" t="n">
        <v>4</v>
      </c>
      <c r="Q824" s="23" t="n">
        <f>MIN(O824,P824)</f>
        <v>4</v>
      </c>
      <c r="R824" s="25" t="n">
        <f>IF(M824=0,0,MIN(1,L824/M824))</f>
        <v>0.7954545454545454</v>
      </c>
      <c r="S824" s="23" t="n">
        <f>O824*R824</f>
        <v>7.954545454545454</v>
      </c>
      <c r="T824" s="23" t="n">
        <f>MIN(P824,S824)</f>
        <v>4</v>
      </c>
      <c r="U824" s="23" t="n">
        <f>O824-S824</f>
        <v>2.045454545454546</v>
      </c>
      <c r="V824" s="23" t="n">
        <f>MAX(P824-O824,0)</f>
        <v>0</v>
      </c>
    </row>
    <row r="825">
      <c r="A825" s="19" t="str">
        <v>波兰区</v>
      </c>
      <c r="B825" s="19" t="str">
        <v>弗罗茨瓦夫3号仓(SN)</v>
      </c>
      <c r="C825" s="19" t="str">
        <v>C班组</v>
      </c>
      <c r="D825" s="21" t="n">
        <v>46183</v>
      </c>
      <c r="E825" s="19" t="str">
        <v>2026-06</v>
      </c>
      <c r="F825" s="19" t="str">
        <v>操作员</v>
      </c>
      <c r="G825" s="19" t="str">
        <v>10.5小时-早班-休息不计费-含加班-Rano（06:00~16:45）</v>
      </c>
      <c r="H825" s="19" t="str">
        <v>S000249</v>
      </c>
      <c r="I825" s="19" t="str">
        <v>Gremi 2024.07</v>
      </c>
      <c r="J825" s="23" t="n">
        <v>70</v>
      </c>
      <c r="K825" s="23" t="n">
        <v>0</v>
      </c>
      <c r="L825" s="23" t="n">
        <f>J825+K825</f>
        <v>70</v>
      </c>
      <c r="M825" s="23" t="n">
        <v>88</v>
      </c>
      <c r="N825" s="23" t="n">
        <v>34</v>
      </c>
      <c r="O825" s="23" t="n">
        <v>15</v>
      </c>
      <c r="P825" s="23" t="n">
        <v>4</v>
      </c>
      <c r="Q825" s="23" t="n">
        <f>MIN(O825,P825)</f>
        <v>4</v>
      </c>
      <c r="R825" s="25" t="n">
        <f>IF(M825=0,0,MIN(1,L825/M825))</f>
        <v>0.7954545454545454</v>
      </c>
      <c r="S825" s="23" t="n">
        <f>O825*R825</f>
        <v>11.931818181818182</v>
      </c>
      <c r="T825" s="23" t="n">
        <f>MIN(P825,S825)</f>
        <v>4</v>
      </c>
      <c r="U825" s="23" t="n">
        <f>O825-S825</f>
        <v>3.0681818181818183</v>
      </c>
      <c r="V825" s="23" t="n">
        <f>MAX(P825-O825,0)</f>
        <v>0</v>
      </c>
    </row>
    <row r="826">
      <c r="A826" s="19" t="str">
        <v>波兰区</v>
      </c>
      <c r="B826" s="19" t="str">
        <v>弗罗茨瓦夫3号仓(SN)</v>
      </c>
      <c r="C826" s="19" t="str">
        <v>C班组</v>
      </c>
      <c r="D826" s="21" t="n">
        <v>46183</v>
      </c>
      <c r="E826" s="19" t="str">
        <v>2026-06</v>
      </c>
      <c r="F826" s="19" t="str">
        <v>操作员</v>
      </c>
      <c r="G826" s="19" t="str">
        <v>10.5小时-早班-休息不计费-含加班-Rano（06:00~16:45）</v>
      </c>
      <c r="H826" s="19" t="str">
        <v>S000286</v>
      </c>
      <c r="I826" s="19" t="str">
        <v>Work-up sp. z o.o. sp. k.</v>
      </c>
      <c r="J826" s="23" t="n">
        <v>70</v>
      </c>
      <c r="K826" s="23" t="n">
        <v>0</v>
      </c>
      <c r="L826" s="23" t="n">
        <f>J826+K826</f>
        <v>70</v>
      </c>
      <c r="M826" s="23" t="n">
        <v>88</v>
      </c>
      <c r="N826" s="23" t="n">
        <v>34</v>
      </c>
      <c r="O826" s="23" t="n">
        <v>35</v>
      </c>
      <c r="P826" s="23" t="n">
        <v>17</v>
      </c>
      <c r="Q826" s="23" t="n">
        <f>MIN(O826,P826)</f>
        <v>17</v>
      </c>
      <c r="R826" s="25" t="n">
        <f>IF(M826=0,0,MIN(1,L826/M826))</f>
        <v>0.7954545454545454</v>
      </c>
      <c r="S826" s="23" t="n">
        <f>O826*R826</f>
        <v>27.84090909090909</v>
      </c>
      <c r="T826" s="23" t="n">
        <f>MIN(P826,S826)</f>
        <v>17</v>
      </c>
      <c r="U826" s="23" t="n">
        <f>O826-S826</f>
        <v>7.15909090909091</v>
      </c>
      <c r="V826" s="23" t="n">
        <f>MAX(P826-O826,0)</f>
        <v>0</v>
      </c>
    </row>
    <row r="827">
      <c r="A827" s="19" t="str">
        <v>波兰区</v>
      </c>
      <c r="B827" s="19" t="str">
        <v>弗罗茨瓦夫3号仓(SN)</v>
      </c>
      <c r="C827" s="19" t="str">
        <v>C班组</v>
      </c>
      <c r="D827" s="21" t="n">
        <v>46183</v>
      </c>
      <c r="E827" s="19" t="str">
        <v>2026-06</v>
      </c>
      <c r="F827" s="19" t="str">
        <v>操作员</v>
      </c>
      <c r="G827" s="19" t="str">
        <v>10.5小时-早班-休息不计费-含加班-Rano（06:00~16:45）</v>
      </c>
      <c r="H827" s="19" t="str">
        <v>S000288</v>
      </c>
      <c r="I827" s="19" t="str">
        <v>Global Solution</v>
      </c>
      <c r="J827" s="23" t="n">
        <v>70</v>
      </c>
      <c r="K827" s="23" t="n">
        <v>0</v>
      </c>
      <c r="L827" s="23" t="n">
        <f>J827+K827</f>
        <v>70</v>
      </c>
      <c r="M827" s="23" t="n">
        <v>88</v>
      </c>
      <c r="N827" s="23" t="n">
        <v>34</v>
      </c>
      <c r="O827" s="23" t="n">
        <v>13</v>
      </c>
      <c r="P827" s="23" t="n">
        <v>0</v>
      </c>
      <c r="Q827" s="23" t="n">
        <f>MIN(O827,P827)</f>
        <v>0</v>
      </c>
      <c r="R827" s="25" t="n">
        <f>IF(M827=0,0,MIN(1,L827/M827))</f>
        <v>0.7954545454545454</v>
      </c>
      <c r="S827" s="23" t="n">
        <f>O827*R827</f>
        <v>10.34090909090909</v>
      </c>
      <c r="T827" s="23" t="n">
        <f>MIN(P827,S827)</f>
        <v>0</v>
      </c>
      <c r="U827" s="23" t="n">
        <f>O827-S827</f>
        <v>2.65909090909091</v>
      </c>
      <c r="V827" s="23" t="n">
        <f>MAX(P827-O827,0)</f>
        <v>0</v>
      </c>
    </row>
    <row r="828">
      <c r="A828" s="19" t="str">
        <v>波兰区</v>
      </c>
      <c r="B828" s="19" t="str">
        <v>弗罗茨瓦夫3号仓(SN)</v>
      </c>
      <c r="C828" s="19" t="str">
        <v>C班组</v>
      </c>
      <c r="D828" s="21" t="n">
        <v>46183</v>
      </c>
      <c r="E828" s="19" t="str">
        <v>2026-06</v>
      </c>
      <c r="F828" s="19" t="str">
        <v>操作员</v>
      </c>
      <c r="G828" s="19" t="str">
        <v>10.5小时-早班-休息不计费-含加班-Rano（06:00~16:45）</v>
      </c>
      <c r="H828" s="19" t="str">
        <v>S000297</v>
      </c>
      <c r="I828" s="19" t="str">
        <v>Eurojob-West</v>
      </c>
      <c r="J828" s="23" t="n">
        <v>70</v>
      </c>
      <c r="K828" s="23" t="n">
        <v>0</v>
      </c>
      <c r="L828" s="23" t="n">
        <f>J828+K828</f>
        <v>70</v>
      </c>
      <c r="M828" s="23" t="n">
        <v>88</v>
      </c>
      <c r="N828" s="23" t="n">
        <v>34</v>
      </c>
      <c r="O828" s="23" t="n">
        <v>5</v>
      </c>
      <c r="P828" s="23" t="n">
        <v>2</v>
      </c>
      <c r="Q828" s="23" t="n">
        <f>MIN(O828,P828)</f>
        <v>2</v>
      </c>
      <c r="R828" s="25" t="n">
        <f>IF(M828=0,0,MIN(1,L828/M828))</f>
        <v>0.7954545454545454</v>
      </c>
      <c r="S828" s="23" t="n">
        <f>O828*R828</f>
        <v>3.977272727272727</v>
      </c>
      <c r="T828" s="23" t="n">
        <f>MIN(P828,S828)</f>
        <v>2</v>
      </c>
      <c r="U828" s="23" t="n">
        <f>O828-S828</f>
        <v>1.022727272727273</v>
      </c>
      <c r="V828" s="23" t="n">
        <f>MAX(P828-O828,0)</f>
        <v>0</v>
      </c>
    </row>
    <row r="829">
      <c r="A829" s="19" t="str">
        <v>波兰区</v>
      </c>
      <c r="B829" s="19" t="str">
        <v>弗罗茨瓦夫3号仓(SN)</v>
      </c>
      <c r="C829" s="19" t="str">
        <v>C班组</v>
      </c>
      <c r="D829" s="21" t="n">
        <v>46184</v>
      </c>
      <c r="E829" s="19" t="str">
        <v>2026-06</v>
      </c>
      <c r="F829" s="19" t="str">
        <v>操作员</v>
      </c>
      <c r="G829" s="19" t="str">
        <v>10.5小时-早班-休息不计费-含加班-Rano（06:00~16:45）</v>
      </c>
      <c r="H829" s="19" t="str">
        <v>S000196</v>
      </c>
      <c r="I829" s="19" t="str">
        <v>Gi Group sp. z o.o.</v>
      </c>
      <c r="J829" s="23" t="n">
        <v>70</v>
      </c>
      <c r="K829" s="23" t="n">
        <v>0</v>
      </c>
      <c r="L829" s="23" t="n">
        <f>J829+K829</f>
        <v>70</v>
      </c>
      <c r="M829" s="23" t="n">
        <v>64</v>
      </c>
      <c r="N829" s="23" t="n">
        <v>10</v>
      </c>
      <c r="O829" s="23" t="n">
        <v>5</v>
      </c>
      <c r="P829" s="23" t="n">
        <v>2</v>
      </c>
      <c r="Q829" s="23" t="n">
        <f>MIN(O829,P829)</f>
        <v>2</v>
      </c>
      <c r="R829" s="25" t="n">
        <f>IF(M829=0,0,MIN(1,L829/M829))</f>
        <v>1</v>
      </c>
      <c r="S829" s="23" t="n">
        <f>O829*R829</f>
        <v>5</v>
      </c>
      <c r="T829" s="23" t="n">
        <f>MIN(P829,S829)</f>
        <v>2</v>
      </c>
      <c r="U829" s="23" t="n">
        <f>O829-S829</f>
        <v>0</v>
      </c>
      <c r="V829" s="23" t="n">
        <f>MAX(P829-O829,0)</f>
        <v>0</v>
      </c>
    </row>
    <row r="830">
      <c r="A830" s="19" t="str">
        <v>波兰区</v>
      </c>
      <c r="B830" s="19" t="str">
        <v>弗罗茨瓦夫3号仓(SN)</v>
      </c>
      <c r="C830" s="19" t="str">
        <v>C班组</v>
      </c>
      <c r="D830" s="21" t="n">
        <v>46184</v>
      </c>
      <c r="E830" s="19" t="str">
        <v>2026-06</v>
      </c>
      <c r="F830" s="19" t="str">
        <v>操作员</v>
      </c>
      <c r="G830" s="19" t="str">
        <v>10.5小时-早班-休息不计费-含加班-Rano（06:00~16:45）</v>
      </c>
      <c r="H830" s="19" t="str">
        <v>S000201</v>
      </c>
      <c r="I830" s="19" t="str">
        <v>ATLAS WORK SPÓŁKA Z OGRANICZONĄ ODPOWIEDZIALNOŚCIĄ</v>
      </c>
      <c r="J830" s="23" t="n">
        <v>70</v>
      </c>
      <c r="K830" s="23" t="n">
        <v>0</v>
      </c>
      <c r="L830" s="23" t="n">
        <f>J830+K830</f>
        <v>70</v>
      </c>
      <c r="M830" s="23" t="n">
        <v>64</v>
      </c>
      <c r="N830" s="23" t="n">
        <v>10</v>
      </c>
      <c r="O830" s="23" t="n">
        <v>25</v>
      </c>
      <c r="P830" s="23" t="n">
        <v>7</v>
      </c>
      <c r="Q830" s="23" t="n">
        <f>MIN(O830,P830)</f>
        <v>7</v>
      </c>
      <c r="R830" s="25" t="n">
        <f>IF(M830=0,0,MIN(1,L830/M830))</f>
        <v>1</v>
      </c>
      <c r="S830" s="23" t="n">
        <f>O830*R830</f>
        <v>25</v>
      </c>
      <c r="T830" s="23" t="n">
        <f>MIN(P830,S830)</f>
        <v>7</v>
      </c>
      <c r="U830" s="23" t="n">
        <f>O830-S830</f>
        <v>0</v>
      </c>
      <c r="V830" s="23" t="n">
        <f>MAX(P830-O830,0)</f>
        <v>0</v>
      </c>
    </row>
    <row r="831">
      <c r="A831" s="19" t="str">
        <v>波兰区</v>
      </c>
      <c r="B831" s="19" t="str">
        <v>弗罗茨瓦夫3号仓(SN)</v>
      </c>
      <c r="C831" s="19" t="str">
        <v>C班组</v>
      </c>
      <c r="D831" s="21" t="n">
        <v>46184</v>
      </c>
      <c r="E831" s="19" t="str">
        <v>2026-06</v>
      </c>
      <c r="F831" s="19" t="str">
        <v>操作员</v>
      </c>
      <c r="G831" s="19" t="str">
        <v>10.5小时-早班-休息不计费-含加班-Rano（06:00~16:45）</v>
      </c>
      <c r="H831" s="19" t="str">
        <v>S000206</v>
      </c>
      <c r="I831" s="19" t="str">
        <v>Zenith Zone Sp. z o.o.</v>
      </c>
      <c r="J831" s="23" t="n">
        <v>70</v>
      </c>
      <c r="K831" s="23" t="n">
        <v>0</v>
      </c>
      <c r="L831" s="23" t="n">
        <f>J831+K831</f>
        <v>70</v>
      </c>
      <c r="M831" s="23" t="n">
        <v>64</v>
      </c>
      <c r="N831" s="23" t="n">
        <v>10</v>
      </c>
      <c r="O831" s="23" t="n">
        <v>5</v>
      </c>
      <c r="P831" s="23" t="n">
        <v>1</v>
      </c>
      <c r="Q831" s="23" t="n">
        <f>MIN(O831,P831)</f>
        <v>1</v>
      </c>
      <c r="R831" s="25" t="n">
        <f>IF(M831=0,0,MIN(1,L831/M831))</f>
        <v>1</v>
      </c>
      <c r="S831" s="23" t="n">
        <f>O831*R831</f>
        <v>5</v>
      </c>
      <c r="T831" s="23" t="n">
        <f>MIN(P831,S831)</f>
        <v>1</v>
      </c>
      <c r="U831" s="23" t="n">
        <f>O831-S831</f>
        <v>0</v>
      </c>
      <c r="V831" s="23" t="n">
        <f>MAX(P831-O831,0)</f>
        <v>0</v>
      </c>
    </row>
    <row r="832">
      <c r="A832" s="19" t="str">
        <v>波兰区</v>
      </c>
      <c r="B832" s="19" t="str">
        <v>弗罗茨瓦夫3号仓(SN)</v>
      </c>
      <c r="C832" s="19" t="str">
        <v>C班组</v>
      </c>
      <c r="D832" s="21" t="n">
        <v>46184</v>
      </c>
      <c r="E832" s="19" t="str">
        <v>2026-06</v>
      </c>
      <c r="F832" s="19" t="str">
        <v>操作员</v>
      </c>
      <c r="G832" s="19" t="str">
        <v>10.5小时-早班-休息不计费-含加班-Rano（06:00~16:45）</v>
      </c>
      <c r="H832" s="19" t="str">
        <v>S000298</v>
      </c>
      <c r="I832" s="19" t="str">
        <v>Tez sp z o.o.</v>
      </c>
      <c r="J832" s="23" t="n">
        <v>70</v>
      </c>
      <c r="K832" s="23" t="n">
        <v>0</v>
      </c>
      <c r="L832" s="23" t="n">
        <f>J832+K832</f>
        <v>70</v>
      </c>
      <c r="M832" s="23" t="n">
        <v>64</v>
      </c>
      <c r="N832" s="23" t="n">
        <v>10</v>
      </c>
      <c r="O832" s="23" t="n">
        <v>25</v>
      </c>
      <c r="P832" s="23" t="n">
        <v>0</v>
      </c>
      <c r="Q832" s="23" t="n">
        <f>MIN(O832,P832)</f>
        <v>0</v>
      </c>
      <c r="R832" s="25" t="n">
        <f>IF(M832=0,0,MIN(1,L832/M832))</f>
        <v>1</v>
      </c>
      <c r="S832" s="23" t="n">
        <f>O832*R832</f>
        <v>25</v>
      </c>
      <c r="T832" s="23" t="n">
        <f>MIN(P832,S832)</f>
        <v>0</v>
      </c>
      <c r="U832" s="23" t="n">
        <f>O832-S832</f>
        <v>0</v>
      </c>
      <c r="V832" s="23" t="n">
        <f>MAX(P832-O832,0)</f>
        <v>0</v>
      </c>
    </row>
    <row r="833">
      <c r="A833" s="19" t="str">
        <v>波兰区</v>
      </c>
      <c r="B833" s="19" t="str">
        <v>弗罗茨瓦夫3号仓(SN)</v>
      </c>
      <c r="C833" s="19" t="str">
        <v>C班组</v>
      </c>
      <c r="D833" s="21" t="n">
        <v>46184</v>
      </c>
      <c r="E833" s="19" t="str">
        <v>2026-06</v>
      </c>
      <c r="F833" s="19" t="str">
        <v>操作员</v>
      </c>
      <c r="G833" s="19" t="str">
        <v>10.5小时-早班-休息不计费-含加班-Rano（06:00~16:45）</v>
      </c>
      <c r="H833" s="19" t="str">
        <v>S000323</v>
      </c>
      <c r="I833" s="19" t="str">
        <v>PWP NIAGARA HREBENIUKOV SPÓŁKA JAWNA</v>
      </c>
      <c r="J833" s="23" t="n">
        <v>70</v>
      </c>
      <c r="K833" s="23" t="n">
        <v>0</v>
      </c>
      <c r="L833" s="23" t="n">
        <f>J833+K833</f>
        <v>70</v>
      </c>
      <c r="M833" s="23" t="n">
        <v>64</v>
      </c>
      <c r="N833" s="23" t="n">
        <v>10</v>
      </c>
      <c r="O833" s="23" t="n">
        <v>4</v>
      </c>
      <c r="P833" s="23" t="n">
        <v>0</v>
      </c>
      <c r="Q833" s="23" t="n">
        <f>MIN(O833,P833)</f>
        <v>0</v>
      </c>
      <c r="R833" s="25" t="n">
        <f>IF(M833=0,0,MIN(1,L833/M833))</f>
        <v>1</v>
      </c>
      <c r="S833" s="23" t="n">
        <f>O833*R833</f>
        <v>4</v>
      </c>
      <c r="T833" s="23" t="n">
        <f>MIN(P833,S833)</f>
        <v>0</v>
      </c>
      <c r="U833" s="23" t="n">
        <f>O833-S833</f>
        <v>0</v>
      </c>
      <c r="V833" s="23" t="n">
        <f>MAX(P833-O833,0)</f>
        <v>0</v>
      </c>
    </row>
    <row r="834">
      <c r="A834" s="19" t="str">
        <v>波兰区</v>
      </c>
      <c r="B834" s="19" t="str">
        <v>弗罗茨瓦夫3号仓(SN)</v>
      </c>
      <c r="C834" s="19" t="str">
        <v>C班组</v>
      </c>
      <c r="D834" s="21" t="n">
        <v>46191</v>
      </c>
      <c r="E834" s="19" t="str">
        <v>2026-06</v>
      </c>
      <c r="F834" s="19" t="str">
        <v>操作员</v>
      </c>
      <c r="G834" s="19" t="str">
        <v>10.5小时-晚班-休息不计费-含加班-NOC（18:00~04:45）</v>
      </c>
      <c r="H834" s="19" t="str">
        <v>S000196</v>
      </c>
      <c r="I834" s="19" t="str">
        <v>Gi Group sp. z o.o.</v>
      </c>
      <c r="J834" s="23" t="n">
        <v>70</v>
      </c>
      <c r="K834" s="23" t="n">
        <v>0</v>
      </c>
      <c r="L834" s="23" t="n">
        <f>J834+K834</f>
        <v>70</v>
      </c>
      <c r="M834" s="23" t="n">
        <v>84</v>
      </c>
      <c r="N834" s="23" t="n">
        <v>17</v>
      </c>
      <c r="O834" s="23" t="n">
        <v>20</v>
      </c>
      <c r="P834" s="23" t="n">
        <v>2</v>
      </c>
      <c r="Q834" s="23" t="n">
        <f>MIN(O834,P834)</f>
        <v>2</v>
      </c>
      <c r="R834" s="25" t="n">
        <f>IF(M834=0,0,MIN(1,L834/M834))</f>
        <v>0.8333333333333334</v>
      </c>
      <c r="S834" s="23" t="n">
        <f>O834*R834</f>
        <v>16.666666666666668</v>
      </c>
      <c r="T834" s="23" t="n">
        <f>MIN(P834,S834)</f>
        <v>2</v>
      </c>
      <c r="U834" s="23" t="n">
        <f>O834-S834</f>
        <v>3.333333333333332</v>
      </c>
      <c r="V834" s="23" t="n">
        <f>MAX(P834-O834,0)</f>
        <v>0</v>
      </c>
    </row>
    <row r="835">
      <c r="A835" s="19" t="str">
        <v>波兰区</v>
      </c>
      <c r="B835" s="19" t="str">
        <v>弗罗茨瓦夫3号仓(SN)</v>
      </c>
      <c r="C835" s="19" t="str">
        <v>C班组</v>
      </c>
      <c r="D835" s="21" t="n">
        <v>46191</v>
      </c>
      <c r="E835" s="19" t="str">
        <v>2026-06</v>
      </c>
      <c r="F835" s="19" t="str">
        <v>操作员</v>
      </c>
      <c r="G835" s="19" t="str">
        <v>10.5小时-晚班-休息不计费-含加班-NOC（18:00~04:45）</v>
      </c>
      <c r="H835" s="19" t="str">
        <v>S000201</v>
      </c>
      <c r="I835" s="19" t="str">
        <v>ATLAS WORK SPÓŁKA Z OGRANICZONĄ ODPOWIEDZIALNOŚCIĄ</v>
      </c>
      <c r="J835" s="23" t="n">
        <v>70</v>
      </c>
      <c r="K835" s="23" t="n">
        <v>0</v>
      </c>
      <c r="L835" s="23" t="n">
        <f>J835+K835</f>
        <v>70</v>
      </c>
      <c r="M835" s="23" t="n">
        <v>84</v>
      </c>
      <c r="N835" s="23" t="n">
        <v>17</v>
      </c>
      <c r="O835" s="23" t="n">
        <v>15</v>
      </c>
      <c r="P835" s="23" t="n">
        <v>0</v>
      </c>
      <c r="Q835" s="23" t="n">
        <f>MIN(O835,P835)</f>
        <v>0</v>
      </c>
      <c r="R835" s="25" t="n">
        <f>IF(M835=0,0,MIN(1,L835/M835))</f>
        <v>0.8333333333333334</v>
      </c>
      <c r="S835" s="23" t="n">
        <f>O835*R835</f>
        <v>12.5</v>
      </c>
      <c r="T835" s="23" t="n">
        <f>MIN(P835,S835)</f>
        <v>0</v>
      </c>
      <c r="U835" s="23" t="n">
        <f>O835-S835</f>
        <v>2.5</v>
      </c>
      <c r="V835" s="23" t="n">
        <f>MAX(P835-O835,0)</f>
        <v>0</v>
      </c>
    </row>
    <row r="836">
      <c r="A836" s="19" t="str">
        <v>波兰区</v>
      </c>
      <c r="B836" s="19" t="str">
        <v>弗罗茨瓦夫3号仓(SN)</v>
      </c>
      <c r="C836" s="19" t="str">
        <v>C班组</v>
      </c>
      <c r="D836" s="21" t="n">
        <v>46191</v>
      </c>
      <c r="E836" s="19" t="str">
        <v>2026-06</v>
      </c>
      <c r="F836" s="19" t="str">
        <v>操作员</v>
      </c>
      <c r="G836" s="19" t="str">
        <v>10.5小时-晚班-休息不计费-含加班-NOC（18:00~04:45）</v>
      </c>
      <c r="H836" s="19" t="str">
        <v>S000207</v>
      </c>
      <c r="I836" s="19" t="str">
        <v>Niden Service Sp. z o.o.</v>
      </c>
      <c r="J836" s="23" t="n">
        <v>70</v>
      </c>
      <c r="K836" s="23" t="n">
        <v>0</v>
      </c>
      <c r="L836" s="23" t="n">
        <f>J836+K836</f>
        <v>70</v>
      </c>
      <c r="M836" s="23" t="n">
        <v>84</v>
      </c>
      <c r="N836" s="23" t="n">
        <v>17</v>
      </c>
      <c r="O836" s="23" t="n">
        <v>15</v>
      </c>
      <c r="P836" s="23" t="n">
        <v>8</v>
      </c>
      <c r="Q836" s="23" t="n">
        <f>MIN(O836,P836)</f>
        <v>8</v>
      </c>
      <c r="R836" s="25" t="n">
        <f>IF(M836=0,0,MIN(1,L836/M836))</f>
        <v>0.8333333333333334</v>
      </c>
      <c r="S836" s="23" t="n">
        <f>O836*R836</f>
        <v>12.5</v>
      </c>
      <c r="T836" s="23" t="n">
        <f>MIN(P836,S836)</f>
        <v>8</v>
      </c>
      <c r="U836" s="23" t="n">
        <f>O836-S836</f>
        <v>2.5</v>
      </c>
      <c r="V836" s="23" t="n">
        <f>MAX(P836-O836,0)</f>
        <v>0</v>
      </c>
    </row>
    <row r="837">
      <c r="A837" s="19" t="str">
        <v>波兰区</v>
      </c>
      <c r="B837" s="19" t="str">
        <v>弗罗茨瓦夫3号仓(SN)</v>
      </c>
      <c r="C837" s="19" t="str">
        <v>C班组</v>
      </c>
      <c r="D837" s="21" t="n">
        <v>46191</v>
      </c>
      <c r="E837" s="19" t="str">
        <v>2026-06</v>
      </c>
      <c r="F837" s="19" t="str">
        <v>操作员</v>
      </c>
      <c r="G837" s="19" t="str">
        <v>10.5小时-晚班-休息不计费-含加班-NOC（18:00~04:45）</v>
      </c>
      <c r="H837" s="19" t="str">
        <v>S000298</v>
      </c>
      <c r="I837" s="19" t="str">
        <v>Tez sp z o.o.</v>
      </c>
      <c r="J837" s="23" t="n">
        <v>70</v>
      </c>
      <c r="K837" s="23" t="n">
        <v>0</v>
      </c>
      <c r="L837" s="23" t="n">
        <f>J837+K837</f>
        <v>70</v>
      </c>
      <c r="M837" s="23" t="n">
        <v>84</v>
      </c>
      <c r="N837" s="23" t="n">
        <v>17</v>
      </c>
      <c r="O837" s="23" t="n">
        <v>25</v>
      </c>
      <c r="P837" s="23" t="n">
        <v>0</v>
      </c>
      <c r="Q837" s="23" t="n">
        <f>MIN(O837,P837)</f>
        <v>0</v>
      </c>
      <c r="R837" s="25" t="n">
        <f>IF(M837=0,0,MIN(1,L837/M837))</f>
        <v>0.8333333333333334</v>
      </c>
      <c r="S837" s="23" t="n">
        <f>O837*R837</f>
        <v>20.833333333333336</v>
      </c>
      <c r="T837" s="23" t="n">
        <f>MIN(P837,S837)</f>
        <v>0</v>
      </c>
      <c r="U837" s="23" t="n">
        <f>O837-S837</f>
        <v>4.166666666666664</v>
      </c>
      <c r="V837" s="23" t="n">
        <f>MAX(P837-O837,0)</f>
        <v>0</v>
      </c>
    </row>
    <row r="838">
      <c r="A838" s="19" t="str">
        <v>波兰区</v>
      </c>
      <c r="B838" s="19" t="str">
        <v>弗罗茨瓦夫3号仓(SN)</v>
      </c>
      <c r="C838" s="19" t="str">
        <v>C班组</v>
      </c>
      <c r="D838" s="21" t="n">
        <v>46191</v>
      </c>
      <c r="E838" s="19" t="str">
        <v>2026-06</v>
      </c>
      <c r="F838" s="19" t="str">
        <v>操作员</v>
      </c>
      <c r="G838" s="19" t="str">
        <v>10.5小时-晚班-休息不计费-含加班-NOC（18:00~04:45）</v>
      </c>
      <c r="H838" s="19" t="str">
        <v>S000323</v>
      </c>
      <c r="I838" s="19" t="str">
        <v>PWP NIAGARA HREBENIUKOV SPÓŁKA JAWNA</v>
      </c>
      <c r="J838" s="23" t="n">
        <v>70</v>
      </c>
      <c r="K838" s="23" t="n">
        <v>0</v>
      </c>
      <c r="L838" s="23" t="n">
        <f>J838+K838</f>
        <v>70</v>
      </c>
      <c r="M838" s="23" t="n">
        <v>84</v>
      </c>
      <c r="N838" s="23" t="n">
        <v>17</v>
      </c>
      <c r="O838" s="23" t="n">
        <v>9</v>
      </c>
      <c r="P838" s="23" t="n">
        <v>7</v>
      </c>
      <c r="Q838" s="23" t="n">
        <f>MIN(O838,P838)</f>
        <v>7</v>
      </c>
      <c r="R838" s="25" t="n">
        <f>IF(M838=0,0,MIN(1,L838/M838))</f>
        <v>0.8333333333333334</v>
      </c>
      <c r="S838" s="23" t="n">
        <f>O838*R838</f>
        <v>7.5</v>
      </c>
      <c r="T838" s="23" t="n">
        <f>MIN(P838,S838)</f>
        <v>7</v>
      </c>
      <c r="U838" s="23" t="n">
        <f>O838-S838</f>
        <v>1.5</v>
      </c>
      <c r="V838" s="23" t="n">
        <f>MAX(P838-O838,0)</f>
        <v>0</v>
      </c>
    </row>
    <row r="839">
      <c r="A839" s="19" t="str">
        <v>波兰区</v>
      </c>
      <c r="B839" s="19" t="str">
        <v>弗罗茨瓦夫3号仓(SN)</v>
      </c>
      <c r="C839" s="19" t="str">
        <v>C班组</v>
      </c>
      <c r="D839" s="21" t="n">
        <v>46198</v>
      </c>
      <c r="E839" s="19" t="str">
        <v>2026-06</v>
      </c>
      <c r="F839" s="19" t="str">
        <v>操作员</v>
      </c>
      <c r="G839" s="19" t="str">
        <v>10.5小时-早班-休息不计费-含加班-Rano（06:00~16:45）</v>
      </c>
      <c r="H839" s="19" t="str">
        <v>S000196</v>
      </c>
      <c r="I839" s="19" t="str">
        <v>Gi Group sp. z o.o.</v>
      </c>
      <c r="J839" s="23" t="n">
        <v>70</v>
      </c>
      <c r="K839" s="23" t="n">
        <v>0</v>
      </c>
      <c r="L839" s="23" t="n">
        <f>J839+K839</f>
        <v>70</v>
      </c>
      <c r="M839" s="23" t="n">
        <v>55</v>
      </c>
      <c r="N839" s="23" t="n">
        <v>39</v>
      </c>
      <c r="O839" s="23" t="n">
        <v>9</v>
      </c>
      <c r="P839" s="23" t="n">
        <v>1</v>
      </c>
      <c r="Q839" s="23" t="n">
        <f>MIN(O839,P839)</f>
        <v>1</v>
      </c>
      <c r="R839" s="25" t="n">
        <f>IF(M839=0,0,MIN(1,L839/M839))</f>
        <v>1</v>
      </c>
      <c r="S839" s="23" t="n">
        <f>O839*R839</f>
        <v>9</v>
      </c>
      <c r="T839" s="23" t="n">
        <f>MIN(P839,S839)</f>
        <v>1</v>
      </c>
      <c r="U839" s="23" t="n">
        <f>O839-S839</f>
        <v>0</v>
      </c>
      <c r="V839" s="23" t="n">
        <f>MAX(P839-O839,0)</f>
        <v>0</v>
      </c>
    </row>
    <row r="840">
      <c r="A840" s="19" t="str">
        <v>波兰区</v>
      </c>
      <c r="B840" s="19" t="str">
        <v>弗罗茨瓦夫3号仓(SN)</v>
      </c>
      <c r="C840" s="19" t="str">
        <v>C班组</v>
      </c>
      <c r="D840" s="21" t="n">
        <v>46198</v>
      </c>
      <c r="E840" s="19" t="str">
        <v>2026-06</v>
      </c>
      <c r="F840" s="19" t="str">
        <v>操作员</v>
      </c>
      <c r="G840" s="19" t="str">
        <v>10.5小时-早班-休息不计费-含加班-Rano（06:00~16:45）</v>
      </c>
      <c r="H840" s="19" t="str">
        <v>S000201</v>
      </c>
      <c r="I840" s="19" t="str">
        <v>ATLAS WORK SPÓŁKA Z OGRANICZONĄ ODPOWIEDZIALNOŚCIĄ</v>
      </c>
      <c r="J840" s="23" t="n">
        <v>70</v>
      </c>
      <c r="K840" s="23" t="n">
        <v>0</v>
      </c>
      <c r="L840" s="23" t="n">
        <f>J840+K840</f>
        <v>70</v>
      </c>
      <c r="M840" s="23" t="n">
        <v>55</v>
      </c>
      <c r="N840" s="23" t="n">
        <v>39</v>
      </c>
      <c r="O840" s="23" t="n">
        <v>17</v>
      </c>
      <c r="P840" s="23" t="n">
        <v>17</v>
      </c>
      <c r="Q840" s="23" t="n">
        <f>MIN(O840,P840)</f>
        <v>17</v>
      </c>
      <c r="R840" s="25" t="n">
        <f>IF(M840=0,0,MIN(1,L840/M840))</f>
        <v>1</v>
      </c>
      <c r="S840" s="23" t="n">
        <f>O840*R840</f>
        <v>17</v>
      </c>
      <c r="T840" s="23" t="n">
        <f>MIN(P840,S840)</f>
        <v>17</v>
      </c>
      <c r="U840" s="23" t="n">
        <f>O840-S840</f>
        <v>0</v>
      </c>
      <c r="V840" s="23" t="n">
        <f>MAX(P840-O840,0)</f>
        <v>0</v>
      </c>
    </row>
    <row r="841">
      <c r="A841" s="19" t="str">
        <v>波兰区</v>
      </c>
      <c r="B841" s="19" t="str">
        <v>弗罗茨瓦夫3号仓(SN)</v>
      </c>
      <c r="C841" s="19" t="str">
        <v>C班组</v>
      </c>
      <c r="D841" s="21" t="n">
        <v>46198</v>
      </c>
      <c r="E841" s="19" t="str">
        <v>2026-06</v>
      </c>
      <c r="F841" s="19" t="str">
        <v>操作员</v>
      </c>
      <c r="G841" s="19" t="str">
        <v>10.5小时-早班-休息不计费-含加班-Rano（06:00~16:45）</v>
      </c>
      <c r="H841" s="19" t="str">
        <v>S000249</v>
      </c>
      <c r="I841" s="19" t="str">
        <v>Gremi 2024.07</v>
      </c>
      <c r="J841" s="23" t="n">
        <v>70</v>
      </c>
      <c r="K841" s="23" t="n">
        <v>0</v>
      </c>
      <c r="L841" s="23" t="n">
        <f>J841+K841</f>
        <v>70</v>
      </c>
      <c r="M841" s="23" t="n">
        <v>55</v>
      </c>
      <c r="N841" s="23" t="n">
        <v>39</v>
      </c>
      <c r="O841" s="23" t="n">
        <v>7</v>
      </c>
      <c r="P841" s="23" t="n">
        <v>1</v>
      </c>
      <c r="Q841" s="23" t="n">
        <f>MIN(O841,P841)</f>
        <v>1</v>
      </c>
      <c r="R841" s="25" t="n">
        <f>IF(M841=0,0,MIN(1,L841/M841))</f>
        <v>1</v>
      </c>
      <c r="S841" s="23" t="n">
        <f>O841*R841</f>
        <v>7</v>
      </c>
      <c r="T841" s="23" t="n">
        <f>MIN(P841,S841)</f>
        <v>1</v>
      </c>
      <c r="U841" s="23" t="n">
        <f>O841-S841</f>
        <v>0</v>
      </c>
      <c r="V841" s="23" t="n">
        <f>MAX(P841-O841,0)</f>
        <v>0</v>
      </c>
    </row>
    <row r="842">
      <c r="A842" s="19" t="str">
        <v>波兰区</v>
      </c>
      <c r="B842" s="19" t="str">
        <v>弗罗茨瓦夫3号仓(SN)</v>
      </c>
      <c r="C842" s="19" t="str">
        <v>C班组</v>
      </c>
      <c r="D842" s="21" t="n">
        <v>46198</v>
      </c>
      <c r="E842" s="19" t="str">
        <v>2026-06</v>
      </c>
      <c r="F842" s="19" t="str">
        <v>操作员</v>
      </c>
      <c r="G842" s="19" t="str">
        <v>10.5小时-早班-休息不计费-含加班-Rano（06:00~16:45）</v>
      </c>
      <c r="H842" s="19" t="str">
        <v>S000342</v>
      </c>
      <c r="I842" s="19" t="str">
        <v>VIKTORIA SOLUTION</v>
      </c>
      <c r="J842" s="23" t="n">
        <v>70</v>
      </c>
      <c r="K842" s="23" t="n">
        <v>0</v>
      </c>
      <c r="L842" s="23" t="n">
        <f>J842+K842</f>
        <v>70</v>
      </c>
      <c r="M842" s="23" t="n">
        <v>55</v>
      </c>
      <c r="N842" s="23" t="n">
        <v>39</v>
      </c>
      <c r="O842" s="23" t="n">
        <v>22</v>
      </c>
      <c r="P842" s="23" t="n">
        <v>20</v>
      </c>
      <c r="Q842" s="23" t="n">
        <f>MIN(O842,P842)</f>
        <v>20</v>
      </c>
      <c r="R842" s="25" t="n">
        <f>IF(M842=0,0,MIN(1,L842/M842))</f>
        <v>1</v>
      </c>
      <c r="S842" s="23" t="n">
        <f>O842*R842</f>
        <v>22</v>
      </c>
      <c r="T842" s="23" t="n">
        <f>MIN(P842,S842)</f>
        <v>20</v>
      </c>
      <c r="U842" s="23" t="n">
        <f>O842-S842</f>
        <v>0</v>
      </c>
      <c r="V842" s="23" t="n">
        <f>MAX(P842-O842,0)</f>
        <v>0</v>
      </c>
    </row>
    <row r="843">
      <c r="A843" s="19" t="str">
        <v>波兰区</v>
      </c>
      <c r="B843" s="19" t="str">
        <v>弗罗茨瓦夫3号仓(SN)</v>
      </c>
      <c r="C843" s="19" t="str">
        <v>C班组</v>
      </c>
      <c r="D843" s="21" t="n">
        <v>46203</v>
      </c>
      <c r="E843" s="19" t="str">
        <v>2026-06</v>
      </c>
      <c r="F843" s="19" t="str">
        <v>操作员</v>
      </c>
      <c r="G843" s="19" t="str">
        <v>10.5小时-晚班-休息不计费-含加班-NOC（18:00~04:45）</v>
      </c>
      <c r="H843" s="19" t="str">
        <v>S000206</v>
      </c>
      <c r="I843" s="19" t="str">
        <v>Zenith Zone Sp. z o.o.</v>
      </c>
      <c r="J843" s="23" t="n">
        <v>70</v>
      </c>
      <c r="K843" s="23" t="n">
        <v>0</v>
      </c>
      <c r="L843" s="23" t="n">
        <f>J843+K843</f>
        <v>70</v>
      </c>
      <c r="M843" s="23" t="n">
        <v>20</v>
      </c>
      <c r="N843" s="23" t="n">
        <v>4</v>
      </c>
      <c r="O843" s="23" t="n">
        <v>20</v>
      </c>
      <c r="P843" s="23" t="n">
        <v>4</v>
      </c>
      <c r="Q843" s="23" t="n">
        <f>MIN(O843,P843)</f>
        <v>4</v>
      </c>
      <c r="R843" s="25" t="n">
        <f>IF(M843=0,0,MIN(1,L843/M843))</f>
        <v>1</v>
      </c>
      <c r="S843" s="23" t="n">
        <f>O843*R843</f>
        <v>20</v>
      </c>
      <c r="T843" s="23" t="n">
        <f>MIN(P843,S843)</f>
        <v>4</v>
      </c>
      <c r="U843" s="23" t="n">
        <f>O843-S843</f>
        <v>0</v>
      </c>
      <c r="V843" s="23" t="n">
        <f>MAX(P843-O843,0)</f>
        <v>0</v>
      </c>
    </row>
    <row r="844">
      <c r="A844" s="19" t="str">
        <v>波兰区</v>
      </c>
      <c r="B844" s="19" t="str">
        <v>弗罗茨瓦夫5号仓(TEMU)</v>
      </c>
      <c r="C844" s="19" t="str">
        <v>A班组</v>
      </c>
      <c r="D844" s="21" t="n">
        <v>46161</v>
      </c>
      <c r="E844" s="19" t="str">
        <v>2026-05</v>
      </c>
      <c r="F844" s="19" t="str">
        <v>操作员</v>
      </c>
      <c r="G844" s="19" t="str">
        <v>10.5小时-早班-休息不计费-含加班-Rano（06:00~16:45）</v>
      </c>
      <c r="H844" s="19" t="str">
        <v>S000206</v>
      </c>
      <c r="I844" s="19" t="str">
        <v>Zenith Zone Sp. z o.o.</v>
      </c>
      <c r="J844" s="23" t="n">
        <v>0</v>
      </c>
      <c r="K844" s="23" t="n">
        <v>0</v>
      </c>
      <c r="L844" s="23" t="n">
        <f>J844+K844</f>
        <v>0</v>
      </c>
      <c r="M844" s="23" t="n">
        <v>35</v>
      </c>
      <c r="N844" s="23" t="n">
        <v>0</v>
      </c>
      <c r="O844" s="23" t="n">
        <v>10</v>
      </c>
      <c r="P844" s="23" t="n">
        <v>0</v>
      </c>
      <c r="Q844" s="23" t="n">
        <f>MIN(O844,P844)</f>
        <v>0</v>
      </c>
      <c r="R844" s="25" t="n">
        <f>IF(M844=0,0,MIN(1,L844/M844))</f>
        <v>0</v>
      </c>
      <c r="S844" s="23" t="n">
        <f>O844*R844</f>
        <v>0</v>
      </c>
      <c r="T844" s="23" t="n">
        <f>MIN(P844,S844)</f>
        <v>0</v>
      </c>
      <c r="U844" s="23" t="n">
        <f>O844-S844</f>
        <v>10</v>
      </c>
      <c r="V844" s="23" t="n">
        <f>MAX(P844-O844,0)</f>
        <v>0</v>
      </c>
    </row>
    <row r="845">
      <c r="A845" s="19" t="str">
        <v>波兰区</v>
      </c>
      <c r="B845" s="19" t="str">
        <v>弗罗茨瓦夫5号仓(TEMU)</v>
      </c>
      <c r="C845" s="19" t="str">
        <v>A班组</v>
      </c>
      <c r="D845" s="21" t="n">
        <v>46161</v>
      </c>
      <c r="E845" s="19" t="str">
        <v>2026-05</v>
      </c>
      <c r="F845" s="19" t="str">
        <v>操作员</v>
      </c>
      <c r="G845" s="19" t="str">
        <v>10.5小时-早班-休息不计费-含加班-Rano（06:00~16:45）</v>
      </c>
      <c r="H845" s="19" t="str">
        <v>S000298</v>
      </c>
      <c r="I845" s="19" t="str">
        <v>Tez sp z o.o.</v>
      </c>
      <c r="J845" s="23" t="n">
        <v>0</v>
      </c>
      <c r="K845" s="23" t="n">
        <v>0</v>
      </c>
      <c r="L845" s="23" t="n">
        <f>J845+K845</f>
        <v>0</v>
      </c>
      <c r="M845" s="23" t="n">
        <v>35</v>
      </c>
      <c r="N845" s="23" t="n">
        <v>0</v>
      </c>
      <c r="O845" s="23" t="n">
        <v>25</v>
      </c>
      <c r="P845" s="23" t="n">
        <v>0</v>
      </c>
      <c r="Q845" s="23" t="n">
        <f>MIN(O845,P845)</f>
        <v>0</v>
      </c>
      <c r="R845" s="25" t="n">
        <f>IF(M845=0,0,MIN(1,L845/M845))</f>
        <v>0</v>
      </c>
      <c r="S845" s="23" t="n">
        <f>O845*R845</f>
        <v>0</v>
      </c>
      <c r="T845" s="23" t="n">
        <f>MIN(P845,S845)</f>
        <v>0</v>
      </c>
      <c r="U845" s="23" t="n">
        <f>O845-S845</f>
        <v>25</v>
      </c>
      <c r="V845" s="23" t="n">
        <f>MAX(P845-O845,0)</f>
        <v>0</v>
      </c>
    </row>
    <row r="846">
      <c r="A846" s="19" t="str">
        <v>波兰区</v>
      </c>
      <c r="B846" s="19" t="str">
        <v>弗罗茨瓦夫5号仓(TEMU)</v>
      </c>
      <c r="C846" s="19" t="str">
        <v>A班组</v>
      </c>
      <c r="D846" s="21" t="n">
        <v>46168</v>
      </c>
      <c r="E846" s="19" t="str">
        <v>2026-05</v>
      </c>
      <c r="F846" s="19" t="str">
        <v>操作员</v>
      </c>
      <c r="G846" s="19" t="str">
        <v>10.5小时-早班-休息不计费-含加班-Rano（06:00~16:45）</v>
      </c>
      <c r="H846" s="19" t="str">
        <v>S000206</v>
      </c>
      <c r="I846" s="19" t="str">
        <v>Zenith Zone Sp. z o.o.</v>
      </c>
      <c r="J846" s="23" t="n">
        <v>30</v>
      </c>
      <c r="K846" s="23" t="n">
        <v>0</v>
      </c>
      <c r="L846" s="23" t="n">
        <f>J846+K846</f>
        <v>30</v>
      </c>
      <c r="M846" s="23" t="n">
        <v>10</v>
      </c>
      <c r="N846" s="23" t="n">
        <v>5</v>
      </c>
      <c r="O846" s="23" t="n">
        <v>5</v>
      </c>
      <c r="P846" s="23" t="n">
        <v>5</v>
      </c>
      <c r="Q846" s="23" t="n">
        <f>MIN(O846,P846)</f>
        <v>5</v>
      </c>
      <c r="R846" s="25" t="n">
        <f>IF(M846=0,0,MIN(1,L846/M846))</f>
        <v>1</v>
      </c>
      <c r="S846" s="23" t="n">
        <f>O846*R846</f>
        <v>5</v>
      </c>
      <c r="T846" s="23" t="n">
        <f>MIN(P846,S846)</f>
        <v>5</v>
      </c>
      <c r="U846" s="23" t="n">
        <f>O846-S846</f>
        <v>0</v>
      </c>
      <c r="V846" s="23" t="n">
        <f>MAX(P846-O846,0)</f>
        <v>0</v>
      </c>
    </row>
    <row r="847">
      <c r="A847" s="19" t="str">
        <v>波兰区</v>
      </c>
      <c r="B847" s="19" t="str">
        <v>弗罗茨瓦夫5号仓(TEMU)</v>
      </c>
      <c r="C847" s="19" t="str">
        <v>A班组</v>
      </c>
      <c r="D847" s="21" t="n">
        <v>46168</v>
      </c>
      <c r="E847" s="19" t="str">
        <v>2026-05</v>
      </c>
      <c r="F847" s="19" t="str">
        <v>操作员</v>
      </c>
      <c r="G847" s="19" t="str">
        <v>10.5小时-早班-休息不计费-含加班-Rano（06:00~16:45）</v>
      </c>
      <c r="H847" s="19" t="str">
        <v>S000298</v>
      </c>
      <c r="I847" s="19" t="str">
        <v>Tez sp z o.o.</v>
      </c>
      <c r="J847" s="23" t="n">
        <v>30</v>
      </c>
      <c r="K847" s="23" t="n">
        <v>0</v>
      </c>
      <c r="L847" s="23" t="n">
        <f>J847+K847</f>
        <v>30</v>
      </c>
      <c r="M847" s="23" t="n">
        <v>10</v>
      </c>
      <c r="N847" s="23" t="n">
        <v>5</v>
      </c>
      <c r="O847" s="23" t="n">
        <v>5</v>
      </c>
      <c r="P847" s="23" t="n">
        <v>0</v>
      </c>
      <c r="Q847" s="23" t="n">
        <f>MIN(O847,P847)</f>
        <v>0</v>
      </c>
      <c r="R847" s="25" t="n">
        <f>IF(M847=0,0,MIN(1,L847/M847))</f>
        <v>1</v>
      </c>
      <c r="S847" s="23" t="n">
        <f>O847*R847</f>
        <v>5</v>
      </c>
      <c r="T847" s="23" t="n">
        <f>MIN(P847,S847)</f>
        <v>0</v>
      </c>
      <c r="U847" s="23" t="n">
        <f>O847-S847</f>
        <v>0</v>
      </c>
      <c r="V847" s="23" t="n">
        <f>MAX(P847-O847,0)</f>
        <v>0</v>
      </c>
    </row>
    <row r="848">
      <c r="A848" s="19" t="str">
        <v>波兰区</v>
      </c>
      <c r="B848" s="19" t="str">
        <v>弗罗茨瓦夫5号仓(TEMU)</v>
      </c>
      <c r="C848" s="19" t="str">
        <v>B班组</v>
      </c>
      <c r="D848" s="21" t="n">
        <v>46154</v>
      </c>
      <c r="E848" s="19" t="str">
        <v>2026-05</v>
      </c>
      <c r="F848" s="19" t="str">
        <v>操作员</v>
      </c>
      <c r="G848" s="19" t="str">
        <v>10.5小时-早班-休息不计费-含加班-Rano（06:00~16:45）</v>
      </c>
      <c r="H848" s="19" t="str">
        <v>S000206</v>
      </c>
      <c r="I848" s="19" t="str">
        <v>Zenith Zone Sp. z o.o.</v>
      </c>
      <c r="J848" s="23" t="n">
        <v>37</v>
      </c>
      <c r="K848" s="23" t="n">
        <v>0</v>
      </c>
      <c r="L848" s="23" t="n">
        <f>J848+K848</f>
        <v>37</v>
      </c>
      <c r="M848" s="23" t="n">
        <v>5</v>
      </c>
      <c r="N848" s="23" t="n">
        <v>5</v>
      </c>
      <c r="O848" s="23" t="n">
        <v>5</v>
      </c>
      <c r="P848" s="23" t="n">
        <v>5</v>
      </c>
      <c r="Q848" s="23" t="n">
        <f>MIN(O848,P848)</f>
        <v>5</v>
      </c>
      <c r="R848" s="25" t="n">
        <f>IF(M848=0,0,MIN(1,L848/M848))</f>
        <v>1</v>
      </c>
      <c r="S848" s="23" t="n">
        <f>O848*R848</f>
        <v>5</v>
      </c>
      <c r="T848" s="23" t="n">
        <f>MIN(P848,S848)</f>
        <v>5</v>
      </c>
      <c r="U848" s="23" t="n">
        <f>O848-S848</f>
        <v>0</v>
      </c>
      <c r="V848" s="23" t="n">
        <f>MAX(P848-O848,0)</f>
        <v>0</v>
      </c>
    </row>
    <row r="849">
      <c r="A849" s="19" t="str">
        <v>波兰区</v>
      </c>
      <c r="B849" s="19" t="str">
        <v>弗罗茨瓦夫5号仓(TEMU)</v>
      </c>
      <c r="C849" s="19" t="str">
        <v>B班组</v>
      </c>
      <c r="D849" s="21" t="n">
        <v>46162</v>
      </c>
      <c r="E849" s="19" t="str">
        <v>2026-05</v>
      </c>
      <c r="F849" s="19" t="str">
        <v>操作员</v>
      </c>
      <c r="G849" s="19" t="str">
        <v>10.5小时-早班-休息不计费-含加班-Rano（06:00~16:45）</v>
      </c>
      <c r="H849" s="19" t="str">
        <v>S000206</v>
      </c>
      <c r="I849" s="19" t="str">
        <v>Zenith Zone Sp. z o.o.</v>
      </c>
      <c r="J849" s="23" t="n">
        <v>0</v>
      </c>
      <c r="K849" s="23" t="n">
        <v>0</v>
      </c>
      <c r="L849" s="23" t="n">
        <f>J849+K849</f>
        <v>0</v>
      </c>
      <c r="M849" s="23" t="n">
        <v>35</v>
      </c>
      <c r="N849" s="23" t="n">
        <v>0</v>
      </c>
      <c r="O849" s="23" t="n">
        <v>10</v>
      </c>
      <c r="P849" s="23" t="n">
        <v>0</v>
      </c>
      <c r="Q849" s="23" t="n">
        <f>MIN(O849,P849)</f>
        <v>0</v>
      </c>
      <c r="R849" s="25" t="n">
        <f>IF(M849=0,0,MIN(1,L849/M849))</f>
        <v>0</v>
      </c>
      <c r="S849" s="23" t="n">
        <f>O849*R849</f>
        <v>0</v>
      </c>
      <c r="T849" s="23" t="n">
        <f>MIN(P849,S849)</f>
        <v>0</v>
      </c>
      <c r="U849" s="23" t="n">
        <f>O849-S849</f>
        <v>10</v>
      </c>
      <c r="V849" s="23" t="n">
        <f>MAX(P849-O849,0)</f>
        <v>0</v>
      </c>
    </row>
    <row r="850">
      <c r="A850" s="19" t="str">
        <v>波兰区</v>
      </c>
      <c r="B850" s="19" t="str">
        <v>弗罗茨瓦夫5号仓(TEMU)</v>
      </c>
      <c r="C850" s="19" t="str">
        <v>B班组</v>
      </c>
      <c r="D850" s="21" t="n">
        <v>46162</v>
      </c>
      <c r="E850" s="19" t="str">
        <v>2026-05</v>
      </c>
      <c r="F850" s="19" t="str">
        <v>操作员</v>
      </c>
      <c r="G850" s="19" t="str">
        <v>10.5小时-早班-休息不计费-含加班-Rano（06:00~16:45）</v>
      </c>
      <c r="H850" s="19" t="str">
        <v>S000298</v>
      </c>
      <c r="I850" s="19" t="str">
        <v>Tez sp z o.o.</v>
      </c>
      <c r="J850" s="23" t="n">
        <v>0</v>
      </c>
      <c r="K850" s="23" t="n">
        <v>0</v>
      </c>
      <c r="L850" s="23" t="n">
        <f>J850+K850</f>
        <v>0</v>
      </c>
      <c r="M850" s="23" t="n">
        <v>35</v>
      </c>
      <c r="N850" s="23" t="n">
        <v>0</v>
      </c>
      <c r="O850" s="23" t="n">
        <v>25</v>
      </c>
      <c r="P850" s="23" t="n">
        <v>0</v>
      </c>
      <c r="Q850" s="23" t="n">
        <f>MIN(O850,P850)</f>
        <v>0</v>
      </c>
      <c r="R850" s="25" t="n">
        <f>IF(M850=0,0,MIN(1,L850/M850))</f>
        <v>0</v>
      </c>
      <c r="S850" s="23" t="n">
        <f>O850*R850</f>
        <v>0</v>
      </c>
      <c r="T850" s="23" t="n">
        <f>MIN(P850,S850)</f>
        <v>0</v>
      </c>
      <c r="U850" s="23" t="n">
        <f>O850-S850</f>
        <v>25</v>
      </c>
      <c r="V850" s="23" t="n">
        <f>MAX(P850-O850,0)</f>
        <v>0</v>
      </c>
    </row>
    <row r="851">
      <c r="A851" s="19" t="str">
        <v>波兰区</v>
      </c>
      <c r="B851" s="19" t="str">
        <v>弗罗茨瓦夫5号仓(TEMU)</v>
      </c>
      <c r="C851" s="19" t="str">
        <v>B班组</v>
      </c>
      <c r="D851" s="21" t="n">
        <v>46170</v>
      </c>
      <c r="E851" s="19" t="str">
        <v>2026-05</v>
      </c>
      <c r="F851" s="19" t="str">
        <v>操作员</v>
      </c>
      <c r="G851" s="19" t="str">
        <v>10.5小时-早班-休息不计费-含加班-Rano（06:00~16:45）</v>
      </c>
      <c r="H851" s="19" t="str">
        <v>S000298</v>
      </c>
      <c r="I851" s="19" t="str">
        <v>Tez sp z o.o.</v>
      </c>
      <c r="J851" s="23" t="n">
        <v>53</v>
      </c>
      <c r="K851" s="23" t="n">
        <v>0</v>
      </c>
      <c r="L851" s="23" t="n">
        <f>J851+K851</f>
        <v>53</v>
      </c>
      <c r="M851" s="23" t="n">
        <v>23</v>
      </c>
      <c r="N851" s="23" t="n">
        <v>0</v>
      </c>
      <c r="O851" s="23" t="n">
        <v>23</v>
      </c>
      <c r="P851" s="23" t="n">
        <v>0</v>
      </c>
      <c r="Q851" s="23" t="n">
        <f>MIN(O851,P851)</f>
        <v>0</v>
      </c>
      <c r="R851" s="25" t="n">
        <f>IF(M851=0,0,MIN(1,L851/M851))</f>
        <v>1</v>
      </c>
      <c r="S851" s="23" t="n">
        <f>O851*R851</f>
        <v>23</v>
      </c>
      <c r="T851" s="23" t="n">
        <f>MIN(P851,S851)</f>
        <v>0</v>
      </c>
      <c r="U851" s="23" t="n">
        <f>O851-S851</f>
        <v>0</v>
      </c>
      <c r="V851" s="23" t="n">
        <f>MAX(P851-O851,0)</f>
        <v>0</v>
      </c>
    </row>
    <row r="852">
      <c r="A852" s="19" t="str">
        <v>英国区</v>
      </c>
      <c r="B852" s="19" t="str">
        <v>伯明翰15号仓</v>
      </c>
      <c r="C852" s="19" t="str">
        <v>入库组</v>
      </c>
      <c r="D852" s="21" t="n">
        <v>46113</v>
      </c>
      <c r="E852" s="19" t="str">
        <v>2026-04</v>
      </c>
      <c r="F852" s="19" t="str">
        <v>操作员</v>
      </c>
      <c r="G852" s="19" t="str">
        <v>英国区09:00-17:30 / UK 09:00-17:30</v>
      </c>
      <c r="H852" s="19" t="str">
        <v>S000132</v>
      </c>
      <c r="I852" s="19" t="str">
        <v>HRA Recruitment Services</v>
      </c>
      <c r="J852" s="23" t="n">
        <v>2</v>
      </c>
      <c r="K852" s="23" t="n">
        <v>0</v>
      </c>
      <c r="L852" s="23" t="n">
        <f>J852+K852</f>
        <v>2</v>
      </c>
      <c r="M852" s="23" t="n">
        <v>2</v>
      </c>
      <c r="N852" s="23" t="n">
        <v>2</v>
      </c>
      <c r="O852" s="23" t="n">
        <v>1</v>
      </c>
      <c r="P852" s="23" t="n">
        <v>1</v>
      </c>
      <c r="Q852" s="23" t="n">
        <f>MIN(O852,P852)</f>
        <v>1</v>
      </c>
      <c r="R852" s="25" t="n">
        <f>IF(M852=0,0,MIN(1,L852/M852))</f>
        <v>1</v>
      </c>
      <c r="S852" s="23" t="n">
        <f>O852*R852</f>
        <v>1</v>
      </c>
      <c r="T852" s="23" t="n">
        <f>MIN(P852,S852)</f>
        <v>1</v>
      </c>
      <c r="U852" s="23" t="n">
        <f>O852-S852</f>
        <v>0</v>
      </c>
      <c r="V852" s="23" t="n">
        <f>MAX(P852-O852,0)</f>
        <v>0</v>
      </c>
    </row>
    <row r="853">
      <c r="A853" s="19" t="str">
        <v>英国区</v>
      </c>
      <c r="B853" s="19" t="str">
        <v>伯明翰15号仓</v>
      </c>
      <c r="C853" s="19" t="str">
        <v>入库组</v>
      </c>
      <c r="D853" s="21" t="n">
        <v>46113</v>
      </c>
      <c r="E853" s="19" t="str">
        <v>2026-04</v>
      </c>
      <c r="F853" s="19" t="str">
        <v>操作员</v>
      </c>
      <c r="G853" s="19" t="str">
        <v>英国区09:00-17:30 / UK 09:00-17:30</v>
      </c>
      <c r="H853" s="19" t="str">
        <v>S000289</v>
      </c>
      <c r="I853" s="19" t="str">
        <v>Staffzilla Limited</v>
      </c>
      <c r="J853" s="23" t="n">
        <v>2</v>
      </c>
      <c r="K853" s="23" t="n">
        <v>0</v>
      </c>
      <c r="L853" s="23" t="n">
        <f>J853+K853</f>
        <v>2</v>
      </c>
      <c r="M853" s="23" t="n">
        <v>2</v>
      </c>
      <c r="N853" s="23" t="n">
        <v>2</v>
      </c>
      <c r="O853" s="23" t="n">
        <v>1</v>
      </c>
      <c r="P853" s="23" t="n">
        <v>1</v>
      </c>
      <c r="Q853" s="23" t="n">
        <f>MIN(O853,P853)</f>
        <v>1</v>
      </c>
      <c r="R853" s="25" t="n">
        <f>IF(M853=0,0,MIN(1,L853/M853))</f>
        <v>1</v>
      </c>
      <c r="S853" s="23" t="n">
        <f>O853*R853</f>
        <v>1</v>
      </c>
      <c r="T853" s="23" t="n">
        <f>MIN(P853,S853)</f>
        <v>1</v>
      </c>
      <c r="U853" s="23" t="n">
        <f>O853-S853</f>
        <v>0</v>
      </c>
      <c r="V853" s="23" t="n">
        <f>MAX(P853-O853,0)</f>
        <v>0</v>
      </c>
    </row>
    <row r="854">
      <c r="A854" s="19" t="str">
        <v>英国区</v>
      </c>
      <c r="B854" s="19" t="str">
        <v>伯明翰15号仓</v>
      </c>
      <c r="C854" s="19" t="str">
        <v>入库组</v>
      </c>
      <c r="D854" s="21" t="n">
        <v>46113</v>
      </c>
      <c r="E854" s="19" t="str">
        <v>2026-04</v>
      </c>
      <c r="F854" s="19" t="str">
        <v>操作员</v>
      </c>
      <c r="G854" s="19" t="str">
        <v>英国区15:00-00:30 / UK 15:00-00:30</v>
      </c>
      <c r="H854" s="19" t="str">
        <v>S000132</v>
      </c>
      <c r="I854" s="19" t="str">
        <v>HRA Recruitment Services</v>
      </c>
      <c r="J854" s="23" t="n">
        <v>5</v>
      </c>
      <c r="K854" s="23" t="n">
        <v>0</v>
      </c>
      <c r="L854" s="23" t="n">
        <f>J854+K854</f>
        <v>5</v>
      </c>
      <c r="M854" s="23" t="n">
        <v>5</v>
      </c>
      <c r="N854" s="23" t="n">
        <v>5</v>
      </c>
      <c r="O854" s="23" t="n">
        <v>4</v>
      </c>
      <c r="P854" s="23" t="n">
        <v>4</v>
      </c>
      <c r="Q854" s="23" t="n">
        <f>MIN(O854,P854)</f>
        <v>4</v>
      </c>
      <c r="R854" s="25" t="n">
        <f>IF(M854=0,0,MIN(1,L854/M854))</f>
        <v>1</v>
      </c>
      <c r="S854" s="23" t="n">
        <f>O854*R854</f>
        <v>4</v>
      </c>
      <c r="T854" s="23" t="n">
        <f>MIN(P854,S854)</f>
        <v>4</v>
      </c>
      <c r="U854" s="23" t="n">
        <f>O854-S854</f>
        <v>0</v>
      </c>
      <c r="V854" s="23" t="n">
        <f>MAX(P854-O854,0)</f>
        <v>0</v>
      </c>
    </row>
    <row r="855">
      <c r="A855" s="19" t="str">
        <v>英国区</v>
      </c>
      <c r="B855" s="19" t="str">
        <v>伯明翰15号仓</v>
      </c>
      <c r="C855" s="19" t="str">
        <v>入库组</v>
      </c>
      <c r="D855" s="21" t="n">
        <v>46113</v>
      </c>
      <c r="E855" s="19" t="str">
        <v>2026-04</v>
      </c>
      <c r="F855" s="19" t="str">
        <v>操作员</v>
      </c>
      <c r="G855" s="19" t="str">
        <v>英国区15:00-00:30 / UK 15:00-00:30</v>
      </c>
      <c r="H855" s="19" t="str">
        <v>S000289</v>
      </c>
      <c r="I855" s="19" t="str">
        <v>Staffzilla Limited</v>
      </c>
      <c r="J855" s="23" t="n">
        <v>5</v>
      </c>
      <c r="K855" s="23" t="n">
        <v>0</v>
      </c>
      <c r="L855" s="23" t="n">
        <f>J855+K855</f>
        <v>5</v>
      </c>
      <c r="M855" s="23" t="n">
        <v>5</v>
      </c>
      <c r="N855" s="23" t="n">
        <v>5</v>
      </c>
      <c r="O855" s="23" t="n">
        <v>1</v>
      </c>
      <c r="P855" s="23" t="n">
        <v>1</v>
      </c>
      <c r="Q855" s="23" t="n">
        <f>MIN(O855,P855)</f>
        <v>1</v>
      </c>
      <c r="R855" s="25" t="n">
        <f>IF(M855=0,0,MIN(1,L855/M855))</f>
        <v>1</v>
      </c>
      <c r="S855" s="23" t="n">
        <f>O855*R855</f>
        <v>1</v>
      </c>
      <c r="T855" s="23" t="n">
        <f>MIN(P855,S855)</f>
        <v>1</v>
      </c>
      <c r="U855" s="23" t="n">
        <f>O855-S855</f>
        <v>0</v>
      </c>
      <c r="V855" s="23" t="n">
        <f>MAX(P855-O855,0)</f>
        <v>0</v>
      </c>
    </row>
    <row r="856">
      <c r="A856" s="19" t="str">
        <v>英国区</v>
      </c>
      <c r="B856" s="19" t="str">
        <v>伯明翰15号仓</v>
      </c>
      <c r="C856" s="19" t="str">
        <v>入库组</v>
      </c>
      <c r="D856" s="21" t="n">
        <v>46114</v>
      </c>
      <c r="E856" s="19" t="str">
        <v>2026-04</v>
      </c>
      <c r="F856" s="19" t="str">
        <v>操作员</v>
      </c>
      <c r="G856" s="19" t="str">
        <v>英国区08:00-16:30 / UK 08:00-16:30</v>
      </c>
      <c r="H856" s="19" t="str">
        <v>S000132</v>
      </c>
      <c r="I856" s="19" t="str">
        <v>HRA Recruitment Services</v>
      </c>
      <c r="J856" s="23" t="n">
        <v>2</v>
      </c>
      <c r="K856" s="23" t="n">
        <v>0</v>
      </c>
      <c r="L856" s="23" t="n">
        <f>J856+K856</f>
        <v>2</v>
      </c>
      <c r="M856" s="23" t="n">
        <v>2</v>
      </c>
      <c r="N856" s="23" t="n">
        <v>2</v>
      </c>
      <c r="O856" s="23" t="n">
        <v>2</v>
      </c>
      <c r="P856" s="23" t="n">
        <v>2</v>
      </c>
      <c r="Q856" s="23" t="n">
        <f>MIN(O856,P856)</f>
        <v>2</v>
      </c>
      <c r="R856" s="25" t="n">
        <f>IF(M856=0,0,MIN(1,L856/M856))</f>
        <v>1</v>
      </c>
      <c r="S856" s="23" t="n">
        <f>O856*R856</f>
        <v>2</v>
      </c>
      <c r="T856" s="23" t="n">
        <f>MIN(P856,S856)</f>
        <v>2</v>
      </c>
      <c r="U856" s="23" t="n">
        <f>O856-S856</f>
        <v>0</v>
      </c>
      <c r="V856" s="23" t="n">
        <f>MAX(P856-O856,0)</f>
        <v>0</v>
      </c>
    </row>
    <row r="857">
      <c r="A857" s="19" t="str">
        <v>英国区</v>
      </c>
      <c r="B857" s="19" t="str">
        <v>伯明翰15号仓</v>
      </c>
      <c r="C857" s="19" t="str">
        <v>入库组</v>
      </c>
      <c r="D857" s="21" t="n">
        <v>46114</v>
      </c>
      <c r="E857" s="19" t="str">
        <v>2026-04</v>
      </c>
      <c r="F857" s="19" t="str">
        <v>操作员</v>
      </c>
      <c r="G857" s="19" t="str">
        <v>英国区09:00-17:30 / UK 09:00-17:30</v>
      </c>
      <c r="H857" s="19" t="str">
        <v>S000132</v>
      </c>
      <c r="I857" s="19" t="str">
        <v>HRA Recruitment Services</v>
      </c>
      <c r="J857" s="23" t="n">
        <v>2</v>
      </c>
      <c r="K857" s="23" t="n">
        <v>0</v>
      </c>
      <c r="L857" s="23" t="n">
        <f>J857+K857</f>
        <v>2</v>
      </c>
      <c r="M857" s="23" t="n">
        <v>2</v>
      </c>
      <c r="N857" s="23" t="n">
        <v>2</v>
      </c>
      <c r="O857" s="23" t="n">
        <v>2</v>
      </c>
      <c r="P857" s="23" t="n">
        <v>2</v>
      </c>
      <c r="Q857" s="23" t="n">
        <f>MIN(O857,P857)</f>
        <v>2</v>
      </c>
      <c r="R857" s="25" t="n">
        <f>IF(M857=0,0,MIN(1,L857/M857))</f>
        <v>1</v>
      </c>
      <c r="S857" s="23" t="n">
        <f>O857*R857</f>
        <v>2</v>
      </c>
      <c r="T857" s="23" t="n">
        <f>MIN(P857,S857)</f>
        <v>2</v>
      </c>
      <c r="U857" s="23" t="n">
        <f>O857-S857</f>
        <v>0</v>
      </c>
      <c r="V857" s="23" t="n">
        <f>MAX(P857-O857,0)</f>
        <v>0</v>
      </c>
    </row>
    <row r="858">
      <c r="A858" s="19" t="str">
        <v>英国区</v>
      </c>
      <c r="B858" s="19" t="str">
        <v>伯明翰15号仓</v>
      </c>
      <c r="C858" s="19" t="str">
        <v>入库组</v>
      </c>
      <c r="D858" s="21" t="n">
        <v>46114</v>
      </c>
      <c r="E858" s="19" t="str">
        <v>2026-04</v>
      </c>
      <c r="F858" s="19" t="str">
        <v>操作员</v>
      </c>
      <c r="G858" s="19" t="str">
        <v>英国区11:00-19:30 / UK 11:00-19:30</v>
      </c>
      <c r="H858" s="19" t="str">
        <v>S000007</v>
      </c>
      <c r="I858" s="19" t="str">
        <v>Kenect</v>
      </c>
      <c r="J858" s="23" t="n">
        <v>5</v>
      </c>
      <c r="K858" s="23" t="n">
        <v>0</v>
      </c>
      <c r="L858" s="23" t="n">
        <f>J858+K858</f>
        <v>5</v>
      </c>
      <c r="M858" s="23" t="n">
        <v>5</v>
      </c>
      <c r="N858" s="23" t="n">
        <v>4</v>
      </c>
      <c r="O858" s="23" t="n">
        <v>2</v>
      </c>
      <c r="P858" s="23" t="n">
        <v>2</v>
      </c>
      <c r="Q858" s="23" t="n">
        <f>MIN(O858,P858)</f>
        <v>2</v>
      </c>
      <c r="R858" s="25" t="n">
        <f>IF(M858=0,0,MIN(1,L858/M858))</f>
        <v>1</v>
      </c>
      <c r="S858" s="23" t="n">
        <f>O858*R858</f>
        <v>2</v>
      </c>
      <c r="T858" s="23" t="n">
        <f>MIN(P858,S858)</f>
        <v>2</v>
      </c>
      <c r="U858" s="23" t="n">
        <f>O858-S858</f>
        <v>0</v>
      </c>
      <c r="V858" s="23" t="n">
        <f>MAX(P858-O858,0)</f>
        <v>0</v>
      </c>
    </row>
    <row r="859">
      <c r="A859" s="19" t="str">
        <v>英国区</v>
      </c>
      <c r="B859" s="19" t="str">
        <v>伯明翰15号仓</v>
      </c>
      <c r="C859" s="19" t="str">
        <v>入库组</v>
      </c>
      <c r="D859" s="21" t="n">
        <v>46114</v>
      </c>
      <c r="E859" s="19" t="str">
        <v>2026-04</v>
      </c>
      <c r="F859" s="19" t="str">
        <v>操作员</v>
      </c>
      <c r="G859" s="19" t="str">
        <v>英国区11:00-19:30 / UK 11:00-19:30</v>
      </c>
      <c r="H859" s="19" t="str">
        <v>S000132</v>
      </c>
      <c r="I859" s="19" t="str">
        <v>HRA Recruitment Services</v>
      </c>
      <c r="J859" s="23" t="n">
        <v>5</v>
      </c>
      <c r="K859" s="23" t="n">
        <v>0</v>
      </c>
      <c r="L859" s="23" t="n">
        <f>J859+K859</f>
        <v>5</v>
      </c>
      <c r="M859" s="23" t="n">
        <v>5</v>
      </c>
      <c r="N859" s="23" t="n">
        <v>4</v>
      </c>
      <c r="O859" s="23" t="n">
        <v>2</v>
      </c>
      <c r="P859" s="23" t="n">
        <v>2</v>
      </c>
      <c r="Q859" s="23" t="n">
        <f>MIN(O859,P859)</f>
        <v>2</v>
      </c>
      <c r="R859" s="25" t="n">
        <f>IF(M859=0,0,MIN(1,L859/M859))</f>
        <v>1</v>
      </c>
      <c r="S859" s="23" t="n">
        <f>O859*R859</f>
        <v>2</v>
      </c>
      <c r="T859" s="23" t="n">
        <f>MIN(P859,S859)</f>
        <v>2</v>
      </c>
      <c r="U859" s="23" t="n">
        <f>O859-S859</f>
        <v>0</v>
      </c>
      <c r="V859" s="23" t="n">
        <f>MAX(P859-O859,0)</f>
        <v>0</v>
      </c>
    </row>
    <row r="860">
      <c r="A860" s="19" t="str">
        <v>英国区</v>
      </c>
      <c r="B860" s="19" t="str">
        <v>伯明翰15号仓</v>
      </c>
      <c r="C860" s="19" t="str">
        <v>入库组</v>
      </c>
      <c r="D860" s="21" t="n">
        <v>46114</v>
      </c>
      <c r="E860" s="19" t="str">
        <v>2026-04</v>
      </c>
      <c r="F860" s="19" t="str">
        <v>操作员</v>
      </c>
      <c r="G860" s="19" t="str">
        <v>英国区11:00-19:30 / UK 11:00-19:30</v>
      </c>
      <c r="H860" s="19" t="str">
        <v>S000289</v>
      </c>
      <c r="I860" s="19" t="str">
        <v>Staffzilla Limited</v>
      </c>
      <c r="J860" s="23" t="n">
        <v>5</v>
      </c>
      <c r="K860" s="23" t="n">
        <v>0</v>
      </c>
      <c r="L860" s="23" t="n">
        <f>J860+K860</f>
        <v>5</v>
      </c>
      <c r="M860" s="23" t="n">
        <v>5</v>
      </c>
      <c r="N860" s="23" t="n">
        <v>4</v>
      </c>
      <c r="O860" s="23" t="n">
        <v>1</v>
      </c>
      <c r="P860" s="23" t="n">
        <v>0</v>
      </c>
      <c r="Q860" s="23" t="n">
        <f>MIN(O860,P860)</f>
        <v>0</v>
      </c>
      <c r="R860" s="25" t="n">
        <f>IF(M860=0,0,MIN(1,L860/M860))</f>
        <v>1</v>
      </c>
      <c r="S860" s="23" t="n">
        <f>O860*R860</f>
        <v>1</v>
      </c>
      <c r="T860" s="23" t="n">
        <f>MIN(P860,S860)</f>
        <v>0</v>
      </c>
      <c r="U860" s="23" t="n">
        <f>O860-S860</f>
        <v>0</v>
      </c>
      <c r="V860" s="23" t="n">
        <f>MAX(P860-O860,0)</f>
        <v>0</v>
      </c>
    </row>
    <row r="861">
      <c r="A861" s="19" t="str">
        <v>英国区</v>
      </c>
      <c r="B861" s="19" t="str">
        <v>伯明翰15号仓</v>
      </c>
      <c r="C861" s="19" t="str">
        <v>入库组</v>
      </c>
      <c r="D861" s="21" t="n">
        <v>46114</v>
      </c>
      <c r="E861" s="19" t="str">
        <v>2026-04</v>
      </c>
      <c r="F861" s="19" t="str">
        <v>操作员</v>
      </c>
      <c r="G861" s="19" t="str">
        <v>英国区15:00-00:30 / UK 15:00-00:30</v>
      </c>
      <c r="H861" s="19" t="str">
        <v>S000132</v>
      </c>
      <c r="I861" s="19" t="str">
        <v>HRA Recruitment Services</v>
      </c>
      <c r="J861" s="23" t="n">
        <v>1</v>
      </c>
      <c r="K861" s="23" t="n">
        <v>0</v>
      </c>
      <c r="L861" s="23" t="n">
        <f>J861+K861</f>
        <v>1</v>
      </c>
      <c r="M861" s="23" t="n">
        <v>1</v>
      </c>
      <c r="N861" s="23" t="n">
        <v>1</v>
      </c>
      <c r="O861" s="23" t="n">
        <v>1</v>
      </c>
      <c r="P861" s="23" t="n">
        <v>1</v>
      </c>
      <c r="Q861" s="23" t="n">
        <f>MIN(O861,P861)</f>
        <v>1</v>
      </c>
      <c r="R861" s="25" t="n">
        <f>IF(M861=0,0,MIN(1,L861/M861))</f>
        <v>1</v>
      </c>
      <c r="S861" s="23" t="n">
        <f>O861*R861</f>
        <v>1</v>
      </c>
      <c r="T861" s="23" t="n">
        <f>MIN(P861,S861)</f>
        <v>1</v>
      </c>
      <c r="U861" s="23" t="n">
        <f>O861-S861</f>
        <v>0</v>
      </c>
      <c r="V861" s="23" t="n">
        <f>MAX(P861-O861,0)</f>
        <v>0</v>
      </c>
    </row>
    <row r="862">
      <c r="A862" s="19" t="str">
        <v>英国区</v>
      </c>
      <c r="B862" s="19" t="str">
        <v>伯明翰15号仓</v>
      </c>
      <c r="C862" s="19" t="str">
        <v>入库组</v>
      </c>
      <c r="D862" s="21" t="n">
        <v>46119</v>
      </c>
      <c r="E862" s="19" t="str">
        <v>2026-04</v>
      </c>
      <c r="F862" s="19" t="str">
        <v>操作员</v>
      </c>
      <c r="G862" s="19" t="str">
        <v>英国区09:00-17:30 / UK 09:00-17:30</v>
      </c>
      <c r="H862" s="19" t="str">
        <v>S000132</v>
      </c>
      <c r="I862" s="19" t="str">
        <v>HRA Recruitment Services</v>
      </c>
      <c r="J862" s="23" t="n">
        <v>2</v>
      </c>
      <c r="K862" s="23" t="n">
        <v>0</v>
      </c>
      <c r="L862" s="23" t="n">
        <f>J862+K862</f>
        <v>2</v>
      </c>
      <c r="M862" s="23" t="n">
        <v>2</v>
      </c>
      <c r="N862" s="23" t="n">
        <v>2</v>
      </c>
      <c r="O862" s="23" t="n">
        <v>1</v>
      </c>
      <c r="P862" s="23" t="n">
        <v>1</v>
      </c>
      <c r="Q862" s="23" t="n">
        <f>MIN(O862,P862)</f>
        <v>1</v>
      </c>
      <c r="R862" s="25" t="n">
        <f>IF(M862=0,0,MIN(1,L862/M862))</f>
        <v>1</v>
      </c>
      <c r="S862" s="23" t="n">
        <f>O862*R862</f>
        <v>1</v>
      </c>
      <c r="T862" s="23" t="n">
        <f>MIN(P862,S862)</f>
        <v>1</v>
      </c>
      <c r="U862" s="23" t="n">
        <f>O862-S862</f>
        <v>0</v>
      </c>
      <c r="V862" s="23" t="n">
        <f>MAX(P862-O862,0)</f>
        <v>0</v>
      </c>
    </row>
    <row r="863">
      <c r="A863" s="19" t="str">
        <v>英国区</v>
      </c>
      <c r="B863" s="19" t="str">
        <v>伯明翰15号仓</v>
      </c>
      <c r="C863" s="19" t="str">
        <v>入库组</v>
      </c>
      <c r="D863" s="21" t="n">
        <v>46119</v>
      </c>
      <c r="E863" s="19" t="str">
        <v>2026-04</v>
      </c>
      <c r="F863" s="19" t="str">
        <v>操作员</v>
      </c>
      <c r="G863" s="19" t="str">
        <v>英国区09:00-17:30 / UK 09:00-17:30</v>
      </c>
      <c r="H863" s="19" t="str">
        <v>S000289</v>
      </c>
      <c r="I863" s="19" t="str">
        <v>Staffzilla Limited</v>
      </c>
      <c r="J863" s="23" t="n">
        <v>2</v>
      </c>
      <c r="K863" s="23" t="n">
        <v>0</v>
      </c>
      <c r="L863" s="23" t="n">
        <f>J863+K863</f>
        <v>2</v>
      </c>
      <c r="M863" s="23" t="n">
        <v>2</v>
      </c>
      <c r="N863" s="23" t="n">
        <v>2</v>
      </c>
      <c r="O863" s="23" t="n">
        <v>1</v>
      </c>
      <c r="P863" s="23" t="n">
        <v>1</v>
      </c>
      <c r="Q863" s="23" t="n">
        <f>MIN(O863,P863)</f>
        <v>1</v>
      </c>
      <c r="R863" s="25" t="n">
        <f>IF(M863=0,0,MIN(1,L863/M863))</f>
        <v>1</v>
      </c>
      <c r="S863" s="23" t="n">
        <f>O863*R863</f>
        <v>1</v>
      </c>
      <c r="T863" s="23" t="n">
        <f>MIN(P863,S863)</f>
        <v>1</v>
      </c>
      <c r="U863" s="23" t="n">
        <f>O863-S863</f>
        <v>0</v>
      </c>
      <c r="V863" s="23" t="n">
        <f>MAX(P863-O863,0)</f>
        <v>0</v>
      </c>
    </row>
    <row r="864">
      <c r="A864" s="19" t="str">
        <v>英国区</v>
      </c>
      <c r="B864" s="19" t="str">
        <v>伯明翰15号仓</v>
      </c>
      <c r="C864" s="19" t="str">
        <v>入库组</v>
      </c>
      <c r="D864" s="21" t="n">
        <v>46120</v>
      </c>
      <c r="E864" s="19" t="str">
        <v>2026-04</v>
      </c>
      <c r="F864" s="19" t="str">
        <v>操作员</v>
      </c>
      <c r="G864" s="19" t="str">
        <v>英国区08:00-16:30 / UK 08:00-16:30</v>
      </c>
      <c r="H864" s="19" t="str">
        <v>S000132</v>
      </c>
      <c r="I864" s="19" t="str">
        <v>HRA Recruitment Services</v>
      </c>
      <c r="J864" s="23" t="n">
        <v>1</v>
      </c>
      <c r="K864" s="23" t="n">
        <v>0</v>
      </c>
      <c r="L864" s="23" t="n">
        <f>J864+K864</f>
        <v>1</v>
      </c>
      <c r="M864" s="23" t="n">
        <v>1</v>
      </c>
      <c r="N864" s="23" t="n">
        <v>1</v>
      </c>
      <c r="O864" s="23" t="n">
        <v>1</v>
      </c>
      <c r="P864" s="23" t="n">
        <v>1</v>
      </c>
      <c r="Q864" s="23" t="n">
        <f>MIN(O864,P864)</f>
        <v>1</v>
      </c>
      <c r="R864" s="25" t="n">
        <f>IF(M864=0,0,MIN(1,L864/M864))</f>
        <v>1</v>
      </c>
      <c r="S864" s="23" t="n">
        <f>O864*R864</f>
        <v>1</v>
      </c>
      <c r="T864" s="23" t="n">
        <f>MIN(P864,S864)</f>
        <v>1</v>
      </c>
      <c r="U864" s="23" t="n">
        <f>O864-S864</f>
        <v>0</v>
      </c>
      <c r="V864" s="23" t="n">
        <f>MAX(P864-O864,0)</f>
        <v>0</v>
      </c>
    </row>
    <row r="865">
      <c r="A865" s="19" t="str">
        <v>英国区</v>
      </c>
      <c r="B865" s="19" t="str">
        <v>伯明翰15号仓</v>
      </c>
      <c r="C865" s="19" t="str">
        <v>入库组</v>
      </c>
      <c r="D865" s="21" t="n">
        <v>46120</v>
      </c>
      <c r="E865" s="19" t="str">
        <v>2026-04</v>
      </c>
      <c r="F865" s="19" t="str">
        <v>操作员</v>
      </c>
      <c r="G865" s="19" t="str">
        <v>英国区15:00-00:30 / UK 15:00-00:30</v>
      </c>
      <c r="H865" s="19" t="str">
        <v>S000289</v>
      </c>
      <c r="I865" s="19" t="str">
        <v>Staffzilla Limited</v>
      </c>
      <c r="J865" s="23" t="n">
        <v>1</v>
      </c>
      <c r="K865" s="23" t="n">
        <v>0</v>
      </c>
      <c r="L865" s="23" t="n">
        <f>J865+K865</f>
        <v>1</v>
      </c>
      <c r="M865" s="23" t="n">
        <v>1</v>
      </c>
      <c r="N865" s="23" t="n">
        <v>1</v>
      </c>
      <c r="O865" s="23" t="n">
        <v>1</v>
      </c>
      <c r="P865" s="23" t="n">
        <v>1</v>
      </c>
      <c r="Q865" s="23" t="n">
        <f>MIN(O865,P865)</f>
        <v>1</v>
      </c>
      <c r="R865" s="25" t="n">
        <f>IF(M865=0,0,MIN(1,L865/M865))</f>
        <v>1</v>
      </c>
      <c r="S865" s="23" t="n">
        <f>O865*R865</f>
        <v>1</v>
      </c>
      <c r="T865" s="23" t="n">
        <f>MIN(P865,S865)</f>
        <v>1</v>
      </c>
      <c r="U865" s="23" t="n">
        <f>O865-S865</f>
        <v>0</v>
      </c>
      <c r="V865" s="23" t="n">
        <f>MAX(P865-O865,0)</f>
        <v>0</v>
      </c>
    </row>
    <row r="866">
      <c r="A866" s="19" t="str">
        <v>英国区</v>
      </c>
      <c r="B866" s="19" t="str">
        <v>伯明翰15号仓</v>
      </c>
      <c r="C866" s="19" t="str">
        <v>入库组</v>
      </c>
      <c r="D866" s="21" t="n">
        <v>46122</v>
      </c>
      <c r="E866" s="19" t="str">
        <v>2026-04</v>
      </c>
      <c r="F866" s="19" t="str">
        <v>操作员</v>
      </c>
      <c r="G866" s="19" t="str">
        <v>英国区08:00-16:30 / UK 08:00-16:30</v>
      </c>
      <c r="H866" s="19" t="str">
        <v>S000007</v>
      </c>
      <c r="I866" s="19" t="str">
        <v>Kenect</v>
      </c>
      <c r="J866" s="23" t="n">
        <v>2</v>
      </c>
      <c r="K866" s="23" t="n">
        <v>0</v>
      </c>
      <c r="L866" s="23" t="n">
        <f>J866+K866</f>
        <v>2</v>
      </c>
      <c r="M866" s="23" t="n">
        <v>2</v>
      </c>
      <c r="N866" s="23" t="n">
        <v>2</v>
      </c>
      <c r="O866" s="23" t="n">
        <v>2</v>
      </c>
      <c r="P866" s="23" t="n">
        <v>2</v>
      </c>
      <c r="Q866" s="23" t="n">
        <f>MIN(O866,P866)</f>
        <v>2</v>
      </c>
      <c r="R866" s="25" t="n">
        <f>IF(M866=0,0,MIN(1,L866/M866))</f>
        <v>1</v>
      </c>
      <c r="S866" s="23" t="n">
        <f>O866*R866</f>
        <v>2</v>
      </c>
      <c r="T866" s="23" t="n">
        <f>MIN(P866,S866)</f>
        <v>2</v>
      </c>
      <c r="U866" s="23" t="n">
        <f>O866-S866</f>
        <v>0</v>
      </c>
      <c r="V866" s="23" t="n">
        <f>MAX(P866-O866,0)</f>
        <v>0</v>
      </c>
    </row>
    <row r="867">
      <c r="A867" s="19" t="str">
        <v>英国区</v>
      </c>
      <c r="B867" s="19" t="str">
        <v>伯明翰15号仓</v>
      </c>
      <c r="C867" s="19" t="str">
        <v>入库组</v>
      </c>
      <c r="D867" s="21" t="n">
        <v>46125</v>
      </c>
      <c r="E867" s="19" t="str">
        <v>2026-04</v>
      </c>
      <c r="F867" s="19" t="str">
        <v>操作员</v>
      </c>
      <c r="G867" s="19" t="str">
        <v>英国区08:00-16:30 / UK 08:00-16:30</v>
      </c>
      <c r="H867" s="19" t="str">
        <v>S000132</v>
      </c>
      <c r="I867" s="19" t="str">
        <v>HRA Recruitment Services</v>
      </c>
      <c r="J867" s="23" t="n">
        <v>2</v>
      </c>
      <c r="K867" s="23" t="n">
        <v>0</v>
      </c>
      <c r="L867" s="23" t="n">
        <f>J867+K867</f>
        <v>2</v>
      </c>
      <c r="M867" s="23" t="n">
        <v>2</v>
      </c>
      <c r="N867" s="23" t="n">
        <v>2</v>
      </c>
      <c r="O867" s="23" t="n">
        <v>2</v>
      </c>
      <c r="P867" s="23" t="n">
        <v>2</v>
      </c>
      <c r="Q867" s="23" t="n">
        <f>MIN(O867,P867)</f>
        <v>2</v>
      </c>
      <c r="R867" s="25" t="n">
        <f>IF(M867=0,0,MIN(1,L867/M867))</f>
        <v>1</v>
      </c>
      <c r="S867" s="23" t="n">
        <f>O867*R867</f>
        <v>2</v>
      </c>
      <c r="T867" s="23" t="n">
        <f>MIN(P867,S867)</f>
        <v>2</v>
      </c>
      <c r="U867" s="23" t="n">
        <f>O867-S867</f>
        <v>0</v>
      </c>
      <c r="V867" s="23" t="n">
        <f>MAX(P867-O867,0)</f>
        <v>0</v>
      </c>
    </row>
    <row r="868">
      <c r="A868" s="19" t="str">
        <v>英国区</v>
      </c>
      <c r="B868" s="19" t="str">
        <v>伯明翰15号仓</v>
      </c>
      <c r="C868" s="19" t="str">
        <v>入库组</v>
      </c>
      <c r="D868" s="21" t="n">
        <v>46125</v>
      </c>
      <c r="E868" s="19" t="str">
        <v>2026-04</v>
      </c>
      <c r="F868" s="19" t="str">
        <v>操作员</v>
      </c>
      <c r="G868" s="19" t="str">
        <v>英国区09:00-17:30 / UK 09:00-17:30</v>
      </c>
      <c r="H868" s="19" t="str">
        <v>S000132</v>
      </c>
      <c r="I868" s="19" t="str">
        <v>HRA Recruitment Services</v>
      </c>
      <c r="J868" s="23" t="n">
        <v>2</v>
      </c>
      <c r="K868" s="23" t="n">
        <v>0</v>
      </c>
      <c r="L868" s="23" t="n">
        <f>J868+K868</f>
        <v>2</v>
      </c>
      <c r="M868" s="23" t="n">
        <v>2</v>
      </c>
      <c r="N868" s="23" t="n">
        <v>2</v>
      </c>
      <c r="O868" s="23" t="n">
        <v>2</v>
      </c>
      <c r="P868" s="23" t="n">
        <v>2</v>
      </c>
      <c r="Q868" s="23" t="n">
        <f>MIN(O868,P868)</f>
        <v>2</v>
      </c>
      <c r="R868" s="25" t="n">
        <f>IF(M868=0,0,MIN(1,L868/M868))</f>
        <v>1</v>
      </c>
      <c r="S868" s="23" t="n">
        <f>O868*R868</f>
        <v>2</v>
      </c>
      <c r="T868" s="23" t="n">
        <f>MIN(P868,S868)</f>
        <v>2</v>
      </c>
      <c r="U868" s="23" t="n">
        <f>O868-S868</f>
        <v>0</v>
      </c>
      <c r="V868" s="23" t="n">
        <f>MAX(P868-O868,0)</f>
        <v>0</v>
      </c>
    </row>
    <row r="869">
      <c r="A869" s="19" t="str">
        <v>英国区</v>
      </c>
      <c r="B869" s="19" t="str">
        <v>伯明翰15号仓</v>
      </c>
      <c r="C869" s="19" t="str">
        <v>入库组</v>
      </c>
      <c r="D869" s="21" t="n">
        <v>46125</v>
      </c>
      <c r="E869" s="19" t="str">
        <v>2026-04</v>
      </c>
      <c r="F869" s="19" t="str">
        <v>操作员</v>
      </c>
      <c r="G869" s="19" t="str">
        <v>英国区15:00-00:30 / UK 15:00-00:30</v>
      </c>
      <c r="H869" s="19" t="str">
        <v>S000132</v>
      </c>
      <c r="I869" s="19" t="str">
        <v>HRA Recruitment Services</v>
      </c>
      <c r="J869" s="23" t="n">
        <v>2</v>
      </c>
      <c r="K869" s="23" t="n">
        <v>0</v>
      </c>
      <c r="L869" s="23" t="n">
        <f>J869+K869</f>
        <v>2</v>
      </c>
      <c r="M869" s="23" t="n">
        <v>2</v>
      </c>
      <c r="N869" s="23" t="n">
        <v>2</v>
      </c>
      <c r="O869" s="23" t="n">
        <v>2</v>
      </c>
      <c r="P869" s="23" t="n">
        <v>2</v>
      </c>
      <c r="Q869" s="23" t="n">
        <f>MIN(O869,P869)</f>
        <v>2</v>
      </c>
      <c r="R869" s="25" t="n">
        <f>IF(M869=0,0,MIN(1,L869/M869))</f>
        <v>1</v>
      </c>
      <c r="S869" s="23" t="n">
        <f>O869*R869</f>
        <v>2</v>
      </c>
      <c r="T869" s="23" t="n">
        <f>MIN(P869,S869)</f>
        <v>2</v>
      </c>
      <c r="U869" s="23" t="n">
        <f>O869-S869</f>
        <v>0</v>
      </c>
      <c r="V869" s="23" t="n">
        <f>MAX(P869-O869,0)</f>
        <v>0</v>
      </c>
    </row>
    <row r="870">
      <c r="A870" s="19" t="str">
        <v>英国区</v>
      </c>
      <c r="B870" s="19" t="str">
        <v>伯明翰15号仓</v>
      </c>
      <c r="C870" s="19" t="str">
        <v>入库组</v>
      </c>
      <c r="D870" s="21" t="n">
        <v>46126</v>
      </c>
      <c r="E870" s="19" t="str">
        <v>2026-04</v>
      </c>
      <c r="F870" s="19" t="str">
        <v>操作员</v>
      </c>
      <c r="G870" s="19" t="str">
        <v>英国区09:00-17:30 / UK 09:00-17:30</v>
      </c>
      <c r="H870" s="19" t="str">
        <v>S000013</v>
      </c>
      <c r="I870" s="19" t="str">
        <v>FT Recruitment</v>
      </c>
      <c r="J870" s="23" t="n">
        <v>1</v>
      </c>
      <c r="K870" s="23" t="n">
        <v>0</v>
      </c>
      <c r="L870" s="23" t="n">
        <f>J870+K870</f>
        <v>1</v>
      </c>
      <c r="M870" s="23" t="n">
        <v>1</v>
      </c>
      <c r="N870" s="23" t="n">
        <v>1</v>
      </c>
      <c r="O870" s="23" t="n">
        <v>1</v>
      </c>
      <c r="P870" s="23" t="n">
        <v>1</v>
      </c>
      <c r="Q870" s="23" t="n">
        <f>MIN(O870,P870)</f>
        <v>1</v>
      </c>
      <c r="R870" s="25" t="n">
        <f>IF(M870=0,0,MIN(1,L870/M870))</f>
        <v>1</v>
      </c>
      <c r="S870" s="23" t="n">
        <f>O870*R870</f>
        <v>1</v>
      </c>
      <c r="T870" s="23" t="n">
        <f>MIN(P870,S870)</f>
        <v>1</v>
      </c>
      <c r="U870" s="23" t="n">
        <f>O870-S870</f>
        <v>0</v>
      </c>
      <c r="V870" s="23" t="n">
        <f>MAX(P870-O870,0)</f>
        <v>0</v>
      </c>
    </row>
    <row r="871">
      <c r="A871" s="19" t="str">
        <v>英国区</v>
      </c>
      <c r="B871" s="19" t="str">
        <v>伯明翰15号仓</v>
      </c>
      <c r="C871" s="19" t="str">
        <v>入库组</v>
      </c>
      <c r="D871" s="21" t="n">
        <v>46156</v>
      </c>
      <c r="E871" s="19" t="str">
        <v>2026-05</v>
      </c>
      <c r="F871" s="19" t="str">
        <v>操作员</v>
      </c>
      <c r="G871" s="19" t="str">
        <v>英国区08:00-16:30 / UK 08:00-16:30</v>
      </c>
      <c r="H871" s="19" t="str">
        <v>S000132</v>
      </c>
      <c r="I871" s="19" t="str">
        <v>HRA Recruitment Services</v>
      </c>
      <c r="J871" s="23" t="n">
        <v>1</v>
      </c>
      <c r="K871" s="23" t="n">
        <v>0</v>
      </c>
      <c r="L871" s="23" t="n">
        <f>J871+K871</f>
        <v>1</v>
      </c>
      <c r="M871" s="23" t="n">
        <v>1</v>
      </c>
      <c r="N871" s="23" t="n">
        <v>1</v>
      </c>
      <c r="O871" s="23" t="n">
        <v>1</v>
      </c>
      <c r="P871" s="23" t="n">
        <v>1</v>
      </c>
      <c r="Q871" s="23" t="n">
        <f>MIN(O871,P871)</f>
        <v>1</v>
      </c>
      <c r="R871" s="25" t="n">
        <f>IF(M871=0,0,MIN(1,L871/M871))</f>
        <v>1</v>
      </c>
      <c r="S871" s="23" t="n">
        <f>O871*R871</f>
        <v>1</v>
      </c>
      <c r="T871" s="23" t="n">
        <f>MIN(P871,S871)</f>
        <v>1</v>
      </c>
      <c r="U871" s="23" t="n">
        <f>O871-S871</f>
        <v>0</v>
      </c>
      <c r="V871" s="23" t="n">
        <f>MAX(P871-O871,0)</f>
        <v>0</v>
      </c>
    </row>
    <row r="872">
      <c r="A872" s="19" t="str">
        <v>英国区</v>
      </c>
      <c r="B872" s="19" t="str">
        <v>伯明翰15号仓</v>
      </c>
      <c r="C872" s="19" t="str">
        <v>入库组</v>
      </c>
      <c r="D872" s="21" t="n">
        <v>46156</v>
      </c>
      <c r="E872" s="19" t="str">
        <v>2026-05</v>
      </c>
      <c r="F872" s="19" t="str">
        <v>操作员</v>
      </c>
      <c r="G872" s="19" t="str">
        <v>英国区11:00-19:30 / UK 11:00-19:30</v>
      </c>
      <c r="H872" s="19" t="str">
        <v>S000274</v>
      </c>
      <c r="I872" s="19" t="str">
        <v>Jobsworth Recruitment Solutions Limited</v>
      </c>
      <c r="J872" s="23" t="n">
        <v>1</v>
      </c>
      <c r="K872" s="23" t="n">
        <v>0</v>
      </c>
      <c r="L872" s="23" t="n">
        <f>J872+K872</f>
        <v>1</v>
      </c>
      <c r="M872" s="23" t="n">
        <v>1</v>
      </c>
      <c r="N872" s="23" t="n">
        <v>1</v>
      </c>
      <c r="O872" s="23" t="n">
        <v>1</v>
      </c>
      <c r="P872" s="23" t="n">
        <v>1</v>
      </c>
      <c r="Q872" s="23" t="n">
        <f>MIN(O872,P872)</f>
        <v>1</v>
      </c>
      <c r="R872" s="25" t="n">
        <f>IF(M872=0,0,MIN(1,L872/M872))</f>
        <v>1</v>
      </c>
      <c r="S872" s="23" t="n">
        <f>O872*R872</f>
        <v>1</v>
      </c>
      <c r="T872" s="23" t="n">
        <f>MIN(P872,S872)</f>
        <v>1</v>
      </c>
      <c r="U872" s="23" t="n">
        <f>O872-S872</f>
        <v>0</v>
      </c>
      <c r="V872" s="23" t="n">
        <f>MAX(P872-O872,0)</f>
        <v>0</v>
      </c>
    </row>
    <row r="873">
      <c r="A873" s="19" t="str">
        <v>英国区</v>
      </c>
      <c r="B873" s="19" t="str">
        <v>伯明翰15号仓</v>
      </c>
      <c r="C873" s="19" t="str">
        <v>入库组</v>
      </c>
      <c r="D873" s="21" t="n">
        <v>46157</v>
      </c>
      <c r="E873" s="19" t="str">
        <v>2026-05</v>
      </c>
      <c r="F873" s="19" t="str">
        <v>操作员</v>
      </c>
      <c r="G873" s="19" t="str">
        <v>英国区08:00-16:30 / UK 08:00-16:30</v>
      </c>
      <c r="H873" s="19" t="str">
        <v>S000007</v>
      </c>
      <c r="I873" s="19" t="str">
        <v>Kenect</v>
      </c>
      <c r="J873" s="23" t="n">
        <v>4</v>
      </c>
      <c r="K873" s="23" t="n">
        <v>0</v>
      </c>
      <c r="L873" s="23" t="n">
        <f>J873+K873</f>
        <v>4</v>
      </c>
      <c r="M873" s="23" t="n">
        <v>4</v>
      </c>
      <c r="N873" s="23" t="n">
        <v>4</v>
      </c>
      <c r="O873" s="23" t="n">
        <v>1</v>
      </c>
      <c r="P873" s="23" t="n">
        <v>1</v>
      </c>
      <c r="Q873" s="23" t="n">
        <f>MIN(O873,P873)</f>
        <v>1</v>
      </c>
      <c r="R873" s="25" t="n">
        <f>IF(M873=0,0,MIN(1,L873/M873))</f>
        <v>1</v>
      </c>
      <c r="S873" s="23" t="n">
        <f>O873*R873</f>
        <v>1</v>
      </c>
      <c r="T873" s="23" t="n">
        <f>MIN(P873,S873)</f>
        <v>1</v>
      </c>
      <c r="U873" s="23" t="n">
        <f>O873-S873</f>
        <v>0</v>
      </c>
      <c r="V873" s="23" t="n">
        <f>MAX(P873-O873,0)</f>
        <v>0</v>
      </c>
    </row>
    <row r="874">
      <c r="A874" s="19" t="str">
        <v>英国区</v>
      </c>
      <c r="B874" s="19" t="str">
        <v>伯明翰15号仓</v>
      </c>
      <c r="C874" s="19" t="str">
        <v>入库组</v>
      </c>
      <c r="D874" s="21" t="n">
        <v>46157</v>
      </c>
      <c r="E874" s="19" t="str">
        <v>2026-05</v>
      </c>
      <c r="F874" s="19" t="str">
        <v>操作员</v>
      </c>
      <c r="G874" s="19" t="str">
        <v>英国区08:00-16:30 / UK 08:00-16:30</v>
      </c>
      <c r="H874" s="19" t="str">
        <v>S000132</v>
      </c>
      <c r="I874" s="19" t="str">
        <v>HRA Recruitment Services</v>
      </c>
      <c r="J874" s="23" t="n">
        <v>4</v>
      </c>
      <c r="K874" s="23" t="n">
        <v>0</v>
      </c>
      <c r="L874" s="23" t="n">
        <f>J874+K874</f>
        <v>4</v>
      </c>
      <c r="M874" s="23" t="n">
        <v>4</v>
      </c>
      <c r="N874" s="23" t="n">
        <v>4</v>
      </c>
      <c r="O874" s="23" t="n">
        <v>3</v>
      </c>
      <c r="P874" s="23" t="n">
        <v>3</v>
      </c>
      <c r="Q874" s="23" t="n">
        <f>MIN(O874,P874)</f>
        <v>3</v>
      </c>
      <c r="R874" s="25" t="n">
        <f>IF(M874=0,0,MIN(1,L874/M874))</f>
        <v>1</v>
      </c>
      <c r="S874" s="23" t="n">
        <f>O874*R874</f>
        <v>3</v>
      </c>
      <c r="T874" s="23" t="n">
        <f>MIN(P874,S874)</f>
        <v>3</v>
      </c>
      <c r="U874" s="23" t="n">
        <f>O874-S874</f>
        <v>0</v>
      </c>
      <c r="V874" s="23" t="n">
        <f>MAX(P874-O874,0)</f>
        <v>0</v>
      </c>
    </row>
    <row r="875">
      <c r="A875" s="19" t="str">
        <v>英国区</v>
      </c>
      <c r="B875" s="19" t="str">
        <v>伯明翰15号仓</v>
      </c>
      <c r="C875" s="19" t="str">
        <v>入库组</v>
      </c>
      <c r="D875" s="21" t="n">
        <v>46157</v>
      </c>
      <c r="E875" s="19" t="str">
        <v>2026-05</v>
      </c>
      <c r="F875" s="19" t="str">
        <v>操作员</v>
      </c>
      <c r="G875" s="19" t="str">
        <v>英国区11:00-19:30 / UK 11:00-19:30</v>
      </c>
      <c r="H875" s="19" t="str">
        <v>S000007</v>
      </c>
      <c r="I875" s="19" t="str">
        <v>Kenect</v>
      </c>
      <c r="J875" s="23" t="n">
        <v>1</v>
      </c>
      <c r="K875" s="23" t="n">
        <v>0</v>
      </c>
      <c r="L875" s="23" t="n">
        <f>J875+K875</f>
        <v>1</v>
      </c>
      <c r="M875" s="23" t="n">
        <v>1</v>
      </c>
      <c r="N875" s="23" t="n">
        <v>1</v>
      </c>
      <c r="O875" s="23" t="n">
        <v>1</v>
      </c>
      <c r="P875" s="23" t="n">
        <v>1</v>
      </c>
      <c r="Q875" s="23" t="n">
        <f>MIN(O875,P875)</f>
        <v>1</v>
      </c>
      <c r="R875" s="25" t="n">
        <f>IF(M875=0,0,MIN(1,L875/M875))</f>
        <v>1</v>
      </c>
      <c r="S875" s="23" t="n">
        <f>O875*R875</f>
        <v>1</v>
      </c>
      <c r="T875" s="23" t="n">
        <f>MIN(P875,S875)</f>
        <v>1</v>
      </c>
      <c r="U875" s="23" t="n">
        <f>O875-S875</f>
        <v>0</v>
      </c>
      <c r="V875" s="23" t="n">
        <f>MAX(P875-O875,0)</f>
        <v>0</v>
      </c>
    </row>
    <row r="876">
      <c r="A876" s="19" t="str">
        <v>英国区</v>
      </c>
      <c r="B876" s="19" t="str">
        <v>伯明翰15号仓</v>
      </c>
      <c r="C876" s="19" t="str">
        <v>入库组</v>
      </c>
      <c r="D876" s="21" t="n">
        <v>46163</v>
      </c>
      <c r="E876" s="19" t="str">
        <v>2026-05</v>
      </c>
      <c r="F876" s="19" t="str">
        <v>操作员</v>
      </c>
      <c r="G876" s="19" t="str">
        <v>英国区08:00-16:30 / UK 08:00-16:30</v>
      </c>
      <c r="H876" s="19" t="str">
        <v>S000013</v>
      </c>
      <c r="I876" s="19" t="str">
        <v>FT Recruitment</v>
      </c>
      <c r="J876" s="23" t="n">
        <v>2</v>
      </c>
      <c r="K876" s="23" t="n">
        <v>0</v>
      </c>
      <c r="L876" s="23" t="n">
        <f>J876+K876</f>
        <v>2</v>
      </c>
      <c r="M876" s="23" t="n">
        <v>2</v>
      </c>
      <c r="N876" s="23" t="n">
        <v>2</v>
      </c>
      <c r="O876" s="23" t="n">
        <v>1</v>
      </c>
      <c r="P876" s="23" t="n">
        <v>1</v>
      </c>
      <c r="Q876" s="23" t="n">
        <f>MIN(O876,P876)</f>
        <v>1</v>
      </c>
      <c r="R876" s="25" t="n">
        <f>IF(M876=0,0,MIN(1,L876/M876))</f>
        <v>1</v>
      </c>
      <c r="S876" s="23" t="n">
        <f>O876*R876</f>
        <v>1</v>
      </c>
      <c r="T876" s="23" t="n">
        <f>MIN(P876,S876)</f>
        <v>1</v>
      </c>
      <c r="U876" s="23" t="n">
        <f>O876-S876</f>
        <v>0</v>
      </c>
      <c r="V876" s="23" t="n">
        <f>MAX(P876-O876,0)</f>
        <v>0</v>
      </c>
    </row>
    <row r="877">
      <c r="A877" s="19" t="str">
        <v>英国区</v>
      </c>
      <c r="B877" s="19" t="str">
        <v>伯明翰15号仓</v>
      </c>
      <c r="C877" s="19" t="str">
        <v>入库组</v>
      </c>
      <c r="D877" s="21" t="n">
        <v>46163</v>
      </c>
      <c r="E877" s="19" t="str">
        <v>2026-05</v>
      </c>
      <c r="F877" s="19" t="str">
        <v>操作员</v>
      </c>
      <c r="G877" s="19" t="str">
        <v>英国区08:00-16:30 / UK 08:00-16:30</v>
      </c>
      <c r="H877" s="19" t="str">
        <v>S000274</v>
      </c>
      <c r="I877" s="19" t="str">
        <v>Jobsworth Recruitment Solutions Limited</v>
      </c>
      <c r="J877" s="23" t="n">
        <v>2</v>
      </c>
      <c r="K877" s="23" t="n">
        <v>0</v>
      </c>
      <c r="L877" s="23" t="n">
        <f>J877+K877</f>
        <v>2</v>
      </c>
      <c r="M877" s="23" t="n">
        <v>2</v>
      </c>
      <c r="N877" s="23" t="n">
        <v>2</v>
      </c>
      <c r="O877" s="23" t="n">
        <v>1</v>
      </c>
      <c r="P877" s="23" t="n">
        <v>1</v>
      </c>
      <c r="Q877" s="23" t="n">
        <f>MIN(O877,P877)</f>
        <v>1</v>
      </c>
      <c r="R877" s="25" t="n">
        <f>IF(M877=0,0,MIN(1,L877/M877))</f>
        <v>1</v>
      </c>
      <c r="S877" s="23" t="n">
        <f>O877*R877</f>
        <v>1</v>
      </c>
      <c r="T877" s="23" t="n">
        <f>MIN(P877,S877)</f>
        <v>1</v>
      </c>
      <c r="U877" s="23" t="n">
        <f>O877-S877</f>
        <v>0</v>
      </c>
      <c r="V877" s="23" t="n">
        <f>MAX(P877-O877,0)</f>
        <v>0</v>
      </c>
    </row>
    <row r="878">
      <c r="A878" s="19" t="str">
        <v>英国区</v>
      </c>
      <c r="B878" s="19" t="str">
        <v>伯明翰15号仓</v>
      </c>
      <c r="C878" s="19" t="str">
        <v>入库组</v>
      </c>
      <c r="D878" s="21" t="n">
        <v>46164</v>
      </c>
      <c r="E878" s="19" t="str">
        <v>2026-05</v>
      </c>
      <c r="F878" s="19" t="str">
        <v>操作员</v>
      </c>
      <c r="G878" s="19" t="str">
        <v>英国区11:00-19:30 / UK 11:00-19:30</v>
      </c>
      <c r="H878" s="19" t="str">
        <v>S000132</v>
      </c>
      <c r="I878" s="19" t="str">
        <v>HRA Recruitment Services</v>
      </c>
      <c r="J878" s="23" t="n">
        <v>2</v>
      </c>
      <c r="K878" s="23" t="n">
        <v>0</v>
      </c>
      <c r="L878" s="23" t="n">
        <f>J878+K878</f>
        <v>2</v>
      </c>
      <c r="M878" s="23" t="n">
        <v>2</v>
      </c>
      <c r="N878" s="23" t="n">
        <v>2</v>
      </c>
      <c r="O878" s="23" t="n">
        <v>2</v>
      </c>
      <c r="P878" s="23" t="n">
        <v>2</v>
      </c>
      <c r="Q878" s="23" t="n">
        <f>MIN(O878,P878)</f>
        <v>2</v>
      </c>
      <c r="R878" s="25" t="n">
        <f>IF(M878=0,0,MIN(1,L878/M878))</f>
        <v>1</v>
      </c>
      <c r="S878" s="23" t="n">
        <f>O878*R878</f>
        <v>2</v>
      </c>
      <c r="T878" s="23" t="n">
        <f>MIN(P878,S878)</f>
        <v>2</v>
      </c>
      <c r="U878" s="23" t="n">
        <f>O878-S878</f>
        <v>0</v>
      </c>
      <c r="V878" s="23" t="n">
        <f>MAX(P878-O878,0)</f>
        <v>0</v>
      </c>
    </row>
    <row r="879">
      <c r="A879" s="19" t="str">
        <v>英国区</v>
      </c>
      <c r="B879" s="19" t="str">
        <v>伯明翰15号仓</v>
      </c>
      <c r="C879" s="19" t="str">
        <v>入库组</v>
      </c>
      <c r="D879" s="21" t="n">
        <v>46165</v>
      </c>
      <c r="E879" s="19" t="str">
        <v>2026-05</v>
      </c>
      <c r="F879" s="19" t="str">
        <v>操作员</v>
      </c>
      <c r="G879" s="19" t="str">
        <v>英国区08:00-16:30 / UK 08:00-16:30</v>
      </c>
      <c r="H879" s="19" t="str">
        <v>S000007</v>
      </c>
      <c r="I879" s="19" t="str">
        <v>Kenect</v>
      </c>
      <c r="J879" s="23" t="n">
        <v>2</v>
      </c>
      <c r="K879" s="23" t="n">
        <v>0</v>
      </c>
      <c r="L879" s="23" t="n">
        <f>J879+K879</f>
        <v>2</v>
      </c>
      <c r="M879" s="23" t="n">
        <v>2</v>
      </c>
      <c r="N879" s="23" t="n">
        <v>2</v>
      </c>
      <c r="O879" s="23" t="n">
        <v>1</v>
      </c>
      <c r="P879" s="23" t="n">
        <v>1</v>
      </c>
      <c r="Q879" s="23" t="n">
        <f>MIN(O879,P879)</f>
        <v>1</v>
      </c>
      <c r="R879" s="25" t="n">
        <f>IF(M879=0,0,MIN(1,L879/M879))</f>
        <v>1</v>
      </c>
      <c r="S879" s="23" t="n">
        <f>O879*R879</f>
        <v>1</v>
      </c>
      <c r="T879" s="23" t="n">
        <f>MIN(P879,S879)</f>
        <v>1</v>
      </c>
      <c r="U879" s="23" t="n">
        <f>O879-S879</f>
        <v>0</v>
      </c>
      <c r="V879" s="23" t="n">
        <f>MAX(P879-O879,0)</f>
        <v>0</v>
      </c>
    </row>
    <row r="880">
      <c r="A880" s="19" t="str">
        <v>英国区</v>
      </c>
      <c r="B880" s="19" t="str">
        <v>伯明翰15号仓</v>
      </c>
      <c r="C880" s="19" t="str">
        <v>入库组</v>
      </c>
      <c r="D880" s="21" t="n">
        <v>46165</v>
      </c>
      <c r="E880" s="19" t="str">
        <v>2026-05</v>
      </c>
      <c r="F880" s="19" t="str">
        <v>操作员</v>
      </c>
      <c r="G880" s="19" t="str">
        <v>英国区08:00-16:30 / UK 08:00-16:30</v>
      </c>
      <c r="H880" s="19" t="str">
        <v>S000013</v>
      </c>
      <c r="I880" s="19" t="str">
        <v>FT Recruitment</v>
      </c>
      <c r="J880" s="23" t="n">
        <v>2</v>
      </c>
      <c r="K880" s="23" t="n">
        <v>0</v>
      </c>
      <c r="L880" s="23" t="n">
        <f>J880+K880</f>
        <v>2</v>
      </c>
      <c r="M880" s="23" t="n">
        <v>2</v>
      </c>
      <c r="N880" s="23" t="n">
        <v>2</v>
      </c>
      <c r="O880" s="23" t="n">
        <v>1</v>
      </c>
      <c r="P880" s="23" t="n">
        <v>1</v>
      </c>
      <c r="Q880" s="23" t="n">
        <f>MIN(O880,P880)</f>
        <v>1</v>
      </c>
      <c r="R880" s="25" t="n">
        <f>IF(M880=0,0,MIN(1,L880/M880))</f>
        <v>1</v>
      </c>
      <c r="S880" s="23" t="n">
        <f>O880*R880</f>
        <v>1</v>
      </c>
      <c r="T880" s="23" t="n">
        <f>MIN(P880,S880)</f>
        <v>1</v>
      </c>
      <c r="U880" s="23" t="n">
        <f>O880-S880</f>
        <v>0</v>
      </c>
      <c r="V880" s="23" t="n">
        <f>MAX(P880-O880,0)</f>
        <v>0</v>
      </c>
    </row>
    <row r="881">
      <c r="A881" s="19" t="str">
        <v>英国区</v>
      </c>
      <c r="B881" s="19" t="str">
        <v>伯明翰15号仓</v>
      </c>
      <c r="C881" s="19" t="str">
        <v>入库组</v>
      </c>
      <c r="D881" s="21" t="n">
        <v>46170</v>
      </c>
      <c r="E881" s="19" t="str">
        <v>2026-05</v>
      </c>
      <c r="F881" s="19" t="str">
        <v>操作员</v>
      </c>
      <c r="G881" s="19" t="str">
        <v>英国区08:00-16:30 / UK 08:00-16:30</v>
      </c>
      <c r="H881" s="19" t="str">
        <v>S000007</v>
      </c>
      <c r="I881" s="19" t="str">
        <v>Kenect</v>
      </c>
      <c r="J881" s="23" t="n">
        <v>1</v>
      </c>
      <c r="K881" s="23" t="n">
        <v>0</v>
      </c>
      <c r="L881" s="23" t="n">
        <f>J881+K881</f>
        <v>1</v>
      </c>
      <c r="M881" s="23" t="n">
        <v>1</v>
      </c>
      <c r="N881" s="23" t="n">
        <v>1</v>
      </c>
      <c r="O881" s="23" t="n">
        <v>1</v>
      </c>
      <c r="P881" s="23" t="n">
        <v>1</v>
      </c>
      <c r="Q881" s="23" t="n">
        <f>MIN(O881,P881)</f>
        <v>1</v>
      </c>
      <c r="R881" s="25" t="n">
        <f>IF(M881=0,0,MIN(1,L881/M881))</f>
        <v>1</v>
      </c>
      <c r="S881" s="23" t="n">
        <f>O881*R881</f>
        <v>1</v>
      </c>
      <c r="T881" s="23" t="n">
        <f>MIN(P881,S881)</f>
        <v>1</v>
      </c>
      <c r="U881" s="23" t="n">
        <f>O881-S881</f>
        <v>0</v>
      </c>
      <c r="V881" s="23" t="n">
        <f>MAX(P881-O881,0)</f>
        <v>0</v>
      </c>
    </row>
    <row r="882">
      <c r="A882" s="19" t="str">
        <v>英国区</v>
      </c>
      <c r="B882" s="19" t="str">
        <v>伯明翰15号仓</v>
      </c>
      <c r="C882" s="19" t="str">
        <v>入库组</v>
      </c>
      <c r="D882" s="21" t="n">
        <v>46184</v>
      </c>
      <c r="E882" s="19" t="str">
        <v>2026-06</v>
      </c>
      <c r="F882" s="19" t="str">
        <v>操作员</v>
      </c>
      <c r="G882" s="19" t="str">
        <v>英国区11:00-19:30 / UK 11:00-19:30</v>
      </c>
      <c r="H882" s="19" t="str">
        <v>S000007</v>
      </c>
      <c r="I882" s="19" t="str">
        <v>Kenect</v>
      </c>
      <c r="J882" s="23" t="n">
        <v>1</v>
      </c>
      <c r="K882" s="23" t="n">
        <v>0</v>
      </c>
      <c r="L882" s="23" t="n">
        <f>J882+K882</f>
        <v>1</v>
      </c>
      <c r="M882" s="23" t="n">
        <v>1</v>
      </c>
      <c r="N882" s="23" t="n">
        <v>1</v>
      </c>
      <c r="O882" s="23" t="n">
        <v>1</v>
      </c>
      <c r="P882" s="23" t="n">
        <v>1</v>
      </c>
      <c r="Q882" s="23" t="n">
        <f>MIN(O882,P882)</f>
        <v>1</v>
      </c>
      <c r="R882" s="25" t="n">
        <f>IF(M882=0,0,MIN(1,L882/M882))</f>
        <v>1</v>
      </c>
      <c r="S882" s="23" t="n">
        <f>O882*R882</f>
        <v>1</v>
      </c>
      <c r="T882" s="23" t="n">
        <f>MIN(P882,S882)</f>
        <v>1</v>
      </c>
      <c r="U882" s="23" t="n">
        <f>O882-S882</f>
        <v>0</v>
      </c>
      <c r="V882" s="23" t="n">
        <f>MAX(P882-O882,0)</f>
        <v>0</v>
      </c>
    </row>
    <row r="883">
      <c r="A883" s="19" t="str">
        <v>英国区</v>
      </c>
      <c r="B883" s="19" t="str">
        <v>伯明翰15号仓</v>
      </c>
      <c r="C883" s="19" t="str">
        <v>入库组</v>
      </c>
      <c r="D883" s="21" t="n">
        <v>46188</v>
      </c>
      <c r="E883" s="19" t="str">
        <v>2026-06</v>
      </c>
      <c r="F883" s="19" t="str">
        <v>操作员</v>
      </c>
      <c r="G883" s="19" t="str">
        <v>英国区08:00-16:30 / UK 08:00-16:30</v>
      </c>
      <c r="H883" s="19" t="str">
        <v>S000132</v>
      </c>
      <c r="I883" s="19" t="str">
        <v>HRA Recruitment Services</v>
      </c>
      <c r="J883" s="23" t="n">
        <v>1</v>
      </c>
      <c r="K883" s="23" t="n">
        <v>0</v>
      </c>
      <c r="L883" s="23" t="n">
        <f>J883+K883</f>
        <v>1</v>
      </c>
      <c r="M883" s="23" t="n">
        <v>1</v>
      </c>
      <c r="N883" s="23" t="n">
        <v>1</v>
      </c>
      <c r="O883" s="23" t="n">
        <v>1</v>
      </c>
      <c r="P883" s="23" t="n">
        <v>1</v>
      </c>
      <c r="Q883" s="23" t="n">
        <f>MIN(O883,P883)</f>
        <v>1</v>
      </c>
      <c r="R883" s="25" t="n">
        <f>IF(M883=0,0,MIN(1,L883/M883))</f>
        <v>1</v>
      </c>
      <c r="S883" s="23" t="n">
        <f>O883*R883</f>
        <v>1</v>
      </c>
      <c r="T883" s="23" t="n">
        <f>MIN(P883,S883)</f>
        <v>1</v>
      </c>
      <c r="U883" s="23" t="n">
        <f>O883-S883</f>
        <v>0</v>
      </c>
      <c r="V883" s="23" t="n">
        <f>MAX(P883-O883,0)</f>
        <v>0</v>
      </c>
    </row>
    <row r="884">
      <c r="A884" s="19" t="str">
        <v>英国区</v>
      </c>
      <c r="B884" s="19" t="str">
        <v>伯明翰15号仓</v>
      </c>
      <c r="C884" s="19" t="str">
        <v>入库组</v>
      </c>
      <c r="D884" s="21" t="n">
        <v>46190</v>
      </c>
      <c r="E884" s="19" t="str">
        <v>2026-06</v>
      </c>
      <c r="F884" s="19" t="str">
        <v>操作员</v>
      </c>
      <c r="G884" s="19" t="str">
        <v>英国区09:00-17:30 / UK 09:00-17:30</v>
      </c>
      <c r="H884" s="19" t="str">
        <v>S000132</v>
      </c>
      <c r="I884" s="19" t="str">
        <v>HRA Recruitment Services</v>
      </c>
      <c r="J884" s="23" t="n">
        <v>6</v>
      </c>
      <c r="K884" s="23" t="n">
        <v>0</v>
      </c>
      <c r="L884" s="23" t="n">
        <f>J884+K884</f>
        <v>6</v>
      </c>
      <c r="M884" s="23" t="n">
        <v>6</v>
      </c>
      <c r="N884" s="23" t="n">
        <v>6</v>
      </c>
      <c r="O884" s="23" t="n">
        <v>6</v>
      </c>
      <c r="P884" s="23" t="n">
        <v>6</v>
      </c>
      <c r="Q884" s="23" t="n">
        <f>MIN(O884,P884)</f>
        <v>6</v>
      </c>
      <c r="R884" s="25" t="n">
        <f>IF(M884=0,0,MIN(1,L884/M884))</f>
        <v>1</v>
      </c>
      <c r="S884" s="23" t="n">
        <f>O884*R884</f>
        <v>6</v>
      </c>
      <c r="T884" s="23" t="n">
        <f>MIN(P884,S884)</f>
        <v>6</v>
      </c>
      <c r="U884" s="23" t="n">
        <f>O884-S884</f>
        <v>0</v>
      </c>
      <c r="V884" s="23" t="n">
        <f>MAX(P884-O884,0)</f>
        <v>0</v>
      </c>
    </row>
    <row r="885">
      <c r="A885" s="19" t="str">
        <v>英国区</v>
      </c>
      <c r="B885" s="19" t="str">
        <v>伯明翰15号仓</v>
      </c>
      <c r="C885" s="19" t="str">
        <v>入库组</v>
      </c>
      <c r="D885" s="21" t="n">
        <v>46192</v>
      </c>
      <c r="E885" s="19" t="str">
        <v>2026-06</v>
      </c>
      <c r="F885" s="19" t="str">
        <v>操作员</v>
      </c>
      <c r="G885" s="19" t="str">
        <v>英国区07:00-15:30 / UK 07:00-15:30</v>
      </c>
      <c r="H885" s="19" t="str">
        <v>S000013</v>
      </c>
      <c r="I885" s="19" t="str">
        <v>FT Recruitment</v>
      </c>
      <c r="J885" s="23" t="n">
        <v>1</v>
      </c>
      <c r="K885" s="23" t="n">
        <v>0</v>
      </c>
      <c r="L885" s="23" t="n">
        <f>J885+K885</f>
        <v>1</v>
      </c>
      <c r="M885" s="23" t="n">
        <v>1</v>
      </c>
      <c r="N885" s="23" t="n">
        <v>1</v>
      </c>
      <c r="O885" s="23" t="n">
        <v>1</v>
      </c>
      <c r="P885" s="23" t="n">
        <v>1</v>
      </c>
      <c r="Q885" s="23" t="n">
        <f>MIN(O885,P885)</f>
        <v>1</v>
      </c>
      <c r="R885" s="25" t="n">
        <f>IF(M885=0,0,MIN(1,L885/M885))</f>
        <v>1</v>
      </c>
      <c r="S885" s="23" t="n">
        <f>O885*R885</f>
        <v>1</v>
      </c>
      <c r="T885" s="23" t="n">
        <f>MIN(P885,S885)</f>
        <v>1</v>
      </c>
      <c r="U885" s="23" t="n">
        <f>O885-S885</f>
        <v>0</v>
      </c>
      <c r="V885" s="23" t="n">
        <f>MAX(P885-O885,0)</f>
        <v>0</v>
      </c>
    </row>
    <row r="886">
      <c r="A886" s="19" t="str">
        <v>英国区</v>
      </c>
      <c r="B886" s="19" t="str">
        <v>伯明翰15号仓</v>
      </c>
      <c r="C886" s="19" t="str">
        <v>入库组</v>
      </c>
      <c r="D886" s="21" t="n">
        <v>46192</v>
      </c>
      <c r="E886" s="19" t="str">
        <v>2026-06</v>
      </c>
      <c r="F886" s="19" t="str">
        <v>操作员</v>
      </c>
      <c r="G886" s="19" t="str">
        <v>英国区09:00-17:30 / UK 09:00-17:30</v>
      </c>
      <c r="H886" s="19" t="str">
        <v>S000013</v>
      </c>
      <c r="I886" s="19" t="str">
        <v>FT Recruitment</v>
      </c>
      <c r="J886" s="23" t="n">
        <v>3</v>
      </c>
      <c r="K886" s="23" t="n">
        <v>0</v>
      </c>
      <c r="L886" s="23" t="n">
        <f>J886+K886</f>
        <v>3</v>
      </c>
      <c r="M886" s="23" t="n">
        <v>3</v>
      </c>
      <c r="N886" s="23" t="n">
        <v>3</v>
      </c>
      <c r="O886" s="23" t="n">
        <v>3</v>
      </c>
      <c r="P886" s="23" t="n">
        <v>3</v>
      </c>
      <c r="Q886" s="23" t="n">
        <f>MIN(O886,P886)</f>
        <v>3</v>
      </c>
      <c r="R886" s="25" t="n">
        <f>IF(M886=0,0,MIN(1,L886/M886))</f>
        <v>1</v>
      </c>
      <c r="S886" s="23" t="n">
        <f>O886*R886</f>
        <v>3</v>
      </c>
      <c r="T886" s="23" t="n">
        <f>MIN(P886,S886)</f>
        <v>3</v>
      </c>
      <c r="U886" s="23" t="n">
        <f>O886-S886</f>
        <v>0</v>
      </c>
      <c r="V886" s="23" t="n">
        <f>MAX(P886-O886,0)</f>
        <v>0</v>
      </c>
    </row>
    <row r="887">
      <c r="A887" s="19" t="str">
        <v>英国区</v>
      </c>
      <c r="B887" s="19" t="str">
        <v>伯明翰15号仓</v>
      </c>
      <c r="C887" s="19" t="str">
        <v>包装组</v>
      </c>
      <c r="D887" s="21" t="n">
        <v>46131</v>
      </c>
      <c r="E887" s="19" t="str">
        <v>2026-04</v>
      </c>
      <c r="F887" s="19" t="str">
        <v>操作员</v>
      </c>
      <c r="G887" s="19" t="str">
        <v>英国区09:00-17:30 / UK 09:00-17:30</v>
      </c>
      <c r="H887" s="19" t="str">
        <v>S000013</v>
      </c>
      <c r="I887" s="19" t="str">
        <v>FT Recruitment</v>
      </c>
      <c r="J887" s="23" t="n">
        <v>2</v>
      </c>
      <c r="K887" s="23" t="n">
        <v>0</v>
      </c>
      <c r="L887" s="23" t="n">
        <f>J887+K887</f>
        <v>2</v>
      </c>
      <c r="M887" s="23" t="n">
        <v>2</v>
      </c>
      <c r="N887" s="23" t="n">
        <v>2</v>
      </c>
      <c r="O887" s="23" t="n">
        <v>1</v>
      </c>
      <c r="P887" s="23" t="n">
        <v>1</v>
      </c>
      <c r="Q887" s="23" t="n">
        <f>MIN(O887,P887)</f>
        <v>1</v>
      </c>
      <c r="R887" s="25" t="n">
        <f>IF(M887=0,0,MIN(1,L887/M887))</f>
        <v>1</v>
      </c>
      <c r="S887" s="23" t="n">
        <f>O887*R887</f>
        <v>1</v>
      </c>
      <c r="T887" s="23" t="n">
        <f>MIN(P887,S887)</f>
        <v>1</v>
      </c>
      <c r="U887" s="23" t="n">
        <f>O887-S887</f>
        <v>0</v>
      </c>
      <c r="V887" s="23" t="n">
        <f>MAX(P887-O887,0)</f>
        <v>0</v>
      </c>
    </row>
    <row r="888">
      <c r="A888" s="19" t="str">
        <v>英国区</v>
      </c>
      <c r="B888" s="19" t="str">
        <v>伯明翰15号仓</v>
      </c>
      <c r="C888" s="19" t="str">
        <v>包装组</v>
      </c>
      <c r="D888" s="21" t="n">
        <v>46131</v>
      </c>
      <c r="E888" s="19" t="str">
        <v>2026-04</v>
      </c>
      <c r="F888" s="19" t="str">
        <v>操作员</v>
      </c>
      <c r="G888" s="19" t="str">
        <v>英国区09:00-17:30 / UK 09:00-17:30</v>
      </c>
      <c r="H888" s="19" t="str">
        <v>S000289</v>
      </c>
      <c r="I888" s="19" t="str">
        <v>Staffzilla Limited</v>
      </c>
      <c r="J888" s="23" t="n">
        <v>2</v>
      </c>
      <c r="K888" s="23" t="n">
        <v>0</v>
      </c>
      <c r="L888" s="23" t="n">
        <f>J888+K888</f>
        <v>2</v>
      </c>
      <c r="M888" s="23" t="n">
        <v>2</v>
      </c>
      <c r="N888" s="23" t="n">
        <v>2</v>
      </c>
      <c r="O888" s="23" t="n">
        <v>1</v>
      </c>
      <c r="P888" s="23" t="n">
        <v>1</v>
      </c>
      <c r="Q888" s="23" t="n">
        <f>MIN(O888,P888)</f>
        <v>1</v>
      </c>
      <c r="R888" s="25" t="n">
        <f>IF(M888=0,0,MIN(1,L888/M888))</f>
        <v>1</v>
      </c>
      <c r="S888" s="23" t="n">
        <f>O888*R888</f>
        <v>1</v>
      </c>
      <c r="T888" s="23" t="n">
        <f>MIN(P888,S888)</f>
        <v>1</v>
      </c>
      <c r="U888" s="23" t="n">
        <f>O888-S888</f>
        <v>0</v>
      </c>
      <c r="V888" s="23" t="n">
        <f>MAX(P888-O888,0)</f>
        <v>0</v>
      </c>
    </row>
    <row r="889">
      <c r="A889" s="19" t="str">
        <v>英国区</v>
      </c>
      <c r="B889" s="19" t="str">
        <v>伯明翰15号仓</v>
      </c>
      <c r="C889" s="19" t="str">
        <v>包装组</v>
      </c>
      <c r="D889" s="21" t="n">
        <v>46141</v>
      </c>
      <c r="E889" s="19" t="str">
        <v>2026-04</v>
      </c>
      <c r="F889" s="19" t="str">
        <v>操作员</v>
      </c>
      <c r="G889" s="19" t="str">
        <v>英国区09:00-17:30 / UK 09:00-17:30</v>
      </c>
      <c r="H889" s="19" t="str">
        <v>S000289</v>
      </c>
      <c r="I889" s="19" t="str">
        <v>Staffzilla Limited</v>
      </c>
      <c r="J889" s="23" t="n">
        <v>1</v>
      </c>
      <c r="K889" s="23" t="n">
        <v>0</v>
      </c>
      <c r="L889" s="23" t="n">
        <f>J889+K889</f>
        <v>1</v>
      </c>
      <c r="M889" s="23" t="n">
        <v>1</v>
      </c>
      <c r="N889" s="23" t="n">
        <v>1</v>
      </c>
      <c r="O889" s="23" t="n">
        <v>1</v>
      </c>
      <c r="P889" s="23" t="n">
        <v>1</v>
      </c>
      <c r="Q889" s="23" t="n">
        <f>MIN(O889,P889)</f>
        <v>1</v>
      </c>
      <c r="R889" s="25" t="n">
        <f>IF(M889=0,0,MIN(1,L889/M889))</f>
        <v>1</v>
      </c>
      <c r="S889" s="23" t="n">
        <f>O889*R889</f>
        <v>1</v>
      </c>
      <c r="T889" s="23" t="n">
        <f>MIN(P889,S889)</f>
        <v>1</v>
      </c>
      <c r="U889" s="23" t="n">
        <f>O889-S889</f>
        <v>0</v>
      </c>
      <c r="V889" s="23" t="n">
        <f>MAX(P889-O889,0)</f>
        <v>0</v>
      </c>
    </row>
    <row r="890">
      <c r="A890" s="19" t="str">
        <v>英国区</v>
      </c>
      <c r="B890" s="19" t="str">
        <v>伯明翰15号仓</v>
      </c>
      <c r="C890" s="19" t="str">
        <v>包装组</v>
      </c>
      <c r="D890" s="21" t="n">
        <v>46156</v>
      </c>
      <c r="E890" s="19" t="str">
        <v>2026-05</v>
      </c>
      <c r="F890" s="19" t="str">
        <v>操作员</v>
      </c>
      <c r="G890" s="19" t="str">
        <v>英国区09:00-17:30 / UK 09:00-17:30</v>
      </c>
      <c r="H890" s="19" t="str">
        <v>S000007</v>
      </c>
      <c r="I890" s="19" t="str">
        <v>Kenect</v>
      </c>
      <c r="J890" s="23" t="n">
        <v>1</v>
      </c>
      <c r="K890" s="23" t="n">
        <v>0</v>
      </c>
      <c r="L890" s="23" t="n">
        <f>J890+K890</f>
        <v>1</v>
      </c>
      <c r="M890" s="23" t="n">
        <v>1</v>
      </c>
      <c r="N890" s="23" t="n">
        <v>1</v>
      </c>
      <c r="O890" s="23" t="n">
        <v>1</v>
      </c>
      <c r="P890" s="23" t="n">
        <v>1</v>
      </c>
      <c r="Q890" s="23" t="n">
        <f>MIN(O890,P890)</f>
        <v>1</v>
      </c>
      <c r="R890" s="25" t="n">
        <f>IF(M890=0,0,MIN(1,L890/M890))</f>
        <v>1</v>
      </c>
      <c r="S890" s="23" t="n">
        <f>O890*R890</f>
        <v>1</v>
      </c>
      <c r="T890" s="23" t="n">
        <f>MIN(P890,S890)</f>
        <v>1</v>
      </c>
      <c r="U890" s="23" t="n">
        <f>O890-S890</f>
        <v>0</v>
      </c>
      <c r="V890" s="23" t="n">
        <f>MAX(P890-O890,0)</f>
        <v>0</v>
      </c>
    </row>
    <row r="891">
      <c r="A891" s="19" t="str">
        <v>英国区</v>
      </c>
      <c r="B891" s="19" t="str">
        <v>伯明翰15号仓</v>
      </c>
      <c r="C891" s="19" t="str">
        <v>包装组</v>
      </c>
      <c r="D891" s="21" t="n">
        <v>46157</v>
      </c>
      <c r="E891" s="19" t="str">
        <v>2026-05</v>
      </c>
      <c r="F891" s="19" t="str">
        <v>操作员</v>
      </c>
      <c r="G891" s="19" t="str">
        <v>英国区11:00-19:30 / UK 11:00-19:30</v>
      </c>
      <c r="H891" s="19" t="str">
        <v>S000289</v>
      </c>
      <c r="I891" s="19" t="str">
        <v>Staffzilla Limited</v>
      </c>
      <c r="J891" s="23" t="n">
        <v>1</v>
      </c>
      <c r="K891" s="23" t="n">
        <v>0</v>
      </c>
      <c r="L891" s="23" t="n">
        <f>J891+K891</f>
        <v>1</v>
      </c>
      <c r="M891" s="23" t="n">
        <v>1</v>
      </c>
      <c r="N891" s="23" t="n">
        <v>1</v>
      </c>
      <c r="O891" s="23" t="n">
        <v>1</v>
      </c>
      <c r="P891" s="23" t="n">
        <v>1</v>
      </c>
      <c r="Q891" s="23" t="n">
        <f>MIN(O891,P891)</f>
        <v>1</v>
      </c>
      <c r="R891" s="25" t="n">
        <f>IF(M891=0,0,MIN(1,L891/M891))</f>
        <v>1</v>
      </c>
      <c r="S891" s="23" t="n">
        <f>O891*R891</f>
        <v>1</v>
      </c>
      <c r="T891" s="23" t="n">
        <f>MIN(P891,S891)</f>
        <v>1</v>
      </c>
      <c r="U891" s="23" t="n">
        <f>O891-S891</f>
        <v>0</v>
      </c>
      <c r="V891" s="23" t="n">
        <f>MAX(P891-O891,0)</f>
        <v>0</v>
      </c>
    </row>
    <row r="892">
      <c r="A892" s="19" t="str">
        <v>英国区</v>
      </c>
      <c r="B892" s="19" t="str">
        <v>伯明翰15号仓</v>
      </c>
      <c r="C892" s="19" t="str">
        <v>包装组</v>
      </c>
      <c r="D892" s="21" t="n">
        <v>46160</v>
      </c>
      <c r="E892" s="19" t="str">
        <v>2026-05</v>
      </c>
      <c r="F892" s="19" t="str">
        <v>操作员</v>
      </c>
      <c r="G892" s="19" t="str">
        <v>英国区09:00-17:30 / UK 09:00-17:30</v>
      </c>
      <c r="H892" s="19" t="str">
        <v>S000289</v>
      </c>
      <c r="I892" s="19" t="str">
        <v>Staffzilla Limited</v>
      </c>
      <c r="J892" s="23" t="n">
        <v>1</v>
      </c>
      <c r="K892" s="23" t="n">
        <v>0</v>
      </c>
      <c r="L892" s="23" t="n">
        <f>J892+K892</f>
        <v>1</v>
      </c>
      <c r="M892" s="23" t="n">
        <v>1</v>
      </c>
      <c r="N892" s="23" t="n">
        <v>1</v>
      </c>
      <c r="O892" s="23" t="n">
        <v>1</v>
      </c>
      <c r="P892" s="23" t="n">
        <v>1</v>
      </c>
      <c r="Q892" s="23" t="n">
        <f>MIN(O892,P892)</f>
        <v>1</v>
      </c>
      <c r="R892" s="25" t="n">
        <f>IF(M892=0,0,MIN(1,L892/M892))</f>
        <v>1</v>
      </c>
      <c r="S892" s="23" t="n">
        <f>O892*R892</f>
        <v>1</v>
      </c>
      <c r="T892" s="23" t="n">
        <f>MIN(P892,S892)</f>
        <v>1</v>
      </c>
      <c r="U892" s="23" t="n">
        <f>O892-S892</f>
        <v>0</v>
      </c>
      <c r="V892" s="23" t="n">
        <f>MAX(P892-O892,0)</f>
        <v>0</v>
      </c>
    </row>
    <row r="893">
      <c r="A893" s="19" t="str">
        <v>英国区</v>
      </c>
      <c r="B893" s="19" t="str">
        <v>伯明翰15号仓</v>
      </c>
      <c r="C893" s="19" t="str">
        <v>包装组</v>
      </c>
      <c r="D893" s="21" t="n">
        <v>46161</v>
      </c>
      <c r="E893" s="19" t="str">
        <v>2026-05</v>
      </c>
      <c r="F893" s="19" t="str">
        <v>操作员</v>
      </c>
      <c r="G893" s="19" t="str">
        <v>英国区09:00-17:30 / UK 09:00-17:30</v>
      </c>
      <c r="H893" s="19" t="str">
        <v>S000274</v>
      </c>
      <c r="I893" s="19" t="str">
        <v>Jobsworth Recruitment Solutions Limited</v>
      </c>
      <c r="J893" s="23" t="n">
        <v>2</v>
      </c>
      <c r="K893" s="23" t="n">
        <v>0</v>
      </c>
      <c r="L893" s="23" t="n">
        <f>J893+K893</f>
        <v>2</v>
      </c>
      <c r="M893" s="23" t="n">
        <v>2</v>
      </c>
      <c r="N893" s="23" t="n">
        <v>2</v>
      </c>
      <c r="O893" s="23" t="n">
        <v>2</v>
      </c>
      <c r="P893" s="23" t="n">
        <v>2</v>
      </c>
      <c r="Q893" s="23" t="n">
        <f>MIN(O893,P893)</f>
        <v>2</v>
      </c>
      <c r="R893" s="25" t="n">
        <f>IF(M893=0,0,MIN(1,L893/M893))</f>
        <v>1</v>
      </c>
      <c r="S893" s="23" t="n">
        <f>O893*R893</f>
        <v>2</v>
      </c>
      <c r="T893" s="23" t="n">
        <f>MIN(P893,S893)</f>
        <v>2</v>
      </c>
      <c r="U893" s="23" t="n">
        <f>O893-S893</f>
        <v>0</v>
      </c>
      <c r="V893" s="23" t="n">
        <f>MAX(P893-O893,0)</f>
        <v>0</v>
      </c>
    </row>
    <row r="894">
      <c r="A894" s="19" t="str">
        <v>英国区</v>
      </c>
      <c r="B894" s="19" t="str">
        <v>伯明翰15号仓</v>
      </c>
      <c r="C894" s="19" t="str">
        <v>包装组</v>
      </c>
      <c r="D894" s="21" t="n">
        <v>46177</v>
      </c>
      <c r="E894" s="19" t="str">
        <v>2026-06</v>
      </c>
      <c r="F894" s="19" t="str">
        <v>操作员</v>
      </c>
      <c r="G894" s="19" t="str">
        <v>英国区09:00-17:30 / UK 09:00-17:30</v>
      </c>
      <c r="H894" s="19" t="str">
        <v>S000289</v>
      </c>
      <c r="I894" s="19" t="str">
        <v>Staffzilla Limited</v>
      </c>
      <c r="J894" s="23" t="n">
        <v>1</v>
      </c>
      <c r="K894" s="23" t="n">
        <v>0</v>
      </c>
      <c r="L894" s="23" t="n">
        <f>J894+K894</f>
        <v>1</v>
      </c>
      <c r="M894" s="23" t="n">
        <v>1</v>
      </c>
      <c r="N894" s="23" t="n">
        <v>1</v>
      </c>
      <c r="O894" s="23" t="n">
        <v>1</v>
      </c>
      <c r="P894" s="23" t="n">
        <v>1</v>
      </c>
      <c r="Q894" s="23" t="n">
        <f>MIN(O894,P894)</f>
        <v>1</v>
      </c>
      <c r="R894" s="25" t="n">
        <f>IF(M894=0,0,MIN(1,L894/M894))</f>
        <v>1</v>
      </c>
      <c r="S894" s="23" t="n">
        <f>O894*R894</f>
        <v>1</v>
      </c>
      <c r="T894" s="23" t="n">
        <f>MIN(P894,S894)</f>
        <v>1</v>
      </c>
      <c r="U894" s="23" t="n">
        <f>O894-S894</f>
        <v>0</v>
      </c>
      <c r="V894" s="23" t="n">
        <f>MAX(P894-O894,0)</f>
        <v>0</v>
      </c>
    </row>
    <row r="895">
      <c r="A895" s="19" t="str">
        <v>英国区</v>
      </c>
      <c r="B895" s="19" t="str">
        <v>伯明翰15号仓</v>
      </c>
      <c r="C895" s="19" t="str">
        <v>包装组</v>
      </c>
      <c r="D895" s="21" t="n">
        <v>46192</v>
      </c>
      <c r="E895" s="19" t="str">
        <v>2026-06</v>
      </c>
      <c r="F895" s="19" t="str">
        <v>操作员</v>
      </c>
      <c r="G895" s="19" t="str">
        <v>英国区09:00-17:30 / UK 09:00-17:30</v>
      </c>
      <c r="H895" s="19" t="str">
        <v>S000289</v>
      </c>
      <c r="I895" s="19" t="str">
        <v>Staffzilla Limited</v>
      </c>
      <c r="J895" s="23" t="n">
        <v>2</v>
      </c>
      <c r="K895" s="23" t="n">
        <v>0</v>
      </c>
      <c r="L895" s="23" t="n">
        <f>J895+K895</f>
        <v>2</v>
      </c>
      <c r="M895" s="23" t="n">
        <v>2</v>
      </c>
      <c r="N895" s="23" t="n">
        <v>2</v>
      </c>
      <c r="O895" s="23" t="n">
        <v>2</v>
      </c>
      <c r="P895" s="23" t="n">
        <v>2</v>
      </c>
      <c r="Q895" s="23" t="n">
        <f>MIN(O895,P895)</f>
        <v>2</v>
      </c>
      <c r="R895" s="25" t="n">
        <f>IF(M895=0,0,MIN(1,L895/M895))</f>
        <v>1</v>
      </c>
      <c r="S895" s="23" t="n">
        <f>O895*R895</f>
        <v>2</v>
      </c>
      <c r="T895" s="23" t="n">
        <f>MIN(P895,S895)</f>
        <v>2</v>
      </c>
      <c r="U895" s="23" t="n">
        <f>O895-S895</f>
        <v>0</v>
      </c>
      <c r="V895" s="23" t="n">
        <f>MAX(P895-O895,0)</f>
        <v>0</v>
      </c>
    </row>
    <row r="896">
      <c r="A896" s="19" t="str">
        <v>英国区</v>
      </c>
      <c r="B896" s="19" t="str">
        <v>伯明翰15号仓</v>
      </c>
      <c r="C896" s="19" t="str">
        <v>售后组</v>
      </c>
      <c r="D896" s="21" t="n">
        <v>46147</v>
      </c>
      <c r="E896" s="19" t="str">
        <v>2026-05</v>
      </c>
      <c r="F896" s="19" t="str">
        <v>操作员</v>
      </c>
      <c r="G896" s="19" t="str">
        <v>英国区09:00-17:30 / UK 09:00-17:30</v>
      </c>
      <c r="H896" s="19" t="str">
        <v>S000289</v>
      </c>
      <c r="I896" s="19" t="str">
        <v>Staffzilla Limited</v>
      </c>
      <c r="J896" s="23" t="n">
        <v>1</v>
      </c>
      <c r="K896" s="23" t="n">
        <v>0</v>
      </c>
      <c r="L896" s="23" t="n">
        <f>J896+K896</f>
        <v>1</v>
      </c>
      <c r="M896" s="23" t="n">
        <v>1</v>
      </c>
      <c r="N896" s="23" t="n">
        <v>1</v>
      </c>
      <c r="O896" s="23" t="n">
        <v>1</v>
      </c>
      <c r="P896" s="23" t="n">
        <v>1</v>
      </c>
      <c r="Q896" s="23" t="n">
        <f>MIN(O896,P896)</f>
        <v>1</v>
      </c>
      <c r="R896" s="25" t="n">
        <f>IF(M896=0,0,MIN(1,L896/M896))</f>
        <v>1</v>
      </c>
      <c r="S896" s="23" t="n">
        <f>O896*R896</f>
        <v>1</v>
      </c>
      <c r="T896" s="23" t="n">
        <f>MIN(P896,S896)</f>
        <v>1</v>
      </c>
      <c r="U896" s="23" t="n">
        <f>O896-S896</f>
        <v>0</v>
      </c>
      <c r="V896" s="23" t="n">
        <f>MAX(P896-O896,0)</f>
        <v>0</v>
      </c>
    </row>
    <row r="897">
      <c r="A897" s="19" t="str">
        <v>英国区</v>
      </c>
      <c r="B897" s="19" t="str">
        <v>伯明翰15号仓</v>
      </c>
      <c r="C897" s="19" t="str">
        <v>拣货组</v>
      </c>
      <c r="D897" s="21" t="n">
        <v>46114</v>
      </c>
      <c r="E897" s="19" t="str">
        <v>2026-04</v>
      </c>
      <c r="F897" s="19" t="str">
        <v>操作员</v>
      </c>
      <c r="G897" s="19" t="str">
        <v>英国区11:00-19:30 / UK 11:00-19:30</v>
      </c>
      <c r="H897" s="19" t="str">
        <v>S000289</v>
      </c>
      <c r="I897" s="19" t="str">
        <v>Staffzilla Limited</v>
      </c>
      <c r="J897" s="23" t="n">
        <v>1</v>
      </c>
      <c r="K897" s="23" t="n">
        <v>0</v>
      </c>
      <c r="L897" s="23" t="n">
        <f>J897+K897</f>
        <v>1</v>
      </c>
      <c r="M897" s="23" t="n">
        <v>1</v>
      </c>
      <c r="N897" s="23" t="n">
        <v>1</v>
      </c>
      <c r="O897" s="23" t="n">
        <v>1</v>
      </c>
      <c r="P897" s="23" t="n">
        <v>1</v>
      </c>
      <c r="Q897" s="23" t="n">
        <f>MIN(O897,P897)</f>
        <v>1</v>
      </c>
      <c r="R897" s="25" t="n">
        <f>IF(M897=0,0,MIN(1,L897/M897))</f>
        <v>1</v>
      </c>
      <c r="S897" s="23" t="n">
        <f>O897*R897</f>
        <v>1</v>
      </c>
      <c r="T897" s="23" t="n">
        <f>MIN(P897,S897)</f>
        <v>1</v>
      </c>
      <c r="U897" s="23" t="n">
        <f>O897-S897</f>
        <v>0</v>
      </c>
      <c r="V897" s="23" t="n">
        <f>MAX(P897-O897,0)</f>
        <v>0</v>
      </c>
    </row>
    <row r="898">
      <c r="A898" s="19" t="str">
        <v>英国区</v>
      </c>
      <c r="B898" s="19" t="str">
        <v>伯明翰15号仓</v>
      </c>
      <c r="C898" s="19" t="str">
        <v>拣货组</v>
      </c>
      <c r="D898" s="21" t="n">
        <v>46119</v>
      </c>
      <c r="E898" s="19" t="str">
        <v>2026-04</v>
      </c>
      <c r="F898" s="19" t="str">
        <v>操作员</v>
      </c>
      <c r="G898" s="19" t="str">
        <v>英国区09:00-17:30 / UK 09:00-17:30</v>
      </c>
      <c r="H898" s="19" t="str">
        <v>S000132</v>
      </c>
      <c r="I898" s="19" t="str">
        <v>HRA Recruitment Services</v>
      </c>
      <c r="J898" s="23" t="n">
        <v>1</v>
      </c>
      <c r="K898" s="23" t="n">
        <v>0</v>
      </c>
      <c r="L898" s="23" t="n">
        <f>J898+K898</f>
        <v>1</v>
      </c>
      <c r="M898" s="23" t="n">
        <v>1</v>
      </c>
      <c r="N898" s="23" t="n">
        <v>1</v>
      </c>
      <c r="O898" s="23" t="n">
        <v>1</v>
      </c>
      <c r="P898" s="23" t="n">
        <v>1</v>
      </c>
      <c r="Q898" s="23" t="n">
        <f>MIN(O898,P898)</f>
        <v>1</v>
      </c>
      <c r="R898" s="25" t="n">
        <f>IF(M898=0,0,MIN(1,L898/M898))</f>
        <v>1</v>
      </c>
      <c r="S898" s="23" t="n">
        <f>O898*R898</f>
        <v>1</v>
      </c>
      <c r="T898" s="23" t="n">
        <f>MIN(P898,S898)</f>
        <v>1</v>
      </c>
      <c r="U898" s="23" t="n">
        <f>O898-S898</f>
        <v>0</v>
      </c>
      <c r="V898" s="23" t="n">
        <f>MAX(P898-O898,0)</f>
        <v>0</v>
      </c>
    </row>
    <row r="899">
      <c r="A899" s="19" t="str">
        <v>英国区</v>
      </c>
      <c r="B899" s="19" t="str">
        <v>伯明翰15号仓</v>
      </c>
      <c r="C899" s="19" t="str">
        <v>拣货组</v>
      </c>
      <c r="D899" s="21" t="n">
        <v>46120</v>
      </c>
      <c r="E899" s="19" t="str">
        <v>2026-04</v>
      </c>
      <c r="F899" s="19" t="str">
        <v>操作员</v>
      </c>
      <c r="G899" s="19" t="str">
        <v>英国区11:00-19:30 / UK 11:00-19:30</v>
      </c>
      <c r="H899" s="19" t="str">
        <v>S000289</v>
      </c>
      <c r="I899" s="19" t="str">
        <v>Staffzilla Limited</v>
      </c>
      <c r="J899" s="23" t="n">
        <v>2</v>
      </c>
      <c r="K899" s="23" t="n">
        <v>0</v>
      </c>
      <c r="L899" s="23" t="n">
        <f>J899+K899</f>
        <v>2</v>
      </c>
      <c r="M899" s="23" t="n">
        <v>2</v>
      </c>
      <c r="N899" s="23" t="n">
        <v>2</v>
      </c>
      <c r="O899" s="23" t="n">
        <v>2</v>
      </c>
      <c r="P899" s="23" t="n">
        <v>2</v>
      </c>
      <c r="Q899" s="23" t="n">
        <f>MIN(O899,P899)</f>
        <v>2</v>
      </c>
      <c r="R899" s="25" t="n">
        <f>IF(M899=0,0,MIN(1,L899/M899))</f>
        <v>1</v>
      </c>
      <c r="S899" s="23" t="n">
        <f>O899*R899</f>
        <v>2</v>
      </c>
      <c r="T899" s="23" t="n">
        <f>MIN(P899,S899)</f>
        <v>2</v>
      </c>
      <c r="U899" s="23" t="n">
        <f>O899-S899</f>
        <v>0</v>
      </c>
      <c r="V899" s="23" t="n">
        <f>MAX(P899-O899,0)</f>
        <v>0</v>
      </c>
    </row>
    <row r="900">
      <c r="A900" s="19" t="str">
        <v>英国区</v>
      </c>
      <c r="B900" s="19" t="str">
        <v>伯明翰15号仓</v>
      </c>
      <c r="C900" s="19" t="str">
        <v>拣货组</v>
      </c>
      <c r="D900" s="21" t="n">
        <v>46122</v>
      </c>
      <c r="E900" s="19" t="str">
        <v>2026-04</v>
      </c>
      <c r="F900" s="19" t="str">
        <v>操作员</v>
      </c>
      <c r="G900" s="19" t="str">
        <v>英国区09:00-17:30 / UK 09:00-17:30</v>
      </c>
      <c r="H900" s="19" t="str">
        <v>S000289</v>
      </c>
      <c r="I900" s="19" t="str">
        <v>Staffzilla Limited</v>
      </c>
      <c r="J900" s="23" t="n">
        <v>2</v>
      </c>
      <c r="K900" s="23" t="n">
        <v>0</v>
      </c>
      <c r="L900" s="23" t="n">
        <f>J900+K900</f>
        <v>2</v>
      </c>
      <c r="M900" s="23" t="n">
        <v>2</v>
      </c>
      <c r="N900" s="23" t="n">
        <v>2</v>
      </c>
      <c r="O900" s="23" t="n">
        <v>2</v>
      </c>
      <c r="P900" s="23" t="n">
        <v>2</v>
      </c>
      <c r="Q900" s="23" t="n">
        <f>MIN(O900,P900)</f>
        <v>2</v>
      </c>
      <c r="R900" s="25" t="n">
        <f>IF(M900=0,0,MIN(1,L900/M900))</f>
        <v>1</v>
      </c>
      <c r="S900" s="23" t="n">
        <f>O900*R900</f>
        <v>2</v>
      </c>
      <c r="T900" s="23" t="n">
        <f>MIN(P900,S900)</f>
        <v>2</v>
      </c>
      <c r="U900" s="23" t="n">
        <f>O900-S900</f>
        <v>0</v>
      </c>
      <c r="V900" s="23" t="n">
        <f>MAX(P900-O900,0)</f>
        <v>0</v>
      </c>
    </row>
    <row r="901">
      <c r="A901" s="19" t="str">
        <v>英国区</v>
      </c>
      <c r="B901" s="19" t="str">
        <v>伯明翰15号仓</v>
      </c>
      <c r="C901" s="19" t="str">
        <v>拣货组</v>
      </c>
      <c r="D901" s="21" t="n">
        <v>46124</v>
      </c>
      <c r="E901" s="19" t="str">
        <v>2026-04</v>
      </c>
      <c r="F901" s="19" t="str">
        <v>操作员</v>
      </c>
      <c r="G901" s="19" t="str">
        <v>英国区09:00-17:30 / UK 09:00-17:30</v>
      </c>
      <c r="H901" s="19" t="str">
        <v>S000132</v>
      </c>
      <c r="I901" s="19" t="str">
        <v>HRA Recruitment Services</v>
      </c>
      <c r="J901" s="23" t="n">
        <v>2</v>
      </c>
      <c r="K901" s="23" t="n">
        <v>0</v>
      </c>
      <c r="L901" s="23" t="n">
        <f>J901+K901</f>
        <v>2</v>
      </c>
      <c r="M901" s="23" t="n">
        <v>2</v>
      </c>
      <c r="N901" s="23" t="n">
        <v>1</v>
      </c>
      <c r="O901" s="23" t="n">
        <v>1</v>
      </c>
      <c r="P901" s="23" t="n">
        <v>1</v>
      </c>
      <c r="Q901" s="23" t="n">
        <f>MIN(O901,P901)</f>
        <v>1</v>
      </c>
      <c r="R901" s="25" t="n">
        <f>IF(M901=0,0,MIN(1,L901/M901))</f>
        <v>1</v>
      </c>
      <c r="S901" s="23" t="n">
        <f>O901*R901</f>
        <v>1</v>
      </c>
      <c r="T901" s="23" t="n">
        <f>MIN(P901,S901)</f>
        <v>1</v>
      </c>
      <c r="U901" s="23" t="n">
        <f>O901-S901</f>
        <v>0</v>
      </c>
      <c r="V901" s="23" t="n">
        <f>MAX(P901-O901,0)</f>
        <v>0</v>
      </c>
    </row>
    <row r="902">
      <c r="A902" s="19" t="str">
        <v>英国区</v>
      </c>
      <c r="B902" s="19" t="str">
        <v>伯明翰15号仓</v>
      </c>
      <c r="C902" s="19" t="str">
        <v>拣货组</v>
      </c>
      <c r="D902" s="21" t="n">
        <v>46124</v>
      </c>
      <c r="E902" s="19" t="str">
        <v>2026-04</v>
      </c>
      <c r="F902" s="19" t="str">
        <v>操作员</v>
      </c>
      <c r="G902" s="19" t="str">
        <v>英国区09:00-17:30 / UK 09:00-17:30</v>
      </c>
      <c r="H902" s="19" t="str">
        <v>S000289</v>
      </c>
      <c r="I902" s="19" t="str">
        <v>Staffzilla Limited</v>
      </c>
      <c r="J902" s="23" t="n">
        <v>2</v>
      </c>
      <c r="K902" s="23" t="n">
        <v>0</v>
      </c>
      <c r="L902" s="23" t="n">
        <f>J902+K902</f>
        <v>2</v>
      </c>
      <c r="M902" s="23" t="n">
        <v>2</v>
      </c>
      <c r="N902" s="23" t="n">
        <v>1</v>
      </c>
      <c r="O902" s="23" t="n">
        <v>1</v>
      </c>
      <c r="P902" s="23" t="n">
        <v>0</v>
      </c>
      <c r="Q902" s="23" t="n">
        <f>MIN(O902,P902)</f>
        <v>0</v>
      </c>
      <c r="R902" s="25" t="n">
        <f>IF(M902=0,0,MIN(1,L902/M902))</f>
        <v>1</v>
      </c>
      <c r="S902" s="23" t="n">
        <f>O902*R902</f>
        <v>1</v>
      </c>
      <c r="T902" s="23" t="n">
        <f>MIN(P902,S902)</f>
        <v>0</v>
      </c>
      <c r="U902" s="23" t="n">
        <f>O902-S902</f>
        <v>0</v>
      </c>
      <c r="V902" s="23" t="n">
        <f>MAX(P902-O902,0)</f>
        <v>0</v>
      </c>
    </row>
    <row r="903">
      <c r="A903" s="19" t="str">
        <v>英国区</v>
      </c>
      <c r="B903" s="19" t="str">
        <v>伯明翰15号仓</v>
      </c>
      <c r="C903" s="19" t="str">
        <v>拣货组</v>
      </c>
      <c r="D903" s="21" t="n">
        <v>46126</v>
      </c>
      <c r="E903" s="19" t="str">
        <v>2026-04</v>
      </c>
      <c r="F903" s="19" t="str">
        <v>操作员</v>
      </c>
      <c r="G903" s="19" t="str">
        <v>英国区09:00-17:30 / UK 09:00-17:30</v>
      </c>
      <c r="H903" s="19" t="str">
        <v>S000132</v>
      </c>
      <c r="I903" s="19" t="str">
        <v>HRA Recruitment Services</v>
      </c>
      <c r="J903" s="23" t="n">
        <v>3</v>
      </c>
      <c r="K903" s="23" t="n">
        <v>0</v>
      </c>
      <c r="L903" s="23" t="n">
        <f>J903+K903</f>
        <v>3</v>
      </c>
      <c r="M903" s="23" t="n">
        <v>3</v>
      </c>
      <c r="N903" s="23" t="n">
        <v>3</v>
      </c>
      <c r="O903" s="23" t="n">
        <v>3</v>
      </c>
      <c r="P903" s="23" t="n">
        <v>3</v>
      </c>
      <c r="Q903" s="23" t="n">
        <f>MIN(O903,P903)</f>
        <v>3</v>
      </c>
      <c r="R903" s="25" t="n">
        <f>IF(M903=0,0,MIN(1,L903/M903))</f>
        <v>1</v>
      </c>
      <c r="S903" s="23" t="n">
        <f>O903*R903</f>
        <v>3</v>
      </c>
      <c r="T903" s="23" t="n">
        <f>MIN(P903,S903)</f>
        <v>3</v>
      </c>
      <c r="U903" s="23" t="n">
        <f>O903-S903</f>
        <v>0</v>
      </c>
      <c r="V903" s="23" t="n">
        <f>MAX(P903-O903,0)</f>
        <v>0</v>
      </c>
    </row>
    <row r="904">
      <c r="A904" s="19" t="str">
        <v>英国区</v>
      </c>
      <c r="B904" s="19" t="str">
        <v>伯明翰15号仓</v>
      </c>
      <c r="C904" s="19" t="str">
        <v>拣货组</v>
      </c>
      <c r="D904" s="21" t="n">
        <v>46127</v>
      </c>
      <c r="E904" s="19" t="str">
        <v>2026-04</v>
      </c>
      <c r="F904" s="19" t="str">
        <v>操作员</v>
      </c>
      <c r="G904" s="19" t="str">
        <v>英国区09:00-17:30 / UK 09:00-17:30</v>
      </c>
      <c r="H904" s="19" t="str">
        <v>S000013</v>
      </c>
      <c r="I904" s="19" t="str">
        <v>FT Recruitment</v>
      </c>
      <c r="J904" s="23" t="n">
        <v>3</v>
      </c>
      <c r="K904" s="23" t="n">
        <v>0</v>
      </c>
      <c r="L904" s="23" t="n">
        <f>J904+K904</f>
        <v>3</v>
      </c>
      <c r="M904" s="23" t="n">
        <v>3</v>
      </c>
      <c r="N904" s="23" t="n">
        <v>3</v>
      </c>
      <c r="O904" s="23" t="n">
        <v>1</v>
      </c>
      <c r="P904" s="23" t="n">
        <v>1</v>
      </c>
      <c r="Q904" s="23" t="n">
        <f>MIN(O904,P904)</f>
        <v>1</v>
      </c>
      <c r="R904" s="25" t="n">
        <f>IF(M904=0,0,MIN(1,L904/M904))</f>
        <v>1</v>
      </c>
      <c r="S904" s="23" t="n">
        <f>O904*R904</f>
        <v>1</v>
      </c>
      <c r="T904" s="23" t="n">
        <f>MIN(P904,S904)</f>
        <v>1</v>
      </c>
      <c r="U904" s="23" t="n">
        <f>O904-S904</f>
        <v>0</v>
      </c>
      <c r="V904" s="23" t="n">
        <f>MAX(P904-O904,0)</f>
        <v>0</v>
      </c>
    </row>
    <row r="905">
      <c r="A905" s="19" t="str">
        <v>英国区</v>
      </c>
      <c r="B905" s="19" t="str">
        <v>伯明翰15号仓</v>
      </c>
      <c r="C905" s="19" t="str">
        <v>拣货组</v>
      </c>
      <c r="D905" s="21" t="n">
        <v>46127</v>
      </c>
      <c r="E905" s="19" t="str">
        <v>2026-04</v>
      </c>
      <c r="F905" s="19" t="str">
        <v>操作员</v>
      </c>
      <c r="G905" s="19" t="str">
        <v>英国区09:00-17:30 / UK 09:00-17:30</v>
      </c>
      <c r="H905" s="19" t="str">
        <v>S000132</v>
      </c>
      <c r="I905" s="19" t="str">
        <v>HRA Recruitment Services</v>
      </c>
      <c r="J905" s="23" t="n">
        <v>3</v>
      </c>
      <c r="K905" s="23" t="n">
        <v>0</v>
      </c>
      <c r="L905" s="23" t="n">
        <f>J905+K905</f>
        <v>3</v>
      </c>
      <c r="M905" s="23" t="n">
        <v>3</v>
      </c>
      <c r="N905" s="23" t="n">
        <v>3</v>
      </c>
      <c r="O905" s="23" t="n">
        <v>1</v>
      </c>
      <c r="P905" s="23" t="n">
        <v>1</v>
      </c>
      <c r="Q905" s="23" t="n">
        <f>MIN(O905,P905)</f>
        <v>1</v>
      </c>
      <c r="R905" s="25" t="n">
        <f>IF(M905=0,0,MIN(1,L905/M905))</f>
        <v>1</v>
      </c>
      <c r="S905" s="23" t="n">
        <f>O905*R905</f>
        <v>1</v>
      </c>
      <c r="T905" s="23" t="n">
        <f>MIN(P905,S905)</f>
        <v>1</v>
      </c>
      <c r="U905" s="23" t="n">
        <f>O905-S905</f>
        <v>0</v>
      </c>
      <c r="V905" s="23" t="n">
        <f>MAX(P905-O905,0)</f>
        <v>0</v>
      </c>
    </row>
    <row r="906">
      <c r="A906" s="19" t="str">
        <v>英国区</v>
      </c>
      <c r="B906" s="19" t="str">
        <v>伯明翰15号仓</v>
      </c>
      <c r="C906" s="19" t="str">
        <v>拣货组</v>
      </c>
      <c r="D906" s="21" t="n">
        <v>46127</v>
      </c>
      <c r="E906" s="19" t="str">
        <v>2026-04</v>
      </c>
      <c r="F906" s="19" t="str">
        <v>操作员</v>
      </c>
      <c r="G906" s="19" t="str">
        <v>英国区09:00-17:30 / UK 09:00-17:30</v>
      </c>
      <c r="H906" s="19" t="str">
        <v>S000289</v>
      </c>
      <c r="I906" s="19" t="str">
        <v>Staffzilla Limited</v>
      </c>
      <c r="J906" s="23" t="n">
        <v>3</v>
      </c>
      <c r="K906" s="23" t="n">
        <v>0</v>
      </c>
      <c r="L906" s="23" t="n">
        <f>J906+K906</f>
        <v>3</v>
      </c>
      <c r="M906" s="23" t="n">
        <v>3</v>
      </c>
      <c r="N906" s="23" t="n">
        <v>3</v>
      </c>
      <c r="O906" s="23" t="n">
        <v>1</v>
      </c>
      <c r="P906" s="23" t="n">
        <v>1</v>
      </c>
      <c r="Q906" s="23" t="n">
        <f>MIN(O906,P906)</f>
        <v>1</v>
      </c>
      <c r="R906" s="25" t="n">
        <f>IF(M906=0,0,MIN(1,L906/M906))</f>
        <v>1</v>
      </c>
      <c r="S906" s="23" t="n">
        <f>O906*R906</f>
        <v>1</v>
      </c>
      <c r="T906" s="23" t="n">
        <f>MIN(P906,S906)</f>
        <v>1</v>
      </c>
      <c r="U906" s="23" t="n">
        <f>O906-S906</f>
        <v>0</v>
      </c>
      <c r="V906" s="23" t="n">
        <f>MAX(P906-O906,0)</f>
        <v>0</v>
      </c>
    </row>
    <row r="907">
      <c r="A907" s="19" t="str">
        <v>英国区</v>
      </c>
      <c r="B907" s="19" t="str">
        <v>伯明翰15号仓</v>
      </c>
      <c r="C907" s="19" t="str">
        <v>拣货组</v>
      </c>
      <c r="D907" s="21" t="n">
        <v>46128</v>
      </c>
      <c r="E907" s="19" t="str">
        <v>2026-04</v>
      </c>
      <c r="F907" s="19" t="str">
        <v>操作员</v>
      </c>
      <c r="G907" s="19" t="str">
        <v>英国区09:00-17:30 / UK 09:00-17:30</v>
      </c>
      <c r="H907" s="19" t="str">
        <v>S000013</v>
      </c>
      <c r="I907" s="19" t="str">
        <v>FT Recruitment</v>
      </c>
      <c r="J907" s="23" t="n">
        <v>3</v>
      </c>
      <c r="K907" s="23" t="n">
        <v>0</v>
      </c>
      <c r="L907" s="23" t="n">
        <f>J907+K907</f>
        <v>3</v>
      </c>
      <c r="M907" s="23" t="n">
        <v>3</v>
      </c>
      <c r="N907" s="23" t="n">
        <v>3</v>
      </c>
      <c r="O907" s="23" t="n">
        <v>1</v>
      </c>
      <c r="P907" s="23" t="n">
        <v>1</v>
      </c>
      <c r="Q907" s="23" t="n">
        <f>MIN(O907,P907)</f>
        <v>1</v>
      </c>
      <c r="R907" s="25" t="n">
        <f>IF(M907=0,0,MIN(1,L907/M907))</f>
        <v>1</v>
      </c>
      <c r="S907" s="23" t="n">
        <f>O907*R907</f>
        <v>1</v>
      </c>
      <c r="T907" s="23" t="n">
        <f>MIN(P907,S907)</f>
        <v>1</v>
      </c>
      <c r="U907" s="23" t="n">
        <f>O907-S907</f>
        <v>0</v>
      </c>
      <c r="V907" s="23" t="n">
        <f>MAX(P907-O907,0)</f>
        <v>0</v>
      </c>
    </row>
    <row r="908">
      <c r="A908" s="19" t="str">
        <v>英国区</v>
      </c>
      <c r="B908" s="19" t="str">
        <v>伯明翰15号仓</v>
      </c>
      <c r="C908" s="19" t="str">
        <v>拣货组</v>
      </c>
      <c r="D908" s="21" t="n">
        <v>46128</v>
      </c>
      <c r="E908" s="19" t="str">
        <v>2026-04</v>
      </c>
      <c r="F908" s="19" t="str">
        <v>操作员</v>
      </c>
      <c r="G908" s="19" t="str">
        <v>英国区09:00-17:30 / UK 09:00-17:30</v>
      </c>
      <c r="H908" s="19" t="str">
        <v>S000132</v>
      </c>
      <c r="I908" s="19" t="str">
        <v>HRA Recruitment Services</v>
      </c>
      <c r="J908" s="23" t="n">
        <v>3</v>
      </c>
      <c r="K908" s="23" t="n">
        <v>0</v>
      </c>
      <c r="L908" s="23" t="n">
        <f>J908+K908</f>
        <v>3</v>
      </c>
      <c r="M908" s="23" t="n">
        <v>3</v>
      </c>
      <c r="N908" s="23" t="n">
        <v>3</v>
      </c>
      <c r="O908" s="23" t="n">
        <v>1</v>
      </c>
      <c r="P908" s="23" t="n">
        <v>1</v>
      </c>
      <c r="Q908" s="23" t="n">
        <f>MIN(O908,P908)</f>
        <v>1</v>
      </c>
      <c r="R908" s="25" t="n">
        <f>IF(M908=0,0,MIN(1,L908/M908))</f>
        <v>1</v>
      </c>
      <c r="S908" s="23" t="n">
        <f>O908*R908</f>
        <v>1</v>
      </c>
      <c r="T908" s="23" t="n">
        <f>MIN(P908,S908)</f>
        <v>1</v>
      </c>
      <c r="U908" s="23" t="n">
        <f>O908-S908</f>
        <v>0</v>
      </c>
      <c r="V908" s="23" t="n">
        <f>MAX(P908-O908,0)</f>
        <v>0</v>
      </c>
    </row>
    <row r="909">
      <c r="A909" s="19" t="str">
        <v>英国区</v>
      </c>
      <c r="B909" s="19" t="str">
        <v>伯明翰15号仓</v>
      </c>
      <c r="C909" s="19" t="str">
        <v>拣货组</v>
      </c>
      <c r="D909" s="21" t="n">
        <v>46128</v>
      </c>
      <c r="E909" s="19" t="str">
        <v>2026-04</v>
      </c>
      <c r="F909" s="19" t="str">
        <v>操作员</v>
      </c>
      <c r="G909" s="19" t="str">
        <v>英国区09:00-17:30 / UK 09:00-17:30</v>
      </c>
      <c r="H909" s="19" t="str">
        <v>S000274</v>
      </c>
      <c r="I909" s="19" t="str">
        <v>Jobsworth Recruitment Solutions Limited</v>
      </c>
      <c r="J909" s="23" t="n">
        <v>3</v>
      </c>
      <c r="K909" s="23" t="n">
        <v>0</v>
      </c>
      <c r="L909" s="23" t="n">
        <f>J909+K909</f>
        <v>3</v>
      </c>
      <c r="M909" s="23" t="n">
        <v>3</v>
      </c>
      <c r="N909" s="23" t="n">
        <v>3</v>
      </c>
      <c r="O909" s="23" t="n">
        <v>1</v>
      </c>
      <c r="P909" s="23" t="n">
        <v>1</v>
      </c>
      <c r="Q909" s="23" t="n">
        <f>MIN(O909,P909)</f>
        <v>1</v>
      </c>
      <c r="R909" s="25" t="n">
        <f>IF(M909=0,0,MIN(1,L909/M909))</f>
        <v>1</v>
      </c>
      <c r="S909" s="23" t="n">
        <f>O909*R909</f>
        <v>1</v>
      </c>
      <c r="T909" s="23" t="n">
        <f>MIN(P909,S909)</f>
        <v>1</v>
      </c>
      <c r="U909" s="23" t="n">
        <f>O909-S909</f>
        <v>0</v>
      </c>
      <c r="V909" s="23" t="n">
        <f>MAX(P909-O909,0)</f>
        <v>0</v>
      </c>
    </row>
    <row r="910">
      <c r="A910" s="19" t="str">
        <v>英国区</v>
      </c>
      <c r="B910" s="19" t="str">
        <v>伯明翰15号仓</v>
      </c>
      <c r="C910" s="19" t="str">
        <v>拣货组</v>
      </c>
      <c r="D910" s="21" t="n">
        <v>46129</v>
      </c>
      <c r="E910" s="19" t="str">
        <v>2026-04</v>
      </c>
      <c r="F910" s="19" t="str">
        <v>操作员</v>
      </c>
      <c r="G910" s="19" t="str">
        <v>英国区09:00-17:30 / UK 09:00-17:30</v>
      </c>
      <c r="H910" s="19" t="str">
        <v>S000132</v>
      </c>
      <c r="I910" s="19" t="str">
        <v>HRA Recruitment Services</v>
      </c>
      <c r="J910" s="23" t="n">
        <v>2</v>
      </c>
      <c r="K910" s="23" t="n">
        <v>0</v>
      </c>
      <c r="L910" s="23" t="n">
        <f>J910+K910</f>
        <v>2</v>
      </c>
      <c r="M910" s="23" t="n">
        <v>2</v>
      </c>
      <c r="N910" s="23" t="n">
        <v>2</v>
      </c>
      <c r="O910" s="23" t="n">
        <v>1</v>
      </c>
      <c r="P910" s="23" t="n">
        <v>1</v>
      </c>
      <c r="Q910" s="23" t="n">
        <f>MIN(O910,P910)</f>
        <v>1</v>
      </c>
      <c r="R910" s="25" t="n">
        <f>IF(M910=0,0,MIN(1,L910/M910))</f>
        <v>1</v>
      </c>
      <c r="S910" s="23" t="n">
        <f>O910*R910</f>
        <v>1</v>
      </c>
      <c r="T910" s="23" t="n">
        <f>MIN(P910,S910)</f>
        <v>1</v>
      </c>
      <c r="U910" s="23" t="n">
        <f>O910-S910</f>
        <v>0</v>
      </c>
      <c r="V910" s="23" t="n">
        <f>MAX(P910-O910,0)</f>
        <v>0</v>
      </c>
    </row>
    <row r="911">
      <c r="A911" s="19" t="str">
        <v>英国区</v>
      </c>
      <c r="B911" s="19" t="str">
        <v>伯明翰15号仓</v>
      </c>
      <c r="C911" s="19" t="str">
        <v>拣货组</v>
      </c>
      <c r="D911" s="21" t="n">
        <v>46129</v>
      </c>
      <c r="E911" s="19" t="str">
        <v>2026-04</v>
      </c>
      <c r="F911" s="19" t="str">
        <v>操作员</v>
      </c>
      <c r="G911" s="19" t="str">
        <v>英国区09:00-17:30 / UK 09:00-17:30</v>
      </c>
      <c r="H911" s="19" t="str">
        <v>S000274</v>
      </c>
      <c r="I911" s="19" t="str">
        <v>Jobsworth Recruitment Solutions Limited</v>
      </c>
      <c r="J911" s="23" t="n">
        <v>2</v>
      </c>
      <c r="K911" s="23" t="n">
        <v>0</v>
      </c>
      <c r="L911" s="23" t="n">
        <f>J911+K911</f>
        <v>2</v>
      </c>
      <c r="M911" s="23" t="n">
        <v>2</v>
      </c>
      <c r="N911" s="23" t="n">
        <v>2</v>
      </c>
      <c r="O911" s="23" t="n">
        <v>1</v>
      </c>
      <c r="P911" s="23" t="n">
        <v>1</v>
      </c>
      <c r="Q911" s="23" t="n">
        <f>MIN(O911,P911)</f>
        <v>1</v>
      </c>
      <c r="R911" s="25" t="n">
        <f>IF(M911=0,0,MIN(1,L911/M911))</f>
        <v>1</v>
      </c>
      <c r="S911" s="23" t="n">
        <f>O911*R911</f>
        <v>1</v>
      </c>
      <c r="T911" s="23" t="n">
        <f>MIN(P911,S911)</f>
        <v>1</v>
      </c>
      <c r="U911" s="23" t="n">
        <f>O911-S911</f>
        <v>0</v>
      </c>
      <c r="V911" s="23" t="n">
        <f>MAX(P911-O911,0)</f>
        <v>0</v>
      </c>
    </row>
    <row r="912">
      <c r="A912" s="19" t="str">
        <v>英国区</v>
      </c>
      <c r="B912" s="19" t="str">
        <v>伯明翰15号仓</v>
      </c>
      <c r="C912" s="19" t="str">
        <v>拣货组</v>
      </c>
      <c r="D912" s="21" t="n">
        <v>46135</v>
      </c>
      <c r="E912" s="19" t="str">
        <v>2026-04</v>
      </c>
      <c r="F912" s="19" t="str">
        <v>操作员</v>
      </c>
      <c r="G912" s="19" t="str">
        <v>英国区09:00-17:30 / UK 09:00-17:30</v>
      </c>
      <c r="H912" s="19" t="str">
        <v>S000289</v>
      </c>
      <c r="I912" s="19" t="str">
        <v>Staffzilla Limited</v>
      </c>
      <c r="J912" s="23" t="n">
        <v>1</v>
      </c>
      <c r="K912" s="23" t="n">
        <v>0</v>
      </c>
      <c r="L912" s="23" t="n">
        <f>J912+K912</f>
        <v>1</v>
      </c>
      <c r="M912" s="23" t="n">
        <v>1</v>
      </c>
      <c r="N912" s="23" t="n">
        <v>1</v>
      </c>
      <c r="O912" s="23" t="n">
        <v>1</v>
      </c>
      <c r="P912" s="23" t="n">
        <v>1</v>
      </c>
      <c r="Q912" s="23" t="n">
        <f>MIN(O912,P912)</f>
        <v>1</v>
      </c>
      <c r="R912" s="25" t="n">
        <f>IF(M912=0,0,MIN(1,L912/M912))</f>
        <v>1</v>
      </c>
      <c r="S912" s="23" t="n">
        <f>O912*R912</f>
        <v>1</v>
      </c>
      <c r="T912" s="23" t="n">
        <f>MIN(P912,S912)</f>
        <v>1</v>
      </c>
      <c r="U912" s="23" t="n">
        <f>O912-S912</f>
        <v>0</v>
      </c>
      <c r="V912" s="23" t="n">
        <f>MAX(P912-O912,0)</f>
        <v>0</v>
      </c>
    </row>
    <row r="913">
      <c r="A913" s="19" t="str">
        <v>英国区</v>
      </c>
      <c r="B913" s="19" t="str">
        <v>伯明翰15号仓</v>
      </c>
      <c r="C913" s="19" t="str">
        <v>拣货组</v>
      </c>
      <c r="D913" s="21" t="n">
        <v>46136</v>
      </c>
      <c r="E913" s="19" t="str">
        <v>2026-04</v>
      </c>
      <c r="F913" s="19" t="str">
        <v>操作员</v>
      </c>
      <c r="G913" s="19" t="str">
        <v>英国区09:00-17:30 / UK 09:00-17:30</v>
      </c>
      <c r="H913" s="19" t="str">
        <v>S000289</v>
      </c>
      <c r="I913" s="19" t="str">
        <v>Staffzilla Limited</v>
      </c>
      <c r="J913" s="23" t="n">
        <v>1</v>
      </c>
      <c r="K913" s="23" t="n">
        <v>0</v>
      </c>
      <c r="L913" s="23" t="n">
        <f>J913+K913</f>
        <v>1</v>
      </c>
      <c r="M913" s="23" t="n">
        <v>1</v>
      </c>
      <c r="N913" s="23" t="n">
        <v>1</v>
      </c>
      <c r="O913" s="23" t="n">
        <v>1</v>
      </c>
      <c r="P913" s="23" t="n">
        <v>1</v>
      </c>
      <c r="Q913" s="23" t="n">
        <f>MIN(O913,P913)</f>
        <v>1</v>
      </c>
      <c r="R913" s="25" t="n">
        <f>IF(M913=0,0,MIN(1,L913/M913))</f>
        <v>1</v>
      </c>
      <c r="S913" s="23" t="n">
        <f>O913*R913</f>
        <v>1</v>
      </c>
      <c r="T913" s="23" t="n">
        <f>MIN(P913,S913)</f>
        <v>1</v>
      </c>
      <c r="U913" s="23" t="n">
        <f>O913-S913</f>
        <v>0</v>
      </c>
      <c r="V913" s="23" t="n">
        <f>MAX(P913-O913,0)</f>
        <v>0</v>
      </c>
    </row>
    <row r="914">
      <c r="A914" s="19" t="str">
        <v>英国区</v>
      </c>
      <c r="B914" s="19" t="str">
        <v>伯明翰15号仓</v>
      </c>
      <c r="C914" s="19" t="str">
        <v>拣货组</v>
      </c>
      <c r="D914" s="21" t="n">
        <v>46175</v>
      </c>
      <c r="E914" s="19" t="str">
        <v>2026-06</v>
      </c>
      <c r="F914" s="19" t="str">
        <v>操作员</v>
      </c>
      <c r="G914" s="19" t="str">
        <v>英国区11:00-19:30 / UK 11:00-19:30</v>
      </c>
      <c r="H914" s="19" t="str">
        <v>S000132</v>
      </c>
      <c r="I914" s="19" t="str">
        <v>HRA Recruitment Services</v>
      </c>
      <c r="J914" s="23" t="n">
        <v>1</v>
      </c>
      <c r="K914" s="23" t="n">
        <v>0</v>
      </c>
      <c r="L914" s="23" t="n">
        <f>J914+K914</f>
        <v>1</v>
      </c>
      <c r="M914" s="23" t="n">
        <v>1</v>
      </c>
      <c r="N914" s="23" t="n">
        <v>1</v>
      </c>
      <c r="O914" s="23" t="n">
        <v>1</v>
      </c>
      <c r="P914" s="23" t="n">
        <v>1</v>
      </c>
      <c r="Q914" s="23" t="n">
        <f>MIN(O914,P914)</f>
        <v>1</v>
      </c>
      <c r="R914" s="25" t="n">
        <f>IF(M914=0,0,MIN(1,L914/M914))</f>
        <v>1</v>
      </c>
      <c r="S914" s="23" t="n">
        <f>O914*R914</f>
        <v>1</v>
      </c>
      <c r="T914" s="23" t="n">
        <f>MIN(P914,S914)</f>
        <v>1</v>
      </c>
      <c r="U914" s="23" t="n">
        <f>O914-S914</f>
        <v>0</v>
      </c>
      <c r="V914" s="23" t="n">
        <f>MAX(P914-O914,0)</f>
        <v>0</v>
      </c>
    </row>
    <row r="915">
      <c r="A915" s="19" t="str">
        <v>英国区</v>
      </c>
      <c r="B915" s="19" t="str">
        <v>伯明翰15号仓</v>
      </c>
      <c r="C915" s="19" t="str">
        <v>拣货组</v>
      </c>
      <c r="D915" s="21" t="n">
        <v>46178</v>
      </c>
      <c r="E915" s="19" t="str">
        <v>2026-06</v>
      </c>
      <c r="F915" s="19" t="str">
        <v>操作员</v>
      </c>
      <c r="G915" s="19" t="str">
        <v>英国区09:00-17:30 / UK 09:00-17:30</v>
      </c>
      <c r="H915" s="19" t="str">
        <v>S000132</v>
      </c>
      <c r="I915" s="19" t="str">
        <v>HRA Recruitment Services</v>
      </c>
      <c r="J915" s="23" t="n">
        <v>4</v>
      </c>
      <c r="K915" s="23" t="n">
        <v>0</v>
      </c>
      <c r="L915" s="23" t="n">
        <f>J915+K915</f>
        <v>4</v>
      </c>
      <c r="M915" s="23" t="n">
        <v>4</v>
      </c>
      <c r="N915" s="23" t="n">
        <v>4</v>
      </c>
      <c r="O915" s="23" t="n">
        <v>4</v>
      </c>
      <c r="P915" s="23" t="n">
        <v>4</v>
      </c>
      <c r="Q915" s="23" t="n">
        <f>MIN(O915,P915)</f>
        <v>4</v>
      </c>
      <c r="R915" s="25" t="n">
        <f>IF(M915=0,0,MIN(1,L915/M915))</f>
        <v>1</v>
      </c>
      <c r="S915" s="23" t="n">
        <f>O915*R915</f>
        <v>4</v>
      </c>
      <c r="T915" s="23" t="n">
        <f>MIN(P915,S915)</f>
        <v>4</v>
      </c>
      <c r="U915" s="23" t="n">
        <f>O915-S915</f>
        <v>0</v>
      </c>
      <c r="V915" s="23" t="n">
        <f>MAX(P915-O915,0)</f>
        <v>0</v>
      </c>
    </row>
    <row r="916">
      <c r="A916" s="19" t="str">
        <v>英国区</v>
      </c>
      <c r="B916" s="19" t="str">
        <v>伯明翰15号仓</v>
      </c>
      <c r="C916" s="19" t="str">
        <v>拣货组</v>
      </c>
      <c r="D916" s="21" t="n">
        <v>46183</v>
      </c>
      <c r="E916" s="19" t="str">
        <v>2026-06</v>
      </c>
      <c r="F916" s="19" t="str">
        <v>操作员</v>
      </c>
      <c r="G916" s="19" t="str">
        <v>英国区09:00-17:30 / UK 09:00-17:30</v>
      </c>
      <c r="H916" s="19" t="str">
        <v>S000007</v>
      </c>
      <c r="I916" s="19" t="str">
        <v>Kenect</v>
      </c>
      <c r="J916" s="23" t="n">
        <v>2</v>
      </c>
      <c r="K916" s="23" t="n">
        <v>0</v>
      </c>
      <c r="L916" s="23" t="n">
        <f>J916+K916</f>
        <v>2</v>
      </c>
      <c r="M916" s="23" t="n">
        <v>2</v>
      </c>
      <c r="N916" s="23" t="n">
        <v>1</v>
      </c>
      <c r="O916" s="23" t="n">
        <v>1</v>
      </c>
      <c r="P916" s="23" t="n">
        <v>0</v>
      </c>
      <c r="Q916" s="23" t="n">
        <f>MIN(O916,P916)</f>
        <v>0</v>
      </c>
      <c r="R916" s="25" t="n">
        <f>IF(M916=0,0,MIN(1,L916/M916))</f>
        <v>1</v>
      </c>
      <c r="S916" s="23" t="n">
        <f>O916*R916</f>
        <v>1</v>
      </c>
      <c r="T916" s="23" t="n">
        <f>MIN(P916,S916)</f>
        <v>0</v>
      </c>
      <c r="U916" s="23" t="n">
        <f>O916-S916</f>
        <v>0</v>
      </c>
      <c r="V916" s="23" t="n">
        <f>MAX(P916-O916,0)</f>
        <v>0</v>
      </c>
    </row>
    <row r="917">
      <c r="A917" s="19" t="str">
        <v>英国区</v>
      </c>
      <c r="B917" s="19" t="str">
        <v>伯明翰15号仓</v>
      </c>
      <c r="C917" s="19" t="str">
        <v>拣货组</v>
      </c>
      <c r="D917" s="21" t="n">
        <v>46183</v>
      </c>
      <c r="E917" s="19" t="str">
        <v>2026-06</v>
      </c>
      <c r="F917" s="19" t="str">
        <v>操作员</v>
      </c>
      <c r="G917" s="19" t="str">
        <v>英国区09:00-17:30 / UK 09:00-17:30</v>
      </c>
      <c r="H917" s="19" t="str">
        <v>S000132</v>
      </c>
      <c r="I917" s="19" t="str">
        <v>HRA Recruitment Services</v>
      </c>
      <c r="J917" s="23" t="n">
        <v>2</v>
      </c>
      <c r="K917" s="23" t="n">
        <v>0</v>
      </c>
      <c r="L917" s="23" t="n">
        <f>J917+K917</f>
        <v>2</v>
      </c>
      <c r="M917" s="23" t="n">
        <v>2</v>
      </c>
      <c r="N917" s="23" t="n">
        <v>1</v>
      </c>
      <c r="O917" s="23" t="n">
        <v>1</v>
      </c>
      <c r="P917" s="23" t="n">
        <v>1</v>
      </c>
      <c r="Q917" s="23" t="n">
        <f>MIN(O917,P917)</f>
        <v>1</v>
      </c>
      <c r="R917" s="25" t="n">
        <f>IF(M917=0,0,MIN(1,L917/M917))</f>
        <v>1</v>
      </c>
      <c r="S917" s="23" t="n">
        <f>O917*R917</f>
        <v>1</v>
      </c>
      <c r="T917" s="23" t="n">
        <f>MIN(P917,S917)</f>
        <v>1</v>
      </c>
      <c r="U917" s="23" t="n">
        <f>O917-S917</f>
        <v>0</v>
      </c>
      <c r="V917" s="23" t="n">
        <f>MAX(P917-O917,0)</f>
        <v>0</v>
      </c>
    </row>
    <row r="918">
      <c r="A918" s="19" t="str">
        <v>英国区</v>
      </c>
      <c r="B918" s="19" t="str">
        <v>伯明翰15号仓</v>
      </c>
      <c r="C918" s="19" t="str">
        <v>拣货组</v>
      </c>
      <c r="D918" s="21" t="n">
        <v>46188</v>
      </c>
      <c r="E918" s="19" t="str">
        <v>2026-06</v>
      </c>
      <c r="F918" s="19" t="str">
        <v>操作员</v>
      </c>
      <c r="G918" s="19" t="str">
        <v>英国区09:00-17:30 / UK 09:00-17:30</v>
      </c>
      <c r="H918" s="19" t="str">
        <v>S000132</v>
      </c>
      <c r="I918" s="19" t="str">
        <v>HRA Recruitment Services</v>
      </c>
      <c r="J918" s="23" t="n">
        <v>7</v>
      </c>
      <c r="K918" s="23" t="n">
        <v>0</v>
      </c>
      <c r="L918" s="23" t="n">
        <f>J918+K918</f>
        <v>7</v>
      </c>
      <c r="M918" s="23" t="n">
        <v>7</v>
      </c>
      <c r="N918" s="23" t="n">
        <v>7</v>
      </c>
      <c r="O918" s="23" t="n">
        <v>7</v>
      </c>
      <c r="P918" s="23" t="n">
        <v>7</v>
      </c>
      <c r="Q918" s="23" t="n">
        <f>MIN(O918,P918)</f>
        <v>7</v>
      </c>
      <c r="R918" s="25" t="n">
        <f>IF(M918=0,0,MIN(1,L918/M918))</f>
        <v>1</v>
      </c>
      <c r="S918" s="23" t="n">
        <f>O918*R918</f>
        <v>7</v>
      </c>
      <c r="T918" s="23" t="n">
        <f>MIN(P918,S918)</f>
        <v>7</v>
      </c>
      <c r="U918" s="23" t="n">
        <f>O918-S918</f>
        <v>0</v>
      </c>
      <c r="V918" s="23" t="n">
        <f>MAX(P918-O918,0)</f>
        <v>0</v>
      </c>
    </row>
    <row r="919">
      <c r="A919" s="19" t="str">
        <v>英国区</v>
      </c>
      <c r="B919" s="19" t="str">
        <v>伯明翰15号仓</v>
      </c>
      <c r="C919" s="19" t="str">
        <v>拣货组</v>
      </c>
      <c r="D919" s="21" t="n">
        <v>46192</v>
      </c>
      <c r="E919" s="19" t="str">
        <v>2026-06</v>
      </c>
      <c r="F919" s="19" t="str">
        <v>操作员</v>
      </c>
      <c r="G919" s="19" t="str">
        <v>英国区07:00-15:30 / UK 07:00-15:30</v>
      </c>
      <c r="H919" s="19" t="str">
        <v>S000132</v>
      </c>
      <c r="I919" s="19" t="str">
        <v>HRA Recruitment Services</v>
      </c>
      <c r="J919" s="23" t="n">
        <v>1</v>
      </c>
      <c r="K919" s="23" t="n">
        <v>0</v>
      </c>
      <c r="L919" s="23" t="n">
        <f>J919+K919</f>
        <v>1</v>
      </c>
      <c r="M919" s="23" t="n">
        <v>1</v>
      </c>
      <c r="N919" s="23" t="n">
        <v>1</v>
      </c>
      <c r="O919" s="23" t="n">
        <v>1</v>
      </c>
      <c r="P919" s="23" t="n">
        <v>1</v>
      </c>
      <c r="Q919" s="23" t="n">
        <f>MIN(O919,P919)</f>
        <v>1</v>
      </c>
      <c r="R919" s="25" t="n">
        <f>IF(M919=0,0,MIN(1,L919/M919))</f>
        <v>1</v>
      </c>
      <c r="S919" s="23" t="n">
        <f>O919*R919</f>
        <v>1</v>
      </c>
      <c r="T919" s="23" t="n">
        <f>MIN(P919,S919)</f>
        <v>1</v>
      </c>
      <c r="U919" s="23" t="n">
        <f>O919-S919</f>
        <v>0</v>
      </c>
      <c r="V919" s="23" t="n">
        <f>MAX(P919-O919,0)</f>
        <v>0</v>
      </c>
    </row>
    <row r="920">
      <c r="A920" s="19" t="str">
        <v>英国区</v>
      </c>
      <c r="B920" s="19" t="str">
        <v>伯明翰15号仓</v>
      </c>
      <c r="C920" s="19" t="str">
        <v>拣货组</v>
      </c>
      <c r="D920" s="21" t="n">
        <v>46195</v>
      </c>
      <c r="E920" s="19" t="str">
        <v>2026-06</v>
      </c>
      <c r="F920" s="19" t="str">
        <v>操作员</v>
      </c>
      <c r="G920" s="19" t="str">
        <v>英国区09:00-17:30 / UK 09:00-17:30</v>
      </c>
      <c r="H920" s="19" t="str">
        <v>S000331</v>
      </c>
      <c r="I920" s="19" t="str">
        <v>Employment of London Limited</v>
      </c>
      <c r="J920" s="23" t="n">
        <v>4</v>
      </c>
      <c r="K920" s="23" t="n">
        <v>0</v>
      </c>
      <c r="L920" s="23" t="n">
        <f>J920+K920</f>
        <v>4</v>
      </c>
      <c r="M920" s="23" t="n">
        <v>4</v>
      </c>
      <c r="N920" s="23" t="n">
        <v>4</v>
      </c>
      <c r="O920" s="23" t="n">
        <v>4</v>
      </c>
      <c r="P920" s="23" t="n">
        <v>4</v>
      </c>
      <c r="Q920" s="23" t="n">
        <f>MIN(O920,P920)</f>
        <v>4</v>
      </c>
      <c r="R920" s="25" t="n">
        <f>IF(M920=0,0,MIN(1,L920/M920))</f>
        <v>1</v>
      </c>
      <c r="S920" s="23" t="n">
        <f>O920*R920</f>
        <v>4</v>
      </c>
      <c r="T920" s="23" t="n">
        <f>MIN(P920,S920)</f>
        <v>4</v>
      </c>
      <c r="U920" s="23" t="n">
        <f>O920-S920</f>
        <v>0</v>
      </c>
      <c r="V920" s="23" t="n">
        <f>MAX(P920-O920,0)</f>
        <v>0</v>
      </c>
    </row>
    <row r="921">
      <c r="A921" s="19" t="str">
        <v>英国区</v>
      </c>
      <c r="B921" s="19" t="str">
        <v>伯明翰15号仓</v>
      </c>
      <c r="C921" s="19" t="str">
        <v>拣货组</v>
      </c>
      <c r="D921" s="21" t="n">
        <v>46196</v>
      </c>
      <c r="E921" s="19" t="str">
        <v>2026-06</v>
      </c>
      <c r="F921" s="19" t="str">
        <v>操作员</v>
      </c>
      <c r="G921" s="19" t="str">
        <v>英国区09:00-17:30 / UK 09:00-17:30</v>
      </c>
      <c r="H921" s="19" t="str">
        <v>S000013</v>
      </c>
      <c r="I921" s="19" t="str">
        <v>FT Recruitment</v>
      </c>
      <c r="J921" s="23" t="n">
        <v>3</v>
      </c>
      <c r="K921" s="23" t="n">
        <v>0</v>
      </c>
      <c r="L921" s="23" t="n">
        <f>J921+K921</f>
        <v>3</v>
      </c>
      <c r="M921" s="23" t="n">
        <v>3</v>
      </c>
      <c r="N921" s="23" t="n">
        <v>3</v>
      </c>
      <c r="O921" s="23" t="n">
        <v>2</v>
      </c>
      <c r="P921" s="23" t="n">
        <v>2</v>
      </c>
      <c r="Q921" s="23" t="n">
        <f>MIN(O921,P921)</f>
        <v>2</v>
      </c>
      <c r="R921" s="25" t="n">
        <f>IF(M921=0,0,MIN(1,L921/M921))</f>
        <v>1</v>
      </c>
      <c r="S921" s="23" t="n">
        <f>O921*R921</f>
        <v>2</v>
      </c>
      <c r="T921" s="23" t="n">
        <f>MIN(P921,S921)</f>
        <v>2</v>
      </c>
      <c r="U921" s="23" t="n">
        <f>O921-S921</f>
        <v>0</v>
      </c>
      <c r="V921" s="23" t="n">
        <f>MAX(P921-O921,0)</f>
        <v>0</v>
      </c>
    </row>
    <row r="922">
      <c r="A922" s="19" t="str">
        <v>英国区</v>
      </c>
      <c r="B922" s="19" t="str">
        <v>伯明翰15号仓</v>
      </c>
      <c r="C922" s="19" t="str">
        <v>拣货组</v>
      </c>
      <c r="D922" s="21" t="n">
        <v>46196</v>
      </c>
      <c r="E922" s="19" t="str">
        <v>2026-06</v>
      </c>
      <c r="F922" s="19" t="str">
        <v>操作员</v>
      </c>
      <c r="G922" s="19" t="str">
        <v>英国区09:00-17:30 / UK 09:00-17:30</v>
      </c>
      <c r="H922" s="19" t="str">
        <v>S000132</v>
      </c>
      <c r="I922" s="19" t="str">
        <v>HRA Recruitment Services</v>
      </c>
      <c r="J922" s="23" t="n">
        <v>3</v>
      </c>
      <c r="K922" s="23" t="n">
        <v>0</v>
      </c>
      <c r="L922" s="23" t="n">
        <f>J922+K922</f>
        <v>3</v>
      </c>
      <c r="M922" s="23" t="n">
        <v>3</v>
      </c>
      <c r="N922" s="23" t="n">
        <v>3</v>
      </c>
      <c r="O922" s="23" t="n">
        <v>1</v>
      </c>
      <c r="P922" s="23" t="n">
        <v>1</v>
      </c>
      <c r="Q922" s="23" t="n">
        <f>MIN(O922,P922)</f>
        <v>1</v>
      </c>
      <c r="R922" s="25" t="n">
        <f>IF(M922=0,0,MIN(1,L922/M922))</f>
        <v>1</v>
      </c>
      <c r="S922" s="23" t="n">
        <f>O922*R922</f>
        <v>1</v>
      </c>
      <c r="T922" s="23" t="n">
        <f>MIN(P922,S922)</f>
        <v>1</v>
      </c>
      <c r="U922" s="23" t="n">
        <f>O922-S922</f>
        <v>0</v>
      </c>
      <c r="V922" s="23" t="n">
        <f>MAX(P922-O922,0)</f>
        <v>0</v>
      </c>
    </row>
    <row r="923">
      <c r="A923" s="19" t="str">
        <v>英国区</v>
      </c>
      <c r="B923" s="19" t="str">
        <v>伯明翰15号仓</v>
      </c>
      <c r="C923" s="19" t="str">
        <v>拣货组</v>
      </c>
      <c r="D923" s="21" t="n">
        <v>46198</v>
      </c>
      <c r="E923" s="19" t="str">
        <v>2026-06</v>
      </c>
      <c r="F923" s="19" t="str">
        <v>操作员</v>
      </c>
      <c r="G923" s="19" t="str">
        <v>英国区11:00-19:30 / UK 11:00-19:30</v>
      </c>
      <c r="H923" s="19" t="str">
        <v>S000013</v>
      </c>
      <c r="I923" s="19" t="str">
        <v>FT Recruitment</v>
      </c>
      <c r="J923" s="23" t="n">
        <v>1</v>
      </c>
      <c r="K923" s="23" t="n">
        <v>0</v>
      </c>
      <c r="L923" s="23" t="n">
        <f>J923+K923</f>
        <v>1</v>
      </c>
      <c r="M923" s="23" t="n">
        <v>1</v>
      </c>
      <c r="N923" s="23" t="n">
        <v>1</v>
      </c>
      <c r="O923" s="23" t="n">
        <v>1</v>
      </c>
      <c r="P923" s="23" t="n">
        <v>1</v>
      </c>
      <c r="Q923" s="23" t="n">
        <f>MIN(O923,P923)</f>
        <v>1</v>
      </c>
      <c r="R923" s="25" t="n">
        <f>IF(M923=0,0,MIN(1,L923/M923))</f>
        <v>1</v>
      </c>
      <c r="S923" s="23" t="n">
        <f>O923*R923</f>
        <v>1</v>
      </c>
      <c r="T923" s="23" t="n">
        <f>MIN(P923,S923)</f>
        <v>1</v>
      </c>
      <c r="U923" s="23" t="n">
        <f>O923-S923</f>
        <v>0</v>
      </c>
      <c r="V923" s="23" t="n">
        <f>MAX(P923-O923,0)</f>
        <v>0</v>
      </c>
    </row>
    <row r="924">
      <c r="A924" s="19" t="str">
        <v>英国区</v>
      </c>
      <c r="B924" s="19" t="str">
        <v>伯明翰15号仓</v>
      </c>
      <c r="C924" s="19" t="str">
        <v>拣货组</v>
      </c>
      <c r="D924" s="21" t="n">
        <v>46199</v>
      </c>
      <c r="E924" s="19" t="str">
        <v>2026-06</v>
      </c>
      <c r="F924" s="19" t="str">
        <v>操作员</v>
      </c>
      <c r="G924" s="19" t="str">
        <v>英国区09:00-17:30 / UK 09:00-17:30</v>
      </c>
      <c r="H924" s="19" t="str">
        <v>S000013</v>
      </c>
      <c r="I924" s="19" t="str">
        <v>FT Recruitment</v>
      </c>
      <c r="J924" s="23" t="n">
        <v>2</v>
      </c>
      <c r="K924" s="23" t="n">
        <v>0</v>
      </c>
      <c r="L924" s="23" t="n">
        <f>J924+K924</f>
        <v>2</v>
      </c>
      <c r="M924" s="23" t="n">
        <v>2</v>
      </c>
      <c r="N924" s="23" t="n">
        <v>2</v>
      </c>
      <c r="O924" s="23" t="n">
        <v>1</v>
      </c>
      <c r="P924" s="23" t="n">
        <v>1</v>
      </c>
      <c r="Q924" s="23" t="n">
        <f>MIN(O924,P924)</f>
        <v>1</v>
      </c>
      <c r="R924" s="25" t="n">
        <f>IF(M924=0,0,MIN(1,L924/M924))</f>
        <v>1</v>
      </c>
      <c r="S924" s="23" t="n">
        <f>O924*R924</f>
        <v>1</v>
      </c>
      <c r="T924" s="23" t="n">
        <f>MIN(P924,S924)</f>
        <v>1</v>
      </c>
      <c r="U924" s="23" t="n">
        <f>O924-S924</f>
        <v>0</v>
      </c>
      <c r="V924" s="23" t="n">
        <f>MAX(P924-O924,0)</f>
        <v>0</v>
      </c>
    </row>
    <row r="925">
      <c r="A925" s="19" t="str">
        <v>英国区</v>
      </c>
      <c r="B925" s="19" t="str">
        <v>伯明翰15号仓</v>
      </c>
      <c r="C925" s="19" t="str">
        <v>拣货组</v>
      </c>
      <c r="D925" s="21" t="n">
        <v>46199</v>
      </c>
      <c r="E925" s="19" t="str">
        <v>2026-06</v>
      </c>
      <c r="F925" s="19" t="str">
        <v>操作员</v>
      </c>
      <c r="G925" s="19" t="str">
        <v>英国区09:00-17:30 / UK 09:00-17:30</v>
      </c>
      <c r="H925" s="19" t="str">
        <v>S000331</v>
      </c>
      <c r="I925" s="19" t="str">
        <v>Employment of London Limited</v>
      </c>
      <c r="J925" s="23" t="n">
        <v>2</v>
      </c>
      <c r="K925" s="23" t="n">
        <v>0</v>
      </c>
      <c r="L925" s="23" t="n">
        <f>J925+K925</f>
        <v>2</v>
      </c>
      <c r="M925" s="23" t="n">
        <v>2</v>
      </c>
      <c r="N925" s="23" t="n">
        <v>2</v>
      </c>
      <c r="O925" s="23" t="n">
        <v>1</v>
      </c>
      <c r="P925" s="23" t="n">
        <v>1</v>
      </c>
      <c r="Q925" s="23" t="n">
        <f>MIN(O925,P925)</f>
        <v>1</v>
      </c>
      <c r="R925" s="25" t="n">
        <f>IF(M925=0,0,MIN(1,L925/M925))</f>
        <v>1</v>
      </c>
      <c r="S925" s="23" t="n">
        <f>O925*R925</f>
        <v>1</v>
      </c>
      <c r="T925" s="23" t="n">
        <f>MIN(P925,S925)</f>
        <v>1</v>
      </c>
      <c r="U925" s="23" t="n">
        <f>O925-S925</f>
        <v>0</v>
      </c>
      <c r="V925" s="23" t="n">
        <f>MAX(P925-O925,0)</f>
        <v>0</v>
      </c>
    </row>
    <row r="926">
      <c r="A926" s="19" t="str">
        <v>英国区</v>
      </c>
      <c r="B926" s="19" t="str">
        <v>伯明翰15号仓</v>
      </c>
      <c r="C926" s="19" t="str">
        <v>拣货组</v>
      </c>
      <c r="D926" s="21" t="n">
        <v>46199</v>
      </c>
      <c r="E926" s="19" t="str">
        <v>2026-06</v>
      </c>
      <c r="F926" s="19" t="str">
        <v>操作员</v>
      </c>
      <c r="G926" s="19" t="str">
        <v>英国区11:00-19:30 / UK 11:00-19:30</v>
      </c>
      <c r="H926" s="19" t="str">
        <v>S000331</v>
      </c>
      <c r="I926" s="19" t="str">
        <v>Employment of London Limited</v>
      </c>
      <c r="J926" s="23" t="n">
        <v>2</v>
      </c>
      <c r="K926" s="23" t="n">
        <v>0</v>
      </c>
      <c r="L926" s="23" t="n">
        <f>J926+K926</f>
        <v>2</v>
      </c>
      <c r="M926" s="23" t="n">
        <v>2</v>
      </c>
      <c r="N926" s="23" t="n">
        <v>2</v>
      </c>
      <c r="O926" s="23" t="n">
        <v>2</v>
      </c>
      <c r="P926" s="23" t="n">
        <v>2</v>
      </c>
      <c r="Q926" s="23" t="n">
        <f>MIN(O926,P926)</f>
        <v>2</v>
      </c>
      <c r="R926" s="25" t="n">
        <f>IF(M926=0,0,MIN(1,L926/M926))</f>
        <v>1</v>
      </c>
      <c r="S926" s="23" t="n">
        <f>O926*R926</f>
        <v>2</v>
      </c>
      <c r="T926" s="23" t="n">
        <f>MIN(P926,S926)</f>
        <v>2</v>
      </c>
      <c r="U926" s="23" t="n">
        <f>O926-S926</f>
        <v>0</v>
      </c>
      <c r="V926" s="23" t="n">
        <f>MAX(P926-O926,0)</f>
        <v>0</v>
      </c>
    </row>
    <row r="927">
      <c r="A927" s="19" t="str">
        <v>英国区</v>
      </c>
      <c r="B927" s="19" t="str">
        <v>伯明翰15号仓</v>
      </c>
      <c r="C927" s="19" t="str">
        <v>拣货组</v>
      </c>
      <c r="D927" s="21" t="n">
        <v>46202</v>
      </c>
      <c r="E927" s="19" t="str">
        <v>2026-06</v>
      </c>
      <c r="F927" s="19" t="str">
        <v>操作员</v>
      </c>
      <c r="G927" s="19" t="str">
        <v>英国区09:00-17:30 / UK 09:00-17:30</v>
      </c>
      <c r="H927" s="19" t="str">
        <v>S000013</v>
      </c>
      <c r="I927" s="19" t="str">
        <v>FT Recruitment</v>
      </c>
      <c r="J927" s="23" t="n">
        <v>4</v>
      </c>
      <c r="K927" s="23" t="n">
        <v>0</v>
      </c>
      <c r="L927" s="23" t="n">
        <f>J927+K927</f>
        <v>4</v>
      </c>
      <c r="M927" s="23" t="n">
        <v>4</v>
      </c>
      <c r="N927" s="23" t="n">
        <v>4</v>
      </c>
      <c r="O927" s="23" t="n">
        <v>2</v>
      </c>
      <c r="P927" s="23" t="n">
        <v>2</v>
      </c>
      <c r="Q927" s="23" t="n">
        <f>MIN(O927,P927)</f>
        <v>2</v>
      </c>
      <c r="R927" s="25" t="n">
        <f>IF(M927=0,0,MIN(1,L927/M927))</f>
        <v>1</v>
      </c>
      <c r="S927" s="23" t="n">
        <f>O927*R927</f>
        <v>2</v>
      </c>
      <c r="T927" s="23" t="n">
        <f>MIN(P927,S927)</f>
        <v>2</v>
      </c>
      <c r="U927" s="23" t="n">
        <f>O927-S927</f>
        <v>0</v>
      </c>
      <c r="V927" s="23" t="n">
        <f>MAX(P927-O927,0)</f>
        <v>0</v>
      </c>
    </row>
    <row r="928">
      <c r="A928" s="19" t="str">
        <v>英国区</v>
      </c>
      <c r="B928" s="19" t="str">
        <v>伯明翰15号仓</v>
      </c>
      <c r="C928" s="19" t="str">
        <v>拣货组</v>
      </c>
      <c r="D928" s="21" t="n">
        <v>46202</v>
      </c>
      <c r="E928" s="19" t="str">
        <v>2026-06</v>
      </c>
      <c r="F928" s="19" t="str">
        <v>操作员</v>
      </c>
      <c r="G928" s="19" t="str">
        <v>英国区09:00-17:30 / UK 09:00-17:30</v>
      </c>
      <c r="H928" s="19" t="str">
        <v>S000331</v>
      </c>
      <c r="I928" s="19" t="str">
        <v>Employment of London Limited</v>
      </c>
      <c r="J928" s="23" t="n">
        <v>4</v>
      </c>
      <c r="K928" s="23" t="n">
        <v>0</v>
      </c>
      <c r="L928" s="23" t="n">
        <f>J928+K928</f>
        <v>4</v>
      </c>
      <c r="M928" s="23" t="n">
        <v>4</v>
      </c>
      <c r="N928" s="23" t="n">
        <v>4</v>
      </c>
      <c r="O928" s="23" t="n">
        <v>2</v>
      </c>
      <c r="P928" s="23" t="n">
        <v>2</v>
      </c>
      <c r="Q928" s="23" t="n">
        <f>MIN(O928,P928)</f>
        <v>2</v>
      </c>
      <c r="R928" s="25" t="n">
        <f>IF(M928=0,0,MIN(1,L928/M928))</f>
        <v>1</v>
      </c>
      <c r="S928" s="23" t="n">
        <f>O928*R928</f>
        <v>2</v>
      </c>
      <c r="T928" s="23" t="n">
        <f>MIN(P928,S928)</f>
        <v>2</v>
      </c>
      <c r="U928" s="23" t="n">
        <f>O928-S928</f>
        <v>0</v>
      </c>
      <c r="V928" s="23" t="n">
        <f>MAX(P928-O928,0)</f>
        <v>0</v>
      </c>
    </row>
    <row r="929">
      <c r="A929" s="19" t="str">
        <v>英国区</v>
      </c>
      <c r="B929" s="19" t="str">
        <v>伯明翰15号仓</v>
      </c>
      <c r="C929" s="19" t="str">
        <v>拣货组</v>
      </c>
      <c r="D929" s="21" t="n">
        <v>46203</v>
      </c>
      <c r="E929" s="19" t="str">
        <v>2026-06</v>
      </c>
      <c r="F929" s="19" t="str">
        <v>操作员</v>
      </c>
      <c r="G929" s="19" t="str">
        <v>英国区09:00-17:30 / UK 09:00-17:30</v>
      </c>
      <c r="H929" s="19" t="str">
        <v>S000331</v>
      </c>
      <c r="I929" s="19" t="str">
        <v>Employment of London Limited</v>
      </c>
      <c r="J929" s="23" t="n">
        <v>2</v>
      </c>
      <c r="K929" s="23" t="n">
        <v>0</v>
      </c>
      <c r="L929" s="23" t="n">
        <f>J929+K929</f>
        <v>2</v>
      </c>
      <c r="M929" s="23" t="n">
        <v>2</v>
      </c>
      <c r="N929" s="23" t="n">
        <v>2</v>
      </c>
      <c r="O929" s="23" t="n">
        <v>2</v>
      </c>
      <c r="P929" s="23" t="n">
        <v>2</v>
      </c>
      <c r="Q929" s="23" t="n">
        <f>MIN(O929,P929)</f>
        <v>2</v>
      </c>
      <c r="R929" s="25" t="n">
        <f>IF(M929=0,0,MIN(1,L929/M929))</f>
        <v>1</v>
      </c>
      <c r="S929" s="23" t="n">
        <f>O929*R929</f>
        <v>2</v>
      </c>
      <c r="T929" s="23" t="n">
        <f>MIN(P929,S929)</f>
        <v>2</v>
      </c>
      <c r="U929" s="23" t="n">
        <f>O929-S929</f>
        <v>0</v>
      </c>
      <c r="V929" s="23" t="n">
        <f>MAX(P929-O929,0)</f>
        <v>0</v>
      </c>
    </row>
    <row r="930">
      <c r="A930" s="19" t="str">
        <v>英国区</v>
      </c>
      <c r="B930" s="19" t="str">
        <v>伯明翰15号仓</v>
      </c>
      <c r="C930" s="19" t="str">
        <v>理货组</v>
      </c>
      <c r="D930" s="21" t="n">
        <v>46141</v>
      </c>
      <c r="E930" s="19" t="str">
        <v>2026-04</v>
      </c>
      <c r="F930" s="19" t="str">
        <v>操作员</v>
      </c>
      <c r="G930" s="19" t="str">
        <v>英国区10:00-18:30 / UK 10:00-18:30</v>
      </c>
      <c r="H930" s="19" t="str">
        <v>S000289</v>
      </c>
      <c r="I930" s="19" t="str">
        <v>Staffzilla Limited</v>
      </c>
      <c r="J930" s="23" t="n">
        <v>1</v>
      </c>
      <c r="K930" s="23" t="n">
        <v>0</v>
      </c>
      <c r="L930" s="23" t="n">
        <f>J930+K930</f>
        <v>1</v>
      </c>
      <c r="M930" s="23" t="n">
        <v>1</v>
      </c>
      <c r="N930" s="23" t="n">
        <v>1</v>
      </c>
      <c r="O930" s="23" t="n">
        <v>1</v>
      </c>
      <c r="P930" s="23" t="n">
        <v>1</v>
      </c>
      <c r="Q930" s="23" t="n">
        <f>MIN(O930,P930)</f>
        <v>1</v>
      </c>
      <c r="R930" s="25" t="n">
        <f>IF(M930=0,0,MIN(1,L930/M930))</f>
        <v>1</v>
      </c>
      <c r="S930" s="23" t="n">
        <f>O930*R930</f>
        <v>1</v>
      </c>
      <c r="T930" s="23" t="n">
        <f>MIN(P930,S930)</f>
        <v>1</v>
      </c>
      <c r="U930" s="23" t="n">
        <f>O930-S930</f>
        <v>0</v>
      </c>
      <c r="V930" s="23" t="n">
        <f>MAX(P930-O930,0)</f>
        <v>0</v>
      </c>
    </row>
    <row r="931">
      <c r="A931" s="19" t="str">
        <v>英国区</v>
      </c>
      <c r="B931" s="19" t="str">
        <v>伯明翰16号仓</v>
      </c>
      <c r="C931" s="19" t="str">
        <v>入库组</v>
      </c>
      <c r="D931" s="21" t="n">
        <v>46114</v>
      </c>
      <c r="E931" s="19" t="str">
        <v>2026-04</v>
      </c>
      <c r="F931" s="19" t="str">
        <v>操作员</v>
      </c>
      <c r="G931" s="19" t="str">
        <v>英国区08:00-16:30 / UK 08:00-16:30</v>
      </c>
      <c r="H931" s="19" t="str">
        <v>S000132</v>
      </c>
      <c r="I931" s="19" t="str">
        <v>HRA Recruitment Services</v>
      </c>
      <c r="J931" s="23" t="n">
        <v>4</v>
      </c>
      <c r="K931" s="23" t="n">
        <v>0</v>
      </c>
      <c r="L931" s="23" t="n">
        <f>J931+K931</f>
        <v>4</v>
      </c>
      <c r="M931" s="23" t="n">
        <v>4</v>
      </c>
      <c r="N931" s="23" t="n">
        <v>4</v>
      </c>
      <c r="O931" s="23" t="n">
        <v>4</v>
      </c>
      <c r="P931" s="23" t="n">
        <v>4</v>
      </c>
      <c r="Q931" s="23" t="n">
        <f>MIN(O931,P931)</f>
        <v>4</v>
      </c>
      <c r="R931" s="25" t="n">
        <f>IF(M931=0,0,MIN(1,L931/M931))</f>
        <v>1</v>
      </c>
      <c r="S931" s="23" t="n">
        <f>O931*R931</f>
        <v>4</v>
      </c>
      <c r="T931" s="23" t="n">
        <f>MIN(P931,S931)</f>
        <v>4</v>
      </c>
      <c r="U931" s="23" t="n">
        <f>O931-S931</f>
        <v>0</v>
      </c>
      <c r="V931" s="23" t="n">
        <f>MAX(P931-O931,0)</f>
        <v>0</v>
      </c>
    </row>
    <row r="932">
      <c r="A932" s="19" t="str">
        <v>英国区</v>
      </c>
      <c r="B932" s="19" t="str">
        <v>伯明翰16号仓</v>
      </c>
      <c r="C932" s="19" t="str">
        <v>入库组</v>
      </c>
      <c r="D932" s="21" t="n">
        <v>46114</v>
      </c>
      <c r="E932" s="19" t="str">
        <v>2026-04</v>
      </c>
      <c r="F932" s="19" t="str">
        <v>操作员</v>
      </c>
      <c r="G932" s="19" t="str">
        <v>英国区11:00-19:30 / UK 11:00-19:30</v>
      </c>
      <c r="H932" s="19" t="str">
        <v>S000132</v>
      </c>
      <c r="I932" s="19" t="str">
        <v>HRA Recruitment Services</v>
      </c>
      <c r="J932" s="23" t="n">
        <v>2</v>
      </c>
      <c r="K932" s="23" t="n">
        <v>0</v>
      </c>
      <c r="L932" s="23" t="n">
        <f>J932+K932</f>
        <v>2</v>
      </c>
      <c r="M932" s="23" t="n">
        <v>2</v>
      </c>
      <c r="N932" s="23" t="n">
        <v>2</v>
      </c>
      <c r="O932" s="23" t="n">
        <v>2</v>
      </c>
      <c r="P932" s="23" t="n">
        <v>2</v>
      </c>
      <c r="Q932" s="23" t="n">
        <f>MIN(O932,P932)</f>
        <v>2</v>
      </c>
      <c r="R932" s="25" t="n">
        <f>IF(M932=0,0,MIN(1,L932/M932))</f>
        <v>1</v>
      </c>
      <c r="S932" s="23" t="n">
        <f>O932*R932</f>
        <v>2</v>
      </c>
      <c r="T932" s="23" t="n">
        <f>MIN(P932,S932)</f>
        <v>2</v>
      </c>
      <c r="U932" s="23" t="n">
        <f>O932-S932</f>
        <v>0</v>
      </c>
      <c r="V932" s="23" t="n">
        <f>MAX(P932-O932,0)</f>
        <v>0</v>
      </c>
    </row>
    <row r="933">
      <c r="A933" s="19" t="str">
        <v>英国区</v>
      </c>
      <c r="B933" s="19" t="str">
        <v>伯明翰16号仓</v>
      </c>
      <c r="C933" s="19" t="str">
        <v>入库组</v>
      </c>
      <c r="D933" s="21" t="n">
        <v>46161</v>
      </c>
      <c r="E933" s="19" t="str">
        <v>2026-05</v>
      </c>
      <c r="F933" s="19" t="str">
        <v>操作员</v>
      </c>
      <c r="G933" s="19" t="str">
        <v>英国区09:00-17:30 / UK 09:00-17:30</v>
      </c>
      <c r="H933" s="19" t="str">
        <v>S000013</v>
      </c>
      <c r="I933" s="19" t="str">
        <v>FT Recruitment</v>
      </c>
      <c r="J933" s="23" t="n">
        <v>2</v>
      </c>
      <c r="K933" s="23" t="n">
        <v>0</v>
      </c>
      <c r="L933" s="23" t="n">
        <f>J933+K933</f>
        <v>2</v>
      </c>
      <c r="M933" s="23" t="n">
        <v>2</v>
      </c>
      <c r="N933" s="23" t="n">
        <v>2</v>
      </c>
      <c r="O933" s="23" t="n">
        <v>1</v>
      </c>
      <c r="P933" s="23" t="n">
        <v>1</v>
      </c>
      <c r="Q933" s="23" t="n">
        <f>MIN(O933,P933)</f>
        <v>1</v>
      </c>
      <c r="R933" s="25" t="n">
        <f>IF(M933=0,0,MIN(1,L933/M933))</f>
        <v>1</v>
      </c>
      <c r="S933" s="23" t="n">
        <f>O933*R933</f>
        <v>1</v>
      </c>
      <c r="T933" s="23" t="n">
        <f>MIN(P933,S933)</f>
        <v>1</v>
      </c>
      <c r="U933" s="23" t="n">
        <f>O933-S933</f>
        <v>0</v>
      </c>
      <c r="V933" s="23" t="n">
        <f>MAX(P933-O933,0)</f>
        <v>0</v>
      </c>
    </row>
    <row r="934">
      <c r="A934" s="19" t="str">
        <v>英国区</v>
      </c>
      <c r="B934" s="19" t="str">
        <v>伯明翰16号仓</v>
      </c>
      <c r="C934" s="19" t="str">
        <v>入库组</v>
      </c>
      <c r="D934" s="21" t="n">
        <v>46161</v>
      </c>
      <c r="E934" s="19" t="str">
        <v>2026-05</v>
      </c>
      <c r="F934" s="19" t="str">
        <v>操作员</v>
      </c>
      <c r="G934" s="19" t="str">
        <v>英国区09:00-17:30 / UK 09:00-17:30</v>
      </c>
      <c r="H934" s="19" t="str">
        <v>S000132</v>
      </c>
      <c r="I934" s="19" t="str">
        <v>HRA Recruitment Services</v>
      </c>
      <c r="J934" s="23" t="n">
        <v>2</v>
      </c>
      <c r="K934" s="23" t="n">
        <v>0</v>
      </c>
      <c r="L934" s="23" t="n">
        <f>J934+K934</f>
        <v>2</v>
      </c>
      <c r="M934" s="23" t="n">
        <v>2</v>
      </c>
      <c r="N934" s="23" t="n">
        <v>2</v>
      </c>
      <c r="O934" s="23" t="n">
        <v>1</v>
      </c>
      <c r="P934" s="23" t="n">
        <v>1</v>
      </c>
      <c r="Q934" s="23" t="n">
        <f>MIN(O934,P934)</f>
        <v>1</v>
      </c>
      <c r="R934" s="25" t="n">
        <f>IF(M934=0,0,MIN(1,L934/M934))</f>
        <v>1</v>
      </c>
      <c r="S934" s="23" t="n">
        <f>O934*R934</f>
        <v>1</v>
      </c>
      <c r="T934" s="23" t="n">
        <f>MIN(P934,S934)</f>
        <v>1</v>
      </c>
      <c r="U934" s="23" t="n">
        <f>O934-S934</f>
        <v>0</v>
      </c>
      <c r="V934" s="23" t="n">
        <f>MAX(P934-O934,0)</f>
        <v>0</v>
      </c>
    </row>
    <row r="935">
      <c r="A935" s="19" t="str">
        <v>英国区</v>
      </c>
      <c r="B935" s="19" t="str">
        <v>伯明翰16号仓</v>
      </c>
      <c r="C935" s="19" t="str">
        <v>入库组</v>
      </c>
      <c r="D935" s="21" t="n">
        <v>46162</v>
      </c>
      <c r="E935" s="19" t="str">
        <v>2026-05</v>
      </c>
      <c r="F935" s="19" t="str">
        <v>操作员</v>
      </c>
      <c r="G935" s="19" t="str">
        <v>英国区09:00-17:30 / UK 09:00-17:30</v>
      </c>
      <c r="H935" s="19" t="str">
        <v>S000013</v>
      </c>
      <c r="I935" s="19" t="str">
        <v>FT Recruitment</v>
      </c>
      <c r="J935" s="23" t="n">
        <v>2</v>
      </c>
      <c r="K935" s="23" t="n">
        <v>0</v>
      </c>
      <c r="L935" s="23" t="n">
        <f>J935+K935</f>
        <v>2</v>
      </c>
      <c r="M935" s="23" t="n">
        <v>2</v>
      </c>
      <c r="N935" s="23" t="n">
        <v>2</v>
      </c>
      <c r="O935" s="23" t="n">
        <v>1</v>
      </c>
      <c r="P935" s="23" t="n">
        <v>1</v>
      </c>
      <c r="Q935" s="23" t="n">
        <f>MIN(O935,P935)</f>
        <v>1</v>
      </c>
      <c r="R935" s="25" t="n">
        <f>IF(M935=0,0,MIN(1,L935/M935))</f>
        <v>1</v>
      </c>
      <c r="S935" s="23" t="n">
        <f>O935*R935</f>
        <v>1</v>
      </c>
      <c r="T935" s="23" t="n">
        <f>MIN(P935,S935)</f>
        <v>1</v>
      </c>
      <c r="U935" s="23" t="n">
        <f>O935-S935</f>
        <v>0</v>
      </c>
      <c r="V935" s="23" t="n">
        <f>MAX(P935-O935,0)</f>
        <v>0</v>
      </c>
    </row>
    <row r="936">
      <c r="A936" s="19" t="str">
        <v>英国区</v>
      </c>
      <c r="B936" s="19" t="str">
        <v>伯明翰16号仓</v>
      </c>
      <c r="C936" s="19" t="str">
        <v>入库组</v>
      </c>
      <c r="D936" s="21" t="n">
        <v>46162</v>
      </c>
      <c r="E936" s="19" t="str">
        <v>2026-05</v>
      </c>
      <c r="F936" s="19" t="str">
        <v>操作员</v>
      </c>
      <c r="G936" s="19" t="str">
        <v>英国区09:00-17:30 / UK 09:00-17:30</v>
      </c>
      <c r="H936" s="19" t="str">
        <v>S000132</v>
      </c>
      <c r="I936" s="19" t="str">
        <v>HRA Recruitment Services</v>
      </c>
      <c r="J936" s="23" t="n">
        <v>2</v>
      </c>
      <c r="K936" s="23" t="n">
        <v>0</v>
      </c>
      <c r="L936" s="23" t="n">
        <f>J936+K936</f>
        <v>2</v>
      </c>
      <c r="M936" s="23" t="n">
        <v>2</v>
      </c>
      <c r="N936" s="23" t="n">
        <v>2</v>
      </c>
      <c r="O936" s="23" t="n">
        <v>1</v>
      </c>
      <c r="P936" s="23" t="n">
        <v>1</v>
      </c>
      <c r="Q936" s="23" t="n">
        <f>MIN(O936,P936)</f>
        <v>1</v>
      </c>
      <c r="R936" s="25" t="n">
        <f>IF(M936=0,0,MIN(1,L936/M936))</f>
        <v>1</v>
      </c>
      <c r="S936" s="23" t="n">
        <f>O936*R936</f>
        <v>1</v>
      </c>
      <c r="T936" s="23" t="n">
        <f>MIN(P936,S936)</f>
        <v>1</v>
      </c>
      <c r="U936" s="23" t="n">
        <f>O936-S936</f>
        <v>0</v>
      </c>
      <c r="V936" s="23" t="n">
        <f>MAX(P936-O936,0)</f>
        <v>0</v>
      </c>
    </row>
    <row r="937">
      <c r="A937" s="19" t="str">
        <v>英国区</v>
      </c>
      <c r="B937" s="19" t="str">
        <v>伯明翰16号仓</v>
      </c>
      <c r="C937" s="19" t="str">
        <v>入库组</v>
      </c>
      <c r="D937" s="21" t="n">
        <v>46163</v>
      </c>
      <c r="E937" s="19" t="str">
        <v>2026-05</v>
      </c>
      <c r="F937" s="19" t="str">
        <v>操作员</v>
      </c>
      <c r="G937" s="19" t="str">
        <v>英国区09:00-17:30 / UK 09:00-17:30</v>
      </c>
      <c r="H937" s="19" t="str">
        <v>S000132</v>
      </c>
      <c r="I937" s="19" t="str">
        <v>HRA Recruitment Services</v>
      </c>
      <c r="J937" s="23" t="n">
        <v>2</v>
      </c>
      <c r="K937" s="23" t="n">
        <v>0</v>
      </c>
      <c r="L937" s="23" t="n">
        <f>J937+K937</f>
        <v>2</v>
      </c>
      <c r="M937" s="23" t="n">
        <v>2</v>
      </c>
      <c r="N937" s="23" t="n">
        <v>2</v>
      </c>
      <c r="O937" s="23" t="n">
        <v>2</v>
      </c>
      <c r="P937" s="23" t="n">
        <v>2</v>
      </c>
      <c r="Q937" s="23" t="n">
        <f>MIN(O937,P937)</f>
        <v>2</v>
      </c>
      <c r="R937" s="25" t="n">
        <f>IF(M937=0,0,MIN(1,L937/M937))</f>
        <v>1</v>
      </c>
      <c r="S937" s="23" t="n">
        <f>O937*R937</f>
        <v>2</v>
      </c>
      <c r="T937" s="23" t="n">
        <f>MIN(P937,S937)</f>
        <v>2</v>
      </c>
      <c r="U937" s="23" t="n">
        <f>O937-S937</f>
        <v>0</v>
      </c>
      <c r="V937" s="23" t="n">
        <f>MAX(P937-O937,0)</f>
        <v>0</v>
      </c>
    </row>
    <row r="938">
      <c r="A938" s="19" t="str">
        <v>英国区</v>
      </c>
      <c r="B938" s="19" t="str">
        <v>伯明翰16号仓</v>
      </c>
      <c r="C938" s="19" t="str">
        <v>入库组</v>
      </c>
      <c r="D938" s="21" t="n">
        <v>46164</v>
      </c>
      <c r="E938" s="19" t="str">
        <v>2026-05</v>
      </c>
      <c r="F938" s="19" t="str">
        <v>操作员</v>
      </c>
      <c r="G938" s="19" t="str">
        <v>英国区09:00-17:30 / UK 09:00-17:30</v>
      </c>
      <c r="H938" s="19" t="str">
        <v>S000013</v>
      </c>
      <c r="I938" s="19" t="str">
        <v>FT Recruitment</v>
      </c>
      <c r="J938" s="23" t="n">
        <v>2</v>
      </c>
      <c r="K938" s="23" t="n">
        <v>0</v>
      </c>
      <c r="L938" s="23" t="n">
        <f>J938+K938</f>
        <v>2</v>
      </c>
      <c r="M938" s="23" t="n">
        <v>2</v>
      </c>
      <c r="N938" s="23" t="n">
        <v>1</v>
      </c>
      <c r="O938" s="23" t="n">
        <v>2</v>
      </c>
      <c r="P938" s="23" t="n">
        <v>1</v>
      </c>
      <c r="Q938" s="23" t="n">
        <f>MIN(O938,P938)</f>
        <v>1</v>
      </c>
      <c r="R938" s="25" t="n">
        <f>IF(M938=0,0,MIN(1,L938/M938))</f>
        <v>1</v>
      </c>
      <c r="S938" s="23" t="n">
        <f>O938*R938</f>
        <v>2</v>
      </c>
      <c r="T938" s="23" t="n">
        <f>MIN(P938,S938)</f>
        <v>1</v>
      </c>
      <c r="U938" s="23" t="n">
        <f>O938-S938</f>
        <v>0</v>
      </c>
      <c r="V938" s="23" t="n">
        <f>MAX(P938-O938,0)</f>
        <v>0</v>
      </c>
    </row>
    <row r="939">
      <c r="A939" s="19" t="str">
        <v>英国区</v>
      </c>
      <c r="B939" s="19" t="str">
        <v>伯明翰16号仓</v>
      </c>
      <c r="C939" s="19" t="str">
        <v>入库组</v>
      </c>
      <c r="D939" s="21" t="n">
        <v>46183</v>
      </c>
      <c r="E939" s="19" t="str">
        <v>2026-06</v>
      </c>
      <c r="F939" s="19" t="str">
        <v>操作员</v>
      </c>
      <c r="G939" s="19" t="str">
        <v>英国区11:00-19:30 / UK 11:00-19:30</v>
      </c>
      <c r="H939" s="19" t="str">
        <v>S000132</v>
      </c>
      <c r="I939" s="19" t="str">
        <v>HRA Recruitment Services</v>
      </c>
      <c r="J939" s="23" t="n">
        <v>2</v>
      </c>
      <c r="K939" s="23" t="n">
        <v>0</v>
      </c>
      <c r="L939" s="23" t="n">
        <f>J939+K939</f>
        <v>2</v>
      </c>
      <c r="M939" s="23" t="n">
        <v>2</v>
      </c>
      <c r="N939" s="23" t="n">
        <v>2</v>
      </c>
      <c r="O939" s="23" t="n">
        <v>2</v>
      </c>
      <c r="P939" s="23" t="n">
        <v>2</v>
      </c>
      <c r="Q939" s="23" t="n">
        <f>MIN(O939,P939)</f>
        <v>2</v>
      </c>
      <c r="R939" s="25" t="n">
        <f>IF(M939=0,0,MIN(1,L939/M939))</f>
        <v>1</v>
      </c>
      <c r="S939" s="23" t="n">
        <f>O939*R939</f>
        <v>2</v>
      </c>
      <c r="T939" s="23" t="n">
        <f>MIN(P939,S939)</f>
        <v>2</v>
      </c>
      <c r="U939" s="23" t="n">
        <f>O939-S939</f>
        <v>0</v>
      </c>
      <c r="V939" s="23" t="n">
        <f>MAX(P939-O939,0)</f>
        <v>0</v>
      </c>
    </row>
    <row r="940">
      <c r="A940" s="19" t="str">
        <v>英国区</v>
      </c>
      <c r="B940" s="19" t="str">
        <v>伯明翰16号仓</v>
      </c>
      <c r="C940" s="19" t="str">
        <v>入库组</v>
      </c>
      <c r="D940" s="21" t="n">
        <v>46188</v>
      </c>
      <c r="E940" s="19" t="str">
        <v>2026-06</v>
      </c>
      <c r="F940" s="19" t="str">
        <v>操作员</v>
      </c>
      <c r="G940" s="19" t="str">
        <v>英国区07:00-15:30 / UK 07:00-15:30</v>
      </c>
      <c r="H940" s="19" t="str">
        <v>S000132</v>
      </c>
      <c r="I940" s="19" t="str">
        <v>HRA Recruitment Services</v>
      </c>
      <c r="J940" s="23" t="n">
        <v>1</v>
      </c>
      <c r="K940" s="23" t="n">
        <v>0</v>
      </c>
      <c r="L940" s="23" t="n">
        <f>J940+K940</f>
        <v>1</v>
      </c>
      <c r="M940" s="23" t="n">
        <v>1</v>
      </c>
      <c r="N940" s="23" t="n">
        <v>1</v>
      </c>
      <c r="O940" s="23" t="n">
        <v>1</v>
      </c>
      <c r="P940" s="23" t="n">
        <v>1</v>
      </c>
      <c r="Q940" s="23" t="n">
        <f>MIN(O940,P940)</f>
        <v>1</v>
      </c>
      <c r="R940" s="25" t="n">
        <f>IF(M940=0,0,MIN(1,L940/M940))</f>
        <v>1</v>
      </c>
      <c r="S940" s="23" t="n">
        <f>O940*R940</f>
        <v>1</v>
      </c>
      <c r="T940" s="23" t="n">
        <f>MIN(P940,S940)</f>
        <v>1</v>
      </c>
      <c r="U940" s="23" t="n">
        <f>O940-S940</f>
        <v>0</v>
      </c>
      <c r="V940" s="23" t="n">
        <f>MAX(P940-O940,0)</f>
        <v>0</v>
      </c>
    </row>
    <row r="941">
      <c r="A941" s="19" t="str">
        <v>英国区</v>
      </c>
      <c r="B941" s="19" t="str">
        <v>伯明翰16号仓</v>
      </c>
      <c r="C941" s="19" t="str">
        <v>入库组</v>
      </c>
      <c r="D941" s="21" t="n">
        <v>46190</v>
      </c>
      <c r="E941" s="19" t="str">
        <v>2026-06</v>
      </c>
      <c r="F941" s="19" t="str">
        <v>操作员</v>
      </c>
      <c r="G941" s="19" t="str">
        <v>英国区09:00-17:30 / UK 09:00-17:30</v>
      </c>
      <c r="H941" s="19" t="str">
        <v>S000132</v>
      </c>
      <c r="I941" s="19" t="str">
        <v>HRA Recruitment Services</v>
      </c>
      <c r="J941" s="23" t="n">
        <v>2</v>
      </c>
      <c r="K941" s="23" t="n">
        <v>0</v>
      </c>
      <c r="L941" s="23" t="n">
        <f>J941+K941</f>
        <v>2</v>
      </c>
      <c r="M941" s="23" t="n">
        <v>2</v>
      </c>
      <c r="N941" s="23" t="n">
        <v>2</v>
      </c>
      <c r="O941" s="23" t="n">
        <v>2</v>
      </c>
      <c r="P941" s="23" t="n">
        <v>2</v>
      </c>
      <c r="Q941" s="23" t="n">
        <f>MIN(O941,P941)</f>
        <v>2</v>
      </c>
      <c r="R941" s="25" t="n">
        <f>IF(M941=0,0,MIN(1,L941/M941))</f>
        <v>1</v>
      </c>
      <c r="S941" s="23" t="n">
        <f>O941*R941</f>
        <v>2</v>
      </c>
      <c r="T941" s="23" t="n">
        <f>MIN(P941,S941)</f>
        <v>2</v>
      </c>
      <c r="U941" s="23" t="n">
        <f>O941-S941</f>
        <v>0</v>
      </c>
      <c r="V941" s="23" t="n">
        <f>MAX(P941-O941,0)</f>
        <v>0</v>
      </c>
    </row>
    <row r="942">
      <c r="A942" s="19" t="str">
        <v>英国区</v>
      </c>
      <c r="B942" s="19" t="str">
        <v>伯明翰16号仓</v>
      </c>
      <c r="C942" s="19" t="str">
        <v>入库组</v>
      </c>
      <c r="D942" s="21" t="n">
        <v>46191</v>
      </c>
      <c r="E942" s="19" t="str">
        <v>2026-06</v>
      </c>
      <c r="F942" s="19" t="str">
        <v>操作员</v>
      </c>
      <c r="G942" s="19" t="str">
        <v>英国区07:00-15:30 / UK 07:00-15:30</v>
      </c>
      <c r="H942" s="19" t="str">
        <v>S000132</v>
      </c>
      <c r="I942" s="19" t="str">
        <v>HRA Recruitment Services</v>
      </c>
      <c r="J942" s="23" t="n">
        <v>1</v>
      </c>
      <c r="K942" s="23" t="n">
        <v>0</v>
      </c>
      <c r="L942" s="23" t="n">
        <f>J942+K942</f>
        <v>1</v>
      </c>
      <c r="M942" s="23" t="n">
        <v>1</v>
      </c>
      <c r="N942" s="23" t="n">
        <v>1</v>
      </c>
      <c r="O942" s="23" t="n">
        <v>1</v>
      </c>
      <c r="P942" s="23" t="n">
        <v>1</v>
      </c>
      <c r="Q942" s="23" t="n">
        <f>MIN(O942,P942)</f>
        <v>1</v>
      </c>
      <c r="R942" s="25" t="n">
        <f>IF(M942=0,0,MIN(1,L942/M942))</f>
        <v>1</v>
      </c>
      <c r="S942" s="23" t="n">
        <f>O942*R942</f>
        <v>1</v>
      </c>
      <c r="T942" s="23" t="n">
        <f>MIN(P942,S942)</f>
        <v>1</v>
      </c>
      <c r="U942" s="23" t="n">
        <f>O942-S942</f>
        <v>0</v>
      </c>
      <c r="V942" s="23" t="n">
        <f>MAX(P942-O942,0)</f>
        <v>0</v>
      </c>
    </row>
    <row r="943">
      <c r="A943" s="19" t="str">
        <v>英国区</v>
      </c>
      <c r="B943" s="19" t="str">
        <v>伯明翰16号仓</v>
      </c>
      <c r="C943" s="19" t="str">
        <v>入库组</v>
      </c>
      <c r="D943" s="21" t="n">
        <v>46191</v>
      </c>
      <c r="E943" s="19" t="str">
        <v>2026-06</v>
      </c>
      <c r="F943" s="19" t="str">
        <v>操作员</v>
      </c>
      <c r="G943" s="19" t="str">
        <v>英国区09:00-17:30 / UK 09:00-17:30</v>
      </c>
      <c r="H943" s="19" t="str">
        <v>S000013</v>
      </c>
      <c r="I943" s="19" t="str">
        <v>FT Recruitment</v>
      </c>
      <c r="J943" s="23" t="n">
        <v>2</v>
      </c>
      <c r="K943" s="23" t="n">
        <v>0</v>
      </c>
      <c r="L943" s="23" t="n">
        <f>J943+K943</f>
        <v>2</v>
      </c>
      <c r="M943" s="23" t="n">
        <v>2</v>
      </c>
      <c r="N943" s="23" t="n">
        <v>2</v>
      </c>
      <c r="O943" s="23" t="n">
        <v>2</v>
      </c>
      <c r="P943" s="23" t="n">
        <v>2</v>
      </c>
      <c r="Q943" s="23" t="n">
        <f>MIN(O943,P943)</f>
        <v>2</v>
      </c>
      <c r="R943" s="25" t="n">
        <f>IF(M943=0,0,MIN(1,L943/M943))</f>
        <v>1</v>
      </c>
      <c r="S943" s="23" t="n">
        <f>O943*R943</f>
        <v>2</v>
      </c>
      <c r="T943" s="23" t="n">
        <f>MIN(P943,S943)</f>
        <v>2</v>
      </c>
      <c r="U943" s="23" t="n">
        <f>O943-S943</f>
        <v>0</v>
      </c>
      <c r="V943" s="23" t="n">
        <f>MAX(P943-O943,0)</f>
        <v>0</v>
      </c>
    </row>
    <row r="944">
      <c r="A944" s="19" t="str">
        <v>英国区</v>
      </c>
      <c r="B944" s="19" t="str">
        <v>伯明翰18号仓(SN)</v>
      </c>
      <c r="C944" s="19" t="str">
        <v>云途组</v>
      </c>
      <c r="D944" s="21" t="n">
        <v>46126</v>
      </c>
      <c r="E944" s="19" t="str">
        <v>2026-04</v>
      </c>
      <c r="F944" s="19" t="str">
        <v>操作员</v>
      </c>
      <c r="G944" s="19" t="str">
        <v>英国区07:00-15:30 / UK 07:00-15:30</v>
      </c>
      <c r="H944" s="19" t="str">
        <v>S000331</v>
      </c>
      <c r="I944" s="19" t="str">
        <v>Employment of London Limited</v>
      </c>
      <c r="J944" s="23" t="n">
        <v>5</v>
      </c>
      <c r="K944" s="23" t="n">
        <v>0</v>
      </c>
      <c r="L944" s="23" t="n">
        <f>J944+K944</f>
        <v>5</v>
      </c>
      <c r="M944" s="23" t="n">
        <v>2</v>
      </c>
      <c r="N944" s="23" t="n">
        <v>0</v>
      </c>
      <c r="O944" s="23" t="n">
        <v>2</v>
      </c>
      <c r="P944" s="23" t="n">
        <v>0</v>
      </c>
      <c r="Q944" s="23" t="n">
        <f>MIN(O944,P944)</f>
        <v>0</v>
      </c>
      <c r="R944" s="25" t="n">
        <f>IF(M944=0,0,MIN(1,L944/M944))</f>
        <v>1</v>
      </c>
      <c r="S944" s="23" t="n">
        <f>O944*R944</f>
        <v>2</v>
      </c>
      <c r="T944" s="23" t="n">
        <f>MIN(P944,S944)</f>
        <v>0</v>
      </c>
      <c r="U944" s="23" t="n">
        <f>O944-S944</f>
        <v>0</v>
      </c>
      <c r="V944" s="23" t="n">
        <f>MAX(P944-O944,0)</f>
        <v>0</v>
      </c>
    </row>
    <row r="945">
      <c r="A945" s="19" t="str">
        <v>英国区</v>
      </c>
      <c r="B945" s="19" t="str">
        <v>伯明翰18号仓(SN)</v>
      </c>
      <c r="C945" s="19" t="str">
        <v>质检组</v>
      </c>
      <c r="D945" s="21" t="n">
        <v>46113</v>
      </c>
      <c r="E945" s="19" t="str">
        <v>2026-04</v>
      </c>
      <c r="F945" s="19" t="str">
        <v>操作员</v>
      </c>
      <c r="G945" s="19" t="str">
        <v>英国灵活（6小时扣午休） / UK FLEX (6-HR LUNCH BREAK DEDUCTED)</v>
      </c>
      <c r="H945" s="19" t="str">
        <v>S000274</v>
      </c>
      <c r="I945" s="19" t="str">
        <v>Jobsworth Recruitment Solutions Limited</v>
      </c>
      <c r="J945" s="23" t="n">
        <v>8</v>
      </c>
      <c r="K945" s="23" t="n">
        <v>0</v>
      </c>
      <c r="L945" s="23" t="n">
        <f>J945+K945</f>
        <v>8</v>
      </c>
      <c r="M945" s="23" t="n">
        <v>8</v>
      </c>
      <c r="N945" s="23" t="n">
        <v>8</v>
      </c>
      <c r="O945" s="23" t="n">
        <v>8</v>
      </c>
      <c r="P945" s="23" t="n">
        <v>8</v>
      </c>
      <c r="Q945" s="23" t="n">
        <f>MIN(O945,P945)</f>
        <v>8</v>
      </c>
      <c r="R945" s="25" t="n">
        <f>IF(M945=0,0,MIN(1,L945/M945))</f>
        <v>1</v>
      </c>
      <c r="S945" s="23" t="n">
        <f>O945*R945</f>
        <v>8</v>
      </c>
      <c r="T945" s="23" t="n">
        <f>MIN(P945,S945)</f>
        <v>8</v>
      </c>
      <c r="U945" s="23" t="n">
        <f>O945-S945</f>
        <v>0</v>
      </c>
      <c r="V945" s="23" t="n">
        <f>MAX(P945-O945,0)</f>
        <v>0</v>
      </c>
    </row>
    <row r="946">
      <c r="A946" s="19" t="str">
        <v>英国区</v>
      </c>
      <c r="B946" s="19" t="str">
        <v>伯明翰18号仓(SN)</v>
      </c>
      <c r="C946" s="19" t="str">
        <v>质检组</v>
      </c>
      <c r="D946" s="21" t="n">
        <v>46115</v>
      </c>
      <c r="E946" s="19" t="str">
        <v>2026-04</v>
      </c>
      <c r="F946" s="19" t="str">
        <v>操作员</v>
      </c>
      <c r="G946" s="19" t="str">
        <v>英国灵活（6小时扣午休） / UK FLEX (6-HR LUNCH BREAK DEDUCTED)</v>
      </c>
      <c r="H946" s="19" t="str">
        <v>S000013</v>
      </c>
      <c r="I946" s="19" t="str">
        <v>FT Recruitment</v>
      </c>
      <c r="J946" s="23" t="n">
        <v>8</v>
      </c>
      <c r="K946" s="23" t="n">
        <v>0</v>
      </c>
      <c r="L946" s="23" t="n">
        <f>J946+K946</f>
        <v>8</v>
      </c>
      <c r="M946" s="23" t="n">
        <v>8</v>
      </c>
      <c r="N946" s="23" t="n">
        <v>8</v>
      </c>
      <c r="O946" s="23" t="n">
        <v>8</v>
      </c>
      <c r="P946" s="23" t="n">
        <v>8</v>
      </c>
      <c r="Q946" s="23" t="n">
        <f>MIN(O946,P946)</f>
        <v>8</v>
      </c>
      <c r="R946" s="25" t="n">
        <f>IF(M946=0,0,MIN(1,L946/M946))</f>
        <v>1</v>
      </c>
      <c r="S946" s="23" t="n">
        <f>O946*R946</f>
        <v>8</v>
      </c>
      <c r="T946" s="23" t="n">
        <f>MIN(P946,S946)</f>
        <v>8</v>
      </c>
      <c r="U946" s="23" t="n">
        <f>O946-S946</f>
        <v>0</v>
      </c>
      <c r="V946" s="23" t="n">
        <f>MAX(P946-O946,0)</f>
        <v>0</v>
      </c>
    </row>
    <row r="947">
      <c r="A947" s="19" t="str">
        <v>英国区</v>
      </c>
      <c r="B947" s="19" t="str">
        <v>伯明翰18号仓(SN)</v>
      </c>
      <c r="C947" s="19" t="str">
        <v>质检组</v>
      </c>
      <c r="D947" s="21" t="n">
        <v>46121</v>
      </c>
      <c r="E947" s="19" t="str">
        <v>2026-04</v>
      </c>
      <c r="F947" s="19" t="str">
        <v>操作员</v>
      </c>
      <c r="G947" s="19" t="str">
        <v>英国灵活（6小时扣午休） / UK FLEX (6-HR LUNCH BREAK DEDUCTED)</v>
      </c>
      <c r="H947" s="19" t="str">
        <v>S000013</v>
      </c>
      <c r="I947" s="19" t="str">
        <v>FT Recruitment</v>
      </c>
      <c r="J947" s="23" t="n">
        <v>8</v>
      </c>
      <c r="K947" s="23" t="n">
        <v>0</v>
      </c>
      <c r="L947" s="23" t="n">
        <f>J947+K947</f>
        <v>8</v>
      </c>
      <c r="M947" s="23" t="n">
        <v>8</v>
      </c>
      <c r="N947" s="23" t="n">
        <v>8</v>
      </c>
      <c r="O947" s="23" t="n">
        <v>8</v>
      </c>
      <c r="P947" s="23" t="n">
        <v>8</v>
      </c>
      <c r="Q947" s="23" t="n">
        <f>MIN(O947,P947)</f>
        <v>8</v>
      </c>
      <c r="R947" s="25" t="n">
        <f>IF(M947=0,0,MIN(1,L947/M947))</f>
        <v>1</v>
      </c>
      <c r="S947" s="23" t="n">
        <f>O947*R947</f>
        <v>8</v>
      </c>
      <c r="T947" s="23" t="n">
        <f>MIN(P947,S947)</f>
        <v>8</v>
      </c>
      <c r="U947" s="23" t="n">
        <f>O947-S947</f>
        <v>0</v>
      </c>
      <c r="V947" s="23" t="n">
        <f>MAX(P947-O947,0)</f>
        <v>0</v>
      </c>
    </row>
    <row r="948">
      <c r="A948" s="19" t="str">
        <v>英国区</v>
      </c>
      <c r="B948" s="19" t="str">
        <v>伯明翰18号仓(SN)</v>
      </c>
      <c r="C948" s="19" t="str">
        <v>质检组</v>
      </c>
      <c r="D948" s="21" t="n">
        <v>46125</v>
      </c>
      <c r="E948" s="19" t="str">
        <v>2026-04</v>
      </c>
      <c r="F948" s="19" t="str">
        <v>操作员</v>
      </c>
      <c r="G948" s="19" t="str">
        <v>英国灵活（6小时扣午休） / UK FLEX (6-HR LUNCH BREAK DEDUCTED)</v>
      </c>
      <c r="H948" s="19" t="str">
        <v>S000013</v>
      </c>
      <c r="I948" s="19" t="str">
        <v>FT Recruitment</v>
      </c>
      <c r="J948" s="23" t="n">
        <v>12</v>
      </c>
      <c r="K948" s="23" t="n">
        <v>0</v>
      </c>
      <c r="L948" s="23" t="n">
        <f>J948+K948</f>
        <v>12</v>
      </c>
      <c r="M948" s="23" t="n">
        <v>12</v>
      </c>
      <c r="N948" s="23" t="n">
        <v>10</v>
      </c>
      <c r="O948" s="23" t="n">
        <v>12</v>
      </c>
      <c r="P948" s="23" t="n">
        <v>10</v>
      </c>
      <c r="Q948" s="23" t="n">
        <f>MIN(O948,P948)</f>
        <v>10</v>
      </c>
      <c r="R948" s="25" t="n">
        <f>IF(M948=0,0,MIN(1,L948/M948))</f>
        <v>1</v>
      </c>
      <c r="S948" s="23" t="n">
        <f>O948*R948</f>
        <v>12</v>
      </c>
      <c r="T948" s="23" t="n">
        <f>MIN(P948,S948)</f>
        <v>10</v>
      </c>
      <c r="U948" s="23" t="n">
        <f>O948-S948</f>
        <v>0</v>
      </c>
      <c r="V948" s="23" t="n">
        <f>MAX(P948-O948,0)</f>
        <v>0</v>
      </c>
    </row>
    <row r="949">
      <c r="A949" s="19" t="str">
        <v>英国区</v>
      </c>
      <c r="B949" s="19" t="str">
        <v>伯明翰18号仓(SN)</v>
      </c>
      <c r="C949" s="19" t="str">
        <v>质检组</v>
      </c>
      <c r="D949" s="21" t="n">
        <v>46127</v>
      </c>
      <c r="E949" s="19" t="str">
        <v>2026-04</v>
      </c>
      <c r="F949" s="19" t="str">
        <v>操作员</v>
      </c>
      <c r="G949" s="19" t="str">
        <v>英国灵活（6小时扣午休） / UK FLEX (6-HR LUNCH BREAK DEDUCTED)</v>
      </c>
      <c r="H949" s="19" t="str">
        <v>S000011</v>
      </c>
      <c r="I949" s="19" t="str">
        <v>SD4U</v>
      </c>
      <c r="J949" s="23" t="n">
        <v>12</v>
      </c>
      <c r="K949" s="23" t="n">
        <v>0</v>
      </c>
      <c r="L949" s="23" t="n">
        <f>J949+K949</f>
        <v>12</v>
      </c>
      <c r="M949" s="23" t="n">
        <v>12</v>
      </c>
      <c r="N949" s="23" t="n">
        <v>12</v>
      </c>
      <c r="O949" s="23" t="n">
        <v>12</v>
      </c>
      <c r="P949" s="23" t="n">
        <v>12</v>
      </c>
      <c r="Q949" s="23" t="n">
        <f>MIN(O949,P949)</f>
        <v>12</v>
      </c>
      <c r="R949" s="25" t="n">
        <f>IF(M949=0,0,MIN(1,L949/M949))</f>
        <v>1</v>
      </c>
      <c r="S949" s="23" t="n">
        <f>O949*R949</f>
        <v>12</v>
      </c>
      <c r="T949" s="23" t="n">
        <f>MIN(P949,S949)</f>
        <v>12</v>
      </c>
      <c r="U949" s="23" t="n">
        <f>O949-S949</f>
        <v>0</v>
      </c>
      <c r="V949" s="23" t="n">
        <f>MAX(P949-O949,0)</f>
        <v>0</v>
      </c>
    </row>
    <row r="950">
      <c r="A950" s="19" t="str">
        <v>英国区</v>
      </c>
      <c r="B950" s="19" t="str">
        <v>伯明翰18号仓(SN)</v>
      </c>
      <c r="C950" s="19" t="str">
        <v>质检组</v>
      </c>
      <c r="D950" s="21" t="n">
        <v>46129</v>
      </c>
      <c r="E950" s="19" t="str">
        <v>2026-04</v>
      </c>
      <c r="F950" s="19" t="str">
        <v>操作员</v>
      </c>
      <c r="G950" s="19" t="str">
        <v>英国灵活（6小时扣午休） / UK FLEX (6-HR LUNCH BREAK DEDUCTED)</v>
      </c>
      <c r="H950" s="19" t="str">
        <v>S000013</v>
      </c>
      <c r="I950" s="19" t="str">
        <v>FT Recruitment</v>
      </c>
      <c r="J950" s="23" t="n">
        <v>1</v>
      </c>
      <c r="K950" s="23" t="n">
        <v>0</v>
      </c>
      <c r="L950" s="23" t="n">
        <f>J950+K950</f>
        <v>1</v>
      </c>
      <c r="M950" s="23" t="n">
        <v>1</v>
      </c>
      <c r="N950" s="23" t="n">
        <v>1</v>
      </c>
      <c r="O950" s="23" t="n">
        <v>1</v>
      </c>
      <c r="P950" s="23" t="n">
        <v>1</v>
      </c>
      <c r="Q950" s="23" t="n">
        <f>MIN(O950,P950)</f>
        <v>1</v>
      </c>
      <c r="R950" s="25" t="n">
        <f>IF(M950=0,0,MIN(1,L950/M950))</f>
        <v>1</v>
      </c>
      <c r="S950" s="23" t="n">
        <f>O950*R950</f>
        <v>1</v>
      </c>
      <c r="T950" s="23" t="n">
        <f>MIN(P950,S950)</f>
        <v>1</v>
      </c>
      <c r="U950" s="23" t="n">
        <f>O950-S950</f>
        <v>0</v>
      </c>
      <c r="V950" s="23" t="n">
        <f>MAX(P950-O950,0)</f>
        <v>0</v>
      </c>
    </row>
    <row r="951">
      <c r="A951" s="19" t="str">
        <v>英国区</v>
      </c>
      <c r="B951" s="19" t="str">
        <v>伯明翰18号仓(SN)</v>
      </c>
      <c r="C951" s="19" t="str">
        <v>质检组</v>
      </c>
      <c r="D951" s="21" t="n">
        <v>46132</v>
      </c>
      <c r="E951" s="19" t="str">
        <v>2026-04</v>
      </c>
      <c r="F951" s="19" t="str">
        <v>操作员</v>
      </c>
      <c r="G951" s="19" t="str">
        <v>英国灵活（6小时扣午休） / UK FLEX (6-HR LUNCH BREAK DEDUCTED)</v>
      </c>
      <c r="H951" s="19" t="str">
        <v>S000011</v>
      </c>
      <c r="I951" s="19" t="str">
        <v>SD4U</v>
      </c>
      <c r="J951" s="23" t="n">
        <v>14</v>
      </c>
      <c r="K951" s="23" t="n">
        <v>0</v>
      </c>
      <c r="L951" s="23" t="n">
        <f>J951+K951</f>
        <v>14</v>
      </c>
      <c r="M951" s="23" t="n">
        <v>14</v>
      </c>
      <c r="N951" s="23" t="n">
        <v>14</v>
      </c>
      <c r="O951" s="23" t="n">
        <v>14</v>
      </c>
      <c r="P951" s="23" t="n">
        <v>14</v>
      </c>
      <c r="Q951" s="23" t="n">
        <f>MIN(O951,P951)</f>
        <v>14</v>
      </c>
      <c r="R951" s="25" t="n">
        <f>IF(M951=0,0,MIN(1,L951/M951))</f>
        <v>1</v>
      </c>
      <c r="S951" s="23" t="n">
        <f>O951*R951</f>
        <v>14</v>
      </c>
      <c r="T951" s="23" t="n">
        <f>MIN(P951,S951)</f>
        <v>14</v>
      </c>
      <c r="U951" s="23" t="n">
        <f>O951-S951</f>
        <v>0</v>
      </c>
      <c r="V951" s="23" t="n">
        <f>MAX(P951-O951,0)</f>
        <v>0</v>
      </c>
    </row>
    <row r="952">
      <c r="A952" s="19" t="str">
        <v>英国区</v>
      </c>
      <c r="B952" s="19" t="str">
        <v>伯明翰18号仓(SN)</v>
      </c>
      <c r="C952" s="19" t="str">
        <v>质检组</v>
      </c>
      <c r="D952" s="21" t="n">
        <v>46134</v>
      </c>
      <c r="E952" s="19" t="str">
        <v>2026-04</v>
      </c>
      <c r="F952" s="19" t="str">
        <v>操作员</v>
      </c>
      <c r="G952" s="19" t="str">
        <v>英国灵活（6小时扣午休） / UK FLEX (6-HR LUNCH BREAK DEDUCTED)</v>
      </c>
      <c r="H952" s="19" t="str">
        <v>S000132</v>
      </c>
      <c r="I952" s="19" t="str">
        <v>HRA Recruitment Services</v>
      </c>
      <c r="J952" s="23" t="n">
        <v>15</v>
      </c>
      <c r="K952" s="23" t="n">
        <v>0</v>
      </c>
      <c r="L952" s="23" t="n">
        <f>J952+K952</f>
        <v>15</v>
      </c>
      <c r="M952" s="23" t="n">
        <v>15</v>
      </c>
      <c r="N952" s="23" t="n">
        <v>15</v>
      </c>
      <c r="O952" s="23" t="n">
        <v>3</v>
      </c>
      <c r="P952" s="23" t="n">
        <v>3</v>
      </c>
      <c r="Q952" s="23" t="n">
        <f>MIN(O952,P952)</f>
        <v>3</v>
      </c>
      <c r="R952" s="25" t="n">
        <f>IF(M952=0,0,MIN(1,L952/M952))</f>
        <v>1</v>
      </c>
      <c r="S952" s="23" t="n">
        <f>O952*R952</f>
        <v>3</v>
      </c>
      <c r="T952" s="23" t="n">
        <f>MIN(P952,S952)</f>
        <v>3</v>
      </c>
      <c r="U952" s="23" t="n">
        <f>O952-S952</f>
        <v>0</v>
      </c>
      <c r="V952" s="23" t="n">
        <f>MAX(P952-O952,0)</f>
        <v>0</v>
      </c>
    </row>
    <row r="953">
      <c r="A953" s="19" t="str">
        <v>英国区</v>
      </c>
      <c r="B953" s="19" t="str">
        <v>伯明翰18号仓(SN)</v>
      </c>
      <c r="C953" s="19" t="str">
        <v>质检组</v>
      </c>
      <c r="D953" s="21" t="n">
        <v>46134</v>
      </c>
      <c r="E953" s="19" t="str">
        <v>2026-04</v>
      </c>
      <c r="F953" s="19" t="str">
        <v>操作员</v>
      </c>
      <c r="G953" s="19" t="str">
        <v>英国灵活（6小时扣午休） / UK FLEX (6-HR LUNCH BREAK DEDUCTED)</v>
      </c>
      <c r="H953" s="19" t="str">
        <v>S000274</v>
      </c>
      <c r="I953" s="19" t="str">
        <v>Jobsworth Recruitment Solutions Limited</v>
      </c>
      <c r="J953" s="23" t="n">
        <v>15</v>
      </c>
      <c r="K953" s="23" t="n">
        <v>0</v>
      </c>
      <c r="L953" s="23" t="n">
        <f>J953+K953</f>
        <v>15</v>
      </c>
      <c r="M953" s="23" t="n">
        <v>15</v>
      </c>
      <c r="N953" s="23" t="n">
        <v>15</v>
      </c>
      <c r="O953" s="23" t="n">
        <v>12</v>
      </c>
      <c r="P953" s="23" t="n">
        <v>12</v>
      </c>
      <c r="Q953" s="23" t="n">
        <f>MIN(O953,P953)</f>
        <v>12</v>
      </c>
      <c r="R953" s="25" t="n">
        <f>IF(M953=0,0,MIN(1,L953/M953))</f>
        <v>1</v>
      </c>
      <c r="S953" s="23" t="n">
        <f>O953*R953</f>
        <v>12</v>
      </c>
      <c r="T953" s="23" t="n">
        <f>MIN(P953,S953)</f>
        <v>12</v>
      </c>
      <c r="U953" s="23" t="n">
        <f>O953-S953</f>
        <v>0</v>
      </c>
      <c r="V953" s="23" t="n">
        <f>MAX(P953-O953,0)</f>
        <v>0</v>
      </c>
    </row>
    <row r="954">
      <c r="A954" s="19" t="str">
        <v>英国区</v>
      </c>
      <c r="B954" s="19" t="str">
        <v>伯明翰18号仓(SN)</v>
      </c>
      <c r="C954" s="19" t="str">
        <v>质检组</v>
      </c>
      <c r="D954" s="21" t="n">
        <v>46136</v>
      </c>
      <c r="E954" s="19" t="str">
        <v>2026-04</v>
      </c>
      <c r="F954" s="19" t="str">
        <v>操作员</v>
      </c>
      <c r="G954" s="19" t="str">
        <v>英国灵活（6小时扣午休） / UK FLEX (6-HR LUNCH BREAK DEDUCTED)</v>
      </c>
      <c r="H954" s="19" t="str">
        <v>S000132</v>
      </c>
      <c r="I954" s="19" t="str">
        <v>HRA Recruitment Services</v>
      </c>
      <c r="J954" s="23" t="n">
        <v>12</v>
      </c>
      <c r="K954" s="23" t="n">
        <v>0</v>
      </c>
      <c r="L954" s="23" t="n">
        <f>J954+K954</f>
        <v>12</v>
      </c>
      <c r="M954" s="23" t="n">
        <v>12</v>
      </c>
      <c r="N954" s="23" t="n">
        <v>12</v>
      </c>
      <c r="O954" s="23" t="n">
        <v>12</v>
      </c>
      <c r="P954" s="23" t="n">
        <v>12</v>
      </c>
      <c r="Q954" s="23" t="n">
        <f>MIN(O954,P954)</f>
        <v>12</v>
      </c>
      <c r="R954" s="25" t="n">
        <f>IF(M954=0,0,MIN(1,L954/M954))</f>
        <v>1</v>
      </c>
      <c r="S954" s="23" t="n">
        <f>O954*R954</f>
        <v>12</v>
      </c>
      <c r="T954" s="23" t="n">
        <f>MIN(P954,S954)</f>
        <v>12</v>
      </c>
      <c r="U954" s="23" t="n">
        <f>O954-S954</f>
        <v>0</v>
      </c>
      <c r="V954" s="23" t="n">
        <f>MAX(P954-O954,0)</f>
        <v>0</v>
      </c>
    </row>
    <row r="955">
      <c r="A955" s="19" t="str">
        <v>英国区</v>
      </c>
      <c r="B955" s="19" t="str">
        <v>伯明翰18号仓(SN)</v>
      </c>
      <c r="C955" s="19" t="str">
        <v>质检组</v>
      </c>
      <c r="D955" s="21" t="n">
        <v>46139</v>
      </c>
      <c r="E955" s="19" t="str">
        <v>2026-04</v>
      </c>
      <c r="F955" s="19" t="str">
        <v>操作员</v>
      </c>
      <c r="G955" s="19" t="str">
        <v>英国灵活（6小时扣午休） / UK FLEX (6-HR LUNCH BREAK DEDUCTED)</v>
      </c>
      <c r="H955" s="19" t="str">
        <v>S000011</v>
      </c>
      <c r="I955" s="19" t="str">
        <v>SD4U</v>
      </c>
      <c r="J955" s="23" t="n">
        <v>11</v>
      </c>
      <c r="K955" s="23" t="n">
        <v>0</v>
      </c>
      <c r="L955" s="23" t="n">
        <f>J955+K955</f>
        <v>11</v>
      </c>
      <c r="M955" s="23" t="n">
        <v>11</v>
      </c>
      <c r="N955" s="23" t="n">
        <v>11</v>
      </c>
      <c r="O955" s="23" t="n">
        <v>11</v>
      </c>
      <c r="P955" s="23" t="n">
        <v>11</v>
      </c>
      <c r="Q955" s="23" t="n">
        <f>MIN(O955,P955)</f>
        <v>11</v>
      </c>
      <c r="R955" s="25" t="n">
        <f>IF(M955=0,0,MIN(1,L955/M955))</f>
        <v>1</v>
      </c>
      <c r="S955" s="23" t="n">
        <f>O955*R955</f>
        <v>11</v>
      </c>
      <c r="T955" s="23" t="n">
        <f>MIN(P955,S955)</f>
        <v>11</v>
      </c>
      <c r="U955" s="23" t="n">
        <f>O955-S955</f>
        <v>0</v>
      </c>
      <c r="V955" s="23" t="n">
        <f>MAX(P955-O955,0)</f>
        <v>0</v>
      </c>
    </row>
    <row r="956">
      <c r="A956" s="19" t="str">
        <v>英国区</v>
      </c>
      <c r="B956" s="19" t="str">
        <v>伯明翰18号仓(SN)</v>
      </c>
      <c r="C956" s="19" t="str">
        <v>质检组</v>
      </c>
      <c r="D956" s="21" t="n">
        <v>46141</v>
      </c>
      <c r="E956" s="19" t="str">
        <v>2026-04</v>
      </c>
      <c r="F956" s="19" t="str">
        <v>操作员</v>
      </c>
      <c r="G956" s="19" t="str">
        <v>英国灵活（6小时扣午休） / UK FLEX (6-HR LUNCH BREAK DEDUCTED)</v>
      </c>
      <c r="H956" s="19" t="str">
        <v>S000331</v>
      </c>
      <c r="I956" s="19" t="str">
        <v>Employment of London Limited</v>
      </c>
      <c r="J956" s="23" t="n">
        <v>12</v>
      </c>
      <c r="K956" s="23" t="n">
        <v>0</v>
      </c>
      <c r="L956" s="23" t="n">
        <f>J956+K956</f>
        <v>12</v>
      </c>
      <c r="M956" s="23" t="n">
        <v>12</v>
      </c>
      <c r="N956" s="23" t="n">
        <v>12</v>
      </c>
      <c r="O956" s="23" t="n">
        <v>12</v>
      </c>
      <c r="P956" s="23" t="n">
        <v>12</v>
      </c>
      <c r="Q956" s="23" t="n">
        <f>MIN(O956,P956)</f>
        <v>12</v>
      </c>
      <c r="R956" s="25" t="n">
        <f>IF(M956=0,0,MIN(1,L956/M956))</f>
        <v>1</v>
      </c>
      <c r="S956" s="23" t="n">
        <f>O956*R956</f>
        <v>12</v>
      </c>
      <c r="T956" s="23" t="n">
        <f>MIN(P956,S956)</f>
        <v>12</v>
      </c>
      <c r="U956" s="23" t="n">
        <f>O956-S956</f>
        <v>0</v>
      </c>
      <c r="V956" s="23" t="n">
        <f>MAX(P956-O956,0)</f>
        <v>0</v>
      </c>
    </row>
    <row r="957">
      <c r="A957" s="19" t="str">
        <v>英国区</v>
      </c>
      <c r="B957" s="19" t="str">
        <v>伯明翰18号仓(SN)</v>
      </c>
      <c r="C957" s="19" t="str">
        <v>质检组</v>
      </c>
      <c r="D957" s="21" t="n">
        <v>46142</v>
      </c>
      <c r="E957" s="19" t="str">
        <v>2026-04</v>
      </c>
      <c r="F957" s="19" t="str">
        <v>操作员</v>
      </c>
      <c r="G957" s="19" t="str">
        <v>英国灵活（6小时扣午休） / UK FLEX (6-HR LUNCH BREAK DEDUCTED)</v>
      </c>
      <c r="H957" s="19" t="str">
        <v>S000331</v>
      </c>
      <c r="I957" s="19" t="str">
        <v>Employment of London Limited</v>
      </c>
      <c r="J957" s="23" t="n">
        <v>16</v>
      </c>
      <c r="K957" s="23" t="n">
        <v>0</v>
      </c>
      <c r="L957" s="23" t="n">
        <f>J957+K957</f>
        <v>16</v>
      </c>
      <c r="M957" s="23" t="n">
        <v>16</v>
      </c>
      <c r="N957" s="23" t="n">
        <v>16</v>
      </c>
      <c r="O957" s="23" t="n">
        <v>16</v>
      </c>
      <c r="P957" s="23" t="n">
        <v>16</v>
      </c>
      <c r="Q957" s="23" t="n">
        <f>MIN(O957,P957)</f>
        <v>16</v>
      </c>
      <c r="R957" s="25" t="n">
        <f>IF(M957=0,0,MIN(1,L957/M957))</f>
        <v>1</v>
      </c>
      <c r="S957" s="23" t="n">
        <f>O957*R957</f>
        <v>16</v>
      </c>
      <c r="T957" s="23" t="n">
        <f>MIN(P957,S957)</f>
        <v>16</v>
      </c>
      <c r="U957" s="23" t="n">
        <f>O957-S957</f>
        <v>0</v>
      </c>
      <c r="V957" s="23" t="n">
        <f>MAX(P957-O957,0)</f>
        <v>0</v>
      </c>
    </row>
    <row r="958">
      <c r="A958" s="19" t="str">
        <v>英国区</v>
      </c>
      <c r="B958" s="19" t="str">
        <v>伯明翰18号仓(SN)</v>
      </c>
      <c r="C958" s="19" t="str">
        <v>质检组</v>
      </c>
      <c r="D958" s="21" t="n">
        <v>46143</v>
      </c>
      <c r="E958" s="19" t="str">
        <v>2026-05</v>
      </c>
      <c r="F958" s="19" t="str">
        <v>操作员</v>
      </c>
      <c r="G958" s="19" t="str">
        <v>英国灵活（6小时扣午休） / UK FLEX (6-HR LUNCH BREAK DEDUCTED)</v>
      </c>
      <c r="H958" s="19" t="str">
        <v>S000331</v>
      </c>
      <c r="I958" s="19" t="str">
        <v>Employment of London Limited</v>
      </c>
      <c r="J958" s="23" t="n">
        <v>12</v>
      </c>
      <c r="K958" s="23" t="n">
        <v>0</v>
      </c>
      <c r="L958" s="23" t="n">
        <f>J958+K958</f>
        <v>12</v>
      </c>
      <c r="M958" s="23" t="n">
        <v>12</v>
      </c>
      <c r="N958" s="23" t="n">
        <v>12</v>
      </c>
      <c r="O958" s="23" t="n">
        <v>12</v>
      </c>
      <c r="P958" s="23" t="n">
        <v>12</v>
      </c>
      <c r="Q958" s="23" t="n">
        <f>MIN(O958,P958)</f>
        <v>12</v>
      </c>
      <c r="R958" s="25" t="n">
        <f>IF(M958=0,0,MIN(1,L958/M958))</f>
        <v>1</v>
      </c>
      <c r="S958" s="23" t="n">
        <f>O958*R958</f>
        <v>12</v>
      </c>
      <c r="T958" s="23" t="n">
        <f>MIN(P958,S958)</f>
        <v>12</v>
      </c>
      <c r="U958" s="23" t="n">
        <f>O958-S958</f>
        <v>0</v>
      </c>
      <c r="V958" s="23" t="n">
        <f>MAX(P958-O958,0)</f>
        <v>0</v>
      </c>
    </row>
    <row r="959">
      <c r="A959" s="19" t="str">
        <v>英国区</v>
      </c>
      <c r="B959" s="19" t="str">
        <v>伯明翰18号仓(SN)</v>
      </c>
      <c r="C959" s="19" t="str">
        <v>质检组</v>
      </c>
      <c r="D959" s="21" t="n">
        <v>46147</v>
      </c>
      <c r="E959" s="19" t="str">
        <v>2026-05</v>
      </c>
      <c r="F959" s="19" t="str">
        <v>操作员</v>
      </c>
      <c r="G959" s="19" t="str">
        <v>英国灵活（6小时扣午休） / UK FLEX (6-HR LUNCH BREAK DEDUCTED)</v>
      </c>
      <c r="H959" s="19" t="str">
        <v>S000013</v>
      </c>
      <c r="I959" s="19" t="str">
        <v>FT Recruitment</v>
      </c>
      <c r="J959" s="23" t="n">
        <v>12</v>
      </c>
      <c r="K959" s="23" t="n">
        <v>0</v>
      </c>
      <c r="L959" s="23" t="n">
        <f>J959+K959</f>
        <v>12</v>
      </c>
      <c r="M959" s="23" t="n">
        <v>12</v>
      </c>
      <c r="N959" s="23" t="n">
        <v>12</v>
      </c>
      <c r="O959" s="23" t="n">
        <v>12</v>
      </c>
      <c r="P959" s="23" t="n">
        <v>12</v>
      </c>
      <c r="Q959" s="23" t="n">
        <f>MIN(O959,P959)</f>
        <v>12</v>
      </c>
      <c r="R959" s="25" t="n">
        <f>IF(M959=0,0,MIN(1,L959/M959))</f>
        <v>1</v>
      </c>
      <c r="S959" s="23" t="n">
        <f>O959*R959</f>
        <v>12</v>
      </c>
      <c r="T959" s="23" t="n">
        <f>MIN(P959,S959)</f>
        <v>12</v>
      </c>
      <c r="U959" s="23" t="n">
        <f>O959-S959</f>
        <v>0</v>
      </c>
      <c r="V959" s="23" t="n">
        <f>MAX(P959-O959,0)</f>
        <v>0</v>
      </c>
    </row>
    <row r="960">
      <c r="A960" s="19" t="str">
        <v>英国区</v>
      </c>
      <c r="B960" s="19" t="str">
        <v>伯明翰18号仓(SN)</v>
      </c>
      <c r="C960" s="19" t="str">
        <v>质检组</v>
      </c>
      <c r="D960" s="21" t="n">
        <v>46149</v>
      </c>
      <c r="E960" s="19" t="str">
        <v>2026-05</v>
      </c>
      <c r="F960" s="19" t="str">
        <v>操作员</v>
      </c>
      <c r="G960" s="19" t="str">
        <v>英国灵活（6小时扣午休） / UK FLEX (6-HR LUNCH BREAK DEDUCTED)</v>
      </c>
      <c r="H960" s="19" t="str">
        <v>S000331</v>
      </c>
      <c r="I960" s="19" t="str">
        <v>Employment of London Limited</v>
      </c>
      <c r="J960" s="23" t="n">
        <v>12</v>
      </c>
      <c r="K960" s="23" t="n">
        <v>0</v>
      </c>
      <c r="L960" s="23" t="n">
        <f>J960+K960</f>
        <v>12</v>
      </c>
      <c r="M960" s="23" t="n">
        <v>12</v>
      </c>
      <c r="N960" s="23" t="n">
        <v>12</v>
      </c>
      <c r="O960" s="23" t="n">
        <v>12</v>
      </c>
      <c r="P960" s="23" t="n">
        <v>12</v>
      </c>
      <c r="Q960" s="23" t="n">
        <f>MIN(O960,P960)</f>
        <v>12</v>
      </c>
      <c r="R960" s="25" t="n">
        <f>IF(M960=0,0,MIN(1,L960/M960))</f>
        <v>1</v>
      </c>
      <c r="S960" s="23" t="n">
        <f>O960*R960</f>
        <v>12</v>
      </c>
      <c r="T960" s="23" t="n">
        <f>MIN(P960,S960)</f>
        <v>12</v>
      </c>
      <c r="U960" s="23" t="n">
        <f>O960-S960</f>
        <v>0</v>
      </c>
      <c r="V960" s="23" t="n">
        <f>MAX(P960-O960,0)</f>
        <v>0</v>
      </c>
    </row>
    <row r="961">
      <c r="A961" s="19" t="str">
        <v>英国区</v>
      </c>
      <c r="B961" s="19" t="str">
        <v>伯明翰18号仓(SN)</v>
      </c>
      <c r="C961" s="19" t="str">
        <v>质检组</v>
      </c>
      <c r="D961" s="21" t="n">
        <v>46153</v>
      </c>
      <c r="E961" s="19" t="str">
        <v>2026-05</v>
      </c>
      <c r="F961" s="19" t="str">
        <v>操作员</v>
      </c>
      <c r="G961" s="19" t="str">
        <v>英国灵活（6小时扣午休） / UK FLEX (6-HR LUNCH BREAK DEDUCTED)</v>
      </c>
      <c r="H961" s="19" t="str">
        <v>S000331</v>
      </c>
      <c r="I961" s="19" t="str">
        <v>Employment of London Limited</v>
      </c>
      <c r="J961" s="23" t="n">
        <v>12</v>
      </c>
      <c r="K961" s="23" t="n">
        <v>0</v>
      </c>
      <c r="L961" s="23" t="n">
        <f>J961+K961</f>
        <v>12</v>
      </c>
      <c r="M961" s="23" t="n">
        <v>12</v>
      </c>
      <c r="N961" s="23" t="n">
        <v>12</v>
      </c>
      <c r="O961" s="23" t="n">
        <v>12</v>
      </c>
      <c r="P961" s="23" t="n">
        <v>12</v>
      </c>
      <c r="Q961" s="23" t="n">
        <f>MIN(O961,P961)</f>
        <v>12</v>
      </c>
      <c r="R961" s="25" t="n">
        <f>IF(M961=0,0,MIN(1,L961/M961))</f>
        <v>1</v>
      </c>
      <c r="S961" s="23" t="n">
        <f>O961*R961</f>
        <v>12</v>
      </c>
      <c r="T961" s="23" t="n">
        <f>MIN(P961,S961)</f>
        <v>12</v>
      </c>
      <c r="U961" s="23" t="n">
        <f>O961-S961</f>
        <v>0</v>
      </c>
      <c r="V961" s="23" t="n">
        <f>MAX(P961-O961,0)</f>
        <v>0</v>
      </c>
    </row>
    <row r="962">
      <c r="A962" s="19" t="str">
        <v>英国区</v>
      </c>
      <c r="B962" s="19" t="str">
        <v>伯明翰18号仓(SN)</v>
      </c>
      <c r="C962" s="19" t="str">
        <v>质检组</v>
      </c>
      <c r="D962" s="21" t="n">
        <v>46155</v>
      </c>
      <c r="E962" s="19" t="str">
        <v>2026-05</v>
      </c>
      <c r="F962" s="19" t="str">
        <v>操作员</v>
      </c>
      <c r="G962" s="19" t="str">
        <v>英国灵活（6小时扣午休） / UK FLEX (6-HR LUNCH BREAK DEDUCTED)</v>
      </c>
      <c r="H962" s="19" t="str">
        <v>S000274</v>
      </c>
      <c r="I962" s="19" t="str">
        <v>Jobsworth Recruitment Solutions Limited</v>
      </c>
      <c r="J962" s="23" t="n">
        <v>12</v>
      </c>
      <c r="K962" s="23" t="n">
        <v>0</v>
      </c>
      <c r="L962" s="23" t="n">
        <f>J962+K962</f>
        <v>12</v>
      </c>
      <c r="M962" s="23" t="n">
        <v>12</v>
      </c>
      <c r="N962" s="23" t="n">
        <v>12</v>
      </c>
      <c r="O962" s="23" t="n">
        <v>12</v>
      </c>
      <c r="P962" s="23" t="n">
        <v>12</v>
      </c>
      <c r="Q962" s="23" t="n">
        <f>MIN(O962,P962)</f>
        <v>12</v>
      </c>
      <c r="R962" s="25" t="n">
        <f>IF(M962=0,0,MIN(1,L962/M962))</f>
        <v>1</v>
      </c>
      <c r="S962" s="23" t="n">
        <f>O962*R962</f>
        <v>12</v>
      </c>
      <c r="T962" s="23" t="n">
        <f>MIN(P962,S962)</f>
        <v>12</v>
      </c>
      <c r="U962" s="23" t="n">
        <f>O962-S962</f>
        <v>0</v>
      </c>
      <c r="V962" s="23" t="n">
        <f>MAX(P962-O962,0)</f>
        <v>0</v>
      </c>
    </row>
    <row r="963">
      <c r="A963" s="19" t="str">
        <v>英国区</v>
      </c>
      <c r="B963" s="19" t="str">
        <v>伯明翰18号仓(SN)</v>
      </c>
      <c r="C963" s="19" t="str">
        <v>质检组</v>
      </c>
      <c r="D963" s="21" t="n">
        <v>46157</v>
      </c>
      <c r="E963" s="19" t="str">
        <v>2026-05</v>
      </c>
      <c r="F963" s="19" t="str">
        <v>操作员</v>
      </c>
      <c r="G963" s="19" t="str">
        <v>英国灵活（6小时扣午休） / UK FLEX (6-HR LUNCH BREAK DEDUCTED)</v>
      </c>
      <c r="H963" s="19" t="str">
        <v>S000331</v>
      </c>
      <c r="I963" s="19" t="str">
        <v>Employment of London Limited</v>
      </c>
      <c r="J963" s="23" t="n">
        <v>27</v>
      </c>
      <c r="K963" s="23" t="n">
        <v>0</v>
      </c>
      <c r="L963" s="23" t="n">
        <f>J963+K963</f>
        <v>27</v>
      </c>
      <c r="M963" s="23" t="n">
        <v>27</v>
      </c>
      <c r="N963" s="23" t="n">
        <v>27</v>
      </c>
      <c r="O963" s="23" t="n">
        <v>27</v>
      </c>
      <c r="P963" s="23" t="n">
        <v>27</v>
      </c>
      <c r="Q963" s="23" t="n">
        <f>MIN(O963,P963)</f>
        <v>27</v>
      </c>
      <c r="R963" s="25" t="n">
        <f>IF(M963=0,0,MIN(1,L963/M963))</f>
        <v>1</v>
      </c>
      <c r="S963" s="23" t="n">
        <f>O963*R963</f>
        <v>27</v>
      </c>
      <c r="T963" s="23" t="n">
        <f>MIN(P963,S963)</f>
        <v>27</v>
      </c>
      <c r="U963" s="23" t="n">
        <f>O963-S963</f>
        <v>0</v>
      </c>
      <c r="V963" s="23" t="n">
        <f>MAX(P963-O963,0)</f>
        <v>0</v>
      </c>
    </row>
    <row r="964">
      <c r="A964" s="19" t="str">
        <v>英国区</v>
      </c>
      <c r="B964" s="19" t="str">
        <v>伯明翰18号仓(SN)</v>
      </c>
      <c r="C964" s="19" t="str">
        <v>质检组</v>
      </c>
      <c r="D964" s="21" t="n">
        <v>46158</v>
      </c>
      <c r="E964" s="19" t="str">
        <v>2026-05</v>
      </c>
      <c r="F964" s="19" t="str">
        <v>操作员</v>
      </c>
      <c r="G964" s="19" t="str">
        <v>英国灵活（6小时扣午休） / UK FLEX (6-HR LUNCH BREAK DEDUCTED)</v>
      </c>
      <c r="H964" s="19" t="str">
        <v>S000331</v>
      </c>
      <c r="I964" s="19" t="str">
        <v>Employment of London Limited</v>
      </c>
      <c r="J964" s="23" t="n">
        <v>12</v>
      </c>
      <c r="K964" s="23" t="n">
        <v>0</v>
      </c>
      <c r="L964" s="23" t="n">
        <f>J964+K964</f>
        <v>12</v>
      </c>
      <c r="M964" s="23" t="n">
        <v>12</v>
      </c>
      <c r="N964" s="23" t="n">
        <v>12</v>
      </c>
      <c r="O964" s="23" t="n">
        <v>12</v>
      </c>
      <c r="P964" s="23" t="n">
        <v>12</v>
      </c>
      <c r="Q964" s="23" t="n">
        <f>MIN(O964,P964)</f>
        <v>12</v>
      </c>
      <c r="R964" s="25" t="n">
        <f>IF(M964=0,0,MIN(1,L964/M964))</f>
        <v>1</v>
      </c>
      <c r="S964" s="23" t="n">
        <f>O964*R964</f>
        <v>12</v>
      </c>
      <c r="T964" s="23" t="n">
        <f>MIN(P964,S964)</f>
        <v>12</v>
      </c>
      <c r="U964" s="23" t="n">
        <f>O964-S964</f>
        <v>0</v>
      </c>
      <c r="V964" s="23" t="n">
        <f>MAX(P964-O964,0)</f>
        <v>0</v>
      </c>
    </row>
    <row r="965">
      <c r="A965" s="19" t="str">
        <v>英国区</v>
      </c>
      <c r="B965" s="19" t="str">
        <v>伯明翰18号仓(SN)</v>
      </c>
      <c r="C965" s="19" t="str">
        <v>质检组</v>
      </c>
      <c r="D965" s="21" t="n">
        <v>46160</v>
      </c>
      <c r="E965" s="19" t="str">
        <v>2026-05</v>
      </c>
      <c r="F965" s="19" t="str">
        <v>操作员</v>
      </c>
      <c r="G965" s="19" t="str">
        <v>英国灵活（6小时扣午休） / UK FLEX (6-HR LUNCH BREAK DEDUCTED)</v>
      </c>
      <c r="H965" s="19" t="str">
        <v>S000331</v>
      </c>
      <c r="I965" s="19" t="str">
        <v>Employment of London Limited</v>
      </c>
      <c r="J965" s="23" t="n">
        <v>52</v>
      </c>
      <c r="K965" s="23" t="n">
        <v>0</v>
      </c>
      <c r="L965" s="23" t="n">
        <f>J965+K965</f>
        <v>52</v>
      </c>
      <c r="M965" s="23" t="n">
        <v>52</v>
      </c>
      <c r="N965" s="23" t="n">
        <v>1</v>
      </c>
      <c r="O965" s="23" t="n">
        <v>52</v>
      </c>
      <c r="P965" s="23" t="n">
        <v>1</v>
      </c>
      <c r="Q965" s="23" t="n">
        <f>MIN(O965,P965)</f>
        <v>1</v>
      </c>
      <c r="R965" s="25" t="n">
        <f>IF(M965=0,0,MIN(1,L965/M965))</f>
        <v>1</v>
      </c>
      <c r="S965" s="23" t="n">
        <f>O965*R965</f>
        <v>52</v>
      </c>
      <c r="T965" s="23" t="n">
        <f>MIN(P965,S965)</f>
        <v>1</v>
      </c>
      <c r="U965" s="23" t="n">
        <f>O965-S965</f>
        <v>0</v>
      </c>
      <c r="V965" s="23" t="n">
        <f>MAX(P965-O965,0)</f>
        <v>0</v>
      </c>
    </row>
    <row r="966">
      <c r="A966" s="19" t="str">
        <v>英国区</v>
      </c>
      <c r="B966" s="19" t="str">
        <v>伯明翰18号仓(SN)</v>
      </c>
      <c r="C966" s="19" t="str">
        <v>质检组</v>
      </c>
      <c r="D966" s="21" t="n">
        <v>46161</v>
      </c>
      <c r="E966" s="19" t="str">
        <v>2026-05</v>
      </c>
      <c r="F966" s="19" t="str">
        <v>操作员</v>
      </c>
      <c r="G966" s="19" t="str">
        <v>英国灵活（6小时扣午休） / UK FLEX (6-HR LUNCH BREAK DEDUCTED)</v>
      </c>
      <c r="H966" s="19" t="str">
        <v>S000331</v>
      </c>
      <c r="I966" s="19" t="str">
        <v>Employment of London Limited</v>
      </c>
      <c r="J966" s="23" t="n">
        <v>75</v>
      </c>
      <c r="K966" s="23" t="n">
        <v>0</v>
      </c>
      <c r="L966" s="23" t="n">
        <f>J966+K966</f>
        <v>75</v>
      </c>
      <c r="M966" s="23" t="n">
        <v>75</v>
      </c>
      <c r="N966" s="23" t="n">
        <v>75</v>
      </c>
      <c r="O966" s="23" t="n">
        <v>75</v>
      </c>
      <c r="P966" s="23" t="n">
        <v>75</v>
      </c>
      <c r="Q966" s="23" t="n">
        <f>MIN(O966,P966)</f>
        <v>75</v>
      </c>
      <c r="R966" s="25" t="n">
        <f>IF(M966=0,0,MIN(1,L966/M966))</f>
        <v>1</v>
      </c>
      <c r="S966" s="23" t="n">
        <f>O966*R966</f>
        <v>75</v>
      </c>
      <c r="T966" s="23" t="n">
        <f>MIN(P966,S966)</f>
        <v>75</v>
      </c>
      <c r="U966" s="23" t="n">
        <f>O966-S966</f>
        <v>0</v>
      </c>
      <c r="V966" s="23" t="n">
        <f>MAX(P966-O966,0)</f>
        <v>0</v>
      </c>
    </row>
    <row r="967">
      <c r="A967" s="19" t="str">
        <v>英国区</v>
      </c>
      <c r="B967" s="19" t="str">
        <v>伯明翰18号仓(SN)</v>
      </c>
      <c r="C967" s="19" t="str">
        <v>质检组</v>
      </c>
      <c r="D967" s="21" t="n">
        <v>46162</v>
      </c>
      <c r="E967" s="19" t="str">
        <v>2026-05</v>
      </c>
      <c r="F967" s="19" t="str">
        <v>操作员</v>
      </c>
      <c r="G967" s="19" t="str">
        <v>英国灵活（6小时扣午休） / UK FLEX (6-HR LUNCH BREAK DEDUCTED)</v>
      </c>
      <c r="H967" s="19" t="str">
        <v>S000013</v>
      </c>
      <c r="I967" s="19" t="str">
        <v>FT Recruitment</v>
      </c>
      <c r="J967" s="23" t="n">
        <v>5</v>
      </c>
      <c r="K967" s="23" t="n">
        <v>0</v>
      </c>
      <c r="L967" s="23" t="n">
        <f>J967+K967</f>
        <v>5</v>
      </c>
      <c r="M967" s="23" t="n">
        <v>5</v>
      </c>
      <c r="N967" s="23" t="n">
        <v>5</v>
      </c>
      <c r="O967" s="23" t="n">
        <v>5</v>
      </c>
      <c r="P967" s="23" t="n">
        <v>5</v>
      </c>
      <c r="Q967" s="23" t="n">
        <f>MIN(O967,P967)</f>
        <v>5</v>
      </c>
      <c r="R967" s="25" t="n">
        <f>IF(M967=0,0,MIN(1,L967/M967))</f>
        <v>1</v>
      </c>
      <c r="S967" s="23" t="n">
        <f>O967*R967</f>
        <v>5</v>
      </c>
      <c r="T967" s="23" t="n">
        <f>MIN(P967,S967)</f>
        <v>5</v>
      </c>
      <c r="U967" s="23" t="n">
        <f>O967-S967</f>
        <v>0</v>
      </c>
      <c r="V967" s="23" t="n">
        <f>MAX(P967-O967,0)</f>
        <v>0</v>
      </c>
    </row>
    <row r="968">
      <c r="A968" s="19" t="str">
        <v>英国区</v>
      </c>
      <c r="B968" s="19" t="str">
        <v>伯明翰18号仓(SN)</v>
      </c>
      <c r="C968" s="19" t="str">
        <v>质检组</v>
      </c>
      <c r="D968" s="21" t="n">
        <v>46164</v>
      </c>
      <c r="E968" s="19" t="str">
        <v>2026-05</v>
      </c>
      <c r="F968" s="19" t="str">
        <v>操作员</v>
      </c>
      <c r="G968" s="19" t="str">
        <v>英国灵活（6小时扣午休） / UK FLEX (6-HR LUNCH BREAK DEDUCTED)</v>
      </c>
      <c r="H968" s="19" t="str">
        <v>S000331</v>
      </c>
      <c r="I968" s="19" t="str">
        <v>Employment of London Limited</v>
      </c>
      <c r="J968" s="23" t="n">
        <v>32</v>
      </c>
      <c r="K968" s="23" t="n">
        <v>0</v>
      </c>
      <c r="L968" s="23" t="n">
        <f>J968+K968</f>
        <v>32</v>
      </c>
      <c r="M968" s="23" t="n">
        <v>32</v>
      </c>
      <c r="N968" s="23" t="n">
        <v>32</v>
      </c>
      <c r="O968" s="23" t="n">
        <v>32</v>
      </c>
      <c r="P968" s="23" t="n">
        <v>32</v>
      </c>
      <c r="Q968" s="23" t="n">
        <f>MIN(O968,P968)</f>
        <v>32</v>
      </c>
      <c r="R968" s="25" t="n">
        <f>IF(M968=0,0,MIN(1,L968/M968))</f>
        <v>1</v>
      </c>
      <c r="S968" s="23" t="n">
        <f>O968*R968</f>
        <v>32</v>
      </c>
      <c r="T968" s="23" t="n">
        <f>MIN(P968,S968)</f>
        <v>32</v>
      </c>
      <c r="U968" s="23" t="n">
        <f>O968-S968</f>
        <v>0</v>
      </c>
      <c r="V968" s="23" t="n">
        <f>MAX(P968-O968,0)</f>
        <v>0</v>
      </c>
    </row>
    <row r="969">
      <c r="A969" s="19" t="str">
        <v>英国区</v>
      </c>
      <c r="B969" s="19" t="str">
        <v>伯明翰18号仓(SN)</v>
      </c>
      <c r="C969" s="19" t="str">
        <v>质检组</v>
      </c>
      <c r="D969" s="21" t="n">
        <v>46171</v>
      </c>
      <c r="E969" s="19" t="str">
        <v>2026-05</v>
      </c>
      <c r="F969" s="19" t="str">
        <v>操作员</v>
      </c>
      <c r="G969" s="19" t="str">
        <v>英国灵活（6小时扣午休） / UK FLEX (6-HR LUNCH BREAK DEDUCTED)</v>
      </c>
      <c r="H969" s="19" t="str">
        <v>S000331</v>
      </c>
      <c r="I969" s="19" t="str">
        <v>Employment of London Limited</v>
      </c>
      <c r="J969" s="23" t="n">
        <v>22</v>
      </c>
      <c r="K969" s="23" t="n">
        <v>0</v>
      </c>
      <c r="L969" s="23" t="n">
        <f>J969+K969</f>
        <v>22</v>
      </c>
      <c r="M969" s="23" t="n">
        <v>22</v>
      </c>
      <c r="N969" s="23" t="n">
        <v>22</v>
      </c>
      <c r="O969" s="23" t="n">
        <v>22</v>
      </c>
      <c r="P969" s="23" t="n">
        <v>22</v>
      </c>
      <c r="Q969" s="23" t="n">
        <f>MIN(O969,P969)</f>
        <v>22</v>
      </c>
      <c r="R969" s="25" t="n">
        <f>IF(M969=0,0,MIN(1,L969/M969))</f>
        <v>1</v>
      </c>
      <c r="S969" s="23" t="n">
        <f>O969*R969</f>
        <v>22</v>
      </c>
      <c r="T969" s="23" t="n">
        <f>MIN(P969,S969)</f>
        <v>22</v>
      </c>
      <c r="U969" s="23" t="n">
        <f>O969-S969</f>
        <v>0</v>
      </c>
      <c r="V969" s="23" t="n">
        <f>MAX(P969-O969,0)</f>
        <v>0</v>
      </c>
    </row>
    <row r="970">
      <c r="A970" s="19" t="str">
        <v>英国区</v>
      </c>
      <c r="B970" s="19" t="str">
        <v>伯明翰18号仓(SN)</v>
      </c>
      <c r="C970" s="19" t="str">
        <v>质检组</v>
      </c>
      <c r="D970" s="21" t="n">
        <v>46183</v>
      </c>
      <c r="E970" s="19" t="str">
        <v>2026-06</v>
      </c>
      <c r="F970" s="19" t="str">
        <v>操作员</v>
      </c>
      <c r="G970" s="19" t="str">
        <v>英国灵活（6小时扣午休） / UK FLEX (6-HR LUNCH BREAK DEDUCTED)</v>
      </c>
      <c r="H970" s="19" t="str">
        <v>S000331</v>
      </c>
      <c r="I970" s="19" t="str">
        <v>Employment of London Limited</v>
      </c>
      <c r="J970" s="23" t="n">
        <v>20</v>
      </c>
      <c r="K970" s="23" t="n">
        <v>0</v>
      </c>
      <c r="L970" s="23" t="n">
        <f>J970+K970</f>
        <v>20</v>
      </c>
      <c r="M970" s="23" t="n">
        <v>20</v>
      </c>
      <c r="N970" s="23" t="n">
        <v>20</v>
      </c>
      <c r="O970" s="23" t="n">
        <v>20</v>
      </c>
      <c r="P970" s="23" t="n">
        <v>20</v>
      </c>
      <c r="Q970" s="23" t="n">
        <f>MIN(O970,P970)</f>
        <v>20</v>
      </c>
      <c r="R970" s="25" t="n">
        <f>IF(M970=0,0,MIN(1,L970/M970))</f>
        <v>1</v>
      </c>
      <c r="S970" s="23" t="n">
        <f>O970*R970</f>
        <v>20</v>
      </c>
      <c r="T970" s="23" t="n">
        <f>MIN(P970,S970)</f>
        <v>20</v>
      </c>
      <c r="U970" s="23" t="n">
        <f>O970-S970</f>
        <v>0</v>
      </c>
      <c r="V970" s="23" t="n">
        <f>MAX(P970-O970,0)</f>
        <v>0</v>
      </c>
    </row>
    <row r="971">
      <c r="A971" s="19" t="str">
        <v>英国区</v>
      </c>
      <c r="B971" s="19" t="str">
        <v>伯明翰18号仓(SN)</v>
      </c>
      <c r="C971" s="19" t="str">
        <v>质检组</v>
      </c>
      <c r="D971" s="21" t="n">
        <v>46184</v>
      </c>
      <c r="E971" s="19" t="str">
        <v>2026-06</v>
      </c>
      <c r="F971" s="19" t="str">
        <v>操作员</v>
      </c>
      <c r="G971" s="19" t="str">
        <v>英国灵活（6小时扣午休） / UK FLEX (6-HR LUNCH BREAK DEDUCTED)</v>
      </c>
      <c r="H971" s="19" t="str">
        <v>S000331</v>
      </c>
      <c r="I971" s="19" t="str">
        <v>Employment of London Limited</v>
      </c>
      <c r="J971" s="23" t="n">
        <v>4</v>
      </c>
      <c r="K971" s="23" t="n">
        <v>0</v>
      </c>
      <c r="L971" s="23" t="n">
        <f>J971+K971</f>
        <v>4</v>
      </c>
      <c r="M971" s="23" t="n">
        <v>4</v>
      </c>
      <c r="N971" s="23" t="n">
        <v>4</v>
      </c>
      <c r="O971" s="23" t="n">
        <v>4</v>
      </c>
      <c r="P971" s="23" t="n">
        <v>4</v>
      </c>
      <c r="Q971" s="23" t="n">
        <f>MIN(O971,P971)</f>
        <v>4</v>
      </c>
      <c r="R971" s="25" t="n">
        <f>IF(M971=0,0,MIN(1,L971/M971))</f>
        <v>1</v>
      </c>
      <c r="S971" s="23" t="n">
        <f>O971*R971</f>
        <v>4</v>
      </c>
      <c r="T971" s="23" t="n">
        <f>MIN(P971,S971)</f>
        <v>4</v>
      </c>
      <c r="U971" s="23" t="n">
        <f>O971-S971</f>
        <v>0</v>
      </c>
      <c r="V971" s="23" t="n">
        <f>MAX(P971-O971,0)</f>
        <v>0</v>
      </c>
    </row>
    <row r="972">
      <c r="A972" s="19" t="str">
        <v>英国区</v>
      </c>
      <c r="B972" s="19" t="str">
        <v>伯明翰18号仓(SN)</v>
      </c>
      <c r="C972" s="19" t="str">
        <v>质检组</v>
      </c>
      <c r="D972" s="21" t="n">
        <v>46185</v>
      </c>
      <c r="E972" s="19" t="str">
        <v>2026-06</v>
      </c>
      <c r="F972" s="19" t="str">
        <v>操作员</v>
      </c>
      <c r="G972" s="19" t="str">
        <v>英国灵活（6小时扣午休） / UK FLEX (6-HR LUNCH BREAK DEDUCTED)</v>
      </c>
      <c r="H972" s="19" t="str">
        <v>S000331</v>
      </c>
      <c r="I972" s="19" t="str">
        <v>Employment of London Limited</v>
      </c>
      <c r="J972" s="23" t="n">
        <v>20</v>
      </c>
      <c r="K972" s="23" t="n">
        <v>0</v>
      </c>
      <c r="L972" s="23" t="n">
        <f>J972+K972</f>
        <v>20</v>
      </c>
      <c r="M972" s="23" t="n">
        <v>20</v>
      </c>
      <c r="N972" s="23" t="n">
        <v>20</v>
      </c>
      <c r="O972" s="23" t="n">
        <v>20</v>
      </c>
      <c r="P972" s="23" t="n">
        <v>20</v>
      </c>
      <c r="Q972" s="23" t="n">
        <f>MIN(O972,P972)</f>
        <v>20</v>
      </c>
      <c r="R972" s="25" t="n">
        <f>IF(M972=0,0,MIN(1,L972/M972))</f>
        <v>1</v>
      </c>
      <c r="S972" s="23" t="n">
        <f>O972*R972</f>
        <v>20</v>
      </c>
      <c r="T972" s="23" t="n">
        <f>MIN(P972,S972)</f>
        <v>20</v>
      </c>
      <c r="U972" s="23" t="n">
        <f>O972-S972</f>
        <v>0</v>
      </c>
      <c r="V972" s="23" t="n">
        <f>MAX(P972-O972,0)</f>
        <v>0</v>
      </c>
    </row>
    <row r="973">
      <c r="A973" s="19" t="str">
        <v>英国区</v>
      </c>
      <c r="B973" s="19" t="str">
        <v>伯明翰18号仓(SN)</v>
      </c>
      <c r="C973" s="19" t="str">
        <v>质检组</v>
      </c>
      <c r="D973" s="21" t="n">
        <v>46192</v>
      </c>
      <c r="E973" s="19" t="str">
        <v>2026-06</v>
      </c>
      <c r="F973" s="19" t="str">
        <v>操作员</v>
      </c>
      <c r="G973" s="19" t="str">
        <v>英国灵活（6小时扣午休） / UK FLEX (6-HR LUNCH BREAK DEDUCTED)</v>
      </c>
      <c r="H973" s="19" t="str">
        <v>S000011</v>
      </c>
      <c r="I973" s="19" t="str">
        <v>SD4U</v>
      </c>
      <c r="J973" s="23" t="n">
        <v>8</v>
      </c>
      <c r="K973" s="23" t="n">
        <v>0</v>
      </c>
      <c r="L973" s="23" t="n">
        <f>J973+K973</f>
        <v>8</v>
      </c>
      <c r="M973" s="23" t="n">
        <v>8</v>
      </c>
      <c r="N973" s="23" t="n">
        <v>8</v>
      </c>
      <c r="O973" s="23" t="n">
        <v>8</v>
      </c>
      <c r="P973" s="23" t="n">
        <v>8</v>
      </c>
      <c r="Q973" s="23" t="n">
        <f>MIN(O973,P973)</f>
        <v>8</v>
      </c>
      <c r="R973" s="25" t="n">
        <f>IF(M973=0,0,MIN(1,L973/M973))</f>
        <v>1</v>
      </c>
      <c r="S973" s="23" t="n">
        <f>O973*R973</f>
        <v>8</v>
      </c>
      <c r="T973" s="23" t="n">
        <f>MIN(P973,S973)</f>
        <v>8</v>
      </c>
      <c r="U973" s="23" t="n">
        <f>O973-S973</f>
        <v>0</v>
      </c>
      <c r="V973" s="23" t="n">
        <f>MAX(P973-O973,0)</f>
        <v>0</v>
      </c>
    </row>
    <row r="974">
      <c r="A974" s="19" t="str">
        <v>英国区</v>
      </c>
      <c r="B974" s="19" t="str">
        <v>伯明翰18号仓(SN)</v>
      </c>
      <c r="C974" s="19" t="str">
        <v>质检组</v>
      </c>
      <c r="D974" s="21" t="n">
        <v>46197</v>
      </c>
      <c r="E974" s="19" t="str">
        <v>2026-06</v>
      </c>
      <c r="F974" s="19" t="str">
        <v>操作员</v>
      </c>
      <c r="G974" s="19" t="str">
        <v>英国灵活（6小时扣午休） / UK FLEX (6-HR LUNCH BREAK DEDUCTED)</v>
      </c>
      <c r="H974" s="19" t="str">
        <v>S000132</v>
      </c>
      <c r="I974" s="19" t="str">
        <v>HRA Recruitment Services</v>
      </c>
      <c r="J974" s="23" t="n">
        <v>32</v>
      </c>
      <c r="K974" s="23" t="n">
        <v>0</v>
      </c>
      <c r="L974" s="23" t="n">
        <f>J974+K974</f>
        <v>32</v>
      </c>
      <c r="M974" s="23" t="n">
        <v>32</v>
      </c>
      <c r="N974" s="23" t="n">
        <v>32</v>
      </c>
      <c r="O974" s="23" t="n">
        <v>32</v>
      </c>
      <c r="P974" s="23" t="n">
        <v>32</v>
      </c>
      <c r="Q974" s="23" t="n">
        <f>MIN(O974,P974)</f>
        <v>32</v>
      </c>
      <c r="R974" s="25" t="n">
        <f>IF(M974=0,0,MIN(1,L974/M974))</f>
        <v>1</v>
      </c>
      <c r="S974" s="23" t="n">
        <f>O974*R974</f>
        <v>32</v>
      </c>
      <c r="T974" s="23" t="n">
        <f>MIN(P974,S974)</f>
        <v>32</v>
      </c>
      <c r="U974" s="23" t="n">
        <f>O974-S974</f>
        <v>0</v>
      </c>
      <c r="V974" s="23" t="n">
        <f>MAX(P974-O974,0)</f>
        <v>0</v>
      </c>
    </row>
    <row r="975">
      <c r="A975" s="19" t="str">
        <v>英国区</v>
      </c>
      <c r="B975" s="19" t="str">
        <v>伯明翰18号仓(SN)</v>
      </c>
      <c r="C975" s="19" t="str">
        <v>质检组</v>
      </c>
      <c r="D975" s="21" t="n">
        <v>46198</v>
      </c>
      <c r="E975" s="19" t="str">
        <v>2026-06</v>
      </c>
      <c r="F975" s="19" t="str">
        <v>操作员</v>
      </c>
      <c r="G975" s="19" t="str">
        <v>英国灵活（6小时扣午休） / UK FLEX (6-HR LUNCH BREAK DEDUCTED)</v>
      </c>
      <c r="H975" s="19" t="str">
        <v>S000331</v>
      </c>
      <c r="I975" s="19" t="str">
        <v>Employment of London Limited</v>
      </c>
      <c r="J975" s="23" t="n">
        <v>32</v>
      </c>
      <c r="K975" s="23" t="n">
        <v>0</v>
      </c>
      <c r="L975" s="23" t="n">
        <f>J975+K975</f>
        <v>32</v>
      </c>
      <c r="M975" s="23" t="n">
        <v>32</v>
      </c>
      <c r="N975" s="23" t="n">
        <v>32</v>
      </c>
      <c r="O975" s="23" t="n">
        <v>32</v>
      </c>
      <c r="P975" s="23" t="n">
        <v>32</v>
      </c>
      <c r="Q975" s="23" t="n">
        <f>MIN(O975,P975)</f>
        <v>32</v>
      </c>
      <c r="R975" s="25" t="n">
        <f>IF(M975=0,0,MIN(1,L975/M975))</f>
        <v>1</v>
      </c>
      <c r="S975" s="23" t="n">
        <f>O975*R975</f>
        <v>32</v>
      </c>
      <c r="T975" s="23" t="n">
        <f>MIN(P975,S975)</f>
        <v>32</v>
      </c>
      <c r="U975" s="23" t="n">
        <f>O975-S975</f>
        <v>0</v>
      </c>
      <c r="V975" s="23" t="n">
        <f>MAX(P975-O975,0)</f>
        <v>0</v>
      </c>
    </row>
    <row r="976">
      <c r="A976" s="19" t="str">
        <v>英国区</v>
      </c>
      <c r="B976" s="19" t="str">
        <v>伯明翰18号仓(SN)</v>
      </c>
      <c r="C976" s="19" t="str">
        <v>质检组</v>
      </c>
      <c r="D976" s="21" t="n">
        <v>46199</v>
      </c>
      <c r="E976" s="19" t="str">
        <v>2026-06</v>
      </c>
      <c r="F976" s="19" t="str">
        <v>操作员</v>
      </c>
      <c r="G976" s="19" t="str">
        <v>英国灵活（6小时扣午休） / UK FLEX (6-HR LUNCH BREAK DEDUCTED)</v>
      </c>
      <c r="H976" s="19" t="str">
        <v>S000331</v>
      </c>
      <c r="I976" s="19" t="str">
        <v>Employment of London Limited</v>
      </c>
      <c r="J976" s="23" t="n">
        <v>4</v>
      </c>
      <c r="K976" s="23" t="n">
        <v>0</v>
      </c>
      <c r="L976" s="23" t="n">
        <f>J976+K976</f>
        <v>4</v>
      </c>
      <c r="M976" s="23" t="n">
        <v>4</v>
      </c>
      <c r="N976" s="23" t="n">
        <v>4</v>
      </c>
      <c r="O976" s="23" t="n">
        <v>4</v>
      </c>
      <c r="P976" s="23" t="n">
        <v>4</v>
      </c>
      <c r="Q976" s="23" t="n">
        <f>MIN(O976,P976)</f>
        <v>4</v>
      </c>
      <c r="R976" s="25" t="n">
        <f>IF(M976=0,0,MIN(1,L976/M976))</f>
        <v>1</v>
      </c>
      <c r="S976" s="23" t="n">
        <f>O976*R976</f>
        <v>4</v>
      </c>
      <c r="T976" s="23" t="n">
        <f>MIN(P976,S976)</f>
        <v>4</v>
      </c>
      <c r="U976" s="23" t="n">
        <f>O976-S976</f>
        <v>0</v>
      </c>
      <c r="V976" s="23" t="n">
        <f>MAX(P976-O976,0)</f>
        <v>0</v>
      </c>
    </row>
    <row r="977">
      <c r="A977" s="19" t="str">
        <v>英国区</v>
      </c>
      <c r="B977" s="19" t="str">
        <v>伯明翰19号仓</v>
      </c>
      <c r="C977" s="19" t="str">
        <v>交运组</v>
      </c>
      <c r="D977" s="21" t="n">
        <v>46141</v>
      </c>
      <c r="E977" s="19" t="str">
        <v>2026-04</v>
      </c>
      <c r="F977" s="19" t="str">
        <v>操作员</v>
      </c>
      <c r="G977" s="19" t="str">
        <v>英国区11:00-19:30 / UK 11:00-19:30</v>
      </c>
      <c r="H977" s="19" t="str">
        <v>S000132</v>
      </c>
      <c r="I977" s="19" t="str">
        <v>HRA Recruitment Services</v>
      </c>
      <c r="J977" s="23" t="n">
        <v>1</v>
      </c>
      <c r="K977" s="23" t="n">
        <v>0</v>
      </c>
      <c r="L977" s="23" t="n">
        <f>J977+K977</f>
        <v>1</v>
      </c>
      <c r="M977" s="23" t="n">
        <v>1</v>
      </c>
      <c r="N977" s="23" t="n">
        <v>1</v>
      </c>
      <c r="O977" s="23" t="n">
        <v>1</v>
      </c>
      <c r="P977" s="23" t="n">
        <v>1</v>
      </c>
      <c r="Q977" s="23" t="n">
        <f>MIN(O977,P977)</f>
        <v>1</v>
      </c>
      <c r="R977" s="25" t="n">
        <f>IF(M977=0,0,MIN(1,L977/M977))</f>
        <v>1</v>
      </c>
      <c r="S977" s="23" t="n">
        <f>O977*R977</f>
        <v>1</v>
      </c>
      <c r="T977" s="23" t="n">
        <f>MIN(P977,S977)</f>
        <v>1</v>
      </c>
      <c r="U977" s="23" t="n">
        <f>O977-S977</f>
        <v>0</v>
      </c>
      <c r="V977" s="23" t="n">
        <f>MAX(P977-O977,0)</f>
        <v>0</v>
      </c>
    </row>
    <row r="978">
      <c r="A978" s="19" t="str">
        <v>英国区</v>
      </c>
      <c r="B978" s="19" t="str">
        <v>伯明翰19号仓</v>
      </c>
      <c r="C978" s="19" t="str">
        <v>交运组</v>
      </c>
      <c r="D978" s="21" t="n">
        <v>46198</v>
      </c>
      <c r="E978" s="19" t="str">
        <v>2026-06</v>
      </c>
      <c r="F978" s="19" t="str">
        <v>操作员</v>
      </c>
      <c r="G978" s="19" t="str">
        <v>英国区11:00-19:30 / UK 11:00-19:30</v>
      </c>
      <c r="H978" s="19" t="str">
        <v>S000013</v>
      </c>
      <c r="I978" s="19" t="str">
        <v>FT Recruitment</v>
      </c>
      <c r="J978" s="23" t="n">
        <v>3</v>
      </c>
      <c r="K978" s="23" t="n">
        <v>0</v>
      </c>
      <c r="L978" s="23" t="n">
        <f>J978+K978</f>
        <v>3</v>
      </c>
      <c r="M978" s="23" t="n">
        <v>3</v>
      </c>
      <c r="N978" s="23" t="n">
        <v>3</v>
      </c>
      <c r="O978" s="23" t="n">
        <v>3</v>
      </c>
      <c r="P978" s="23" t="n">
        <v>3</v>
      </c>
      <c r="Q978" s="23" t="n">
        <f>MIN(O978,P978)</f>
        <v>3</v>
      </c>
      <c r="R978" s="25" t="n">
        <f>IF(M978=0,0,MIN(1,L978/M978))</f>
        <v>1</v>
      </c>
      <c r="S978" s="23" t="n">
        <f>O978*R978</f>
        <v>3</v>
      </c>
      <c r="T978" s="23" t="n">
        <f>MIN(P978,S978)</f>
        <v>3</v>
      </c>
      <c r="U978" s="23" t="n">
        <f>O978-S978</f>
        <v>0</v>
      </c>
      <c r="V978" s="23" t="n">
        <f>MAX(P978-O978,0)</f>
        <v>0</v>
      </c>
    </row>
    <row r="979">
      <c r="A979" s="19" t="str">
        <v>英国区</v>
      </c>
      <c r="B979" s="19" t="str">
        <v>伯明翰19号仓</v>
      </c>
      <c r="C979" s="19" t="str">
        <v>交运组</v>
      </c>
      <c r="D979" s="21" t="n">
        <v>46199</v>
      </c>
      <c r="E979" s="19" t="str">
        <v>2026-06</v>
      </c>
      <c r="F979" s="19" t="str">
        <v>操作员</v>
      </c>
      <c r="G979" s="19" t="str">
        <v>英国区11:00-19:30 / UK 11:00-19:30</v>
      </c>
      <c r="H979" s="19" t="str">
        <v>S000274</v>
      </c>
      <c r="I979" s="19" t="str">
        <v>Jobsworth Recruitment Solutions Limited</v>
      </c>
      <c r="J979" s="23" t="n">
        <v>3</v>
      </c>
      <c r="K979" s="23" t="n">
        <v>0</v>
      </c>
      <c r="L979" s="23" t="n">
        <f>J979+K979</f>
        <v>3</v>
      </c>
      <c r="M979" s="23" t="n">
        <v>3</v>
      </c>
      <c r="N979" s="23" t="n">
        <v>3</v>
      </c>
      <c r="O979" s="23" t="n">
        <v>3</v>
      </c>
      <c r="P979" s="23" t="n">
        <v>3</v>
      </c>
      <c r="Q979" s="23" t="n">
        <f>MIN(O979,P979)</f>
        <v>3</v>
      </c>
      <c r="R979" s="25" t="n">
        <f>IF(M979=0,0,MIN(1,L979/M979))</f>
        <v>1</v>
      </c>
      <c r="S979" s="23" t="n">
        <f>O979*R979</f>
        <v>3</v>
      </c>
      <c r="T979" s="23" t="n">
        <f>MIN(P979,S979)</f>
        <v>3</v>
      </c>
      <c r="U979" s="23" t="n">
        <f>O979-S979</f>
        <v>0</v>
      </c>
      <c r="V979" s="23" t="n">
        <f>MAX(P979-O979,0)</f>
        <v>0</v>
      </c>
    </row>
    <row r="980">
      <c r="A980" s="19" t="str">
        <v>英国区</v>
      </c>
      <c r="B980" s="19" t="str">
        <v>伯明翰19号仓</v>
      </c>
      <c r="C980" s="19" t="str">
        <v>入库组</v>
      </c>
      <c r="D980" s="21" t="n">
        <v>46121</v>
      </c>
      <c r="E980" s="19" t="str">
        <v>2026-04</v>
      </c>
      <c r="F980" s="19" t="str">
        <v>操作员</v>
      </c>
      <c r="G980" s="19" t="str">
        <v>英国区07:00-15:30 / UK 07:00-15:30</v>
      </c>
      <c r="H980" s="19" t="str">
        <v>S000274</v>
      </c>
      <c r="I980" s="19" t="str">
        <v>Jobsworth Recruitment Solutions Limited</v>
      </c>
      <c r="J980" s="23" t="n">
        <v>5</v>
      </c>
      <c r="K980" s="23" t="n">
        <v>0</v>
      </c>
      <c r="L980" s="23" t="n">
        <f>J980+K980</f>
        <v>5</v>
      </c>
      <c r="M980" s="23" t="n">
        <v>5</v>
      </c>
      <c r="N980" s="23" t="n">
        <v>5</v>
      </c>
      <c r="O980" s="23" t="n">
        <v>5</v>
      </c>
      <c r="P980" s="23" t="n">
        <v>5</v>
      </c>
      <c r="Q980" s="23" t="n">
        <f>MIN(O980,P980)</f>
        <v>5</v>
      </c>
      <c r="R980" s="25" t="n">
        <f>IF(M980=0,0,MIN(1,L980/M980))</f>
        <v>1</v>
      </c>
      <c r="S980" s="23" t="n">
        <f>O980*R980</f>
        <v>5</v>
      </c>
      <c r="T980" s="23" t="n">
        <f>MIN(P980,S980)</f>
        <v>5</v>
      </c>
      <c r="U980" s="23" t="n">
        <f>O980-S980</f>
        <v>0</v>
      </c>
      <c r="V980" s="23" t="n">
        <f>MAX(P980-O980,0)</f>
        <v>0</v>
      </c>
    </row>
    <row r="981">
      <c r="A981" s="19" t="str">
        <v>英国区</v>
      </c>
      <c r="B981" s="19" t="str">
        <v>伯明翰19号仓</v>
      </c>
      <c r="C981" s="19" t="str">
        <v>入库组</v>
      </c>
      <c r="D981" s="21" t="n">
        <v>46122</v>
      </c>
      <c r="E981" s="19" t="str">
        <v>2026-04</v>
      </c>
      <c r="F981" s="19" t="str">
        <v>操作员</v>
      </c>
      <c r="G981" s="19" t="str">
        <v>英国区11:00-19:30 / UK 11:00-19:30</v>
      </c>
      <c r="H981" s="19" t="str">
        <v>S000274</v>
      </c>
      <c r="I981" s="19" t="str">
        <v>Jobsworth Recruitment Solutions Limited</v>
      </c>
      <c r="J981" s="23" t="n">
        <v>4</v>
      </c>
      <c r="K981" s="23" t="n">
        <v>0</v>
      </c>
      <c r="L981" s="23" t="n">
        <f>J981+K981</f>
        <v>4</v>
      </c>
      <c r="M981" s="23" t="n">
        <v>4</v>
      </c>
      <c r="N981" s="23" t="n">
        <v>0</v>
      </c>
      <c r="O981" s="23" t="n">
        <v>4</v>
      </c>
      <c r="P981" s="23" t="n">
        <v>0</v>
      </c>
      <c r="Q981" s="23" t="n">
        <f>MIN(O981,P981)</f>
        <v>0</v>
      </c>
      <c r="R981" s="25" t="n">
        <f>IF(M981=0,0,MIN(1,L981/M981))</f>
        <v>1</v>
      </c>
      <c r="S981" s="23" t="n">
        <f>O981*R981</f>
        <v>4</v>
      </c>
      <c r="T981" s="23" t="n">
        <f>MIN(P981,S981)</f>
        <v>0</v>
      </c>
      <c r="U981" s="23" t="n">
        <f>O981-S981</f>
        <v>0</v>
      </c>
      <c r="V981" s="23" t="n">
        <f>MAX(P981-O981,0)</f>
        <v>0</v>
      </c>
    </row>
    <row r="982">
      <c r="A982" s="19" t="str">
        <v>英国区</v>
      </c>
      <c r="B982" s="19" t="str">
        <v>伯明翰19号仓</v>
      </c>
      <c r="C982" s="19" t="str">
        <v>入库组</v>
      </c>
      <c r="D982" s="21" t="n">
        <v>46125</v>
      </c>
      <c r="E982" s="19" t="str">
        <v>2026-04</v>
      </c>
      <c r="F982" s="19" t="str">
        <v>操作员</v>
      </c>
      <c r="G982" s="19" t="str">
        <v>英国区07:00-15:30 / UK 07:00-15:30</v>
      </c>
      <c r="H982" s="19" t="str">
        <v>S000274</v>
      </c>
      <c r="I982" s="19" t="str">
        <v>Jobsworth Recruitment Solutions Limited</v>
      </c>
      <c r="J982" s="23" t="n">
        <v>3</v>
      </c>
      <c r="K982" s="23" t="n">
        <v>0</v>
      </c>
      <c r="L982" s="23" t="n">
        <f>J982+K982</f>
        <v>3</v>
      </c>
      <c r="M982" s="23" t="n">
        <v>3</v>
      </c>
      <c r="N982" s="23" t="n">
        <v>3</v>
      </c>
      <c r="O982" s="23" t="n">
        <v>3</v>
      </c>
      <c r="P982" s="23" t="n">
        <v>3</v>
      </c>
      <c r="Q982" s="23" t="n">
        <f>MIN(O982,P982)</f>
        <v>3</v>
      </c>
      <c r="R982" s="25" t="n">
        <f>IF(M982=0,0,MIN(1,L982/M982))</f>
        <v>1</v>
      </c>
      <c r="S982" s="23" t="n">
        <f>O982*R982</f>
        <v>3</v>
      </c>
      <c r="T982" s="23" t="n">
        <f>MIN(P982,S982)</f>
        <v>3</v>
      </c>
      <c r="U982" s="23" t="n">
        <f>O982-S982</f>
        <v>0</v>
      </c>
      <c r="V982" s="23" t="n">
        <f>MAX(P982-O982,0)</f>
        <v>0</v>
      </c>
    </row>
    <row r="983">
      <c r="A983" s="19" t="str">
        <v>英国区</v>
      </c>
      <c r="B983" s="19" t="str">
        <v>伯明翰19号仓</v>
      </c>
      <c r="C983" s="19" t="str">
        <v>入库组</v>
      </c>
      <c r="D983" s="21" t="n">
        <v>46126</v>
      </c>
      <c r="E983" s="19" t="str">
        <v>2026-04</v>
      </c>
      <c r="F983" s="19" t="str">
        <v>操作员</v>
      </c>
      <c r="G983" s="19" t="str">
        <v>英国区07:00-15:30 / UK 07:00-15:30</v>
      </c>
      <c r="H983" s="19" t="str">
        <v>S000274</v>
      </c>
      <c r="I983" s="19" t="str">
        <v>Jobsworth Recruitment Solutions Limited</v>
      </c>
      <c r="J983" s="23" t="n">
        <v>7</v>
      </c>
      <c r="K983" s="23" t="n">
        <v>0</v>
      </c>
      <c r="L983" s="23" t="n">
        <f>J983+K983</f>
        <v>7</v>
      </c>
      <c r="M983" s="23" t="n">
        <v>7</v>
      </c>
      <c r="N983" s="23" t="n">
        <v>3</v>
      </c>
      <c r="O983" s="23" t="n">
        <v>7</v>
      </c>
      <c r="P983" s="23" t="n">
        <v>3</v>
      </c>
      <c r="Q983" s="23" t="n">
        <f>MIN(O983,P983)</f>
        <v>3</v>
      </c>
      <c r="R983" s="25" t="n">
        <f>IF(M983=0,0,MIN(1,L983/M983))</f>
        <v>1</v>
      </c>
      <c r="S983" s="23" t="n">
        <f>O983*R983</f>
        <v>7</v>
      </c>
      <c r="T983" s="23" t="n">
        <f>MIN(P983,S983)</f>
        <v>3</v>
      </c>
      <c r="U983" s="23" t="n">
        <f>O983-S983</f>
        <v>0</v>
      </c>
      <c r="V983" s="23" t="n">
        <f>MAX(P983-O983,0)</f>
        <v>0</v>
      </c>
    </row>
    <row r="984">
      <c r="A984" s="19" t="str">
        <v>英国区</v>
      </c>
      <c r="B984" s="19" t="str">
        <v>伯明翰19号仓</v>
      </c>
      <c r="C984" s="19" t="str">
        <v>入库组</v>
      </c>
      <c r="D984" s="21" t="n">
        <v>46127</v>
      </c>
      <c r="E984" s="19" t="str">
        <v>2026-04</v>
      </c>
      <c r="F984" s="19" t="str">
        <v>操作员</v>
      </c>
      <c r="G984" s="19" t="str">
        <v>英国区07:00-15:30 / UK 07:00-15:30</v>
      </c>
      <c r="H984" s="19" t="str">
        <v>S000274</v>
      </c>
      <c r="I984" s="19" t="str">
        <v>Jobsworth Recruitment Solutions Limited</v>
      </c>
      <c r="J984" s="23" t="n">
        <v>3</v>
      </c>
      <c r="K984" s="23" t="n">
        <v>0</v>
      </c>
      <c r="L984" s="23" t="n">
        <f>J984+K984</f>
        <v>3</v>
      </c>
      <c r="M984" s="23" t="n">
        <v>3</v>
      </c>
      <c r="N984" s="23" t="n">
        <v>3</v>
      </c>
      <c r="O984" s="23" t="n">
        <v>3</v>
      </c>
      <c r="P984" s="23" t="n">
        <v>3</v>
      </c>
      <c r="Q984" s="23" t="n">
        <f>MIN(O984,P984)</f>
        <v>3</v>
      </c>
      <c r="R984" s="25" t="n">
        <f>IF(M984=0,0,MIN(1,L984/M984))</f>
        <v>1</v>
      </c>
      <c r="S984" s="23" t="n">
        <f>O984*R984</f>
        <v>3</v>
      </c>
      <c r="T984" s="23" t="n">
        <f>MIN(P984,S984)</f>
        <v>3</v>
      </c>
      <c r="U984" s="23" t="n">
        <f>O984-S984</f>
        <v>0</v>
      </c>
      <c r="V984" s="23" t="n">
        <f>MAX(P984-O984,0)</f>
        <v>0</v>
      </c>
    </row>
    <row r="985">
      <c r="A985" s="19" t="str">
        <v>英国区</v>
      </c>
      <c r="B985" s="19" t="str">
        <v>伯明翰19号仓</v>
      </c>
      <c r="C985" s="19" t="str">
        <v>入库组</v>
      </c>
      <c r="D985" s="21" t="n">
        <v>46127</v>
      </c>
      <c r="E985" s="19" t="str">
        <v>2026-04</v>
      </c>
      <c r="F985" s="19" t="str">
        <v>操作员</v>
      </c>
      <c r="G985" s="19" t="str">
        <v>英国区09:00-17:30 / UK 09:00-17:30</v>
      </c>
      <c r="H985" s="19" t="str">
        <v>S000274</v>
      </c>
      <c r="I985" s="19" t="str">
        <v>Jobsworth Recruitment Solutions Limited</v>
      </c>
      <c r="J985" s="23" t="n">
        <v>3</v>
      </c>
      <c r="K985" s="23" t="n">
        <v>0</v>
      </c>
      <c r="L985" s="23" t="n">
        <f>J985+K985</f>
        <v>3</v>
      </c>
      <c r="M985" s="23" t="n">
        <v>3</v>
      </c>
      <c r="N985" s="23" t="n">
        <v>3</v>
      </c>
      <c r="O985" s="23" t="n">
        <v>3</v>
      </c>
      <c r="P985" s="23" t="n">
        <v>3</v>
      </c>
      <c r="Q985" s="23" t="n">
        <f>MIN(O985,P985)</f>
        <v>3</v>
      </c>
      <c r="R985" s="25" t="n">
        <f>IF(M985=0,0,MIN(1,L985/M985))</f>
        <v>1</v>
      </c>
      <c r="S985" s="23" t="n">
        <f>O985*R985</f>
        <v>3</v>
      </c>
      <c r="T985" s="23" t="n">
        <f>MIN(P985,S985)</f>
        <v>3</v>
      </c>
      <c r="U985" s="23" t="n">
        <f>O985-S985</f>
        <v>0</v>
      </c>
      <c r="V985" s="23" t="n">
        <f>MAX(P985-O985,0)</f>
        <v>0</v>
      </c>
    </row>
    <row r="986">
      <c r="A986" s="19" t="str">
        <v>英国区</v>
      </c>
      <c r="B986" s="19" t="str">
        <v>伯明翰19号仓</v>
      </c>
      <c r="C986" s="19" t="str">
        <v>入库组</v>
      </c>
      <c r="D986" s="21" t="n">
        <v>46128</v>
      </c>
      <c r="E986" s="19" t="str">
        <v>2026-04</v>
      </c>
      <c r="F986" s="19" t="str">
        <v>操作员</v>
      </c>
      <c r="G986" s="19" t="str">
        <v>英国区07:00-15:30 / UK 07:00-15:30</v>
      </c>
      <c r="H986" s="19" t="str">
        <v>S000007</v>
      </c>
      <c r="I986" s="19" t="str">
        <v>Kenect</v>
      </c>
      <c r="J986" s="23" t="n">
        <v>9</v>
      </c>
      <c r="K986" s="23" t="n">
        <v>0</v>
      </c>
      <c r="L986" s="23" t="n">
        <f>J986+K986</f>
        <v>9</v>
      </c>
      <c r="M986" s="23" t="n">
        <v>9</v>
      </c>
      <c r="N986" s="23" t="n">
        <v>9</v>
      </c>
      <c r="O986" s="23" t="n">
        <v>3</v>
      </c>
      <c r="P986" s="23" t="n">
        <v>3</v>
      </c>
      <c r="Q986" s="23" t="n">
        <f>MIN(O986,P986)</f>
        <v>3</v>
      </c>
      <c r="R986" s="25" t="n">
        <f>IF(M986=0,0,MIN(1,L986/M986))</f>
        <v>1</v>
      </c>
      <c r="S986" s="23" t="n">
        <f>O986*R986</f>
        <v>3</v>
      </c>
      <c r="T986" s="23" t="n">
        <f>MIN(P986,S986)</f>
        <v>3</v>
      </c>
      <c r="U986" s="23" t="n">
        <f>O986-S986</f>
        <v>0</v>
      </c>
      <c r="V986" s="23" t="n">
        <f>MAX(P986-O986,0)</f>
        <v>0</v>
      </c>
    </row>
    <row r="987">
      <c r="A987" s="19" t="str">
        <v>英国区</v>
      </c>
      <c r="B987" s="19" t="str">
        <v>伯明翰19号仓</v>
      </c>
      <c r="C987" s="19" t="str">
        <v>入库组</v>
      </c>
      <c r="D987" s="21" t="n">
        <v>46128</v>
      </c>
      <c r="E987" s="19" t="str">
        <v>2026-04</v>
      </c>
      <c r="F987" s="19" t="str">
        <v>操作员</v>
      </c>
      <c r="G987" s="19" t="str">
        <v>英国区07:00-15:30 / UK 07:00-15:30</v>
      </c>
      <c r="H987" s="19" t="str">
        <v>S000274</v>
      </c>
      <c r="I987" s="19" t="str">
        <v>Jobsworth Recruitment Solutions Limited</v>
      </c>
      <c r="J987" s="23" t="n">
        <v>9</v>
      </c>
      <c r="K987" s="23" t="n">
        <v>0</v>
      </c>
      <c r="L987" s="23" t="n">
        <f>J987+K987</f>
        <v>9</v>
      </c>
      <c r="M987" s="23" t="n">
        <v>9</v>
      </c>
      <c r="N987" s="23" t="n">
        <v>9</v>
      </c>
      <c r="O987" s="23" t="n">
        <v>6</v>
      </c>
      <c r="P987" s="23" t="n">
        <v>6</v>
      </c>
      <c r="Q987" s="23" t="n">
        <f>MIN(O987,P987)</f>
        <v>6</v>
      </c>
      <c r="R987" s="25" t="n">
        <f>IF(M987=0,0,MIN(1,L987/M987))</f>
        <v>1</v>
      </c>
      <c r="S987" s="23" t="n">
        <f>O987*R987</f>
        <v>6</v>
      </c>
      <c r="T987" s="23" t="n">
        <f>MIN(P987,S987)</f>
        <v>6</v>
      </c>
      <c r="U987" s="23" t="n">
        <f>O987-S987</f>
        <v>0</v>
      </c>
      <c r="V987" s="23" t="n">
        <f>MAX(P987-O987,0)</f>
        <v>0</v>
      </c>
    </row>
    <row r="988">
      <c r="A988" s="19" t="str">
        <v>英国区</v>
      </c>
      <c r="B988" s="19" t="str">
        <v>伯明翰19号仓</v>
      </c>
      <c r="C988" s="19" t="str">
        <v>入库组</v>
      </c>
      <c r="D988" s="21" t="n">
        <v>46129</v>
      </c>
      <c r="E988" s="19" t="str">
        <v>2026-04</v>
      </c>
      <c r="F988" s="19" t="str">
        <v>操作员</v>
      </c>
      <c r="G988" s="19" t="str">
        <v>英国区07:00-15:30 / UK 07:00-15:30</v>
      </c>
      <c r="H988" s="19" t="str">
        <v>S000007</v>
      </c>
      <c r="I988" s="19" t="str">
        <v>Kenect</v>
      </c>
      <c r="J988" s="23" t="n">
        <v>4</v>
      </c>
      <c r="K988" s="23" t="n">
        <v>0</v>
      </c>
      <c r="L988" s="23" t="n">
        <f>J988+K988</f>
        <v>4</v>
      </c>
      <c r="M988" s="23" t="n">
        <v>4</v>
      </c>
      <c r="N988" s="23" t="n">
        <v>3</v>
      </c>
      <c r="O988" s="23" t="n">
        <v>3</v>
      </c>
      <c r="P988" s="23" t="n">
        <v>2</v>
      </c>
      <c r="Q988" s="23" t="n">
        <f>MIN(O988,P988)</f>
        <v>2</v>
      </c>
      <c r="R988" s="25" t="n">
        <f>IF(M988=0,0,MIN(1,L988/M988))</f>
        <v>1</v>
      </c>
      <c r="S988" s="23" t="n">
        <f>O988*R988</f>
        <v>3</v>
      </c>
      <c r="T988" s="23" t="n">
        <f>MIN(P988,S988)</f>
        <v>2</v>
      </c>
      <c r="U988" s="23" t="n">
        <f>O988-S988</f>
        <v>0</v>
      </c>
      <c r="V988" s="23" t="n">
        <f>MAX(P988-O988,0)</f>
        <v>0</v>
      </c>
    </row>
    <row r="989">
      <c r="A989" s="19" t="str">
        <v>英国区</v>
      </c>
      <c r="B989" s="19" t="str">
        <v>伯明翰19号仓</v>
      </c>
      <c r="C989" s="19" t="str">
        <v>入库组</v>
      </c>
      <c r="D989" s="21" t="n">
        <v>46129</v>
      </c>
      <c r="E989" s="19" t="str">
        <v>2026-04</v>
      </c>
      <c r="F989" s="19" t="str">
        <v>操作员</v>
      </c>
      <c r="G989" s="19" t="str">
        <v>英国区07:00-15:30 / UK 07:00-15:30</v>
      </c>
      <c r="H989" s="19" t="str">
        <v>S000013</v>
      </c>
      <c r="I989" s="19" t="str">
        <v>FT Recruitment</v>
      </c>
      <c r="J989" s="23" t="n">
        <v>4</v>
      </c>
      <c r="K989" s="23" t="n">
        <v>0</v>
      </c>
      <c r="L989" s="23" t="n">
        <f>J989+K989</f>
        <v>4</v>
      </c>
      <c r="M989" s="23" t="n">
        <v>4</v>
      </c>
      <c r="N989" s="23" t="n">
        <v>3</v>
      </c>
      <c r="O989" s="23" t="n">
        <v>1</v>
      </c>
      <c r="P989" s="23" t="n">
        <v>1</v>
      </c>
      <c r="Q989" s="23" t="n">
        <f>MIN(O989,P989)</f>
        <v>1</v>
      </c>
      <c r="R989" s="25" t="n">
        <f>IF(M989=0,0,MIN(1,L989/M989))</f>
        <v>1</v>
      </c>
      <c r="S989" s="23" t="n">
        <f>O989*R989</f>
        <v>1</v>
      </c>
      <c r="T989" s="23" t="n">
        <f>MIN(P989,S989)</f>
        <v>1</v>
      </c>
      <c r="U989" s="23" t="n">
        <f>O989-S989</f>
        <v>0</v>
      </c>
      <c r="V989" s="23" t="n">
        <f>MAX(P989-O989,0)</f>
        <v>0</v>
      </c>
    </row>
    <row r="990">
      <c r="A990" s="19" t="str">
        <v>英国区</v>
      </c>
      <c r="B990" s="19" t="str">
        <v>伯明翰19号仓</v>
      </c>
      <c r="C990" s="19" t="str">
        <v>入库组</v>
      </c>
      <c r="D990" s="21" t="n">
        <v>46133</v>
      </c>
      <c r="E990" s="19" t="str">
        <v>2026-04</v>
      </c>
      <c r="F990" s="19" t="str">
        <v>操作员</v>
      </c>
      <c r="G990" s="19" t="str">
        <v>英国区07:00-15:30 / UK 07:00-15:30</v>
      </c>
      <c r="H990" s="19" t="str">
        <v>S000132</v>
      </c>
      <c r="I990" s="19" t="str">
        <v>HRA Recruitment Services</v>
      </c>
      <c r="J990" s="23" t="n">
        <v>3</v>
      </c>
      <c r="K990" s="23" t="n">
        <v>0</v>
      </c>
      <c r="L990" s="23" t="n">
        <f>J990+K990</f>
        <v>3</v>
      </c>
      <c r="M990" s="23" t="n">
        <v>3</v>
      </c>
      <c r="N990" s="23" t="n">
        <v>3</v>
      </c>
      <c r="O990" s="23" t="n">
        <v>3</v>
      </c>
      <c r="P990" s="23" t="n">
        <v>3</v>
      </c>
      <c r="Q990" s="23" t="n">
        <f>MIN(O990,P990)</f>
        <v>3</v>
      </c>
      <c r="R990" s="25" t="n">
        <f>IF(M990=0,0,MIN(1,L990/M990))</f>
        <v>1</v>
      </c>
      <c r="S990" s="23" t="n">
        <f>O990*R990</f>
        <v>3</v>
      </c>
      <c r="T990" s="23" t="n">
        <f>MIN(P990,S990)</f>
        <v>3</v>
      </c>
      <c r="U990" s="23" t="n">
        <f>O990-S990</f>
        <v>0</v>
      </c>
      <c r="V990" s="23" t="n">
        <f>MAX(P990-O990,0)</f>
        <v>0</v>
      </c>
    </row>
    <row r="991">
      <c r="A991" s="19" t="str">
        <v>英国区</v>
      </c>
      <c r="B991" s="19" t="str">
        <v>伯明翰19号仓</v>
      </c>
      <c r="C991" s="19" t="str">
        <v>入库组</v>
      </c>
      <c r="D991" s="21" t="n">
        <v>46135</v>
      </c>
      <c r="E991" s="19" t="str">
        <v>2026-04</v>
      </c>
      <c r="F991" s="19" t="str">
        <v>操作员</v>
      </c>
      <c r="G991" s="19" t="str">
        <v>英国区11:00-19:30 / UK 11:00-19:30</v>
      </c>
      <c r="H991" s="19" t="str">
        <v>S000007</v>
      </c>
      <c r="I991" s="19" t="str">
        <v>Kenect</v>
      </c>
      <c r="J991" s="23" t="n">
        <v>5</v>
      </c>
      <c r="K991" s="23" t="n">
        <v>0</v>
      </c>
      <c r="L991" s="23" t="n">
        <f>J991+K991</f>
        <v>5</v>
      </c>
      <c r="M991" s="23" t="n">
        <v>5</v>
      </c>
      <c r="N991" s="23" t="n">
        <v>4</v>
      </c>
      <c r="O991" s="23" t="n">
        <v>5</v>
      </c>
      <c r="P991" s="23" t="n">
        <v>4</v>
      </c>
      <c r="Q991" s="23" t="n">
        <f>MIN(O991,P991)</f>
        <v>4</v>
      </c>
      <c r="R991" s="25" t="n">
        <f>IF(M991=0,0,MIN(1,L991/M991))</f>
        <v>1</v>
      </c>
      <c r="S991" s="23" t="n">
        <f>O991*R991</f>
        <v>5</v>
      </c>
      <c r="T991" s="23" t="n">
        <f>MIN(P991,S991)</f>
        <v>4</v>
      </c>
      <c r="U991" s="23" t="n">
        <f>O991-S991</f>
        <v>0</v>
      </c>
      <c r="V991" s="23" t="n">
        <f>MAX(P991-O991,0)</f>
        <v>0</v>
      </c>
    </row>
    <row r="992">
      <c r="A992" s="19" t="str">
        <v>英国区</v>
      </c>
      <c r="B992" s="19" t="str">
        <v>伯明翰19号仓</v>
      </c>
      <c r="C992" s="19" t="str">
        <v>入库组</v>
      </c>
      <c r="D992" s="21" t="n">
        <v>46142</v>
      </c>
      <c r="E992" s="19" t="str">
        <v>2026-04</v>
      </c>
      <c r="F992" s="19" t="str">
        <v>操作员</v>
      </c>
      <c r="G992" s="19" t="str">
        <v>英国区07:00-15:30 / UK 07:00-15:30</v>
      </c>
      <c r="H992" s="19" t="str">
        <v>S000011</v>
      </c>
      <c r="I992" s="19" t="str">
        <v>SD4U</v>
      </c>
      <c r="J992" s="23" t="n">
        <v>3</v>
      </c>
      <c r="K992" s="23" t="n">
        <v>0</v>
      </c>
      <c r="L992" s="23" t="n">
        <f>J992+K992</f>
        <v>3</v>
      </c>
      <c r="M992" s="23" t="n">
        <v>3</v>
      </c>
      <c r="N992" s="23" t="n">
        <v>3</v>
      </c>
      <c r="O992" s="23" t="n">
        <v>2</v>
      </c>
      <c r="P992" s="23" t="n">
        <v>2</v>
      </c>
      <c r="Q992" s="23" t="n">
        <f>MIN(O992,P992)</f>
        <v>2</v>
      </c>
      <c r="R992" s="25" t="n">
        <f>IF(M992=0,0,MIN(1,L992/M992))</f>
        <v>1</v>
      </c>
      <c r="S992" s="23" t="n">
        <f>O992*R992</f>
        <v>2</v>
      </c>
      <c r="T992" s="23" t="n">
        <f>MIN(P992,S992)</f>
        <v>2</v>
      </c>
      <c r="U992" s="23" t="n">
        <f>O992-S992</f>
        <v>0</v>
      </c>
      <c r="V992" s="23" t="n">
        <f>MAX(P992-O992,0)</f>
        <v>0</v>
      </c>
    </row>
    <row r="993">
      <c r="A993" s="19" t="str">
        <v>英国区</v>
      </c>
      <c r="B993" s="19" t="str">
        <v>伯明翰19号仓</v>
      </c>
      <c r="C993" s="19" t="str">
        <v>入库组</v>
      </c>
      <c r="D993" s="21" t="n">
        <v>46142</v>
      </c>
      <c r="E993" s="19" t="str">
        <v>2026-04</v>
      </c>
      <c r="F993" s="19" t="str">
        <v>操作员</v>
      </c>
      <c r="G993" s="19" t="str">
        <v>英国区07:00-15:30 / UK 07:00-15:30</v>
      </c>
      <c r="H993" s="19" t="str">
        <v>S000274</v>
      </c>
      <c r="I993" s="19" t="str">
        <v>Jobsworth Recruitment Solutions Limited</v>
      </c>
      <c r="J993" s="23" t="n">
        <v>3</v>
      </c>
      <c r="K993" s="23" t="n">
        <v>0</v>
      </c>
      <c r="L993" s="23" t="n">
        <f>J993+K993</f>
        <v>3</v>
      </c>
      <c r="M993" s="23" t="n">
        <v>3</v>
      </c>
      <c r="N993" s="23" t="n">
        <v>3</v>
      </c>
      <c r="O993" s="23" t="n">
        <v>1</v>
      </c>
      <c r="P993" s="23" t="n">
        <v>1</v>
      </c>
      <c r="Q993" s="23" t="n">
        <f>MIN(O993,P993)</f>
        <v>1</v>
      </c>
      <c r="R993" s="25" t="n">
        <f>IF(M993=0,0,MIN(1,L993/M993))</f>
        <v>1</v>
      </c>
      <c r="S993" s="23" t="n">
        <f>O993*R993</f>
        <v>1</v>
      </c>
      <c r="T993" s="23" t="n">
        <f>MIN(P993,S993)</f>
        <v>1</v>
      </c>
      <c r="U993" s="23" t="n">
        <f>O993-S993</f>
        <v>0</v>
      </c>
      <c r="V993" s="23" t="n">
        <f>MAX(P993-O993,0)</f>
        <v>0</v>
      </c>
    </row>
    <row r="994">
      <c r="A994" s="19" t="str">
        <v>英国区</v>
      </c>
      <c r="B994" s="19" t="str">
        <v>伯明翰19号仓</v>
      </c>
      <c r="C994" s="19" t="str">
        <v>入库组</v>
      </c>
      <c r="D994" s="21" t="n">
        <v>46147</v>
      </c>
      <c r="E994" s="19" t="str">
        <v>2026-05</v>
      </c>
      <c r="F994" s="19" t="str">
        <v>操作员</v>
      </c>
      <c r="G994" s="19" t="str">
        <v>英国区07:00-15:30 / UK 07:00-15:30</v>
      </c>
      <c r="H994" s="19" t="str">
        <v>S000274</v>
      </c>
      <c r="I994" s="19" t="str">
        <v>Jobsworth Recruitment Solutions Limited</v>
      </c>
      <c r="J994" s="23" t="n">
        <v>2</v>
      </c>
      <c r="K994" s="23" t="n">
        <v>0</v>
      </c>
      <c r="L994" s="23" t="n">
        <f>J994+K994</f>
        <v>2</v>
      </c>
      <c r="M994" s="23" t="n">
        <v>2</v>
      </c>
      <c r="N994" s="23" t="n">
        <v>2</v>
      </c>
      <c r="O994" s="23" t="n">
        <v>2</v>
      </c>
      <c r="P994" s="23" t="n">
        <v>2</v>
      </c>
      <c r="Q994" s="23" t="n">
        <f>MIN(O994,P994)</f>
        <v>2</v>
      </c>
      <c r="R994" s="25" t="n">
        <f>IF(M994=0,0,MIN(1,L994/M994))</f>
        <v>1</v>
      </c>
      <c r="S994" s="23" t="n">
        <f>O994*R994</f>
        <v>2</v>
      </c>
      <c r="T994" s="23" t="n">
        <f>MIN(P994,S994)</f>
        <v>2</v>
      </c>
      <c r="U994" s="23" t="n">
        <f>O994-S994</f>
        <v>0</v>
      </c>
      <c r="V994" s="23" t="n">
        <f>MAX(P994-O994,0)</f>
        <v>0</v>
      </c>
    </row>
    <row r="995">
      <c r="A995" s="19" t="str">
        <v>英国区</v>
      </c>
      <c r="B995" s="19" t="str">
        <v>伯明翰19号仓</v>
      </c>
      <c r="C995" s="19" t="str">
        <v>入库组</v>
      </c>
      <c r="D995" s="21" t="n">
        <v>46149</v>
      </c>
      <c r="E995" s="19" t="str">
        <v>2026-05</v>
      </c>
      <c r="F995" s="19" t="str">
        <v>操作员</v>
      </c>
      <c r="G995" s="19" t="str">
        <v>英国区07:00-15:30 / UK 07:00-15:30</v>
      </c>
      <c r="H995" s="19" t="str">
        <v>S000011</v>
      </c>
      <c r="I995" s="19" t="str">
        <v>SD4U</v>
      </c>
      <c r="J995" s="23" t="n">
        <v>2</v>
      </c>
      <c r="K995" s="23" t="n">
        <v>0</v>
      </c>
      <c r="L995" s="23" t="n">
        <f>J995+K995</f>
        <v>2</v>
      </c>
      <c r="M995" s="23" t="n">
        <v>2</v>
      </c>
      <c r="N995" s="23" t="n">
        <v>2</v>
      </c>
      <c r="O995" s="23" t="n">
        <v>2</v>
      </c>
      <c r="P995" s="23" t="n">
        <v>2</v>
      </c>
      <c r="Q995" s="23" t="n">
        <f>MIN(O995,P995)</f>
        <v>2</v>
      </c>
      <c r="R995" s="25" t="n">
        <f>IF(M995=0,0,MIN(1,L995/M995))</f>
        <v>1</v>
      </c>
      <c r="S995" s="23" t="n">
        <f>O995*R995</f>
        <v>2</v>
      </c>
      <c r="T995" s="23" t="n">
        <f>MIN(P995,S995)</f>
        <v>2</v>
      </c>
      <c r="U995" s="23" t="n">
        <f>O995-S995</f>
        <v>0</v>
      </c>
      <c r="V995" s="23" t="n">
        <f>MAX(P995-O995,0)</f>
        <v>0</v>
      </c>
    </row>
    <row r="996">
      <c r="A996" s="19" t="str">
        <v>英国区</v>
      </c>
      <c r="B996" s="19" t="str">
        <v>伯明翰19号仓</v>
      </c>
      <c r="C996" s="19" t="str">
        <v>入库组</v>
      </c>
      <c r="D996" s="21" t="n">
        <v>46160</v>
      </c>
      <c r="E996" s="19" t="str">
        <v>2026-05</v>
      </c>
      <c r="F996" s="19" t="str">
        <v>操作员</v>
      </c>
      <c r="G996" s="19" t="str">
        <v>英国区07:00-15:30 / UK 07:00-15:30</v>
      </c>
      <c r="H996" s="19" t="str">
        <v>S000007</v>
      </c>
      <c r="I996" s="19" t="str">
        <v>Kenect</v>
      </c>
      <c r="J996" s="23" t="n">
        <v>4</v>
      </c>
      <c r="K996" s="23" t="n">
        <v>0</v>
      </c>
      <c r="L996" s="23" t="n">
        <f>J996+K996</f>
        <v>4</v>
      </c>
      <c r="M996" s="23" t="n">
        <v>4</v>
      </c>
      <c r="N996" s="23" t="n">
        <v>4</v>
      </c>
      <c r="O996" s="23" t="n">
        <v>2</v>
      </c>
      <c r="P996" s="23" t="n">
        <v>2</v>
      </c>
      <c r="Q996" s="23" t="n">
        <f>MIN(O996,P996)</f>
        <v>2</v>
      </c>
      <c r="R996" s="25" t="n">
        <f>IF(M996=0,0,MIN(1,L996/M996))</f>
        <v>1</v>
      </c>
      <c r="S996" s="23" t="n">
        <f>O996*R996</f>
        <v>2</v>
      </c>
      <c r="T996" s="23" t="n">
        <f>MIN(P996,S996)</f>
        <v>2</v>
      </c>
      <c r="U996" s="23" t="n">
        <f>O996-S996</f>
        <v>0</v>
      </c>
      <c r="V996" s="23" t="n">
        <f>MAX(P996-O996,0)</f>
        <v>0</v>
      </c>
    </row>
    <row r="997">
      <c r="A997" s="19" t="str">
        <v>英国区</v>
      </c>
      <c r="B997" s="19" t="str">
        <v>伯明翰19号仓</v>
      </c>
      <c r="C997" s="19" t="str">
        <v>入库组</v>
      </c>
      <c r="D997" s="21" t="n">
        <v>46160</v>
      </c>
      <c r="E997" s="19" t="str">
        <v>2026-05</v>
      </c>
      <c r="F997" s="19" t="str">
        <v>操作员</v>
      </c>
      <c r="G997" s="19" t="str">
        <v>英国区07:00-15:30 / UK 07:00-15:30</v>
      </c>
      <c r="H997" s="19" t="str">
        <v>S000011</v>
      </c>
      <c r="I997" s="19" t="str">
        <v>SD4U</v>
      </c>
      <c r="J997" s="23" t="n">
        <v>4</v>
      </c>
      <c r="K997" s="23" t="n">
        <v>0</v>
      </c>
      <c r="L997" s="23" t="n">
        <f>J997+K997</f>
        <v>4</v>
      </c>
      <c r="M997" s="23" t="n">
        <v>4</v>
      </c>
      <c r="N997" s="23" t="n">
        <v>4</v>
      </c>
      <c r="O997" s="23" t="n">
        <v>2</v>
      </c>
      <c r="P997" s="23" t="n">
        <v>2</v>
      </c>
      <c r="Q997" s="23" t="n">
        <f>MIN(O997,P997)</f>
        <v>2</v>
      </c>
      <c r="R997" s="25" t="n">
        <f>IF(M997=0,0,MIN(1,L997/M997))</f>
        <v>1</v>
      </c>
      <c r="S997" s="23" t="n">
        <f>O997*R997</f>
        <v>2</v>
      </c>
      <c r="T997" s="23" t="n">
        <f>MIN(P997,S997)</f>
        <v>2</v>
      </c>
      <c r="U997" s="23" t="n">
        <f>O997-S997</f>
        <v>0</v>
      </c>
      <c r="V997" s="23" t="n">
        <f>MAX(P997-O997,0)</f>
        <v>0</v>
      </c>
    </row>
    <row r="998">
      <c r="A998" s="19" t="str">
        <v>英国区</v>
      </c>
      <c r="B998" s="19" t="str">
        <v>伯明翰19号仓</v>
      </c>
      <c r="C998" s="19" t="str">
        <v>入库组</v>
      </c>
      <c r="D998" s="21" t="n">
        <v>46161</v>
      </c>
      <c r="E998" s="19" t="str">
        <v>2026-05</v>
      </c>
      <c r="F998" s="19" t="str">
        <v>操作员</v>
      </c>
      <c r="G998" s="19" t="str">
        <v>英国区07:00-15:30 / UK 07:00-15:30</v>
      </c>
      <c r="H998" s="19" t="str">
        <v>S000007</v>
      </c>
      <c r="I998" s="19" t="str">
        <v>Kenect</v>
      </c>
      <c r="J998" s="23" t="n">
        <v>3</v>
      </c>
      <c r="K998" s="23" t="n">
        <v>0</v>
      </c>
      <c r="L998" s="23" t="n">
        <f>J998+K998</f>
        <v>3</v>
      </c>
      <c r="M998" s="23" t="n">
        <v>3</v>
      </c>
      <c r="N998" s="23" t="n">
        <v>3</v>
      </c>
      <c r="O998" s="23" t="n">
        <v>2</v>
      </c>
      <c r="P998" s="23" t="n">
        <v>2</v>
      </c>
      <c r="Q998" s="23" t="n">
        <f>MIN(O998,P998)</f>
        <v>2</v>
      </c>
      <c r="R998" s="25" t="n">
        <f>IF(M998=0,0,MIN(1,L998/M998))</f>
        <v>1</v>
      </c>
      <c r="S998" s="23" t="n">
        <f>O998*R998</f>
        <v>2</v>
      </c>
      <c r="T998" s="23" t="n">
        <f>MIN(P998,S998)</f>
        <v>2</v>
      </c>
      <c r="U998" s="23" t="n">
        <f>O998-S998</f>
        <v>0</v>
      </c>
      <c r="V998" s="23" t="n">
        <f>MAX(P998-O998,0)</f>
        <v>0</v>
      </c>
    </row>
    <row r="999">
      <c r="A999" s="19" t="str">
        <v>英国区</v>
      </c>
      <c r="B999" s="19" t="str">
        <v>伯明翰19号仓</v>
      </c>
      <c r="C999" s="19" t="str">
        <v>入库组</v>
      </c>
      <c r="D999" s="21" t="n">
        <v>46161</v>
      </c>
      <c r="E999" s="19" t="str">
        <v>2026-05</v>
      </c>
      <c r="F999" s="19" t="str">
        <v>操作员</v>
      </c>
      <c r="G999" s="19" t="str">
        <v>英国区07:00-15:30 / UK 07:00-15:30</v>
      </c>
      <c r="H999" s="19" t="str">
        <v>S000011</v>
      </c>
      <c r="I999" s="19" t="str">
        <v>SD4U</v>
      </c>
      <c r="J999" s="23" t="n">
        <v>3</v>
      </c>
      <c r="K999" s="23" t="n">
        <v>0</v>
      </c>
      <c r="L999" s="23" t="n">
        <f>J999+K999</f>
        <v>3</v>
      </c>
      <c r="M999" s="23" t="n">
        <v>3</v>
      </c>
      <c r="N999" s="23" t="n">
        <v>3</v>
      </c>
      <c r="O999" s="23" t="n">
        <v>1</v>
      </c>
      <c r="P999" s="23" t="n">
        <v>1</v>
      </c>
      <c r="Q999" s="23" t="n">
        <f>MIN(O999,P999)</f>
        <v>1</v>
      </c>
      <c r="R999" s="25" t="n">
        <f>IF(M999=0,0,MIN(1,L999/M999))</f>
        <v>1</v>
      </c>
      <c r="S999" s="23" t="n">
        <f>O999*R999</f>
        <v>1</v>
      </c>
      <c r="T999" s="23" t="n">
        <f>MIN(P999,S999)</f>
        <v>1</v>
      </c>
      <c r="U999" s="23" t="n">
        <f>O999-S999</f>
        <v>0</v>
      </c>
      <c r="V999" s="23" t="n">
        <f>MAX(P999-O999,0)</f>
        <v>0</v>
      </c>
    </row>
    <row r="1000">
      <c r="A1000" s="19" t="str">
        <v>英国区</v>
      </c>
      <c r="B1000" s="19" t="str">
        <v>伯明翰19号仓</v>
      </c>
      <c r="C1000" s="19" t="str">
        <v>入库组</v>
      </c>
      <c r="D1000" s="21" t="n">
        <v>46162</v>
      </c>
      <c r="E1000" s="19" t="str">
        <v>2026-05</v>
      </c>
      <c r="F1000" s="19" t="str">
        <v>操作员</v>
      </c>
      <c r="G1000" s="19" t="str">
        <v>英国区07:00-15:30 / UK 07:00-15:30</v>
      </c>
      <c r="H1000" s="19" t="str">
        <v>S000007</v>
      </c>
      <c r="I1000" s="19" t="str">
        <v>Kenect</v>
      </c>
      <c r="J1000" s="23" t="n">
        <v>6</v>
      </c>
      <c r="K1000" s="23" t="n">
        <v>0</v>
      </c>
      <c r="L1000" s="23" t="n">
        <f>J1000+K1000</f>
        <v>6</v>
      </c>
      <c r="M1000" s="23" t="n">
        <v>6</v>
      </c>
      <c r="N1000" s="23" t="n">
        <v>6</v>
      </c>
      <c r="O1000" s="23" t="n">
        <v>1</v>
      </c>
      <c r="P1000" s="23" t="n">
        <v>1</v>
      </c>
      <c r="Q1000" s="23" t="n">
        <f>MIN(O1000,P1000)</f>
        <v>1</v>
      </c>
      <c r="R1000" s="25" t="n">
        <f>IF(M1000=0,0,MIN(1,L1000/M1000))</f>
        <v>1</v>
      </c>
      <c r="S1000" s="23" t="n">
        <f>O1000*R1000</f>
        <v>1</v>
      </c>
      <c r="T1000" s="23" t="n">
        <f>MIN(P1000,S1000)</f>
        <v>1</v>
      </c>
      <c r="U1000" s="23" t="n">
        <f>O1000-S1000</f>
        <v>0</v>
      </c>
      <c r="V1000" s="23" t="n">
        <f>MAX(P1000-O1000,0)</f>
        <v>0</v>
      </c>
    </row>
    <row r="1001">
      <c r="A1001" s="19" t="str">
        <v>英国区</v>
      </c>
      <c r="B1001" s="19" t="str">
        <v>伯明翰19号仓</v>
      </c>
      <c r="C1001" s="19" t="str">
        <v>入库组</v>
      </c>
      <c r="D1001" s="21" t="n">
        <v>46162</v>
      </c>
      <c r="E1001" s="19" t="str">
        <v>2026-05</v>
      </c>
      <c r="F1001" s="19" t="str">
        <v>操作员</v>
      </c>
      <c r="G1001" s="19" t="str">
        <v>英国区07:00-15:30 / UK 07:00-15:30</v>
      </c>
      <c r="H1001" s="19" t="str">
        <v>S000011</v>
      </c>
      <c r="I1001" s="19" t="str">
        <v>SD4U</v>
      </c>
      <c r="J1001" s="23" t="n">
        <v>6</v>
      </c>
      <c r="K1001" s="23" t="n">
        <v>0</v>
      </c>
      <c r="L1001" s="23" t="n">
        <f>J1001+K1001</f>
        <v>6</v>
      </c>
      <c r="M1001" s="23" t="n">
        <v>6</v>
      </c>
      <c r="N1001" s="23" t="n">
        <v>6</v>
      </c>
      <c r="O1001" s="23" t="n">
        <v>2</v>
      </c>
      <c r="P1001" s="23" t="n">
        <v>2</v>
      </c>
      <c r="Q1001" s="23" t="n">
        <f>MIN(O1001,P1001)</f>
        <v>2</v>
      </c>
      <c r="R1001" s="25" t="n">
        <f>IF(M1001=0,0,MIN(1,L1001/M1001))</f>
        <v>1</v>
      </c>
      <c r="S1001" s="23" t="n">
        <f>O1001*R1001</f>
        <v>2</v>
      </c>
      <c r="T1001" s="23" t="n">
        <f>MIN(P1001,S1001)</f>
        <v>2</v>
      </c>
      <c r="U1001" s="23" t="n">
        <f>O1001-S1001</f>
        <v>0</v>
      </c>
      <c r="V1001" s="23" t="n">
        <f>MAX(P1001-O1001,0)</f>
        <v>0</v>
      </c>
    </row>
    <row r="1002">
      <c r="A1002" s="19" t="str">
        <v>英国区</v>
      </c>
      <c r="B1002" s="19" t="str">
        <v>伯明翰19号仓</v>
      </c>
      <c r="C1002" s="19" t="str">
        <v>入库组</v>
      </c>
      <c r="D1002" s="21" t="n">
        <v>46162</v>
      </c>
      <c r="E1002" s="19" t="str">
        <v>2026-05</v>
      </c>
      <c r="F1002" s="19" t="str">
        <v>操作员</v>
      </c>
      <c r="G1002" s="19" t="str">
        <v>英国区07:00-15:30 / UK 07:00-15:30</v>
      </c>
      <c r="H1002" s="19" t="str">
        <v>S000274</v>
      </c>
      <c r="I1002" s="19" t="str">
        <v>Jobsworth Recruitment Solutions Limited</v>
      </c>
      <c r="J1002" s="23" t="n">
        <v>6</v>
      </c>
      <c r="K1002" s="23" t="n">
        <v>0</v>
      </c>
      <c r="L1002" s="23" t="n">
        <f>J1002+K1002</f>
        <v>6</v>
      </c>
      <c r="M1002" s="23" t="n">
        <v>6</v>
      </c>
      <c r="N1002" s="23" t="n">
        <v>6</v>
      </c>
      <c r="O1002" s="23" t="n">
        <v>3</v>
      </c>
      <c r="P1002" s="23" t="n">
        <v>3</v>
      </c>
      <c r="Q1002" s="23" t="n">
        <f>MIN(O1002,P1002)</f>
        <v>3</v>
      </c>
      <c r="R1002" s="25" t="n">
        <f>IF(M1002=0,0,MIN(1,L1002/M1002))</f>
        <v>1</v>
      </c>
      <c r="S1002" s="23" t="n">
        <f>O1002*R1002</f>
        <v>3</v>
      </c>
      <c r="T1002" s="23" t="n">
        <f>MIN(P1002,S1002)</f>
        <v>3</v>
      </c>
      <c r="U1002" s="23" t="n">
        <f>O1002-S1002</f>
        <v>0</v>
      </c>
      <c r="V1002" s="23" t="n">
        <f>MAX(P1002-O1002,0)</f>
        <v>0</v>
      </c>
    </row>
    <row r="1003">
      <c r="A1003" s="19" t="str">
        <v>英国区</v>
      </c>
      <c r="B1003" s="19" t="str">
        <v>伯明翰19号仓</v>
      </c>
      <c r="C1003" s="19" t="str">
        <v>入库组</v>
      </c>
      <c r="D1003" s="21" t="n">
        <v>46163</v>
      </c>
      <c r="E1003" s="19" t="str">
        <v>2026-05</v>
      </c>
      <c r="F1003" s="19" t="str">
        <v>操作员</v>
      </c>
      <c r="G1003" s="19" t="str">
        <v>英国区07:00-15:30 / UK 07:00-15:30</v>
      </c>
      <c r="H1003" s="19" t="str">
        <v>S000011</v>
      </c>
      <c r="I1003" s="19" t="str">
        <v>SD4U</v>
      </c>
      <c r="J1003" s="23" t="n">
        <v>6</v>
      </c>
      <c r="K1003" s="23" t="n">
        <v>0</v>
      </c>
      <c r="L1003" s="23" t="n">
        <f>J1003+K1003</f>
        <v>6</v>
      </c>
      <c r="M1003" s="23" t="n">
        <v>6</v>
      </c>
      <c r="N1003" s="23" t="n">
        <v>6</v>
      </c>
      <c r="O1003" s="23" t="n">
        <v>1</v>
      </c>
      <c r="P1003" s="23" t="n">
        <v>1</v>
      </c>
      <c r="Q1003" s="23" t="n">
        <f>MIN(O1003,P1003)</f>
        <v>1</v>
      </c>
      <c r="R1003" s="25" t="n">
        <f>IF(M1003=0,0,MIN(1,L1003/M1003))</f>
        <v>1</v>
      </c>
      <c r="S1003" s="23" t="n">
        <f>O1003*R1003</f>
        <v>1</v>
      </c>
      <c r="T1003" s="23" t="n">
        <f>MIN(P1003,S1003)</f>
        <v>1</v>
      </c>
      <c r="U1003" s="23" t="n">
        <f>O1003-S1003</f>
        <v>0</v>
      </c>
      <c r="V1003" s="23" t="n">
        <f>MAX(P1003-O1003,0)</f>
        <v>0</v>
      </c>
    </row>
    <row r="1004">
      <c r="A1004" s="19" t="str">
        <v>英国区</v>
      </c>
      <c r="B1004" s="19" t="str">
        <v>伯明翰19号仓</v>
      </c>
      <c r="C1004" s="19" t="str">
        <v>入库组</v>
      </c>
      <c r="D1004" s="21" t="n">
        <v>46163</v>
      </c>
      <c r="E1004" s="19" t="str">
        <v>2026-05</v>
      </c>
      <c r="F1004" s="19" t="str">
        <v>操作员</v>
      </c>
      <c r="G1004" s="19" t="str">
        <v>英国区07:00-15:30 / UK 07:00-15:30</v>
      </c>
      <c r="H1004" s="19" t="str">
        <v>S000274</v>
      </c>
      <c r="I1004" s="19" t="str">
        <v>Jobsworth Recruitment Solutions Limited</v>
      </c>
      <c r="J1004" s="23" t="n">
        <v>6</v>
      </c>
      <c r="K1004" s="23" t="n">
        <v>0</v>
      </c>
      <c r="L1004" s="23" t="n">
        <f>J1004+K1004</f>
        <v>6</v>
      </c>
      <c r="M1004" s="23" t="n">
        <v>6</v>
      </c>
      <c r="N1004" s="23" t="n">
        <v>6</v>
      </c>
      <c r="O1004" s="23" t="n">
        <v>5</v>
      </c>
      <c r="P1004" s="23" t="n">
        <v>5</v>
      </c>
      <c r="Q1004" s="23" t="n">
        <f>MIN(O1004,P1004)</f>
        <v>5</v>
      </c>
      <c r="R1004" s="25" t="n">
        <f>IF(M1004=0,0,MIN(1,L1004/M1004))</f>
        <v>1</v>
      </c>
      <c r="S1004" s="23" t="n">
        <f>O1004*R1004</f>
        <v>5</v>
      </c>
      <c r="T1004" s="23" t="n">
        <f>MIN(P1004,S1004)</f>
        <v>5</v>
      </c>
      <c r="U1004" s="23" t="n">
        <f>O1004-S1004</f>
        <v>0</v>
      </c>
      <c r="V1004" s="23" t="n">
        <f>MAX(P1004-O1004,0)</f>
        <v>0</v>
      </c>
    </row>
    <row r="1005">
      <c r="A1005" s="19" t="str">
        <v>英国区</v>
      </c>
      <c r="B1005" s="19" t="str">
        <v>伯明翰19号仓</v>
      </c>
      <c r="C1005" s="19" t="str">
        <v>入库组</v>
      </c>
      <c r="D1005" s="21" t="n">
        <v>46164</v>
      </c>
      <c r="E1005" s="19" t="str">
        <v>2026-05</v>
      </c>
      <c r="F1005" s="19" t="str">
        <v>操作员</v>
      </c>
      <c r="G1005" s="19" t="str">
        <v>英国区07:00-15:30 / UK 07:00-15:30</v>
      </c>
      <c r="H1005" s="19" t="str">
        <v>S000007</v>
      </c>
      <c r="I1005" s="19" t="str">
        <v>Kenect</v>
      </c>
      <c r="J1005" s="23" t="n">
        <v>5</v>
      </c>
      <c r="K1005" s="23" t="n">
        <v>0</v>
      </c>
      <c r="L1005" s="23" t="n">
        <f>J1005+K1005</f>
        <v>5</v>
      </c>
      <c r="M1005" s="23" t="n">
        <v>5</v>
      </c>
      <c r="N1005" s="23" t="n">
        <v>5</v>
      </c>
      <c r="O1005" s="23" t="n">
        <v>3</v>
      </c>
      <c r="P1005" s="23" t="n">
        <v>3</v>
      </c>
      <c r="Q1005" s="23" t="n">
        <f>MIN(O1005,P1005)</f>
        <v>3</v>
      </c>
      <c r="R1005" s="25" t="n">
        <f>IF(M1005=0,0,MIN(1,L1005/M1005))</f>
        <v>1</v>
      </c>
      <c r="S1005" s="23" t="n">
        <f>O1005*R1005</f>
        <v>3</v>
      </c>
      <c r="T1005" s="23" t="n">
        <f>MIN(P1005,S1005)</f>
        <v>3</v>
      </c>
      <c r="U1005" s="23" t="n">
        <f>O1005-S1005</f>
        <v>0</v>
      </c>
      <c r="V1005" s="23" t="n">
        <f>MAX(P1005-O1005,0)</f>
        <v>0</v>
      </c>
    </row>
    <row r="1006">
      <c r="A1006" s="19" t="str">
        <v>英国区</v>
      </c>
      <c r="B1006" s="19" t="str">
        <v>伯明翰19号仓</v>
      </c>
      <c r="C1006" s="19" t="str">
        <v>入库组</v>
      </c>
      <c r="D1006" s="21" t="n">
        <v>46164</v>
      </c>
      <c r="E1006" s="19" t="str">
        <v>2026-05</v>
      </c>
      <c r="F1006" s="19" t="str">
        <v>操作员</v>
      </c>
      <c r="G1006" s="19" t="str">
        <v>英国区07:00-15:30 / UK 07:00-15:30</v>
      </c>
      <c r="H1006" s="19" t="str">
        <v>S000011</v>
      </c>
      <c r="I1006" s="19" t="str">
        <v>SD4U</v>
      </c>
      <c r="J1006" s="23" t="n">
        <v>5</v>
      </c>
      <c r="K1006" s="23" t="n">
        <v>0</v>
      </c>
      <c r="L1006" s="23" t="n">
        <f>J1006+K1006</f>
        <v>5</v>
      </c>
      <c r="M1006" s="23" t="n">
        <v>5</v>
      </c>
      <c r="N1006" s="23" t="n">
        <v>5</v>
      </c>
      <c r="O1006" s="23" t="n">
        <v>2</v>
      </c>
      <c r="P1006" s="23" t="n">
        <v>2</v>
      </c>
      <c r="Q1006" s="23" t="n">
        <f>MIN(O1006,P1006)</f>
        <v>2</v>
      </c>
      <c r="R1006" s="25" t="n">
        <f>IF(M1006=0,0,MIN(1,L1006/M1006))</f>
        <v>1</v>
      </c>
      <c r="S1006" s="23" t="n">
        <f>O1006*R1006</f>
        <v>2</v>
      </c>
      <c r="T1006" s="23" t="n">
        <f>MIN(P1006,S1006)</f>
        <v>2</v>
      </c>
      <c r="U1006" s="23" t="n">
        <f>O1006-S1006</f>
        <v>0</v>
      </c>
      <c r="V1006" s="23" t="n">
        <f>MAX(P1006-O1006,0)</f>
        <v>0</v>
      </c>
    </row>
    <row r="1007">
      <c r="A1007" s="19" t="str">
        <v>英国区</v>
      </c>
      <c r="B1007" s="19" t="str">
        <v>伯明翰19号仓</v>
      </c>
      <c r="C1007" s="19" t="str">
        <v>入库组</v>
      </c>
      <c r="D1007" s="21" t="n">
        <v>46192</v>
      </c>
      <c r="E1007" s="19" t="str">
        <v>2026-06</v>
      </c>
      <c r="F1007" s="19" t="str">
        <v>操作员</v>
      </c>
      <c r="G1007" s="19" t="str">
        <v>英国区07:00-15:30 / UK 07:00-15:30</v>
      </c>
      <c r="H1007" s="19" t="str">
        <v>S000011</v>
      </c>
      <c r="I1007" s="19" t="str">
        <v>SD4U</v>
      </c>
      <c r="J1007" s="23" t="n">
        <v>6</v>
      </c>
      <c r="K1007" s="23" t="n">
        <v>0</v>
      </c>
      <c r="L1007" s="23" t="n">
        <f>J1007+K1007</f>
        <v>6</v>
      </c>
      <c r="M1007" s="23" t="n">
        <v>6</v>
      </c>
      <c r="N1007" s="23" t="n">
        <v>6</v>
      </c>
      <c r="O1007" s="23" t="n">
        <v>6</v>
      </c>
      <c r="P1007" s="23" t="n">
        <v>6</v>
      </c>
      <c r="Q1007" s="23" t="n">
        <f>MIN(O1007,P1007)</f>
        <v>6</v>
      </c>
      <c r="R1007" s="25" t="n">
        <f>IF(M1007=0,0,MIN(1,L1007/M1007))</f>
        <v>1</v>
      </c>
      <c r="S1007" s="23" t="n">
        <f>O1007*R1007</f>
        <v>6</v>
      </c>
      <c r="T1007" s="23" t="n">
        <f>MIN(P1007,S1007)</f>
        <v>6</v>
      </c>
      <c r="U1007" s="23" t="n">
        <f>O1007-S1007</f>
        <v>0</v>
      </c>
      <c r="V1007" s="23" t="n">
        <f>MAX(P1007-O1007,0)</f>
        <v>0</v>
      </c>
    </row>
    <row r="1008">
      <c r="A1008" s="19" t="str">
        <v>英国区</v>
      </c>
      <c r="B1008" s="19" t="str">
        <v>伯明翰19号仓</v>
      </c>
      <c r="C1008" s="19" t="str">
        <v>入库组</v>
      </c>
      <c r="D1008" s="21" t="n">
        <v>46203</v>
      </c>
      <c r="E1008" s="19" t="str">
        <v>2026-06</v>
      </c>
      <c r="F1008" s="19" t="str">
        <v>操作员</v>
      </c>
      <c r="G1008" s="19" t="str">
        <v>英国区07:00-15:30 / UK 07:00-15:30</v>
      </c>
      <c r="H1008" s="19" t="str">
        <v>S000274</v>
      </c>
      <c r="I1008" s="19" t="str">
        <v>Jobsworth Recruitment Solutions Limited</v>
      </c>
      <c r="J1008" s="23" t="n">
        <v>3</v>
      </c>
      <c r="K1008" s="23" t="n">
        <v>0</v>
      </c>
      <c r="L1008" s="23" t="n">
        <f>J1008+K1008</f>
        <v>3</v>
      </c>
      <c r="M1008" s="23" t="n">
        <v>3</v>
      </c>
      <c r="N1008" s="23" t="n">
        <v>3</v>
      </c>
      <c r="O1008" s="23" t="n">
        <v>3</v>
      </c>
      <c r="P1008" s="23" t="n">
        <v>3</v>
      </c>
      <c r="Q1008" s="23" t="n">
        <f>MIN(O1008,P1008)</f>
        <v>3</v>
      </c>
      <c r="R1008" s="25" t="n">
        <f>IF(M1008=0,0,MIN(1,L1008/M1008))</f>
        <v>1</v>
      </c>
      <c r="S1008" s="23" t="n">
        <f>O1008*R1008</f>
        <v>3</v>
      </c>
      <c r="T1008" s="23" t="n">
        <f>MIN(P1008,S1008)</f>
        <v>3</v>
      </c>
      <c r="U1008" s="23" t="n">
        <f>O1008-S1008</f>
        <v>0</v>
      </c>
      <c r="V1008" s="23" t="n">
        <f>MAX(P1008-O1008,0)</f>
        <v>0</v>
      </c>
    </row>
    <row r="1009">
      <c r="A1009" s="19" t="str">
        <v>英国区</v>
      </c>
      <c r="B1009" s="19" t="str">
        <v>伯明翰19号仓</v>
      </c>
      <c r="C1009" s="19" t="str">
        <v>入库组</v>
      </c>
      <c r="D1009" s="21" t="n">
        <v>46203</v>
      </c>
      <c r="E1009" s="19" t="str">
        <v>2026-06</v>
      </c>
      <c r="F1009" s="19" t="str">
        <v>操作员</v>
      </c>
      <c r="G1009" s="19" t="str">
        <v>英国区09:00-17:30 / UK 09:00-17:30</v>
      </c>
      <c r="H1009" s="19" t="str">
        <v>S000013</v>
      </c>
      <c r="I1009" s="19" t="str">
        <v>FT Recruitment</v>
      </c>
      <c r="J1009" s="23" t="n">
        <v>5</v>
      </c>
      <c r="K1009" s="23" t="n">
        <v>0</v>
      </c>
      <c r="L1009" s="23" t="n">
        <f>J1009+K1009</f>
        <v>5</v>
      </c>
      <c r="M1009" s="23" t="n">
        <v>5</v>
      </c>
      <c r="N1009" s="23" t="n">
        <v>5</v>
      </c>
      <c r="O1009" s="23" t="n">
        <v>3</v>
      </c>
      <c r="P1009" s="23" t="n">
        <v>3</v>
      </c>
      <c r="Q1009" s="23" t="n">
        <f>MIN(O1009,P1009)</f>
        <v>3</v>
      </c>
      <c r="R1009" s="25" t="n">
        <f>IF(M1009=0,0,MIN(1,L1009/M1009))</f>
        <v>1</v>
      </c>
      <c r="S1009" s="23" t="n">
        <f>O1009*R1009</f>
        <v>3</v>
      </c>
      <c r="T1009" s="23" t="n">
        <f>MIN(P1009,S1009)</f>
        <v>3</v>
      </c>
      <c r="U1009" s="23" t="n">
        <f>O1009-S1009</f>
        <v>0</v>
      </c>
      <c r="V1009" s="23" t="n">
        <f>MAX(P1009-O1009,0)</f>
        <v>0</v>
      </c>
    </row>
    <row r="1010">
      <c r="A1010" s="19" t="str">
        <v>英国区</v>
      </c>
      <c r="B1010" s="19" t="str">
        <v>伯明翰19号仓</v>
      </c>
      <c r="C1010" s="19" t="str">
        <v>入库组</v>
      </c>
      <c r="D1010" s="21" t="n">
        <v>46203</v>
      </c>
      <c r="E1010" s="19" t="str">
        <v>2026-06</v>
      </c>
      <c r="F1010" s="19" t="str">
        <v>操作员</v>
      </c>
      <c r="G1010" s="19" t="str">
        <v>英国区09:00-17:30 / UK 09:00-17:30</v>
      </c>
      <c r="H1010" s="19" t="str">
        <v>S000274</v>
      </c>
      <c r="I1010" s="19" t="str">
        <v>Jobsworth Recruitment Solutions Limited</v>
      </c>
      <c r="J1010" s="23" t="n">
        <v>5</v>
      </c>
      <c r="K1010" s="23" t="n">
        <v>0</v>
      </c>
      <c r="L1010" s="23" t="n">
        <f>J1010+K1010</f>
        <v>5</v>
      </c>
      <c r="M1010" s="23" t="n">
        <v>5</v>
      </c>
      <c r="N1010" s="23" t="n">
        <v>5</v>
      </c>
      <c r="O1010" s="23" t="n">
        <v>2</v>
      </c>
      <c r="P1010" s="23" t="n">
        <v>2</v>
      </c>
      <c r="Q1010" s="23" t="n">
        <f>MIN(O1010,P1010)</f>
        <v>2</v>
      </c>
      <c r="R1010" s="25" t="n">
        <f>IF(M1010=0,0,MIN(1,L1010/M1010))</f>
        <v>1</v>
      </c>
      <c r="S1010" s="23" t="n">
        <f>O1010*R1010</f>
        <v>2</v>
      </c>
      <c r="T1010" s="23" t="n">
        <f>MIN(P1010,S1010)</f>
        <v>2</v>
      </c>
      <c r="U1010" s="23" t="n">
        <f>O1010-S1010</f>
        <v>0</v>
      </c>
      <c r="V1010" s="23" t="n">
        <f>MAX(P1010-O1010,0)</f>
        <v>0</v>
      </c>
    </row>
    <row r="1011">
      <c r="A1011" s="19" t="str">
        <v>英国区</v>
      </c>
      <c r="B1011" s="19" t="str">
        <v>伯明翰19号仓</v>
      </c>
      <c r="C1011" s="19" t="str">
        <v>包装组</v>
      </c>
      <c r="D1011" s="21" t="n">
        <v>46190</v>
      </c>
      <c r="E1011" s="19" t="str">
        <v>2026-06</v>
      </c>
      <c r="F1011" s="19" t="str">
        <v>操作员</v>
      </c>
      <c r="G1011" s="19" t="str">
        <v>英国区07:00-15:30 / UK 07:00-15:30</v>
      </c>
      <c r="H1011" s="19" t="str">
        <v>S000274</v>
      </c>
      <c r="I1011" s="19" t="str">
        <v>Jobsworth Recruitment Solutions Limited</v>
      </c>
      <c r="J1011" s="23" t="n">
        <v>2</v>
      </c>
      <c r="K1011" s="23" t="n">
        <v>0</v>
      </c>
      <c r="L1011" s="23" t="n">
        <f>J1011+K1011</f>
        <v>2</v>
      </c>
      <c r="M1011" s="23" t="n">
        <v>2</v>
      </c>
      <c r="N1011" s="23" t="n">
        <v>2</v>
      </c>
      <c r="O1011" s="23" t="n">
        <v>2</v>
      </c>
      <c r="P1011" s="23" t="n">
        <v>2</v>
      </c>
      <c r="Q1011" s="23" t="n">
        <f>MIN(O1011,P1011)</f>
        <v>2</v>
      </c>
      <c r="R1011" s="25" t="n">
        <f>IF(M1011=0,0,MIN(1,L1011/M1011))</f>
        <v>1</v>
      </c>
      <c r="S1011" s="23" t="n">
        <f>O1011*R1011</f>
        <v>2</v>
      </c>
      <c r="T1011" s="23" t="n">
        <f>MIN(P1011,S1011)</f>
        <v>2</v>
      </c>
      <c r="U1011" s="23" t="n">
        <f>O1011-S1011</f>
        <v>0</v>
      </c>
      <c r="V1011" s="23" t="n">
        <f>MAX(P1011-O1011,0)</f>
        <v>0</v>
      </c>
    </row>
    <row r="1012">
      <c r="A1012" s="19" t="str">
        <v>英国区</v>
      </c>
      <c r="B1012" s="19" t="str">
        <v>伯明翰19号仓</v>
      </c>
      <c r="C1012" s="19" t="str">
        <v>售后组</v>
      </c>
      <c r="D1012" s="21" t="n">
        <v>46182</v>
      </c>
      <c r="E1012" s="19" t="str">
        <v>2026-06</v>
      </c>
      <c r="F1012" s="19" t="str">
        <v>操作员</v>
      </c>
      <c r="G1012" s="19" t="str">
        <v>英国区07:00-15:30 / UK 07:00-15:30</v>
      </c>
      <c r="H1012" s="19" t="str">
        <v>S000274</v>
      </c>
      <c r="I1012" s="19" t="str">
        <v>Jobsworth Recruitment Solutions Limited</v>
      </c>
      <c r="J1012" s="23" t="n">
        <v>2</v>
      </c>
      <c r="K1012" s="23" t="n">
        <v>0</v>
      </c>
      <c r="L1012" s="23" t="n">
        <f>J1012+K1012</f>
        <v>2</v>
      </c>
      <c r="M1012" s="23" t="n">
        <v>2</v>
      </c>
      <c r="N1012" s="23" t="n">
        <v>2</v>
      </c>
      <c r="O1012" s="23" t="n">
        <v>2</v>
      </c>
      <c r="P1012" s="23" t="n">
        <v>2</v>
      </c>
      <c r="Q1012" s="23" t="n">
        <f>MIN(O1012,P1012)</f>
        <v>2</v>
      </c>
      <c r="R1012" s="25" t="n">
        <f>IF(M1012=0,0,MIN(1,L1012/M1012))</f>
        <v>1</v>
      </c>
      <c r="S1012" s="23" t="n">
        <f>O1012*R1012</f>
        <v>2</v>
      </c>
      <c r="T1012" s="23" t="n">
        <f>MIN(P1012,S1012)</f>
        <v>2</v>
      </c>
      <c r="U1012" s="23" t="n">
        <f>O1012-S1012</f>
        <v>0</v>
      </c>
      <c r="V1012" s="23" t="n">
        <f>MAX(P1012-O1012,0)</f>
        <v>0</v>
      </c>
    </row>
    <row r="1013">
      <c r="A1013" s="19" t="str">
        <v>英国区</v>
      </c>
      <c r="B1013" s="19" t="str">
        <v>伯明翰19号仓</v>
      </c>
      <c r="C1013" s="19" t="str">
        <v>拣货组</v>
      </c>
      <c r="D1013" s="21" t="n">
        <v>46141</v>
      </c>
      <c r="E1013" s="19" t="str">
        <v>2026-04</v>
      </c>
      <c r="F1013" s="19" t="str">
        <v>操作员</v>
      </c>
      <c r="G1013" s="19" t="str">
        <v>英国区09:00-17:30 / UK 09:00-17:30</v>
      </c>
      <c r="H1013" s="19" t="str">
        <v>S000011</v>
      </c>
      <c r="I1013" s="19" t="str">
        <v>SD4U</v>
      </c>
      <c r="J1013" s="23" t="n">
        <v>8</v>
      </c>
      <c r="K1013" s="23" t="n">
        <v>0</v>
      </c>
      <c r="L1013" s="23" t="n">
        <f>J1013+K1013</f>
        <v>8</v>
      </c>
      <c r="M1013" s="23" t="n">
        <v>8</v>
      </c>
      <c r="N1013" s="23" t="n">
        <v>8</v>
      </c>
      <c r="O1013" s="23" t="n">
        <v>8</v>
      </c>
      <c r="P1013" s="23" t="n">
        <v>8</v>
      </c>
      <c r="Q1013" s="23" t="n">
        <f>MIN(O1013,P1013)</f>
        <v>8</v>
      </c>
      <c r="R1013" s="25" t="n">
        <f>IF(M1013=0,0,MIN(1,L1013/M1013))</f>
        <v>1</v>
      </c>
      <c r="S1013" s="23" t="n">
        <f>O1013*R1013</f>
        <v>8</v>
      </c>
      <c r="T1013" s="23" t="n">
        <f>MIN(P1013,S1013)</f>
        <v>8</v>
      </c>
      <c r="U1013" s="23" t="n">
        <f>O1013-S1013</f>
        <v>0</v>
      </c>
      <c r="V1013" s="23" t="n">
        <f>MAX(P1013-O1013,0)</f>
        <v>0</v>
      </c>
    </row>
    <row r="1014">
      <c r="A1014" s="19" t="str">
        <v>英国区</v>
      </c>
      <c r="B1014" s="19" t="str">
        <v>伯明翰19号仓</v>
      </c>
      <c r="C1014" s="19" t="str">
        <v>拣货组</v>
      </c>
      <c r="D1014" s="21" t="n">
        <v>46177</v>
      </c>
      <c r="E1014" s="19" t="str">
        <v>2026-06</v>
      </c>
      <c r="F1014" s="19" t="str">
        <v>操作员</v>
      </c>
      <c r="G1014" s="19" t="str">
        <v>英国区09:00-17:30 / UK 09:00-17:30</v>
      </c>
      <c r="H1014" s="19" t="str">
        <v>S000274</v>
      </c>
      <c r="I1014" s="19" t="str">
        <v>Jobsworth Recruitment Solutions Limited</v>
      </c>
      <c r="J1014" s="23" t="n">
        <v>1</v>
      </c>
      <c r="K1014" s="23" t="n">
        <v>0</v>
      </c>
      <c r="L1014" s="23" t="n">
        <f>J1014+K1014</f>
        <v>1</v>
      </c>
      <c r="M1014" s="23" t="n">
        <v>1</v>
      </c>
      <c r="N1014" s="23" t="n">
        <v>1</v>
      </c>
      <c r="O1014" s="23" t="n">
        <v>1</v>
      </c>
      <c r="P1014" s="23" t="n">
        <v>1</v>
      </c>
      <c r="Q1014" s="23" t="n">
        <f>MIN(O1014,P1014)</f>
        <v>1</v>
      </c>
      <c r="R1014" s="25" t="n">
        <f>IF(M1014=0,0,MIN(1,L1014/M1014))</f>
        <v>1</v>
      </c>
      <c r="S1014" s="23" t="n">
        <f>O1014*R1014</f>
        <v>1</v>
      </c>
      <c r="T1014" s="23" t="n">
        <f>MIN(P1014,S1014)</f>
        <v>1</v>
      </c>
      <c r="U1014" s="23" t="n">
        <f>O1014-S1014</f>
        <v>0</v>
      </c>
      <c r="V1014" s="23" t="n">
        <f>MAX(P1014-O1014,0)</f>
        <v>0</v>
      </c>
    </row>
    <row r="1015">
      <c r="A1015" s="19" t="str">
        <v>英国区</v>
      </c>
      <c r="B1015" s="19" t="str">
        <v>伯明翰19号仓</v>
      </c>
      <c r="C1015" s="19" t="str">
        <v>拣货组</v>
      </c>
      <c r="D1015" s="21" t="n">
        <v>46182</v>
      </c>
      <c r="E1015" s="19" t="str">
        <v>2026-06</v>
      </c>
      <c r="F1015" s="19" t="str">
        <v>操作员</v>
      </c>
      <c r="G1015" s="19" t="str">
        <v>英国区07:00-15:30 / UK 07:00-15:30</v>
      </c>
      <c r="H1015" s="19" t="str">
        <v>S000274</v>
      </c>
      <c r="I1015" s="19" t="str">
        <v>Jobsworth Recruitment Solutions Limited</v>
      </c>
      <c r="J1015" s="23" t="n">
        <v>3</v>
      </c>
      <c r="K1015" s="23" t="n">
        <v>0</v>
      </c>
      <c r="L1015" s="23" t="n">
        <f>J1015+K1015</f>
        <v>3</v>
      </c>
      <c r="M1015" s="23" t="n">
        <v>3</v>
      </c>
      <c r="N1015" s="23" t="n">
        <v>3</v>
      </c>
      <c r="O1015" s="23" t="n">
        <v>3</v>
      </c>
      <c r="P1015" s="23" t="n">
        <v>3</v>
      </c>
      <c r="Q1015" s="23" t="n">
        <f>MIN(O1015,P1015)</f>
        <v>3</v>
      </c>
      <c r="R1015" s="25" t="n">
        <f>IF(M1015=0,0,MIN(1,L1015/M1015))</f>
        <v>1</v>
      </c>
      <c r="S1015" s="23" t="n">
        <f>O1015*R1015</f>
        <v>3</v>
      </c>
      <c r="T1015" s="23" t="n">
        <f>MIN(P1015,S1015)</f>
        <v>3</v>
      </c>
      <c r="U1015" s="23" t="n">
        <f>O1015-S1015</f>
        <v>0</v>
      </c>
      <c r="V1015" s="23" t="n">
        <f>MAX(P1015-O1015,0)</f>
        <v>0</v>
      </c>
    </row>
    <row r="1016">
      <c r="A1016" s="19" t="str">
        <v>英国区</v>
      </c>
      <c r="B1016" s="19" t="str">
        <v>伯明翰19号仓</v>
      </c>
      <c r="C1016" s="19" t="str">
        <v>拣货组</v>
      </c>
      <c r="D1016" s="21" t="n">
        <v>46183</v>
      </c>
      <c r="E1016" s="19" t="str">
        <v>2026-06</v>
      </c>
      <c r="F1016" s="19" t="str">
        <v>操作员</v>
      </c>
      <c r="G1016" s="19" t="str">
        <v>英国区07:00-15:30 / UK 07:00-15:30</v>
      </c>
      <c r="H1016" s="19" t="str">
        <v>S000007</v>
      </c>
      <c r="I1016" s="19" t="str">
        <v>Kenect</v>
      </c>
      <c r="J1016" s="23" t="n">
        <v>3</v>
      </c>
      <c r="K1016" s="23" t="n">
        <v>0</v>
      </c>
      <c r="L1016" s="23" t="n">
        <f>J1016+K1016</f>
        <v>3</v>
      </c>
      <c r="M1016" s="23" t="n">
        <v>3</v>
      </c>
      <c r="N1016" s="23" t="n">
        <v>3</v>
      </c>
      <c r="O1016" s="23" t="n">
        <v>2</v>
      </c>
      <c r="P1016" s="23" t="n">
        <v>2</v>
      </c>
      <c r="Q1016" s="23" t="n">
        <f>MIN(O1016,P1016)</f>
        <v>2</v>
      </c>
      <c r="R1016" s="25" t="n">
        <f>IF(M1016=0,0,MIN(1,L1016/M1016))</f>
        <v>1</v>
      </c>
      <c r="S1016" s="23" t="n">
        <f>O1016*R1016</f>
        <v>2</v>
      </c>
      <c r="T1016" s="23" t="n">
        <f>MIN(P1016,S1016)</f>
        <v>2</v>
      </c>
      <c r="U1016" s="23" t="n">
        <f>O1016-S1016</f>
        <v>0</v>
      </c>
      <c r="V1016" s="23" t="n">
        <f>MAX(P1016-O1016,0)</f>
        <v>0</v>
      </c>
    </row>
    <row r="1017">
      <c r="A1017" s="19" t="str">
        <v>英国区</v>
      </c>
      <c r="B1017" s="19" t="str">
        <v>伯明翰19号仓</v>
      </c>
      <c r="C1017" s="19" t="str">
        <v>拣货组</v>
      </c>
      <c r="D1017" s="21" t="n">
        <v>46183</v>
      </c>
      <c r="E1017" s="19" t="str">
        <v>2026-06</v>
      </c>
      <c r="F1017" s="19" t="str">
        <v>操作员</v>
      </c>
      <c r="G1017" s="19" t="str">
        <v>英国区07:00-15:30 / UK 07:00-15:30</v>
      </c>
      <c r="H1017" s="19" t="str">
        <v>S000132</v>
      </c>
      <c r="I1017" s="19" t="str">
        <v>HRA Recruitment Services</v>
      </c>
      <c r="J1017" s="23" t="n">
        <v>3</v>
      </c>
      <c r="K1017" s="23" t="n">
        <v>0</v>
      </c>
      <c r="L1017" s="23" t="n">
        <f>J1017+K1017</f>
        <v>3</v>
      </c>
      <c r="M1017" s="23" t="n">
        <v>3</v>
      </c>
      <c r="N1017" s="23" t="n">
        <v>3</v>
      </c>
      <c r="O1017" s="23" t="n">
        <v>1</v>
      </c>
      <c r="P1017" s="23" t="n">
        <v>1</v>
      </c>
      <c r="Q1017" s="23" t="n">
        <f>MIN(O1017,P1017)</f>
        <v>1</v>
      </c>
      <c r="R1017" s="25" t="n">
        <f>IF(M1017=0,0,MIN(1,L1017/M1017))</f>
        <v>1</v>
      </c>
      <c r="S1017" s="23" t="n">
        <f>O1017*R1017</f>
        <v>1</v>
      </c>
      <c r="T1017" s="23" t="n">
        <f>MIN(P1017,S1017)</f>
        <v>1</v>
      </c>
      <c r="U1017" s="23" t="n">
        <f>O1017-S1017</f>
        <v>0</v>
      </c>
      <c r="V1017" s="23" t="n">
        <f>MAX(P1017-O1017,0)</f>
        <v>0</v>
      </c>
    </row>
    <row r="1018">
      <c r="A1018" s="19" t="str">
        <v>英国区</v>
      </c>
      <c r="B1018" s="19" t="str">
        <v>伯明翰19号仓</v>
      </c>
      <c r="C1018" s="19" t="str">
        <v>理货组</v>
      </c>
      <c r="D1018" s="21" t="n">
        <v>46170</v>
      </c>
      <c r="E1018" s="19" t="str">
        <v>2026-05</v>
      </c>
      <c r="F1018" s="19" t="str">
        <v>操作员</v>
      </c>
      <c r="G1018" s="19" t="str">
        <v>英国区09:00-17:30 / UK 09:00-17:30</v>
      </c>
      <c r="H1018" s="19" t="str">
        <v>S000007</v>
      </c>
      <c r="I1018" s="19" t="str">
        <v>Kenect</v>
      </c>
      <c r="J1018" s="23" t="n">
        <v>1</v>
      </c>
      <c r="K1018" s="23" t="n">
        <v>0</v>
      </c>
      <c r="L1018" s="23" t="n">
        <f>J1018+K1018</f>
        <v>1</v>
      </c>
      <c r="M1018" s="23" t="n">
        <v>1</v>
      </c>
      <c r="N1018" s="23" t="n">
        <v>1</v>
      </c>
      <c r="O1018" s="23" t="n">
        <v>1</v>
      </c>
      <c r="P1018" s="23" t="n">
        <v>1</v>
      </c>
      <c r="Q1018" s="23" t="n">
        <f>MIN(O1018,P1018)</f>
        <v>1</v>
      </c>
      <c r="R1018" s="25" t="n">
        <f>IF(M1018=0,0,MIN(1,L1018/M1018))</f>
        <v>1</v>
      </c>
      <c r="S1018" s="23" t="n">
        <f>O1018*R1018</f>
        <v>1</v>
      </c>
      <c r="T1018" s="23" t="n">
        <f>MIN(P1018,S1018)</f>
        <v>1</v>
      </c>
      <c r="U1018" s="23" t="n">
        <f>O1018-S1018</f>
        <v>0</v>
      </c>
      <c r="V1018" s="23" t="n">
        <f>MAX(P1018-O1018,0)</f>
        <v>0</v>
      </c>
    </row>
    <row r="1019">
      <c r="A1019" s="19" t="str">
        <v>英国区</v>
      </c>
      <c r="B1019" s="19" t="str">
        <v>伯明翰20号仓</v>
      </c>
      <c r="C1019" s="19" t="str">
        <v>TEMU业务组</v>
      </c>
      <c r="D1019" s="21" t="n">
        <v>46134</v>
      </c>
      <c r="E1019" s="19" t="str">
        <v>2026-04</v>
      </c>
      <c r="F1019" s="19" t="str">
        <v>操作员</v>
      </c>
      <c r="G1019" s="19" t="str">
        <v>英国灵活（6小时扣午休） / UK FLEX (6-HR LUNCH BREAK DEDUCTED)</v>
      </c>
      <c r="H1019" s="19" t="str">
        <v>S000007</v>
      </c>
      <c r="I1019" s="19" t="str">
        <v>Kenect</v>
      </c>
      <c r="J1019" s="23" t="n">
        <v>2</v>
      </c>
      <c r="K1019" s="23" t="n">
        <v>0</v>
      </c>
      <c r="L1019" s="23" t="n">
        <f>J1019+K1019</f>
        <v>2</v>
      </c>
      <c r="M1019" s="23" t="n">
        <v>2</v>
      </c>
      <c r="N1019" s="23" t="n">
        <v>2</v>
      </c>
      <c r="O1019" s="23" t="n">
        <v>2</v>
      </c>
      <c r="P1019" s="23" t="n">
        <v>2</v>
      </c>
      <c r="Q1019" s="23" t="n">
        <f>MIN(O1019,P1019)</f>
        <v>2</v>
      </c>
      <c r="R1019" s="25" t="n">
        <f>IF(M1019=0,0,MIN(1,L1019/M1019))</f>
        <v>1</v>
      </c>
      <c r="S1019" s="23" t="n">
        <f>O1019*R1019</f>
        <v>2</v>
      </c>
      <c r="T1019" s="23" t="n">
        <f>MIN(P1019,S1019)</f>
        <v>2</v>
      </c>
      <c r="U1019" s="23" t="n">
        <f>O1019-S1019</f>
        <v>0</v>
      </c>
      <c r="V1019" s="23" t="n">
        <f>MAX(P1019-O1019,0)</f>
        <v>0</v>
      </c>
    </row>
    <row r="1020">
      <c r="A1020" s="19" t="str">
        <v>英国区</v>
      </c>
      <c r="B1020" s="19" t="str">
        <v>伯明翰20号仓</v>
      </c>
      <c r="C1020" s="19" t="str">
        <v>TEMU业务组</v>
      </c>
      <c r="D1020" s="21" t="n">
        <v>46155</v>
      </c>
      <c r="E1020" s="19" t="str">
        <v>2026-05</v>
      </c>
      <c r="F1020" s="19" t="str">
        <v>操作员</v>
      </c>
      <c r="G1020" s="19" t="str">
        <v>英国灵活（6小时扣午休） / UK FLEX (6-HR LUNCH BREAK DEDUCTED)</v>
      </c>
      <c r="H1020" s="19" t="str">
        <v>S000007</v>
      </c>
      <c r="I1020" s="19" t="str">
        <v>Kenect</v>
      </c>
      <c r="J1020" s="23" t="n">
        <v>2</v>
      </c>
      <c r="K1020" s="23" t="n">
        <v>0</v>
      </c>
      <c r="L1020" s="23" t="n">
        <f>J1020+K1020</f>
        <v>2</v>
      </c>
      <c r="M1020" s="23" t="n">
        <v>2</v>
      </c>
      <c r="N1020" s="23" t="n">
        <v>0</v>
      </c>
      <c r="O1020" s="23" t="n">
        <v>2</v>
      </c>
      <c r="P1020" s="23" t="n">
        <v>0</v>
      </c>
      <c r="Q1020" s="23" t="n">
        <f>MIN(O1020,P1020)</f>
        <v>0</v>
      </c>
      <c r="R1020" s="25" t="n">
        <f>IF(M1020=0,0,MIN(1,L1020/M1020))</f>
        <v>1</v>
      </c>
      <c r="S1020" s="23" t="n">
        <f>O1020*R1020</f>
        <v>2</v>
      </c>
      <c r="T1020" s="23" t="n">
        <f>MIN(P1020,S1020)</f>
        <v>0</v>
      </c>
      <c r="U1020" s="23" t="n">
        <f>O1020-S1020</f>
        <v>0</v>
      </c>
      <c r="V1020" s="23" t="n">
        <f>MAX(P1020-O1020,0)</f>
        <v>0</v>
      </c>
    </row>
    <row r="1021">
      <c r="A1021" s="19" t="str">
        <v>英国区</v>
      </c>
      <c r="B1021" s="19" t="str">
        <v>伯明翰20号仓</v>
      </c>
      <c r="C1021" s="19" t="str">
        <v>TEMU业务组</v>
      </c>
      <c r="D1021" s="21" t="n">
        <v>46169</v>
      </c>
      <c r="E1021" s="19" t="str">
        <v>2026-05</v>
      </c>
      <c r="F1021" s="19" t="str">
        <v>操作员</v>
      </c>
      <c r="G1021" s="19" t="str">
        <v>英国灵活（6小时扣午休） / UK FLEX (6-HR LUNCH BREAK DEDUCTED)</v>
      </c>
      <c r="H1021" s="19" t="str">
        <v>S000007</v>
      </c>
      <c r="I1021" s="19" t="str">
        <v>Kenect</v>
      </c>
      <c r="J1021" s="23" t="n">
        <v>2</v>
      </c>
      <c r="K1021" s="23" t="n">
        <v>0</v>
      </c>
      <c r="L1021" s="23" t="n">
        <f>J1021+K1021</f>
        <v>2</v>
      </c>
      <c r="M1021" s="23" t="n">
        <v>2</v>
      </c>
      <c r="N1021" s="23" t="n">
        <v>2</v>
      </c>
      <c r="O1021" s="23" t="n">
        <v>2</v>
      </c>
      <c r="P1021" s="23" t="n">
        <v>2</v>
      </c>
      <c r="Q1021" s="23" t="n">
        <f>MIN(O1021,P1021)</f>
        <v>2</v>
      </c>
      <c r="R1021" s="25" t="n">
        <f>IF(M1021=0,0,MIN(1,L1021/M1021))</f>
        <v>1</v>
      </c>
      <c r="S1021" s="23" t="n">
        <f>O1021*R1021</f>
        <v>2</v>
      </c>
      <c r="T1021" s="23" t="n">
        <f>MIN(P1021,S1021)</f>
        <v>2</v>
      </c>
      <c r="U1021" s="23" t="n">
        <f>O1021-S1021</f>
        <v>0</v>
      </c>
      <c r="V1021" s="23" t="n">
        <f>MAX(P1021-O1021,0)</f>
        <v>0</v>
      </c>
    </row>
    <row r="1022">
      <c r="A1022" s="19" t="str">
        <v>英国区</v>
      </c>
      <c r="B1022" s="19" t="str">
        <v>伯明翰20号仓</v>
      </c>
      <c r="C1022" s="19" t="str">
        <v>TEMU业务组</v>
      </c>
      <c r="D1022" s="21" t="n">
        <v>46197</v>
      </c>
      <c r="E1022" s="19" t="str">
        <v>2026-06</v>
      </c>
      <c r="F1022" s="19" t="str">
        <v>操作员</v>
      </c>
      <c r="G1022" s="19" t="str">
        <v>英国灵活（6小时扣午休） / UK FLEX (6-HR LUNCH BREAK DEDUCTED)</v>
      </c>
      <c r="H1022" s="19" t="str">
        <v>S000007</v>
      </c>
      <c r="I1022" s="19" t="str">
        <v>Kenect</v>
      </c>
      <c r="J1022" s="23" t="n">
        <v>2</v>
      </c>
      <c r="K1022" s="23" t="n">
        <v>0</v>
      </c>
      <c r="L1022" s="23" t="n">
        <f>J1022+K1022</f>
        <v>2</v>
      </c>
      <c r="M1022" s="23" t="n">
        <v>2</v>
      </c>
      <c r="N1022" s="23" t="n">
        <v>2</v>
      </c>
      <c r="O1022" s="23" t="n">
        <v>2</v>
      </c>
      <c r="P1022" s="23" t="n">
        <v>2</v>
      </c>
      <c r="Q1022" s="23" t="n">
        <f>MIN(O1022,P1022)</f>
        <v>2</v>
      </c>
      <c r="R1022" s="25" t="n">
        <f>IF(M1022=0,0,MIN(1,L1022/M1022))</f>
        <v>1</v>
      </c>
      <c r="S1022" s="23" t="n">
        <f>O1022*R1022</f>
        <v>2</v>
      </c>
      <c r="T1022" s="23" t="n">
        <f>MIN(P1022,S1022)</f>
        <v>2</v>
      </c>
      <c r="U1022" s="23" t="n">
        <f>O1022-S1022</f>
        <v>0</v>
      </c>
      <c r="V1022" s="23" t="n">
        <f>MAX(P1022-O1022,0)</f>
        <v>0</v>
      </c>
    </row>
    <row r="1023">
      <c r="A1023" s="19" t="str">
        <v>英国区</v>
      </c>
      <c r="B1023" s="19" t="str">
        <v>伯明翰23号仓</v>
      </c>
      <c r="C1023" s="19" t="str">
        <v>入库组</v>
      </c>
      <c r="D1023" s="21" t="n">
        <v>46113</v>
      </c>
      <c r="E1023" s="19" t="str">
        <v>2026-04</v>
      </c>
      <c r="F1023" s="19" t="str">
        <v>操作员</v>
      </c>
      <c r="G1023" s="19" t="str">
        <v>英国区07:00-15:30 / UK 07:00-15:30</v>
      </c>
      <c r="H1023" s="19" t="str">
        <v>S000132</v>
      </c>
      <c r="I1023" s="19" t="str">
        <v>HRA Recruitment Services</v>
      </c>
      <c r="J1023" s="23" t="n">
        <v>4</v>
      </c>
      <c r="K1023" s="23" t="n">
        <v>0</v>
      </c>
      <c r="L1023" s="23" t="n">
        <f>J1023+K1023</f>
        <v>4</v>
      </c>
      <c r="M1023" s="23" t="n">
        <v>4</v>
      </c>
      <c r="N1023" s="23" t="n">
        <v>4</v>
      </c>
      <c r="O1023" s="23" t="n">
        <v>4</v>
      </c>
      <c r="P1023" s="23" t="n">
        <v>4</v>
      </c>
      <c r="Q1023" s="23" t="n">
        <f>MIN(O1023,P1023)</f>
        <v>4</v>
      </c>
      <c r="R1023" s="25" t="n">
        <f>IF(M1023=0,0,MIN(1,L1023/M1023))</f>
        <v>1</v>
      </c>
      <c r="S1023" s="23" t="n">
        <f>O1023*R1023</f>
        <v>4</v>
      </c>
      <c r="T1023" s="23" t="n">
        <f>MIN(P1023,S1023)</f>
        <v>4</v>
      </c>
      <c r="U1023" s="23" t="n">
        <f>O1023-S1023</f>
        <v>0</v>
      </c>
      <c r="V1023" s="23" t="n">
        <f>MAX(P1023-O1023,0)</f>
        <v>0</v>
      </c>
    </row>
    <row r="1024">
      <c r="A1024" s="19" t="str">
        <v>英国区</v>
      </c>
      <c r="B1024" s="19" t="str">
        <v>伯明翰23号仓</v>
      </c>
      <c r="C1024" s="19" t="str">
        <v>入库组</v>
      </c>
      <c r="D1024" s="21" t="n">
        <v>46113</v>
      </c>
      <c r="E1024" s="19" t="str">
        <v>2026-04</v>
      </c>
      <c r="F1024" s="19" t="str">
        <v>操作员</v>
      </c>
      <c r="G1024" s="19" t="str">
        <v>英国区09:00-17:30 / UK 09:00-17:30</v>
      </c>
      <c r="H1024" s="19" t="str">
        <v>S000274</v>
      </c>
      <c r="I1024" s="19" t="str">
        <v>Jobsworth Recruitment Solutions Limited</v>
      </c>
      <c r="J1024" s="23" t="n">
        <v>1</v>
      </c>
      <c r="K1024" s="23" t="n">
        <v>0</v>
      </c>
      <c r="L1024" s="23" t="n">
        <f>J1024+K1024</f>
        <v>1</v>
      </c>
      <c r="M1024" s="23" t="n">
        <v>1</v>
      </c>
      <c r="N1024" s="23" t="n">
        <v>1</v>
      </c>
      <c r="O1024" s="23" t="n">
        <v>1</v>
      </c>
      <c r="P1024" s="23" t="n">
        <v>1</v>
      </c>
      <c r="Q1024" s="23" t="n">
        <f>MIN(O1024,P1024)</f>
        <v>1</v>
      </c>
      <c r="R1024" s="25" t="n">
        <f>IF(M1024=0,0,MIN(1,L1024/M1024))</f>
        <v>1</v>
      </c>
      <c r="S1024" s="23" t="n">
        <f>O1024*R1024</f>
        <v>1</v>
      </c>
      <c r="T1024" s="23" t="n">
        <f>MIN(P1024,S1024)</f>
        <v>1</v>
      </c>
      <c r="U1024" s="23" t="n">
        <f>O1024-S1024</f>
        <v>0</v>
      </c>
      <c r="V1024" s="23" t="n">
        <f>MAX(P1024-O1024,0)</f>
        <v>0</v>
      </c>
    </row>
    <row r="1025">
      <c r="A1025" s="19" t="str">
        <v>英国区</v>
      </c>
      <c r="B1025" s="19" t="str">
        <v>伯明翰23号仓</v>
      </c>
      <c r="C1025" s="19" t="str">
        <v>入库组</v>
      </c>
      <c r="D1025" s="21" t="n">
        <v>46114</v>
      </c>
      <c r="E1025" s="19" t="str">
        <v>2026-04</v>
      </c>
      <c r="F1025" s="19" t="str">
        <v>操作员</v>
      </c>
      <c r="G1025" s="19" t="str">
        <v>英国区09:00-17:30 / UK 09:00-17:30</v>
      </c>
      <c r="H1025" s="19" t="str">
        <v>S000007</v>
      </c>
      <c r="I1025" s="19" t="str">
        <v>Kenect</v>
      </c>
      <c r="J1025" s="23" t="n">
        <v>6</v>
      </c>
      <c r="K1025" s="23" t="n">
        <v>0</v>
      </c>
      <c r="L1025" s="23" t="n">
        <f>J1025+K1025</f>
        <v>6</v>
      </c>
      <c r="M1025" s="23" t="n">
        <v>6</v>
      </c>
      <c r="N1025" s="23" t="n">
        <v>5</v>
      </c>
      <c r="O1025" s="23" t="n">
        <v>6</v>
      </c>
      <c r="P1025" s="23" t="n">
        <v>5</v>
      </c>
      <c r="Q1025" s="23" t="n">
        <f>MIN(O1025,P1025)</f>
        <v>5</v>
      </c>
      <c r="R1025" s="25" t="n">
        <f>IF(M1025=0,0,MIN(1,L1025/M1025))</f>
        <v>1</v>
      </c>
      <c r="S1025" s="23" t="n">
        <f>O1025*R1025</f>
        <v>6</v>
      </c>
      <c r="T1025" s="23" t="n">
        <f>MIN(P1025,S1025)</f>
        <v>5</v>
      </c>
      <c r="U1025" s="23" t="n">
        <f>O1025-S1025</f>
        <v>0</v>
      </c>
      <c r="V1025" s="23" t="n">
        <f>MAX(P1025-O1025,0)</f>
        <v>0</v>
      </c>
    </row>
    <row r="1026">
      <c r="A1026" s="19" t="str">
        <v>英国区</v>
      </c>
      <c r="B1026" s="19" t="str">
        <v>伯明翰23号仓</v>
      </c>
      <c r="C1026" s="19" t="str">
        <v>入库组</v>
      </c>
      <c r="D1026" s="21" t="n">
        <v>46114</v>
      </c>
      <c r="E1026" s="19" t="str">
        <v>2026-04</v>
      </c>
      <c r="F1026" s="19" t="str">
        <v>操作员</v>
      </c>
      <c r="G1026" s="19" t="str">
        <v>英国区11:00-19:30 / UK 11:00-19:30</v>
      </c>
      <c r="H1026" s="19" t="str">
        <v>S000132</v>
      </c>
      <c r="I1026" s="19" t="str">
        <v>HRA Recruitment Services</v>
      </c>
      <c r="J1026" s="23" t="n">
        <v>9</v>
      </c>
      <c r="K1026" s="23" t="n">
        <v>0</v>
      </c>
      <c r="L1026" s="23" t="n">
        <f>J1026+K1026</f>
        <v>9</v>
      </c>
      <c r="M1026" s="23" t="n">
        <v>9</v>
      </c>
      <c r="N1026" s="23" t="n">
        <v>9</v>
      </c>
      <c r="O1026" s="23" t="n">
        <v>9</v>
      </c>
      <c r="P1026" s="23" t="n">
        <v>9</v>
      </c>
      <c r="Q1026" s="23" t="n">
        <f>MIN(O1026,P1026)</f>
        <v>9</v>
      </c>
      <c r="R1026" s="25" t="n">
        <f>IF(M1026=0,0,MIN(1,L1026/M1026))</f>
        <v>1</v>
      </c>
      <c r="S1026" s="23" t="n">
        <f>O1026*R1026</f>
        <v>9</v>
      </c>
      <c r="T1026" s="23" t="n">
        <f>MIN(P1026,S1026)</f>
        <v>9</v>
      </c>
      <c r="U1026" s="23" t="n">
        <f>O1026-S1026</f>
        <v>0</v>
      </c>
      <c r="V1026" s="23" t="n">
        <f>MAX(P1026-O1026,0)</f>
        <v>0</v>
      </c>
    </row>
    <row r="1027">
      <c r="A1027" s="19" t="str">
        <v>英国区</v>
      </c>
      <c r="B1027" s="19" t="str">
        <v>伯明翰23号仓</v>
      </c>
      <c r="C1027" s="19" t="str">
        <v>入库组</v>
      </c>
      <c r="D1027" s="21" t="n">
        <v>46116</v>
      </c>
      <c r="E1027" s="19" t="str">
        <v>2026-04</v>
      </c>
      <c r="F1027" s="19" t="str">
        <v>操作员</v>
      </c>
      <c r="G1027" s="19" t="str">
        <v>英国区10:00-18:30 / UK 10:00-18:30</v>
      </c>
      <c r="H1027" s="19" t="str">
        <v>S000132</v>
      </c>
      <c r="I1027" s="19" t="str">
        <v>HRA Recruitment Services</v>
      </c>
      <c r="J1027" s="23" t="n">
        <v>1</v>
      </c>
      <c r="K1027" s="23" t="n">
        <v>0</v>
      </c>
      <c r="L1027" s="23" t="n">
        <f>J1027+K1027</f>
        <v>1</v>
      </c>
      <c r="M1027" s="23" t="n">
        <v>1</v>
      </c>
      <c r="N1027" s="23" t="n">
        <v>1</v>
      </c>
      <c r="O1027" s="23" t="n">
        <v>1</v>
      </c>
      <c r="P1027" s="23" t="n">
        <v>1</v>
      </c>
      <c r="Q1027" s="23" t="n">
        <f>MIN(O1027,P1027)</f>
        <v>1</v>
      </c>
      <c r="R1027" s="25" t="n">
        <f>IF(M1027=0,0,MIN(1,L1027/M1027))</f>
        <v>1</v>
      </c>
      <c r="S1027" s="23" t="n">
        <f>O1027*R1027</f>
        <v>1</v>
      </c>
      <c r="T1027" s="23" t="n">
        <f>MIN(P1027,S1027)</f>
        <v>1</v>
      </c>
      <c r="U1027" s="23" t="n">
        <f>O1027-S1027</f>
        <v>0</v>
      </c>
      <c r="V1027" s="23" t="n">
        <f>MAX(P1027-O1027,0)</f>
        <v>0</v>
      </c>
    </row>
    <row r="1028">
      <c r="A1028" s="19" t="str">
        <v>英国区</v>
      </c>
      <c r="B1028" s="19" t="str">
        <v>伯明翰23号仓</v>
      </c>
      <c r="C1028" s="19" t="str">
        <v>入库组</v>
      </c>
      <c r="D1028" s="21" t="n">
        <v>46119</v>
      </c>
      <c r="E1028" s="19" t="str">
        <v>2026-04</v>
      </c>
      <c r="F1028" s="19" t="str">
        <v>操作员</v>
      </c>
      <c r="G1028" s="19" t="str">
        <v>英国区07:00-15:30 / UK 07:00-15:30</v>
      </c>
      <c r="H1028" s="19" t="str">
        <v>S000013</v>
      </c>
      <c r="I1028" s="19" t="str">
        <v>FT Recruitment</v>
      </c>
      <c r="J1028" s="23" t="n">
        <v>10</v>
      </c>
      <c r="K1028" s="23" t="n">
        <v>0</v>
      </c>
      <c r="L1028" s="23" t="n">
        <f>J1028+K1028</f>
        <v>10</v>
      </c>
      <c r="M1028" s="23" t="n">
        <v>10</v>
      </c>
      <c r="N1028" s="23" t="n">
        <v>10</v>
      </c>
      <c r="O1028" s="23" t="n">
        <v>2</v>
      </c>
      <c r="P1028" s="23" t="n">
        <v>2</v>
      </c>
      <c r="Q1028" s="23" t="n">
        <f>MIN(O1028,P1028)</f>
        <v>2</v>
      </c>
      <c r="R1028" s="25" t="n">
        <f>IF(M1028=0,0,MIN(1,L1028/M1028))</f>
        <v>1</v>
      </c>
      <c r="S1028" s="23" t="n">
        <f>O1028*R1028</f>
        <v>2</v>
      </c>
      <c r="T1028" s="23" t="n">
        <f>MIN(P1028,S1028)</f>
        <v>2</v>
      </c>
      <c r="U1028" s="23" t="n">
        <f>O1028-S1028</f>
        <v>0</v>
      </c>
      <c r="V1028" s="23" t="n">
        <f>MAX(P1028-O1028,0)</f>
        <v>0</v>
      </c>
    </row>
    <row r="1029">
      <c r="A1029" s="19" t="str">
        <v>英国区</v>
      </c>
      <c r="B1029" s="19" t="str">
        <v>伯明翰23号仓</v>
      </c>
      <c r="C1029" s="19" t="str">
        <v>入库组</v>
      </c>
      <c r="D1029" s="21" t="n">
        <v>46119</v>
      </c>
      <c r="E1029" s="19" t="str">
        <v>2026-04</v>
      </c>
      <c r="F1029" s="19" t="str">
        <v>操作员</v>
      </c>
      <c r="G1029" s="19" t="str">
        <v>英国区07:00-15:30 / UK 07:00-15:30</v>
      </c>
      <c r="H1029" s="19" t="str">
        <v>S000132</v>
      </c>
      <c r="I1029" s="19" t="str">
        <v>HRA Recruitment Services</v>
      </c>
      <c r="J1029" s="23" t="n">
        <v>10</v>
      </c>
      <c r="K1029" s="23" t="n">
        <v>0</v>
      </c>
      <c r="L1029" s="23" t="n">
        <f>J1029+K1029</f>
        <v>10</v>
      </c>
      <c r="M1029" s="23" t="n">
        <v>10</v>
      </c>
      <c r="N1029" s="23" t="n">
        <v>10</v>
      </c>
      <c r="O1029" s="23" t="n">
        <v>8</v>
      </c>
      <c r="P1029" s="23" t="n">
        <v>8</v>
      </c>
      <c r="Q1029" s="23" t="n">
        <f>MIN(O1029,P1029)</f>
        <v>8</v>
      </c>
      <c r="R1029" s="25" t="n">
        <f>IF(M1029=0,0,MIN(1,L1029/M1029))</f>
        <v>1</v>
      </c>
      <c r="S1029" s="23" t="n">
        <f>O1029*R1029</f>
        <v>8</v>
      </c>
      <c r="T1029" s="23" t="n">
        <f>MIN(P1029,S1029)</f>
        <v>8</v>
      </c>
      <c r="U1029" s="23" t="n">
        <f>O1029-S1029</f>
        <v>0</v>
      </c>
      <c r="V1029" s="23" t="n">
        <f>MAX(P1029-O1029,0)</f>
        <v>0</v>
      </c>
    </row>
    <row r="1030">
      <c r="A1030" s="19" t="str">
        <v>英国区</v>
      </c>
      <c r="B1030" s="19" t="str">
        <v>伯明翰23号仓</v>
      </c>
      <c r="C1030" s="19" t="str">
        <v>入库组</v>
      </c>
      <c r="D1030" s="21" t="n">
        <v>46119</v>
      </c>
      <c r="E1030" s="19" t="str">
        <v>2026-04</v>
      </c>
      <c r="F1030" s="19" t="str">
        <v>操作员</v>
      </c>
      <c r="G1030" s="19" t="str">
        <v>英国区10:00-18:30 / UK 10:00-18:30</v>
      </c>
      <c r="H1030" s="19" t="str">
        <v>S000007</v>
      </c>
      <c r="I1030" s="19" t="str">
        <v>Kenect</v>
      </c>
      <c r="J1030" s="23" t="n">
        <v>2</v>
      </c>
      <c r="K1030" s="23" t="n">
        <v>0</v>
      </c>
      <c r="L1030" s="23" t="n">
        <f>J1030+K1030</f>
        <v>2</v>
      </c>
      <c r="M1030" s="23" t="n">
        <v>2</v>
      </c>
      <c r="N1030" s="23" t="n">
        <v>0</v>
      </c>
      <c r="O1030" s="23" t="n">
        <v>2</v>
      </c>
      <c r="P1030" s="23" t="n">
        <v>0</v>
      </c>
      <c r="Q1030" s="23" t="n">
        <f>MIN(O1030,P1030)</f>
        <v>0</v>
      </c>
      <c r="R1030" s="25" t="n">
        <f>IF(M1030=0,0,MIN(1,L1030/M1030))</f>
        <v>1</v>
      </c>
      <c r="S1030" s="23" t="n">
        <f>O1030*R1030</f>
        <v>2</v>
      </c>
      <c r="T1030" s="23" t="n">
        <f>MIN(P1030,S1030)</f>
        <v>0</v>
      </c>
      <c r="U1030" s="23" t="n">
        <f>O1030-S1030</f>
        <v>0</v>
      </c>
      <c r="V1030" s="23" t="n">
        <f>MAX(P1030-O1030,0)</f>
        <v>0</v>
      </c>
    </row>
    <row r="1031">
      <c r="A1031" s="19" t="str">
        <v>英国区</v>
      </c>
      <c r="B1031" s="19" t="str">
        <v>伯明翰23号仓</v>
      </c>
      <c r="C1031" s="19" t="str">
        <v>入库组</v>
      </c>
      <c r="D1031" s="21" t="n">
        <v>46119</v>
      </c>
      <c r="E1031" s="19" t="str">
        <v>2026-04</v>
      </c>
      <c r="F1031" s="19" t="str">
        <v>操作员</v>
      </c>
      <c r="G1031" s="19" t="str">
        <v>英国区11:00-19:30 / UK 11:00-19:30</v>
      </c>
      <c r="H1031" s="19" t="str">
        <v>S000007</v>
      </c>
      <c r="I1031" s="19" t="str">
        <v>Kenect</v>
      </c>
      <c r="J1031" s="23" t="n">
        <v>3</v>
      </c>
      <c r="K1031" s="23" t="n">
        <v>0</v>
      </c>
      <c r="L1031" s="23" t="n">
        <f>J1031+K1031</f>
        <v>3</v>
      </c>
      <c r="M1031" s="23" t="n">
        <v>3</v>
      </c>
      <c r="N1031" s="23" t="n">
        <v>3</v>
      </c>
      <c r="O1031" s="23" t="n">
        <v>3</v>
      </c>
      <c r="P1031" s="23" t="n">
        <v>3</v>
      </c>
      <c r="Q1031" s="23" t="n">
        <f>MIN(O1031,P1031)</f>
        <v>3</v>
      </c>
      <c r="R1031" s="25" t="n">
        <f>IF(M1031=0,0,MIN(1,L1031/M1031))</f>
        <v>1</v>
      </c>
      <c r="S1031" s="23" t="n">
        <f>O1031*R1031</f>
        <v>3</v>
      </c>
      <c r="T1031" s="23" t="n">
        <f>MIN(P1031,S1031)</f>
        <v>3</v>
      </c>
      <c r="U1031" s="23" t="n">
        <f>O1031-S1031</f>
        <v>0</v>
      </c>
      <c r="V1031" s="23" t="n">
        <f>MAX(P1031-O1031,0)</f>
        <v>0</v>
      </c>
    </row>
    <row r="1032">
      <c r="A1032" s="19" t="str">
        <v>英国区</v>
      </c>
      <c r="B1032" s="19" t="str">
        <v>伯明翰23号仓</v>
      </c>
      <c r="C1032" s="19" t="str">
        <v>入库组</v>
      </c>
      <c r="D1032" s="21" t="n">
        <v>46120</v>
      </c>
      <c r="E1032" s="19" t="str">
        <v>2026-04</v>
      </c>
      <c r="F1032" s="19" t="str">
        <v>操作员</v>
      </c>
      <c r="G1032" s="19" t="str">
        <v>英国区10:00-18:30 / UK 10:00-18:30</v>
      </c>
      <c r="H1032" s="19" t="str">
        <v>S000007</v>
      </c>
      <c r="I1032" s="19" t="str">
        <v>Kenect</v>
      </c>
      <c r="J1032" s="23" t="n">
        <v>4</v>
      </c>
      <c r="K1032" s="23" t="n">
        <v>0</v>
      </c>
      <c r="L1032" s="23" t="n">
        <f>J1032+K1032</f>
        <v>4</v>
      </c>
      <c r="M1032" s="23" t="n">
        <v>4</v>
      </c>
      <c r="N1032" s="23" t="n">
        <v>4</v>
      </c>
      <c r="O1032" s="23" t="n">
        <v>1</v>
      </c>
      <c r="P1032" s="23" t="n">
        <v>1</v>
      </c>
      <c r="Q1032" s="23" t="n">
        <f>MIN(O1032,P1032)</f>
        <v>1</v>
      </c>
      <c r="R1032" s="25" t="n">
        <f>IF(M1032=0,0,MIN(1,L1032/M1032))</f>
        <v>1</v>
      </c>
      <c r="S1032" s="23" t="n">
        <f>O1032*R1032</f>
        <v>1</v>
      </c>
      <c r="T1032" s="23" t="n">
        <f>MIN(P1032,S1032)</f>
        <v>1</v>
      </c>
      <c r="U1032" s="23" t="n">
        <f>O1032-S1032</f>
        <v>0</v>
      </c>
      <c r="V1032" s="23" t="n">
        <f>MAX(P1032-O1032,0)</f>
        <v>0</v>
      </c>
    </row>
    <row r="1033">
      <c r="A1033" s="19" t="str">
        <v>英国区</v>
      </c>
      <c r="B1033" s="19" t="str">
        <v>伯明翰23号仓</v>
      </c>
      <c r="C1033" s="19" t="str">
        <v>入库组</v>
      </c>
      <c r="D1033" s="21" t="n">
        <v>46120</v>
      </c>
      <c r="E1033" s="19" t="str">
        <v>2026-04</v>
      </c>
      <c r="F1033" s="19" t="str">
        <v>操作员</v>
      </c>
      <c r="G1033" s="19" t="str">
        <v>英国区10:00-18:30 / UK 10:00-18:30</v>
      </c>
      <c r="H1033" s="19" t="str">
        <v>S000132</v>
      </c>
      <c r="I1033" s="19" t="str">
        <v>HRA Recruitment Services</v>
      </c>
      <c r="J1033" s="23" t="n">
        <v>4</v>
      </c>
      <c r="K1033" s="23" t="n">
        <v>0</v>
      </c>
      <c r="L1033" s="23" t="n">
        <f>J1033+K1033</f>
        <v>4</v>
      </c>
      <c r="M1033" s="23" t="n">
        <v>4</v>
      </c>
      <c r="N1033" s="23" t="n">
        <v>4</v>
      </c>
      <c r="O1033" s="23" t="n">
        <v>3</v>
      </c>
      <c r="P1033" s="23" t="n">
        <v>3</v>
      </c>
      <c r="Q1033" s="23" t="n">
        <f>MIN(O1033,P1033)</f>
        <v>3</v>
      </c>
      <c r="R1033" s="25" t="n">
        <f>IF(M1033=0,0,MIN(1,L1033/M1033))</f>
        <v>1</v>
      </c>
      <c r="S1033" s="23" t="n">
        <f>O1033*R1033</f>
        <v>3</v>
      </c>
      <c r="T1033" s="23" t="n">
        <f>MIN(P1033,S1033)</f>
        <v>3</v>
      </c>
      <c r="U1033" s="23" t="n">
        <f>O1033-S1033</f>
        <v>0</v>
      </c>
      <c r="V1033" s="23" t="n">
        <f>MAX(P1033-O1033,0)</f>
        <v>0</v>
      </c>
    </row>
    <row r="1034">
      <c r="A1034" s="19" t="str">
        <v>英国区</v>
      </c>
      <c r="B1034" s="19" t="str">
        <v>伯明翰23号仓</v>
      </c>
      <c r="C1034" s="19" t="str">
        <v>入库组</v>
      </c>
      <c r="D1034" s="21" t="n">
        <v>46120</v>
      </c>
      <c r="E1034" s="19" t="str">
        <v>2026-04</v>
      </c>
      <c r="F1034" s="19" t="str">
        <v>操作员</v>
      </c>
      <c r="G1034" s="19" t="str">
        <v>英国区11:00-19:30 / UK 11:00-19:30</v>
      </c>
      <c r="H1034" s="19" t="str">
        <v>S000132</v>
      </c>
      <c r="I1034" s="19" t="str">
        <v>HRA Recruitment Services</v>
      </c>
      <c r="J1034" s="23" t="n">
        <v>2</v>
      </c>
      <c r="K1034" s="23" t="n">
        <v>0</v>
      </c>
      <c r="L1034" s="23" t="n">
        <f>J1034+K1034</f>
        <v>2</v>
      </c>
      <c r="M1034" s="23" t="n">
        <v>2</v>
      </c>
      <c r="N1034" s="23" t="n">
        <v>2</v>
      </c>
      <c r="O1034" s="23" t="n">
        <v>2</v>
      </c>
      <c r="P1034" s="23" t="n">
        <v>2</v>
      </c>
      <c r="Q1034" s="23" t="n">
        <f>MIN(O1034,P1034)</f>
        <v>2</v>
      </c>
      <c r="R1034" s="25" t="n">
        <f>IF(M1034=0,0,MIN(1,L1034/M1034))</f>
        <v>1</v>
      </c>
      <c r="S1034" s="23" t="n">
        <f>O1034*R1034</f>
        <v>2</v>
      </c>
      <c r="T1034" s="23" t="n">
        <f>MIN(P1034,S1034)</f>
        <v>2</v>
      </c>
      <c r="U1034" s="23" t="n">
        <f>O1034-S1034</f>
        <v>0</v>
      </c>
      <c r="V1034" s="23" t="n">
        <f>MAX(P1034-O1034,0)</f>
        <v>0</v>
      </c>
    </row>
    <row r="1035">
      <c r="A1035" s="19" t="str">
        <v>英国区</v>
      </c>
      <c r="B1035" s="19" t="str">
        <v>伯明翰23号仓</v>
      </c>
      <c r="C1035" s="19" t="str">
        <v>入库组</v>
      </c>
      <c r="D1035" s="21" t="n">
        <v>46122</v>
      </c>
      <c r="E1035" s="19" t="str">
        <v>2026-04</v>
      </c>
      <c r="F1035" s="19" t="str">
        <v>操作员</v>
      </c>
      <c r="G1035" s="19" t="str">
        <v>英国区11:00-19:30 / UK 11:00-19:30</v>
      </c>
      <c r="H1035" s="19" t="str">
        <v>S000007</v>
      </c>
      <c r="I1035" s="19" t="str">
        <v>Kenect</v>
      </c>
      <c r="J1035" s="23" t="n">
        <v>3</v>
      </c>
      <c r="K1035" s="23" t="n">
        <v>0</v>
      </c>
      <c r="L1035" s="23" t="n">
        <f>J1035+K1035</f>
        <v>3</v>
      </c>
      <c r="M1035" s="23" t="n">
        <v>3</v>
      </c>
      <c r="N1035" s="23" t="n">
        <v>3</v>
      </c>
      <c r="O1035" s="23" t="n">
        <v>2</v>
      </c>
      <c r="P1035" s="23" t="n">
        <v>2</v>
      </c>
      <c r="Q1035" s="23" t="n">
        <f>MIN(O1035,P1035)</f>
        <v>2</v>
      </c>
      <c r="R1035" s="25" t="n">
        <f>IF(M1035=0,0,MIN(1,L1035/M1035))</f>
        <v>1</v>
      </c>
      <c r="S1035" s="23" t="n">
        <f>O1035*R1035</f>
        <v>2</v>
      </c>
      <c r="T1035" s="23" t="n">
        <f>MIN(P1035,S1035)</f>
        <v>2</v>
      </c>
      <c r="U1035" s="23" t="n">
        <f>O1035-S1035</f>
        <v>0</v>
      </c>
      <c r="V1035" s="23" t="n">
        <f>MAX(P1035-O1035,0)</f>
        <v>0</v>
      </c>
    </row>
    <row r="1036">
      <c r="A1036" s="19" t="str">
        <v>英国区</v>
      </c>
      <c r="B1036" s="19" t="str">
        <v>伯明翰23号仓</v>
      </c>
      <c r="C1036" s="19" t="str">
        <v>入库组</v>
      </c>
      <c r="D1036" s="21" t="n">
        <v>46122</v>
      </c>
      <c r="E1036" s="19" t="str">
        <v>2026-04</v>
      </c>
      <c r="F1036" s="19" t="str">
        <v>操作员</v>
      </c>
      <c r="G1036" s="19" t="str">
        <v>英国区11:00-19:30 / UK 11:00-19:30</v>
      </c>
      <c r="H1036" s="19" t="str">
        <v>S000274</v>
      </c>
      <c r="I1036" s="19" t="str">
        <v>Jobsworth Recruitment Solutions Limited</v>
      </c>
      <c r="J1036" s="23" t="n">
        <v>3</v>
      </c>
      <c r="K1036" s="23" t="n">
        <v>0</v>
      </c>
      <c r="L1036" s="23" t="n">
        <f>J1036+K1036</f>
        <v>3</v>
      </c>
      <c r="M1036" s="23" t="n">
        <v>3</v>
      </c>
      <c r="N1036" s="23" t="n">
        <v>3</v>
      </c>
      <c r="O1036" s="23" t="n">
        <v>1</v>
      </c>
      <c r="P1036" s="23" t="n">
        <v>1</v>
      </c>
      <c r="Q1036" s="23" t="n">
        <f>MIN(O1036,P1036)</f>
        <v>1</v>
      </c>
      <c r="R1036" s="25" t="n">
        <f>IF(M1036=0,0,MIN(1,L1036/M1036))</f>
        <v>1</v>
      </c>
      <c r="S1036" s="23" t="n">
        <f>O1036*R1036</f>
        <v>1</v>
      </c>
      <c r="T1036" s="23" t="n">
        <f>MIN(P1036,S1036)</f>
        <v>1</v>
      </c>
      <c r="U1036" s="23" t="n">
        <f>O1036-S1036</f>
        <v>0</v>
      </c>
      <c r="V1036" s="23" t="n">
        <f>MAX(P1036-O1036,0)</f>
        <v>0</v>
      </c>
    </row>
    <row r="1037">
      <c r="A1037" s="19" t="str">
        <v>英国区</v>
      </c>
      <c r="B1037" s="19" t="str">
        <v>伯明翰23号仓</v>
      </c>
      <c r="C1037" s="19" t="str">
        <v>入库组</v>
      </c>
      <c r="D1037" s="21" t="n">
        <v>46139</v>
      </c>
      <c r="E1037" s="19" t="str">
        <v>2026-04</v>
      </c>
      <c r="F1037" s="19" t="str">
        <v>操作员</v>
      </c>
      <c r="G1037" s="19" t="str">
        <v>英国区09:00-17:30 / UK 09:00-17:30</v>
      </c>
      <c r="H1037" s="19" t="str">
        <v>S000007</v>
      </c>
      <c r="I1037" s="19" t="str">
        <v>Kenect</v>
      </c>
      <c r="J1037" s="23" t="n">
        <v>5</v>
      </c>
      <c r="K1037" s="23" t="n">
        <v>0</v>
      </c>
      <c r="L1037" s="23" t="n">
        <f>J1037+K1037</f>
        <v>5</v>
      </c>
      <c r="M1037" s="23" t="n">
        <v>5</v>
      </c>
      <c r="N1037" s="23" t="n">
        <v>5</v>
      </c>
      <c r="O1037" s="23" t="n">
        <v>2</v>
      </c>
      <c r="P1037" s="23" t="n">
        <v>2</v>
      </c>
      <c r="Q1037" s="23" t="n">
        <f>MIN(O1037,P1037)</f>
        <v>2</v>
      </c>
      <c r="R1037" s="25" t="n">
        <f>IF(M1037=0,0,MIN(1,L1037/M1037))</f>
        <v>1</v>
      </c>
      <c r="S1037" s="23" t="n">
        <f>O1037*R1037</f>
        <v>2</v>
      </c>
      <c r="T1037" s="23" t="n">
        <f>MIN(P1037,S1037)</f>
        <v>2</v>
      </c>
      <c r="U1037" s="23" t="n">
        <f>O1037-S1037</f>
        <v>0</v>
      </c>
      <c r="V1037" s="23" t="n">
        <f>MAX(P1037-O1037,0)</f>
        <v>0</v>
      </c>
    </row>
    <row r="1038">
      <c r="A1038" s="19" t="str">
        <v>英国区</v>
      </c>
      <c r="B1038" s="19" t="str">
        <v>伯明翰23号仓</v>
      </c>
      <c r="C1038" s="19" t="str">
        <v>入库组</v>
      </c>
      <c r="D1038" s="21" t="n">
        <v>46139</v>
      </c>
      <c r="E1038" s="19" t="str">
        <v>2026-04</v>
      </c>
      <c r="F1038" s="19" t="str">
        <v>操作员</v>
      </c>
      <c r="G1038" s="19" t="str">
        <v>英国区09:00-17:30 / UK 09:00-17:30</v>
      </c>
      <c r="H1038" s="19" t="str">
        <v>S000013</v>
      </c>
      <c r="I1038" s="19" t="str">
        <v>FT Recruitment</v>
      </c>
      <c r="J1038" s="23" t="n">
        <v>5</v>
      </c>
      <c r="K1038" s="23" t="n">
        <v>0</v>
      </c>
      <c r="L1038" s="23" t="n">
        <f>J1038+K1038</f>
        <v>5</v>
      </c>
      <c r="M1038" s="23" t="n">
        <v>5</v>
      </c>
      <c r="N1038" s="23" t="n">
        <v>5</v>
      </c>
      <c r="O1038" s="23" t="n">
        <v>1</v>
      </c>
      <c r="P1038" s="23" t="n">
        <v>1</v>
      </c>
      <c r="Q1038" s="23" t="n">
        <f>MIN(O1038,P1038)</f>
        <v>1</v>
      </c>
      <c r="R1038" s="25" t="n">
        <f>IF(M1038=0,0,MIN(1,L1038/M1038))</f>
        <v>1</v>
      </c>
      <c r="S1038" s="23" t="n">
        <f>O1038*R1038</f>
        <v>1</v>
      </c>
      <c r="T1038" s="23" t="n">
        <f>MIN(P1038,S1038)</f>
        <v>1</v>
      </c>
      <c r="U1038" s="23" t="n">
        <f>O1038-S1038</f>
        <v>0</v>
      </c>
      <c r="V1038" s="23" t="n">
        <f>MAX(P1038-O1038,0)</f>
        <v>0</v>
      </c>
    </row>
    <row r="1039">
      <c r="A1039" s="19" t="str">
        <v>英国区</v>
      </c>
      <c r="B1039" s="19" t="str">
        <v>伯明翰23号仓</v>
      </c>
      <c r="C1039" s="19" t="str">
        <v>入库组</v>
      </c>
      <c r="D1039" s="21" t="n">
        <v>46139</v>
      </c>
      <c r="E1039" s="19" t="str">
        <v>2026-04</v>
      </c>
      <c r="F1039" s="19" t="str">
        <v>操作员</v>
      </c>
      <c r="G1039" s="19" t="str">
        <v>英国区09:00-17:30 / UK 09:00-17:30</v>
      </c>
      <c r="H1039" s="19" t="str">
        <v>S000274</v>
      </c>
      <c r="I1039" s="19" t="str">
        <v>Jobsworth Recruitment Solutions Limited</v>
      </c>
      <c r="J1039" s="23" t="n">
        <v>5</v>
      </c>
      <c r="K1039" s="23" t="n">
        <v>0</v>
      </c>
      <c r="L1039" s="23" t="n">
        <f>J1039+K1039</f>
        <v>5</v>
      </c>
      <c r="M1039" s="23" t="n">
        <v>5</v>
      </c>
      <c r="N1039" s="23" t="n">
        <v>5</v>
      </c>
      <c r="O1039" s="23" t="n">
        <v>2</v>
      </c>
      <c r="P1039" s="23" t="n">
        <v>2</v>
      </c>
      <c r="Q1039" s="23" t="n">
        <f>MIN(O1039,P1039)</f>
        <v>2</v>
      </c>
      <c r="R1039" s="25" t="n">
        <f>IF(M1039=0,0,MIN(1,L1039/M1039))</f>
        <v>1</v>
      </c>
      <c r="S1039" s="23" t="n">
        <f>O1039*R1039</f>
        <v>2</v>
      </c>
      <c r="T1039" s="23" t="n">
        <f>MIN(P1039,S1039)</f>
        <v>2</v>
      </c>
      <c r="U1039" s="23" t="n">
        <f>O1039-S1039</f>
        <v>0</v>
      </c>
      <c r="V1039" s="23" t="n">
        <f>MAX(P1039-O1039,0)</f>
        <v>0</v>
      </c>
    </row>
    <row r="1040">
      <c r="A1040" s="19" t="str">
        <v>英国区</v>
      </c>
      <c r="B1040" s="19" t="str">
        <v>伯明翰23号仓</v>
      </c>
      <c r="C1040" s="19" t="str">
        <v>入库组</v>
      </c>
      <c r="D1040" s="21" t="n">
        <v>46141</v>
      </c>
      <c r="E1040" s="19" t="str">
        <v>2026-04</v>
      </c>
      <c r="F1040" s="19" t="str">
        <v>操作员</v>
      </c>
      <c r="G1040" s="19" t="str">
        <v>英国区09:00-17:30 / UK 09:00-17:30</v>
      </c>
      <c r="H1040" s="19" t="str">
        <v>S000007</v>
      </c>
      <c r="I1040" s="19" t="str">
        <v>Kenect</v>
      </c>
      <c r="J1040" s="23" t="n">
        <v>5</v>
      </c>
      <c r="K1040" s="23" t="n">
        <v>0</v>
      </c>
      <c r="L1040" s="23" t="n">
        <f>J1040+K1040</f>
        <v>5</v>
      </c>
      <c r="M1040" s="23" t="n">
        <v>5</v>
      </c>
      <c r="N1040" s="23" t="n">
        <v>5</v>
      </c>
      <c r="O1040" s="23" t="n">
        <v>2</v>
      </c>
      <c r="P1040" s="23" t="n">
        <v>2</v>
      </c>
      <c r="Q1040" s="23" t="n">
        <f>MIN(O1040,P1040)</f>
        <v>2</v>
      </c>
      <c r="R1040" s="25" t="n">
        <f>IF(M1040=0,0,MIN(1,L1040/M1040))</f>
        <v>1</v>
      </c>
      <c r="S1040" s="23" t="n">
        <f>O1040*R1040</f>
        <v>2</v>
      </c>
      <c r="T1040" s="23" t="n">
        <f>MIN(P1040,S1040)</f>
        <v>2</v>
      </c>
      <c r="U1040" s="23" t="n">
        <f>O1040-S1040</f>
        <v>0</v>
      </c>
      <c r="V1040" s="23" t="n">
        <f>MAX(P1040-O1040,0)</f>
        <v>0</v>
      </c>
    </row>
    <row r="1041">
      <c r="A1041" s="19" t="str">
        <v>英国区</v>
      </c>
      <c r="B1041" s="19" t="str">
        <v>伯明翰23号仓</v>
      </c>
      <c r="C1041" s="19" t="str">
        <v>入库组</v>
      </c>
      <c r="D1041" s="21" t="n">
        <v>46141</v>
      </c>
      <c r="E1041" s="19" t="str">
        <v>2026-04</v>
      </c>
      <c r="F1041" s="19" t="str">
        <v>操作员</v>
      </c>
      <c r="G1041" s="19" t="str">
        <v>英国区09:00-17:30 / UK 09:00-17:30</v>
      </c>
      <c r="H1041" s="19" t="str">
        <v>S000013</v>
      </c>
      <c r="I1041" s="19" t="str">
        <v>FT Recruitment</v>
      </c>
      <c r="J1041" s="23" t="n">
        <v>5</v>
      </c>
      <c r="K1041" s="23" t="n">
        <v>0</v>
      </c>
      <c r="L1041" s="23" t="n">
        <f>J1041+K1041</f>
        <v>5</v>
      </c>
      <c r="M1041" s="23" t="n">
        <v>5</v>
      </c>
      <c r="N1041" s="23" t="n">
        <v>5</v>
      </c>
      <c r="O1041" s="23" t="n">
        <v>1</v>
      </c>
      <c r="P1041" s="23" t="n">
        <v>1</v>
      </c>
      <c r="Q1041" s="23" t="n">
        <f>MIN(O1041,P1041)</f>
        <v>1</v>
      </c>
      <c r="R1041" s="25" t="n">
        <f>IF(M1041=0,0,MIN(1,L1041/M1041))</f>
        <v>1</v>
      </c>
      <c r="S1041" s="23" t="n">
        <f>O1041*R1041</f>
        <v>1</v>
      </c>
      <c r="T1041" s="23" t="n">
        <f>MIN(P1041,S1041)</f>
        <v>1</v>
      </c>
      <c r="U1041" s="23" t="n">
        <f>O1041-S1041</f>
        <v>0</v>
      </c>
      <c r="V1041" s="23" t="n">
        <f>MAX(P1041-O1041,0)</f>
        <v>0</v>
      </c>
    </row>
    <row r="1042">
      <c r="A1042" s="19" t="str">
        <v>英国区</v>
      </c>
      <c r="B1042" s="19" t="str">
        <v>伯明翰23号仓</v>
      </c>
      <c r="C1042" s="19" t="str">
        <v>入库组</v>
      </c>
      <c r="D1042" s="21" t="n">
        <v>46141</v>
      </c>
      <c r="E1042" s="19" t="str">
        <v>2026-04</v>
      </c>
      <c r="F1042" s="19" t="str">
        <v>操作员</v>
      </c>
      <c r="G1042" s="19" t="str">
        <v>英国区09:00-17:30 / UK 09:00-17:30</v>
      </c>
      <c r="H1042" s="19" t="str">
        <v>S000274</v>
      </c>
      <c r="I1042" s="19" t="str">
        <v>Jobsworth Recruitment Solutions Limited</v>
      </c>
      <c r="J1042" s="23" t="n">
        <v>5</v>
      </c>
      <c r="K1042" s="23" t="n">
        <v>0</v>
      </c>
      <c r="L1042" s="23" t="n">
        <f>J1042+K1042</f>
        <v>5</v>
      </c>
      <c r="M1042" s="23" t="n">
        <v>5</v>
      </c>
      <c r="N1042" s="23" t="n">
        <v>5</v>
      </c>
      <c r="O1042" s="23" t="n">
        <v>2</v>
      </c>
      <c r="P1042" s="23" t="n">
        <v>2</v>
      </c>
      <c r="Q1042" s="23" t="n">
        <f>MIN(O1042,P1042)</f>
        <v>2</v>
      </c>
      <c r="R1042" s="25" t="n">
        <f>IF(M1042=0,0,MIN(1,L1042/M1042))</f>
        <v>1</v>
      </c>
      <c r="S1042" s="23" t="n">
        <f>O1042*R1042</f>
        <v>2</v>
      </c>
      <c r="T1042" s="23" t="n">
        <f>MIN(P1042,S1042)</f>
        <v>2</v>
      </c>
      <c r="U1042" s="23" t="n">
        <f>O1042-S1042</f>
        <v>0</v>
      </c>
      <c r="V1042" s="23" t="n">
        <f>MAX(P1042-O1042,0)</f>
        <v>0</v>
      </c>
    </row>
    <row r="1043">
      <c r="A1043" s="19" t="str">
        <v>英国区</v>
      </c>
      <c r="B1043" s="19" t="str">
        <v>伯明翰23号仓</v>
      </c>
      <c r="C1043" s="19" t="str">
        <v>入库组</v>
      </c>
      <c r="D1043" s="21" t="n">
        <v>46147</v>
      </c>
      <c r="E1043" s="19" t="str">
        <v>2026-05</v>
      </c>
      <c r="F1043" s="19" t="str">
        <v>操作员</v>
      </c>
      <c r="G1043" s="19" t="str">
        <v>英国区07:00-15:30 / UK 07:00-15:30</v>
      </c>
      <c r="H1043" s="19" t="str">
        <v>S000011</v>
      </c>
      <c r="I1043" s="19" t="str">
        <v>SD4U</v>
      </c>
      <c r="J1043" s="23" t="n">
        <v>4</v>
      </c>
      <c r="K1043" s="23" t="n">
        <v>0</v>
      </c>
      <c r="L1043" s="23" t="n">
        <f>J1043+K1043</f>
        <v>4</v>
      </c>
      <c r="M1043" s="23" t="n">
        <v>4</v>
      </c>
      <c r="N1043" s="23" t="n">
        <v>3</v>
      </c>
      <c r="O1043" s="23" t="n">
        <v>4</v>
      </c>
      <c r="P1043" s="23" t="n">
        <v>3</v>
      </c>
      <c r="Q1043" s="23" t="n">
        <f>MIN(O1043,P1043)</f>
        <v>3</v>
      </c>
      <c r="R1043" s="25" t="n">
        <f>IF(M1043=0,0,MIN(1,L1043/M1043))</f>
        <v>1</v>
      </c>
      <c r="S1043" s="23" t="n">
        <f>O1043*R1043</f>
        <v>4</v>
      </c>
      <c r="T1043" s="23" t="n">
        <f>MIN(P1043,S1043)</f>
        <v>3</v>
      </c>
      <c r="U1043" s="23" t="n">
        <f>O1043-S1043</f>
        <v>0</v>
      </c>
      <c r="V1043" s="23" t="n">
        <f>MAX(P1043-O1043,0)</f>
        <v>0</v>
      </c>
    </row>
    <row r="1044">
      <c r="A1044" s="19" t="str">
        <v>英国区</v>
      </c>
      <c r="B1044" s="19" t="str">
        <v>伯明翰23号仓</v>
      </c>
      <c r="C1044" s="19" t="str">
        <v>入库组</v>
      </c>
      <c r="D1044" s="21" t="n">
        <v>46147</v>
      </c>
      <c r="E1044" s="19" t="str">
        <v>2026-05</v>
      </c>
      <c r="F1044" s="19" t="str">
        <v>操作员</v>
      </c>
      <c r="G1044" s="19" t="str">
        <v>英国区10:00-18:30 / UK 10:00-18:30</v>
      </c>
      <c r="H1044" s="19" t="str">
        <v>S000007</v>
      </c>
      <c r="I1044" s="19" t="str">
        <v>Kenect</v>
      </c>
      <c r="J1044" s="23" t="n">
        <v>3</v>
      </c>
      <c r="K1044" s="23" t="n">
        <v>0</v>
      </c>
      <c r="L1044" s="23" t="n">
        <f>J1044+K1044</f>
        <v>3</v>
      </c>
      <c r="M1044" s="23" t="n">
        <v>3</v>
      </c>
      <c r="N1044" s="23" t="n">
        <v>3</v>
      </c>
      <c r="O1044" s="23" t="n">
        <v>2</v>
      </c>
      <c r="P1044" s="23" t="n">
        <v>2</v>
      </c>
      <c r="Q1044" s="23" t="n">
        <f>MIN(O1044,P1044)</f>
        <v>2</v>
      </c>
      <c r="R1044" s="25" t="n">
        <f>IF(M1044=0,0,MIN(1,L1044/M1044))</f>
        <v>1</v>
      </c>
      <c r="S1044" s="23" t="n">
        <f>O1044*R1044</f>
        <v>2</v>
      </c>
      <c r="T1044" s="23" t="n">
        <f>MIN(P1044,S1044)</f>
        <v>2</v>
      </c>
      <c r="U1044" s="23" t="n">
        <f>O1044-S1044</f>
        <v>0</v>
      </c>
      <c r="V1044" s="23" t="n">
        <f>MAX(P1044-O1044,0)</f>
        <v>0</v>
      </c>
    </row>
    <row r="1045">
      <c r="A1045" s="19" t="str">
        <v>英国区</v>
      </c>
      <c r="B1045" s="19" t="str">
        <v>伯明翰23号仓</v>
      </c>
      <c r="C1045" s="19" t="str">
        <v>入库组</v>
      </c>
      <c r="D1045" s="21" t="n">
        <v>46147</v>
      </c>
      <c r="E1045" s="19" t="str">
        <v>2026-05</v>
      </c>
      <c r="F1045" s="19" t="str">
        <v>操作员</v>
      </c>
      <c r="G1045" s="19" t="str">
        <v>英国区10:00-18:30 / UK 10:00-18:30</v>
      </c>
      <c r="H1045" s="19" t="str">
        <v>S000011</v>
      </c>
      <c r="I1045" s="19" t="str">
        <v>SD4U</v>
      </c>
      <c r="J1045" s="23" t="n">
        <v>3</v>
      </c>
      <c r="K1045" s="23" t="n">
        <v>0</v>
      </c>
      <c r="L1045" s="23" t="n">
        <f>J1045+K1045</f>
        <v>3</v>
      </c>
      <c r="M1045" s="23" t="n">
        <v>3</v>
      </c>
      <c r="N1045" s="23" t="n">
        <v>3</v>
      </c>
      <c r="O1045" s="23" t="n">
        <v>1</v>
      </c>
      <c r="P1045" s="23" t="n">
        <v>1</v>
      </c>
      <c r="Q1045" s="23" t="n">
        <f>MIN(O1045,P1045)</f>
        <v>1</v>
      </c>
      <c r="R1045" s="25" t="n">
        <f>IF(M1045=0,0,MIN(1,L1045/M1045))</f>
        <v>1</v>
      </c>
      <c r="S1045" s="23" t="n">
        <f>O1045*R1045</f>
        <v>1</v>
      </c>
      <c r="T1045" s="23" t="n">
        <f>MIN(P1045,S1045)</f>
        <v>1</v>
      </c>
      <c r="U1045" s="23" t="n">
        <f>O1045-S1045</f>
        <v>0</v>
      </c>
      <c r="V1045" s="23" t="n">
        <f>MAX(P1045-O1045,0)</f>
        <v>0</v>
      </c>
    </row>
    <row r="1046">
      <c r="A1046" s="19" t="str">
        <v>英国区</v>
      </c>
      <c r="B1046" s="19" t="str">
        <v>伯明翰23号仓</v>
      </c>
      <c r="C1046" s="19" t="str">
        <v>入库组</v>
      </c>
      <c r="D1046" s="21" t="n">
        <v>46153</v>
      </c>
      <c r="E1046" s="19" t="str">
        <v>2026-05</v>
      </c>
      <c r="F1046" s="19" t="str">
        <v>操作员</v>
      </c>
      <c r="G1046" s="19" t="str">
        <v>英国区10:00-18:30 / UK 10:00-18:30</v>
      </c>
      <c r="H1046" s="19" t="str">
        <v>S000011</v>
      </c>
      <c r="I1046" s="19" t="str">
        <v>SD4U</v>
      </c>
      <c r="J1046" s="23" t="n">
        <v>3</v>
      </c>
      <c r="K1046" s="23" t="n">
        <v>0</v>
      </c>
      <c r="L1046" s="23" t="n">
        <f>J1046+K1046</f>
        <v>3</v>
      </c>
      <c r="M1046" s="23" t="n">
        <v>3</v>
      </c>
      <c r="N1046" s="23" t="n">
        <v>3</v>
      </c>
      <c r="O1046" s="23" t="n">
        <v>1</v>
      </c>
      <c r="P1046" s="23" t="n">
        <v>1</v>
      </c>
      <c r="Q1046" s="23" t="n">
        <f>MIN(O1046,P1046)</f>
        <v>1</v>
      </c>
      <c r="R1046" s="25" t="n">
        <f>IF(M1046=0,0,MIN(1,L1046/M1046))</f>
        <v>1</v>
      </c>
      <c r="S1046" s="23" t="n">
        <f>O1046*R1046</f>
        <v>1</v>
      </c>
      <c r="T1046" s="23" t="n">
        <f>MIN(P1046,S1046)</f>
        <v>1</v>
      </c>
      <c r="U1046" s="23" t="n">
        <f>O1046-S1046</f>
        <v>0</v>
      </c>
      <c r="V1046" s="23" t="n">
        <f>MAX(P1046-O1046,0)</f>
        <v>0</v>
      </c>
    </row>
    <row r="1047">
      <c r="A1047" s="19" t="str">
        <v>英国区</v>
      </c>
      <c r="B1047" s="19" t="str">
        <v>伯明翰23号仓</v>
      </c>
      <c r="C1047" s="19" t="str">
        <v>入库组</v>
      </c>
      <c r="D1047" s="21" t="n">
        <v>46153</v>
      </c>
      <c r="E1047" s="19" t="str">
        <v>2026-05</v>
      </c>
      <c r="F1047" s="19" t="str">
        <v>操作员</v>
      </c>
      <c r="G1047" s="19" t="str">
        <v>英国区10:00-18:30 / UK 10:00-18:30</v>
      </c>
      <c r="H1047" s="19" t="str">
        <v>S000274</v>
      </c>
      <c r="I1047" s="19" t="str">
        <v>Jobsworth Recruitment Solutions Limited</v>
      </c>
      <c r="J1047" s="23" t="n">
        <v>3</v>
      </c>
      <c r="K1047" s="23" t="n">
        <v>0</v>
      </c>
      <c r="L1047" s="23" t="n">
        <f>J1047+K1047</f>
        <v>3</v>
      </c>
      <c r="M1047" s="23" t="n">
        <v>3</v>
      </c>
      <c r="N1047" s="23" t="n">
        <v>3</v>
      </c>
      <c r="O1047" s="23" t="n">
        <v>2</v>
      </c>
      <c r="P1047" s="23" t="n">
        <v>2</v>
      </c>
      <c r="Q1047" s="23" t="n">
        <f>MIN(O1047,P1047)</f>
        <v>2</v>
      </c>
      <c r="R1047" s="25" t="n">
        <f>IF(M1047=0,0,MIN(1,L1047/M1047))</f>
        <v>1</v>
      </c>
      <c r="S1047" s="23" t="n">
        <f>O1047*R1047</f>
        <v>2</v>
      </c>
      <c r="T1047" s="23" t="n">
        <f>MIN(P1047,S1047)</f>
        <v>2</v>
      </c>
      <c r="U1047" s="23" t="n">
        <f>O1047-S1047</f>
        <v>0</v>
      </c>
      <c r="V1047" s="23" t="n">
        <f>MAX(P1047-O1047,0)</f>
        <v>0</v>
      </c>
    </row>
    <row r="1048">
      <c r="A1048" s="19" t="str">
        <v>英国区</v>
      </c>
      <c r="B1048" s="19" t="str">
        <v>伯明翰23号仓</v>
      </c>
      <c r="C1048" s="19" t="str">
        <v>入库组</v>
      </c>
      <c r="D1048" s="21" t="n">
        <v>46154</v>
      </c>
      <c r="E1048" s="19" t="str">
        <v>2026-05</v>
      </c>
      <c r="F1048" s="19" t="str">
        <v>操作员</v>
      </c>
      <c r="G1048" s="19" t="str">
        <v>英国区10:00-18:30 / UK 10:00-18:30</v>
      </c>
      <c r="H1048" s="19" t="str">
        <v>S000011</v>
      </c>
      <c r="I1048" s="19" t="str">
        <v>SD4U</v>
      </c>
      <c r="J1048" s="23" t="n">
        <v>3</v>
      </c>
      <c r="K1048" s="23" t="n">
        <v>0</v>
      </c>
      <c r="L1048" s="23" t="n">
        <f>J1048+K1048</f>
        <v>3</v>
      </c>
      <c r="M1048" s="23" t="n">
        <v>3</v>
      </c>
      <c r="N1048" s="23" t="n">
        <v>3</v>
      </c>
      <c r="O1048" s="23" t="n">
        <v>2</v>
      </c>
      <c r="P1048" s="23" t="n">
        <v>2</v>
      </c>
      <c r="Q1048" s="23" t="n">
        <f>MIN(O1048,P1048)</f>
        <v>2</v>
      </c>
      <c r="R1048" s="25" t="n">
        <f>IF(M1048=0,0,MIN(1,L1048/M1048))</f>
        <v>1</v>
      </c>
      <c r="S1048" s="23" t="n">
        <f>O1048*R1048</f>
        <v>2</v>
      </c>
      <c r="T1048" s="23" t="n">
        <f>MIN(P1048,S1048)</f>
        <v>2</v>
      </c>
      <c r="U1048" s="23" t="n">
        <f>O1048-S1048</f>
        <v>0</v>
      </c>
      <c r="V1048" s="23" t="n">
        <f>MAX(P1048-O1048,0)</f>
        <v>0</v>
      </c>
    </row>
    <row r="1049">
      <c r="A1049" s="19" t="str">
        <v>英国区</v>
      </c>
      <c r="B1049" s="19" t="str">
        <v>伯明翰23号仓</v>
      </c>
      <c r="C1049" s="19" t="str">
        <v>入库组</v>
      </c>
      <c r="D1049" s="21" t="n">
        <v>46154</v>
      </c>
      <c r="E1049" s="19" t="str">
        <v>2026-05</v>
      </c>
      <c r="F1049" s="19" t="str">
        <v>操作员</v>
      </c>
      <c r="G1049" s="19" t="str">
        <v>英国区10:00-18:30 / UK 10:00-18:30</v>
      </c>
      <c r="H1049" s="19" t="str">
        <v>S000274</v>
      </c>
      <c r="I1049" s="19" t="str">
        <v>Jobsworth Recruitment Solutions Limited</v>
      </c>
      <c r="J1049" s="23" t="n">
        <v>3</v>
      </c>
      <c r="K1049" s="23" t="n">
        <v>0</v>
      </c>
      <c r="L1049" s="23" t="n">
        <f>J1049+K1049</f>
        <v>3</v>
      </c>
      <c r="M1049" s="23" t="n">
        <v>3</v>
      </c>
      <c r="N1049" s="23" t="n">
        <v>3</v>
      </c>
      <c r="O1049" s="23" t="n">
        <v>1</v>
      </c>
      <c r="P1049" s="23" t="n">
        <v>1</v>
      </c>
      <c r="Q1049" s="23" t="n">
        <f>MIN(O1049,P1049)</f>
        <v>1</v>
      </c>
      <c r="R1049" s="25" t="n">
        <f>IF(M1049=0,0,MIN(1,L1049/M1049))</f>
        <v>1</v>
      </c>
      <c r="S1049" s="23" t="n">
        <f>O1049*R1049</f>
        <v>1</v>
      </c>
      <c r="T1049" s="23" t="n">
        <f>MIN(P1049,S1049)</f>
        <v>1</v>
      </c>
      <c r="U1049" s="23" t="n">
        <f>O1049-S1049</f>
        <v>0</v>
      </c>
      <c r="V1049" s="23" t="n">
        <f>MAX(P1049-O1049,0)</f>
        <v>0</v>
      </c>
    </row>
    <row r="1050">
      <c r="A1050" s="19" t="str">
        <v>英国区</v>
      </c>
      <c r="B1050" s="19" t="str">
        <v>伯明翰23号仓</v>
      </c>
      <c r="C1050" s="19" t="str">
        <v>入库组</v>
      </c>
      <c r="D1050" s="21" t="n">
        <v>46157</v>
      </c>
      <c r="E1050" s="19" t="str">
        <v>2026-05</v>
      </c>
      <c r="F1050" s="19" t="str">
        <v>操作员</v>
      </c>
      <c r="G1050" s="19" t="str">
        <v>英国区07:00-15:30 / UK 07:00-15:30</v>
      </c>
      <c r="H1050" s="19" t="str">
        <v>S000011</v>
      </c>
      <c r="I1050" s="19" t="str">
        <v>SD4U</v>
      </c>
      <c r="J1050" s="23" t="n">
        <v>8</v>
      </c>
      <c r="K1050" s="23" t="n">
        <v>0</v>
      </c>
      <c r="L1050" s="23" t="n">
        <f>J1050+K1050</f>
        <v>8</v>
      </c>
      <c r="M1050" s="23" t="n">
        <v>8</v>
      </c>
      <c r="N1050" s="23" t="n">
        <v>7</v>
      </c>
      <c r="O1050" s="23" t="n">
        <v>4</v>
      </c>
      <c r="P1050" s="23" t="n">
        <v>4</v>
      </c>
      <c r="Q1050" s="23" t="n">
        <f>MIN(O1050,P1050)</f>
        <v>4</v>
      </c>
      <c r="R1050" s="25" t="n">
        <f>IF(M1050=0,0,MIN(1,L1050/M1050))</f>
        <v>1</v>
      </c>
      <c r="S1050" s="23" t="n">
        <f>O1050*R1050</f>
        <v>4</v>
      </c>
      <c r="T1050" s="23" t="n">
        <f>MIN(P1050,S1050)</f>
        <v>4</v>
      </c>
      <c r="U1050" s="23" t="n">
        <f>O1050-S1050</f>
        <v>0</v>
      </c>
      <c r="V1050" s="23" t="n">
        <f>MAX(P1050-O1050,0)</f>
        <v>0</v>
      </c>
    </row>
    <row r="1051">
      <c r="A1051" s="19" t="str">
        <v>英国区</v>
      </c>
      <c r="B1051" s="19" t="str">
        <v>伯明翰23号仓</v>
      </c>
      <c r="C1051" s="19" t="str">
        <v>入库组</v>
      </c>
      <c r="D1051" s="21" t="n">
        <v>46157</v>
      </c>
      <c r="E1051" s="19" t="str">
        <v>2026-05</v>
      </c>
      <c r="F1051" s="19" t="str">
        <v>操作员</v>
      </c>
      <c r="G1051" s="19" t="str">
        <v>英国区07:00-15:30 / UK 07:00-15:30</v>
      </c>
      <c r="H1051" s="19" t="str">
        <v>S000013</v>
      </c>
      <c r="I1051" s="19" t="str">
        <v>FT Recruitment</v>
      </c>
      <c r="J1051" s="23" t="n">
        <v>8</v>
      </c>
      <c r="K1051" s="23" t="n">
        <v>0</v>
      </c>
      <c r="L1051" s="23" t="n">
        <f>J1051+K1051</f>
        <v>8</v>
      </c>
      <c r="M1051" s="23" t="n">
        <v>8</v>
      </c>
      <c r="N1051" s="23" t="n">
        <v>7</v>
      </c>
      <c r="O1051" s="23" t="n">
        <v>1</v>
      </c>
      <c r="P1051" s="23" t="n">
        <v>0</v>
      </c>
      <c r="Q1051" s="23" t="n">
        <f>MIN(O1051,P1051)</f>
        <v>0</v>
      </c>
      <c r="R1051" s="25" t="n">
        <f>IF(M1051=0,0,MIN(1,L1051/M1051))</f>
        <v>1</v>
      </c>
      <c r="S1051" s="23" t="n">
        <f>O1051*R1051</f>
        <v>1</v>
      </c>
      <c r="T1051" s="23" t="n">
        <f>MIN(P1051,S1051)</f>
        <v>0</v>
      </c>
      <c r="U1051" s="23" t="n">
        <f>O1051-S1051</f>
        <v>0</v>
      </c>
      <c r="V1051" s="23" t="n">
        <f>MAX(P1051-O1051,0)</f>
        <v>0</v>
      </c>
    </row>
    <row r="1052">
      <c r="A1052" s="19" t="str">
        <v>英国区</v>
      </c>
      <c r="B1052" s="19" t="str">
        <v>伯明翰23号仓</v>
      </c>
      <c r="C1052" s="19" t="str">
        <v>入库组</v>
      </c>
      <c r="D1052" s="21" t="n">
        <v>46157</v>
      </c>
      <c r="E1052" s="19" t="str">
        <v>2026-05</v>
      </c>
      <c r="F1052" s="19" t="str">
        <v>操作员</v>
      </c>
      <c r="G1052" s="19" t="str">
        <v>英国区07:00-15:30 / UK 07:00-15:30</v>
      </c>
      <c r="H1052" s="19" t="str">
        <v>S000274</v>
      </c>
      <c r="I1052" s="19" t="str">
        <v>Jobsworth Recruitment Solutions Limited</v>
      </c>
      <c r="J1052" s="23" t="n">
        <v>8</v>
      </c>
      <c r="K1052" s="23" t="n">
        <v>0</v>
      </c>
      <c r="L1052" s="23" t="n">
        <f>J1052+K1052</f>
        <v>8</v>
      </c>
      <c r="M1052" s="23" t="n">
        <v>8</v>
      </c>
      <c r="N1052" s="23" t="n">
        <v>7</v>
      </c>
      <c r="O1052" s="23" t="n">
        <v>3</v>
      </c>
      <c r="P1052" s="23" t="n">
        <v>3</v>
      </c>
      <c r="Q1052" s="23" t="n">
        <f>MIN(O1052,P1052)</f>
        <v>3</v>
      </c>
      <c r="R1052" s="25" t="n">
        <f>IF(M1052=0,0,MIN(1,L1052/M1052))</f>
        <v>1</v>
      </c>
      <c r="S1052" s="23" t="n">
        <f>O1052*R1052</f>
        <v>3</v>
      </c>
      <c r="T1052" s="23" t="n">
        <f>MIN(P1052,S1052)</f>
        <v>3</v>
      </c>
      <c r="U1052" s="23" t="n">
        <f>O1052-S1052</f>
        <v>0</v>
      </c>
      <c r="V1052" s="23" t="n">
        <f>MAX(P1052-O1052,0)</f>
        <v>0</v>
      </c>
    </row>
    <row r="1053">
      <c r="A1053" s="19" t="str">
        <v>英国区</v>
      </c>
      <c r="B1053" s="19" t="str">
        <v>伯明翰23号仓</v>
      </c>
      <c r="C1053" s="19" t="str">
        <v>入库组</v>
      </c>
      <c r="D1053" s="21" t="n">
        <v>46162</v>
      </c>
      <c r="E1053" s="19" t="str">
        <v>2026-05</v>
      </c>
      <c r="F1053" s="19" t="str">
        <v>操作员</v>
      </c>
      <c r="G1053" s="19" t="str">
        <v>英国区07:00-15:30 / UK 07:00-15:30</v>
      </c>
      <c r="H1053" s="19" t="str">
        <v>S000274</v>
      </c>
      <c r="I1053" s="19" t="str">
        <v>Jobsworth Recruitment Solutions Limited</v>
      </c>
      <c r="J1053" s="23" t="n">
        <v>4</v>
      </c>
      <c r="K1053" s="23" t="n">
        <v>0</v>
      </c>
      <c r="L1053" s="23" t="n">
        <f>J1053+K1053</f>
        <v>4</v>
      </c>
      <c r="M1053" s="23" t="n">
        <v>4</v>
      </c>
      <c r="N1053" s="23" t="n">
        <v>4</v>
      </c>
      <c r="O1053" s="23" t="n">
        <v>4</v>
      </c>
      <c r="P1053" s="23" t="n">
        <v>4</v>
      </c>
      <c r="Q1053" s="23" t="n">
        <f>MIN(O1053,P1053)</f>
        <v>4</v>
      </c>
      <c r="R1053" s="25" t="n">
        <f>IF(M1053=0,0,MIN(1,L1053/M1053))</f>
        <v>1</v>
      </c>
      <c r="S1053" s="23" t="n">
        <f>O1053*R1053</f>
        <v>4</v>
      </c>
      <c r="T1053" s="23" t="n">
        <f>MIN(P1053,S1053)</f>
        <v>4</v>
      </c>
      <c r="U1053" s="23" t="n">
        <f>O1053-S1053</f>
        <v>0</v>
      </c>
      <c r="V1053" s="23" t="n">
        <f>MAX(P1053-O1053,0)</f>
        <v>0</v>
      </c>
    </row>
    <row r="1054">
      <c r="A1054" s="19" t="str">
        <v>英国区</v>
      </c>
      <c r="B1054" s="19" t="str">
        <v>伯明翰23号仓</v>
      </c>
      <c r="C1054" s="19" t="str">
        <v>入库组</v>
      </c>
      <c r="D1054" s="21" t="n">
        <v>46162</v>
      </c>
      <c r="E1054" s="19" t="str">
        <v>2026-05</v>
      </c>
      <c r="F1054" s="19" t="str">
        <v>操作员</v>
      </c>
      <c r="G1054" s="19" t="str">
        <v>英国区10:00-18:30 / UK 10:00-18:30</v>
      </c>
      <c r="H1054" s="19" t="str">
        <v>S000011</v>
      </c>
      <c r="I1054" s="19" t="str">
        <v>SD4U</v>
      </c>
      <c r="J1054" s="23" t="n">
        <v>2</v>
      </c>
      <c r="K1054" s="23" t="n">
        <v>0</v>
      </c>
      <c r="L1054" s="23" t="n">
        <f>J1054+K1054</f>
        <v>2</v>
      </c>
      <c r="M1054" s="23" t="n">
        <v>2</v>
      </c>
      <c r="N1054" s="23" t="n">
        <v>2</v>
      </c>
      <c r="O1054" s="23" t="n">
        <v>2</v>
      </c>
      <c r="P1054" s="23" t="n">
        <v>2</v>
      </c>
      <c r="Q1054" s="23" t="n">
        <f>MIN(O1054,P1054)</f>
        <v>2</v>
      </c>
      <c r="R1054" s="25" t="n">
        <f>IF(M1054=0,0,MIN(1,L1054/M1054))</f>
        <v>1</v>
      </c>
      <c r="S1054" s="23" t="n">
        <f>O1054*R1054</f>
        <v>2</v>
      </c>
      <c r="T1054" s="23" t="n">
        <f>MIN(P1054,S1054)</f>
        <v>2</v>
      </c>
      <c r="U1054" s="23" t="n">
        <f>O1054-S1054</f>
        <v>0</v>
      </c>
      <c r="V1054" s="23" t="n">
        <f>MAX(P1054-O1054,0)</f>
        <v>0</v>
      </c>
    </row>
    <row r="1055">
      <c r="A1055" s="19" t="str">
        <v>英国区</v>
      </c>
      <c r="B1055" s="19" t="str">
        <v>伯明翰23号仓</v>
      </c>
      <c r="C1055" s="19" t="str">
        <v>入库组</v>
      </c>
      <c r="D1055" s="21" t="n">
        <v>46163</v>
      </c>
      <c r="E1055" s="19" t="str">
        <v>2026-05</v>
      </c>
      <c r="F1055" s="19" t="str">
        <v>操作员</v>
      </c>
      <c r="G1055" s="19" t="str">
        <v>英国区07:00-15:30 / UK 07:00-15:30</v>
      </c>
      <c r="H1055" s="19" t="str">
        <v>S000011</v>
      </c>
      <c r="I1055" s="19" t="str">
        <v>SD4U</v>
      </c>
      <c r="J1055" s="23" t="n">
        <v>8</v>
      </c>
      <c r="K1055" s="23" t="n">
        <v>0</v>
      </c>
      <c r="L1055" s="23" t="n">
        <f>J1055+K1055</f>
        <v>8</v>
      </c>
      <c r="M1055" s="23" t="n">
        <v>8</v>
      </c>
      <c r="N1055" s="23" t="n">
        <v>5</v>
      </c>
      <c r="O1055" s="23" t="n">
        <v>4</v>
      </c>
      <c r="P1055" s="23" t="n">
        <v>4</v>
      </c>
      <c r="Q1055" s="23" t="n">
        <f>MIN(O1055,P1055)</f>
        <v>4</v>
      </c>
      <c r="R1055" s="25" t="n">
        <f>IF(M1055=0,0,MIN(1,L1055/M1055))</f>
        <v>1</v>
      </c>
      <c r="S1055" s="23" t="n">
        <f>O1055*R1055</f>
        <v>4</v>
      </c>
      <c r="T1055" s="23" t="n">
        <f>MIN(P1055,S1055)</f>
        <v>4</v>
      </c>
      <c r="U1055" s="23" t="n">
        <f>O1055-S1055</f>
        <v>0</v>
      </c>
      <c r="V1055" s="23" t="n">
        <f>MAX(P1055-O1055,0)</f>
        <v>0</v>
      </c>
    </row>
    <row r="1056">
      <c r="A1056" s="19" t="str">
        <v>英国区</v>
      </c>
      <c r="B1056" s="19" t="str">
        <v>伯明翰23号仓</v>
      </c>
      <c r="C1056" s="19" t="str">
        <v>入库组</v>
      </c>
      <c r="D1056" s="21" t="n">
        <v>46163</v>
      </c>
      <c r="E1056" s="19" t="str">
        <v>2026-05</v>
      </c>
      <c r="F1056" s="19" t="str">
        <v>操作员</v>
      </c>
      <c r="G1056" s="19" t="str">
        <v>英国区07:00-15:30 / UK 07:00-15:30</v>
      </c>
      <c r="H1056" s="19" t="str">
        <v>S000013</v>
      </c>
      <c r="I1056" s="19" t="str">
        <v>FT Recruitment</v>
      </c>
      <c r="J1056" s="23" t="n">
        <v>8</v>
      </c>
      <c r="K1056" s="23" t="n">
        <v>0</v>
      </c>
      <c r="L1056" s="23" t="n">
        <f>J1056+K1056</f>
        <v>8</v>
      </c>
      <c r="M1056" s="23" t="n">
        <v>8</v>
      </c>
      <c r="N1056" s="23" t="n">
        <v>5</v>
      </c>
      <c r="O1056" s="23" t="n">
        <v>4</v>
      </c>
      <c r="P1056" s="23" t="n">
        <v>1</v>
      </c>
      <c r="Q1056" s="23" t="n">
        <f>MIN(O1056,P1056)</f>
        <v>1</v>
      </c>
      <c r="R1056" s="25" t="n">
        <f>IF(M1056=0,0,MIN(1,L1056/M1056))</f>
        <v>1</v>
      </c>
      <c r="S1056" s="23" t="n">
        <f>O1056*R1056</f>
        <v>4</v>
      </c>
      <c r="T1056" s="23" t="n">
        <f>MIN(P1056,S1056)</f>
        <v>1</v>
      </c>
      <c r="U1056" s="23" t="n">
        <f>O1056-S1056</f>
        <v>0</v>
      </c>
      <c r="V1056" s="23" t="n">
        <f>MAX(P1056-O1056,0)</f>
        <v>0</v>
      </c>
    </row>
    <row r="1057">
      <c r="A1057" s="19" t="str">
        <v>英国区</v>
      </c>
      <c r="B1057" s="19" t="str">
        <v>伯明翰23号仓</v>
      </c>
      <c r="C1057" s="19" t="str">
        <v>入库组</v>
      </c>
      <c r="D1057" s="21" t="n">
        <v>46164</v>
      </c>
      <c r="E1057" s="19" t="str">
        <v>2026-05</v>
      </c>
      <c r="F1057" s="19" t="str">
        <v>操作员</v>
      </c>
      <c r="G1057" s="19" t="str">
        <v>英国区07:00-15:30 / UK 07:00-15:30</v>
      </c>
      <c r="H1057" s="19" t="str">
        <v>S000011</v>
      </c>
      <c r="I1057" s="19" t="str">
        <v>SD4U</v>
      </c>
      <c r="J1057" s="23" t="n">
        <v>4</v>
      </c>
      <c r="K1057" s="23" t="n">
        <v>0</v>
      </c>
      <c r="L1057" s="23" t="n">
        <f>J1057+K1057</f>
        <v>4</v>
      </c>
      <c r="M1057" s="23" t="n">
        <v>4</v>
      </c>
      <c r="N1057" s="23" t="n">
        <v>4</v>
      </c>
      <c r="O1057" s="23" t="n">
        <v>2</v>
      </c>
      <c r="P1057" s="23" t="n">
        <v>2</v>
      </c>
      <c r="Q1057" s="23" t="n">
        <f>MIN(O1057,P1057)</f>
        <v>2</v>
      </c>
      <c r="R1057" s="25" t="n">
        <f>IF(M1057=0,0,MIN(1,L1057/M1057))</f>
        <v>1</v>
      </c>
      <c r="S1057" s="23" t="n">
        <f>O1057*R1057</f>
        <v>2</v>
      </c>
      <c r="T1057" s="23" t="n">
        <f>MIN(P1057,S1057)</f>
        <v>2</v>
      </c>
      <c r="U1057" s="23" t="n">
        <f>O1057-S1057</f>
        <v>0</v>
      </c>
      <c r="V1057" s="23" t="n">
        <f>MAX(P1057-O1057,0)</f>
        <v>0</v>
      </c>
    </row>
    <row r="1058">
      <c r="A1058" s="19" t="str">
        <v>英国区</v>
      </c>
      <c r="B1058" s="19" t="str">
        <v>伯明翰23号仓</v>
      </c>
      <c r="C1058" s="19" t="str">
        <v>入库组</v>
      </c>
      <c r="D1058" s="21" t="n">
        <v>46164</v>
      </c>
      <c r="E1058" s="19" t="str">
        <v>2026-05</v>
      </c>
      <c r="F1058" s="19" t="str">
        <v>操作员</v>
      </c>
      <c r="G1058" s="19" t="str">
        <v>英国区07:00-15:30 / UK 07:00-15:30</v>
      </c>
      <c r="H1058" s="19" t="str">
        <v>S000132</v>
      </c>
      <c r="I1058" s="19" t="str">
        <v>HRA Recruitment Services</v>
      </c>
      <c r="J1058" s="23" t="n">
        <v>4</v>
      </c>
      <c r="K1058" s="23" t="n">
        <v>0</v>
      </c>
      <c r="L1058" s="23" t="n">
        <f>J1058+K1058</f>
        <v>4</v>
      </c>
      <c r="M1058" s="23" t="n">
        <v>4</v>
      </c>
      <c r="N1058" s="23" t="n">
        <v>4</v>
      </c>
      <c r="O1058" s="23" t="n">
        <v>2</v>
      </c>
      <c r="P1058" s="23" t="n">
        <v>2</v>
      </c>
      <c r="Q1058" s="23" t="n">
        <f>MIN(O1058,P1058)</f>
        <v>2</v>
      </c>
      <c r="R1058" s="25" t="n">
        <f>IF(M1058=0,0,MIN(1,L1058/M1058))</f>
        <v>1</v>
      </c>
      <c r="S1058" s="23" t="n">
        <f>O1058*R1058</f>
        <v>2</v>
      </c>
      <c r="T1058" s="23" t="n">
        <f>MIN(P1058,S1058)</f>
        <v>2</v>
      </c>
      <c r="U1058" s="23" t="n">
        <f>O1058-S1058</f>
        <v>0</v>
      </c>
      <c r="V1058" s="23" t="n">
        <f>MAX(P1058-O1058,0)</f>
        <v>0</v>
      </c>
    </row>
    <row r="1059">
      <c r="A1059" s="19" t="str">
        <v>英国区</v>
      </c>
      <c r="B1059" s="19" t="str">
        <v>伯明翰23号仓</v>
      </c>
      <c r="C1059" s="19" t="str">
        <v>入库组</v>
      </c>
      <c r="D1059" s="21" t="n">
        <v>46168</v>
      </c>
      <c r="E1059" s="19" t="str">
        <v>2026-05</v>
      </c>
      <c r="F1059" s="19" t="str">
        <v>操作员</v>
      </c>
      <c r="G1059" s="19" t="str">
        <v>英国区07:00-15:30 / UK 07:00-15:30</v>
      </c>
      <c r="H1059" s="19" t="str">
        <v>S000007</v>
      </c>
      <c r="I1059" s="19" t="str">
        <v>Kenect</v>
      </c>
      <c r="J1059" s="23" t="n">
        <v>6</v>
      </c>
      <c r="K1059" s="23" t="n">
        <v>0</v>
      </c>
      <c r="L1059" s="23" t="n">
        <f>J1059+K1059</f>
        <v>6</v>
      </c>
      <c r="M1059" s="23" t="n">
        <v>6</v>
      </c>
      <c r="N1059" s="23" t="n">
        <v>4</v>
      </c>
      <c r="O1059" s="23" t="n">
        <v>2</v>
      </c>
      <c r="P1059" s="23" t="n">
        <v>0</v>
      </c>
      <c r="Q1059" s="23" t="n">
        <f>MIN(O1059,P1059)</f>
        <v>0</v>
      </c>
      <c r="R1059" s="25" t="n">
        <f>IF(M1059=0,0,MIN(1,L1059/M1059))</f>
        <v>1</v>
      </c>
      <c r="S1059" s="23" t="n">
        <f>O1059*R1059</f>
        <v>2</v>
      </c>
      <c r="T1059" s="23" t="n">
        <f>MIN(P1059,S1059)</f>
        <v>0</v>
      </c>
      <c r="U1059" s="23" t="n">
        <f>O1059-S1059</f>
        <v>0</v>
      </c>
      <c r="V1059" s="23" t="n">
        <f>MAX(P1059-O1059,0)</f>
        <v>0</v>
      </c>
    </row>
    <row r="1060">
      <c r="A1060" s="19" t="str">
        <v>英国区</v>
      </c>
      <c r="B1060" s="19" t="str">
        <v>伯明翰23号仓</v>
      </c>
      <c r="C1060" s="19" t="str">
        <v>入库组</v>
      </c>
      <c r="D1060" s="21" t="n">
        <v>46168</v>
      </c>
      <c r="E1060" s="19" t="str">
        <v>2026-05</v>
      </c>
      <c r="F1060" s="19" t="str">
        <v>操作员</v>
      </c>
      <c r="G1060" s="19" t="str">
        <v>英国区07:00-15:30 / UK 07:00-15:30</v>
      </c>
      <c r="H1060" s="19" t="str">
        <v>S000013</v>
      </c>
      <c r="I1060" s="19" t="str">
        <v>FT Recruitment</v>
      </c>
      <c r="J1060" s="23" t="n">
        <v>6</v>
      </c>
      <c r="K1060" s="23" t="n">
        <v>0</v>
      </c>
      <c r="L1060" s="23" t="n">
        <f>J1060+K1060</f>
        <v>6</v>
      </c>
      <c r="M1060" s="23" t="n">
        <v>6</v>
      </c>
      <c r="N1060" s="23" t="n">
        <v>4</v>
      </c>
      <c r="O1060" s="23" t="n">
        <v>2</v>
      </c>
      <c r="P1060" s="23" t="n">
        <v>2</v>
      </c>
      <c r="Q1060" s="23" t="n">
        <f>MIN(O1060,P1060)</f>
        <v>2</v>
      </c>
      <c r="R1060" s="25" t="n">
        <f>IF(M1060=0,0,MIN(1,L1060/M1060))</f>
        <v>1</v>
      </c>
      <c r="S1060" s="23" t="n">
        <f>O1060*R1060</f>
        <v>2</v>
      </c>
      <c r="T1060" s="23" t="n">
        <f>MIN(P1060,S1060)</f>
        <v>2</v>
      </c>
      <c r="U1060" s="23" t="n">
        <f>O1060-S1060</f>
        <v>0</v>
      </c>
      <c r="V1060" s="23" t="n">
        <f>MAX(P1060-O1060,0)</f>
        <v>0</v>
      </c>
    </row>
    <row r="1061">
      <c r="A1061" s="19" t="str">
        <v>英国区</v>
      </c>
      <c r="B1061" s="19" t="str">
        <v>伯明翰23号仓</v>
      </c>
      <c r="C1061" s="19" t="str">
        <v>入库组</v>
      </c>
      <c r="D1061" s="21" t="n">
        <v>46168</v>
      </c>
      <c r="E1061" s="19" t="str">
        <v>2026-05</v>
      </c>
      <c r="F1061" s="19" t="str">
        <v>操作员</v>
      </c>
      <c r="G1061" s="19" t="str">
        <v>英国区07:00-15:30 / UK 07:00-15:30</v>
      </c>
      <c r="H1061" s="19" t="str">
        <v>S000132</v>
      </c>
      <c r="I1061" s="19" t="str">
        <v>HRA Recruitment Services</v>
      </c>
      <c r="J1061" s="23" t="n">
        <v>6</v>
      </c>
      <c r="K1061" s="23" t="n">
        <v>0</v>
      </c>
      <c r="L1061" s="23" t="n">
        <f>J1061+K1061</f>
        <v>6</v>
      </c>
      <c r="M1061" s="23" t="n">
        <v>6</v>
      </c>
      <c r="N1061" s="23" t="n">
        <v>4</v>
      </c>
      <c r="O1061" s="23" t="n">
        <v>2</v>
      </c>
      <c r="P1061" s="23" t="n">
        <v>2</v>
      </c>
      <c r="Q1061" s="23" t="n">
        <f>MIN(O1061,P1061)</f>
        <v>2</v>
      </c>
      <c r="R1061" s="25" t="n">
        <f>IF(M1061=0,0,MIN(1,L1061/M1061))</f>
        <v>1</v>
      </c>
      <c r="S1061" s="23" t="n">
        <f>O1061*R1061</f>
        <v>2</v>
      </c>
      <c r="T1061" s="23" t="n">
        <f>MIN(P1061,S1061)</f>
        <v>2</v>
      </c>
      <c r="U1061" s="23" t="n">
        <f>O1061-S1061</f>
        <v>0</v>
      </c>
      <c r="V1061" s="23" t="n">
        <f>MAX(P1061-O1061,0)</f>
        <v>0</v>
      </c>
    </row>
    <row r="1062">
      <c r="A1062" s="19" t="str">
        <v>英国区</v>
      </c>
      <c r="B1062" s="19" t="str">
        <v>伯明翰23号仓</v>
      </c>
      <c r="C1062" s="19" t="str">
        <v>入库组</v>
      </c>
      <c r="D1062" s="21" t="n">
        <v>46169</v>
      </c>
      <c r="E1062" s="19" t="str">
        <v>2026-05</v>
      </c>
      <c r="F1062" s="19" t="str">
        <v>操作员</v>
      </c>
      <c r="G1062" s="19" t="str">
        <v>英国灵活（6小时扣午休） / UK FLEX (6-HR LUNCH BREAK DEDUCTED)</v>
      </c>
      <c r="H1062" s="19" t="str">
        <v>S000132</v>
      </c>
      <c r="I1062" s="19" t="str">
        <v>HRA Recruitment Services</v>
      </c>
      <c r="J1062" s="23" t="n">
        <v>2</v>
      </c>
      <c r="K1062" s="23" t="n">
        <v>0</v>
      </c>
      <c r="L1062" s="23" t="n">
        <f>J1062+K1062</f>
        <v>2</v>
      </c>
      <c r="M1062" s="23" t="n">
        <v>2</v>
      </c>
      <c r="N1062" s="23" t="n">
        <v>2</v>
      </c>
      <c r="O1062" s="23" t="n">
        <v>2</v>
      </c>
      <c r="P1062" s="23" t="n">
        <v>2</v>
      </c>
      <c r="Q1062" s="23" t="n">
        <f>MIN(O1062,P1062)</f>
        <v>2</v>
      </c>
      <c r="R1062" s="25" t="n">
        <f>IF(M1062=0,0,MIN(1,L1062/M1062))</f>
        <v>1</v>
      </c>
      <c r="S1062" s="23" t="n">
        <f>O1062*R1062</f>
        <v>2</v>
      </c>
      <c r="T1062" s="23" t="n">
        <f>MIN(P1062,S1062)</f>
        <v>2</v>
      </c>
      <c r="U1062" s="23" t="n">
        <f>O1062-S1062</f>
        <v>0</v>
      </c>
      <c r="V1062" s="23" t="n">
        <f>MAX(P1062-O1062,0)</f>
        <v>0</v>
      </c>
    </row>
    <row r="1063">
      <c r="A1063" s="19" t="str">
        <v>英国区</v>
      </c>
      <c r="B1063" s="19" t="str">
        <v>伯明翰23号仓</v>
      </c>
      <c r="C1063" s="19" t="str">
        <v>入库组</v>
      </c>
      <c r="D1063" s="21" t="n">
        <v>46171</v>
      </c>
      <c r="E1063" s="19" t="str">
        <v>2026-05</v>
      </c>
      <c r="F1063" s="19" t="str">
        <v>操作员</v>
      </c>
      <c r="G1063" s="19" t="str">
        <v>英国区07:00-15:30 / UK 07:00-15:30</v>
      </c>
      <c r="H1063" s="19" t="str">
        <v>S000007</v>
      </c>
      <c r="I1063" s="19" t="str">
        <v>Kenect</v>
      </c>
      <c r="J1063" s="23" t="n">
        <v>2</v>
      </c>
      <c r="K1063" s="23" t="n">
        <v>0</v>
      </c>
      <c r="L1063" s="23" t="n">
        <f>J1063+K1063</f>
        <v>2</v>
      </c>
      <c r="M1063" s="23" t="n">
        <v>2</v>
      </c>
      <c r="N1063" s="23" t="n">
        <v>2</v>
      </c>
      <c r="O1063" s="23" t="n">
        <v>2</v>
      </c>
      <c r="P1063" s="23" t="n">
        <v>2</v>
      </c>
      <c r="Q1063" s="23" t="n">
        <f>MIN(O1063,P1063)</f>
        <v>2</v>
      </c>
      <c r="R1063" s="25" t="n">
        <f>IF(M1063=0,0,MIN(1,L1063/M1063))</f>
        <v>1</v>
      </c>
      <c r="S1063" s="23" t="n">
        <f>O1063*R1063</f>
        <v>2</v>
      </c>
      <c r="T1063" s="23" t="n">
        <f>MIN(P1063,S1063)</f>
        <v>2</v>
      </c>
      <c r="U1063" s="23" t="n">
        <f>O1063-S1063</f>
        <v>0</v>
      </c>
      <c r="V1063" s="23" t="n">
        <f>MAX(P1063-O1063,0)</f>
        <v>0</v>
      </c>
    </row>
    <row r="1064">
      <c r="A1064" s="19" t="str">
        <v>英国区</v>
      </c>
      <c r="B1064" s="19" t="str">
        <v>伯明翰23号仓</v>
      </c>
      <c r="C1064" s="19" t="str">
        <v>入库组</v>
      </c>
      <c r="D1064" s="21" t="n">
        <v>46174</v>
      </c>
      <c r="E1064" s="19" t="str">
        <v>2026-06</v>
      </c>
      <c r="F1064" s="19" t="str">
        <v>操作员</v>
      </c>
      <c r="G1064" s="19" t="str">
        <v>英国区09:00-17:30 / UK 09:00-17:30</v>
      </c>
      <c r="H1064" s="19" t="str">
        <v>S000007</v>
      </c>
      <c r="I1064" s="19" t="str">
        <v>Kenect</v>
      </c>
      <c r="J1064" s="23" t="n">
        <v>1</v>
      </c>
      <c r="K1064" s="23" t="n">
        <v>0</v>
      </c>
      <c r="L1064" s="23" t="n">
        <f>J1064+K1064</f>
        <v>1</v>
      </c>
      <c r="M1064" s="23" t="n">
        <v>1</v>
      </c>
      <c r="N1064" s="23" t="n">
        <v>1</v>
      </c>
      <c r="O1064" s="23" t="n">
        <v>1</v>
      </c>
      <c r="P1064" s="23" t="n">
        <v>1</v>
      </c>
      <c r="Q1064" s="23" t="n">
        <f>MIN(O1064,P1064)</f>
        <v>1</v>
      </c>
      <c r="R1064" s="25" t="n">
        <f>IF(M1064=0,0,MIN(1,L1064/M1064))</f>
        <v>1</v>
      </c>
      <c r="S1064" s="23" t="n">
        <f>O1064*R1064</f>
        <v>1</v>
      </c>
      <c r="T1064" s="23" t="n">
        <f>MIN(P1064,S1064)</f>
        <v>1</v>
      </c>
      <c r="U1064" s="23" t="n">
        <f>O1064-S1064</f>
        <v>0</v>
      </c>
      <c r="V1064" s="23" t="n">
        <f>MAX(P1064-O1064,0)</f>
        <v>0</v>
      </c>
    </row>
    <row r="1065">
      <c r="A1065" s="19" t="str">
        <v>英国区</v>
      </c>
      <c r="B1065" s="19" t="str">
        <v>伯明翰23号仓</v>
      </c>
      <c r="C1065" s="19" t="str">
        <v>入库组</v>
      </c>
      <c r="D1065" s="21" t="n">
        <v>46177</v>
      </c>
      <c r="E1065" s="19" t="str">
        <v>2026-06</v>
      </c>
      <c r="F1065" s="19" t="str">
        <v>操作员</v>
      </c>
      <c r="G1065" s="19" t="str">
        <v>英国区15:00-00:30 / UK 15:00-00:30</v>
      </c>
      <c r="H1065" s="19" t="str">
        <v>S000331</v>
      </c>
      <c r="I1065" s="19" t="str">
        <v>Employment of London Limited</v>
      </c>
      <c r="J1065" s="23" t="n">
        <v>1</v>
      </c>
      <c r="K1065" s="23" t="n">
        <v>0</v>
      </c>
      <c r="L1065" s="23" t="n">
        <f>J1065+K1065</f>
        <v>1</v>
      </c>
      <c r="M1065" s="23" t="n">
        <v>1</v>
      </c>
      <c r="N1065" s="23" t="n">
        <v>1</v>
      </c>
      <c r="O1065" s="23" t="n">
        <v>1</v>
      </c>
      <c r="P1065" s="23" t="n">
        <v>1</v>
      </c>
      <c r="Q1065" s="23" t="n">
        <f>MIN(O1065,P1065)</f>
        <v>1</v>
      </c>
      <c r="R1065" s="25" t="n">
        <f>IF(M1065=0,0,MIN(1,L1065/M1065))</f>
        <v>1</v>
      </c>
      <c r="S1065" s="23" t="n">
        <f>O1065*R1065</f>
        <v>1</v>
      </c>
      <c r="T1065" s="23" t="n">
        <f>MIN(P1065,S1065)</f>
        <v>1</v>
      </c>
      <c r="U1065" s="23" t="n">
        <f>O1065-S1065</f>
        <v>0</v>
      </c>
      <c r="V1065" s="23" t="n">
        <f>MAX(P1065-O1065,0)</f>
        <v>0</v>
      </c>
    </row>
    <row r="1066">
      <c r="A1066" s="19" t="str">
        <v>英国区</v>
      </c>
      <c r="B1066" s="19" t="str">
        <v>伯明翰23号仓</v>
      </c>
      <c r="C1066" s="19" t="str">
        <v>入库组</v>
      </c>
      <c r="D1066" s="21" t="n">
        <v>46178</v>
      </c>
      <c r="E1066" s="19" t="str">
        <v>2026-06</v>
      </c>
      <c r="F1066" s="19" t="str">
        <v>操作员</v>
      </c>
      <c r="G1066" s="19" t="str">
        <v>英国区07:00-15:30 / UK 07:00-15:30</v>
      </c>
      <c r="H1066" s="19" t="str">
        <v>S000331</v>
      </c>
      <c r="I1066" s="19" t="str">
        <v>Employment of London Limited</v>
      </c>
      <c r="J1066" s="23" t="n">
        <v>4</v>
      </c>
      <c r="K1066" s="23" t="n">
        <v>0</v>
      </c>
      <c r="L1066" s="23" t="n">
        <f>J1066+K1066</f>
        <v>4</v>
      </c>
      <c r="M1066" s="23" t="n">
        <v>4</v>
      </c>
      <c r="N1066" s="23" t="n">
        <v>4</v>
      </c>
      <c r="O1066" s="23" t="n">
        <v>4</v>
      </c>
      <c r="P1066" s="23" t="n">
        <v>4</v>
      </c>
      <c r="Q1066" s="23" t="n">
        <f>MIN(O1066,P1066)</f>
        <v>4</v>
      </c>
      <c r="R1066" s="25" t="n">
        <f>IF(M1066=0,0,MIN(1,L1066/M1066))</f>
        <v>1</v>
      </c>
      <c r="S1066" s="23" t="n">
        <f>O1066*R1066</f>
        <v>4</v>
      </c>
      <c r="T1066" s="23" t="n">
        <f>MIN(P1066,S1066)</f>
        <v>4</v>
      </c>
      <c r="U1066" s="23" t="n">
        <f>O1066-S1066</f>
        <v>0</v>
      </c>
      <c r="V1066" s="23" t="n">
        <f>MAX(P1066-O1066,0)</f>
        <v>0</v>
      </c>
    </row>
    <row r="1067">
      <c r="A1067" s="19" t="str">
        <v>英国区</v>
      </c>
      <c r="B1067" s="19" t="str">
        <v>伯明翰23号仓</v>
      </c>
      <c r="C1067" s="19" t="str">
        <v>入库组</v>
      </c>
      <c r="D1067" s="21" t="n">
        <v>46182</v>
      </c>
      <c r="E1067" s="19" t="str">
        <v>2026-06</v>
      </c>
      <c r="F1067" s="19" t="str">
        <v>操作员</v>
      </c>
      <c r="G1067" s="19" t="str">
        <v>英国区11:00-19:30 / UK 11:00-19:30</v>
      </c>
      <c r="H1067" s="19" t="str">
        <v>S000132</v>
      </c>
      <c r="I1067" s="19" t="str">
        <v>HRA Recruitment Services</v>
      </c>
      <c r="J1067" s="23" t="n">
        <v>6</v>
      </c>
      <c r="K1067" s="23" t="n">
        <v>0</v>
      </c>
      <c r="L1067" s="23" t="n">
        <f>J1067+K1067</f>
        <v>6</v>
      </c>
      <c r="M1067" s="23" t="n">
        <v>9</v>
      </c>
      <c r="N1067" s="23" t="n">
        <v>9</v>
      </c>
      <c r="O1067" s="23" t="n">
        <v>3</v>
      </c>
      <c r="P1067" s="23" t="n">
        <v>3</v>
      </c>
      <c r="Q1067" s="23" t="n">
        <f>MIN(O1067,P1067)</f>
        <v>3</v>
      </c>
      <c r="R1067" s="25" t="n">
        <f>IF(M1067=0,0,MIN(1,L1067/M1067))</f>
        <v>0.6666666666666666</v>
      </c>
      <c r="S1067" s="23" t="n">
        <f>O1067*R1067</f>
        <v>2</v>
      </c>
      <c r="T1067" s="23" t="n">
        <f>MIN(P1067,S1067)</f>
        <v>2</v>
      </c>
      <c r="U1067" s="23" t="n">
        <f>O1067-S1067</f>
        <v>1</v>
      </c>
      <c r="V1067" s="23" t="n">
        <f>MAX(P1067-O1067,0)</f>
        <v>0</v>
      </c>
    </row>
    <row r="1068">
      <c r="A1068" s="19" t="str">
        <v>英国区</v>
      </c>
      <c r="B1068" s="19" t="str">
        <v>伯明翰23号仓</v>
      </c>
      <c r="C1068" s="19" t="str">
        <v>入库组</v>
      </c>
      <c r="D1068" s="21" t="n">
        <v>46182</v>
      </c>
      <c r="E1068" s="19" t="str">
        <v>2026-06</v>
      </c>
      <c r="F1068" s="19" t="str">
        <v>操作员</v>
      </c>
      <c r="G1068" s="19" t="str">
        <v>英国区11:00-19:30 / UK 11:00-19:30</v>
      </c>
      <c r="H1068" s="19" t="str">
        <v>S000331</v>
      </c>
      <c r="I1068" s="19" t="str">
        <v>Employment of London Limited</v>
      </c>
      <c r="J1068" s="23" t="n">
        <v>6</v>
      </c>
      <c r="K1068" s="23" t="n">
        <v>0</v>
      </c>
      <c r="L1068" s="23" t="n">
        <f>J1068+K1068</f>
        <v>6</v>
      </c>
      <c r="M1068" s="23" t="n">
        <v>9</v>
      </c>
      <c r="N1068" s="23" t="n">
        <v>9</v>
      </c>
      <c r="O1068" s="23" t="n">
        <v>6</v>
      </c>
      <c r="P1068" s="23" t="n">
        <v>6</v>
      </c>
      <c r="Q1068" s="23" t="n">
        <f>MIN(O1068,P1068)</f>
        <v>6</v>
      </c>
      <c r="R1068" s="25" t="n">
        <f>IF(M1068=0,0,MIN(1,L1068/M1068))</f>
        <v>0.6666666666666666</v>
      </c>
      <c r="S1068" s="23" t="n">
        <f>O1068*R1068</f>
        <v>4</v>
      </c>
      <c r="T1068" s="23" t="n">
        <f>MIN(P1068,S1068)</f>
        <v>4</v>
      </c>
      <c r="U1068" s="23" t="n">
        <f>O1068-S1068</f>
        <v>2</v>
      </c>
      <c r="V1068" s="23" t="n">
        <f>MAX(P1068-O1068,0)</f>
        <v>0</v>
      </c>
    </row>
    <row r="1069">
      <c r="A1069" s="19" t="str">
        <v>英国区</v>
      </c>
      <c r="B1069" s="19" t="str">
        <v>伯明翰23号仓</v>
      </c>
      <c r="C1069" s="19" t="str">
        <v>入库组</v>
      </c>
      <c r="D1069" s="21" t="n">
        <v>46185</v>
      </c>
      <c r="E1069" s="19" t="str">
        <v>2026-06</v>
      </c>
      <c r="F1069" s="19" t="str">
        <v>操作员</v>
      </c>
      <c r="G1069" s="19" t="str">
        <v>英国区10:00-18:30 / UK 10:00-18:30</v>
      </c>
      <c r="H1069" s="19" t="str">
        <v>S000331</v>
      </c>
      <c r="I1069" s="19" t="str">
        <v>Employment of London Limited</v>
      </c>
      <c r="J1069" s="23" t="n">
        <v>3</v>
      </c>
      <c r="K1069" s="23" t="n">
        <v>0</v>
      </c>
      <c r="L1069" s="23" t="n">
        <f>J1069+K1069</f>
        <v>3</v>
      </c>
      <c r="M1069" s="23" t="n">
        <v>3</v>
      </c>
      <c r="N1069" s="23" t="n">
        <v>3</v>
      </c>
      <c r="O1069" s="23" t="n">
        <v>3</v>
      </c>
      <c r="P1069" s="23" t="n">
        <v>3</v>
      </c>
      <c r="Q1069" s="23" t="n">
        <f>MIN(O1069,P1069)</f>
        <v>3</v>
      </c>
      <c r="R1069" s="25" t="n">
        <f>IF(M1069=0,0,MIN(1,L1069/M1069))</f>
        <v>1</v>
      </c>
      <c r="S1069" s="23" t="n">
        <f>O1069*R1069</f>
        <v>3</v>
      </c>
      <c r="T1069" s="23" t="n">
        <f>MIN(P1069,S1069)</f>
        <v>3</v>
      </c>
      <c r="U1069" s="23" t="n">
        <f>O1069-S1069</f>
        <v>0</v>
      </c>
      <c r="V1069" s="23" t="n">
        <f>MAX(P1069-O1069,0)</f>
        <v>0</v>
      </c>
    </row>
    <row r="1070">
      <c r="A1070" s="19" t="str">
        <v>英国区</v>
      </c>
      <c r="B1070" s="19" t="str">
        <v>伯明翰23号仓</v>
      </c>
      <c r="C1070" s="19" t="str">
        <v>入库组</v>
      </c>
      <c r="D1070" s="21" t="n">
        <v>46185</v>
      </c>
      <c r="E1070" s="19" t="str">
        <v>2026-06</v>
      </c>
      <c r="F1070" s="19" t="str">
        <v>操作员</v>
      </c>
      <c r="G1070" s="19" t="str">
        <v>英国区11:00-19:30 / UK 11:00-19:30</v>
      </c>
      <c r="H1070" s="19" t="str">
        <v>S000331</v>
      </c>
      <c r="I1070" s="19" t="str">
        <v>Employment of London Limited</v>
      </c>
      <c r="J1070" s="23" t="n">
        <v>1</v>
      </c>
      <c r="K1070" s="23" t="n">
        <v>0</v>
      </c>
      <c r="L1070" s="23" t="n">
        <f>J1070+K1070</f>
        <v>1</v>
      </c>
      <c r="M1070" s="23" t="n">
        <v>1</v>
      </c>
      <c r="N1070" s="23" t="n">
        <v>1</v>
      </c>
      <c r="O1070" s="23" t="n">
        <v>1</v>
      </c>
      <c r="P1070" s="23" t="n">
        <v>1</v>
      </c>
      <c r="Q1070" s="23" t="n">
        <f>MIN(O1070,P1070)</f>
        <v>1</v>
      </c>
      <c r="R1070" s="25" t="n">
        <f>IF(M1070=0,0,MIN(1,L1070/M1070))</f>
        <v>1</v>
      </c>
      <c r="S1070" s="23" t="n">
        <f>O1070*R1070</f>
        <v>1</v>
      </c>
      <c r="T1070" s="23" t="n">
        <f>MIN(P1070,S1070)</f>
        <v>1</v>
      </c>
      <c r="U1070" s="23" t="n">
        <f>O1070-S1070</f>
        <v>0</v>
      </c>
      <c r="V1070" s="23" t="n">
        <f>MAX(P1070-O1070,0)</f>
        <v>0</v>
      </c>
    </row>
    <row r="1071">
      <c r="A1071" s="19" t="str">
        <v>英国区</v>
      </c>
      <c r="B1071" s="19" t="str">
        <v>伯明翰23号仓</v>
      </c>
      <c r="C1071" s="19" t="str">
        <v>入库组</v>
      </c>
      <c r="D1071" s="21" t="n">
        <v>46188</v>
      </c>
      <c r="E1071" s="19" t="str">
        <v>2026-06</v>
      </c>
      <c r="F1071" s="19" t="str">
        <v>操作员</v>
      </c>
      <c r="G1071" s="19" t="str">
        <v>英国区07:00-15:30 / UK 07:00-15:30</v>
      </c>
      <c r="H1071" s="19" t="str">
        <v>S000011</v>
      </c>
      <c r="I1071" s="19" t="str">
        <v>SD4U</v>
      </c>
      <c r="J1071" s="23" t="n">
        <v>5</v>
      </c>
      <c r="K1071" s="23" t="n">
        <v>0</v>
      </c>
      <c r="L1071" s="23" t="n">
        <f>J1071+K1071</f>
        <v>5</v>
      </c>
      <c r="M1071" s="23" t="n">
        <v>5</v>
      </c>
      <c r="N1071" s="23" t="n">
        <v>5</v>
      </c>
      <c r="O1071" s="23" t="n">
        <v>5</v>
      </c>
      <c r="P1071" s="23" t="n">
        <v>5</v>
      </c>
      <c r="Q1071" s="23" t="n">
        <f>MIN(O1071,P1071)</f>
        <v>5</v>
      </c>
      <c r="R1071" s="25" t="n">
        <f>IF(M1071=0,0,MIN(1,L1071/M1071))</f>
        <v>1</v>
      </c>
      <c r="S1071" s="23" t="n">
        <f>O1071*R1071</f>
        <v>5</v>
      </c>
      <c r="T1071" s="23" t="n">
        <f>MIN(P1071,S1071)</f>
        <v>5</v>
      </c>
      <c r="U1071" s="23" t="n">
        <f>O1071-S1071</f>
        <v>0</v>
      </c>
      <c r="V1071" s="23" t="n">
        <f>MAX(P1071-O1071,0)</f>
        <v>0</v>
      </c>
    </row>
    <row r="1072">
      <c r="A1072" s="19" t="str">
        <v>英国区</v>
      </c>
      <c r="B1072" s="19" t="str">
        <v>伯明翰23号仓</v>
      </c>
      <c r="C1072" s="19" t="str">
        <v>入库组</v>
      </c>
      <c r="D1072" s="21" t="n">
        <v>46189</v>
      </c>
      <c r="E1072" s="19" t="str">
        <v>2026-06</v>
      </c>
      <c r="F1072" s="19" t="str">
        <v>操作员</v>
      </c>
      <c r="G1072" s="19" t="str">
        <v>英国区07:00-15:30 / UK 07:00-15:30</v>
      </c>
      <c r="H1072" s="19" t="str">
        <v>S000011</v>
      </c>
      <c r="I1072" s="19" t="str">
        <v>SD4U</v>
      </c>
      <c r="J1072" s="23" t="n">
        <v>2</v>
      </c>
      <c r="K1072" s="23" t="n">
        <v>0</v>
      </c>
      <c r="L1072" s="23" t="n">
        <f>J1072+K1072</f>
        <v>2</v>
      </c>
      <c r="M1072" s="23" t="n">
        <v>2</v>
      </c>
      <c r="N1072" s="23" t="n">
        <v>0</v>
      </c>
      <c r="O1072" s="23" t="n">
        <v>2</v>
      </c>
      <c r="P1072" s="23" t="n">
        <v>0</v>
      </c>
      <c r="Q1072" s="23" t="n">
        <f>MIN(O1072,P1072)</f>
        <v>0</v>
      </c>
      <c r="R1072" s="25" t="n">
        <f>IF(M1072=0,0,MIN(1,L1072/M1072))</f>
        <v>1</v>
      </c>
      <c r="S1072" s="23" t="n">
        <f>O1072*R1072</f>
        <v>2</v>
      </c>
      <c r="T1072" s="23" t="n">
        <f>MIN(P1072,S1072)</f>
        <v>0</v>
      </c>
      <c r="U1072" s="23" t="n">
        <f>O1072-S1072</f>
        <v>0</v>
      </c>
      <c r="V1072" s="23" t="n">
        <f>MAX(P1072-O1072,0)</f>
        <v>0</v>
      </c>
    </row>
    <row r="1073">
      <c r="A1073" s="19" t="str">
        <v>英国区</v>
      </c>
      <c r="B1073" s="19" t="str">
        <v>伯明翰23号仓</v>
      </c>
      <c r="C1073" s="19" t="str">
        <v>包装组</v>
      </c>
      <c r="D1073" s="21" t="n">
        <v>46116</v>
      </c>
      <c r="E1073" s="19" t="str">
        <v>2026-04</v>
      </c>
      <c r="F1073" s="19" t="str">
        <v>操作员</v>
      </c>
      <c r="G1073" s="19" t="str">
        <v>英国区07:00-15:30 / UK 07:00-15:30</v>
      </c>
      <c r="H1073" s="19" t="str">
        <v>S000132</v>
      </c>
      <c r="I1073" s="19" t="str">
        <v>HRA Recruitment Services</v>
      </c>
      <c r="J1073" s="23" t="n">
        <v>1</v>
      </c>
      <c r="K1073" s="23" t="n">
        <v>0</v>
      </c>
      <c r="L1073" s="23" t="n">
        <f>J1073+K1073</f>
        <v>1</v>
      </c>
      <c r="M1073" s="23" t="n">
        <v>1</v>
      </c>
      <c r="N1073" s="23" t="n">
        <v>1</v>
      </c>
      <c r="O1073" s="23" t="n">
        <v>1</v>
      </c>
      <c r="P1073" s="23" t="n">
        <v>1</v>
      </c>
      <c r="Q1073" s="23" t="n">
        <f>MIN(O1073,P1073)</f>
        <v>1</v>
      </c>
      <c r="R1073" s="25" t="n">
        <f>IF(M1073=0,0,MIN(1,L1073/M1073))</f>
        <v>1</v>
      </c>
      <c r="S1073" s="23" t="n">
        <f>O1073*R1073</f>
        <v>1</v>
      </c>
      <c r="T1073" s="23" t="n">
        <f>MIN(P1073,S1073)</f>
        <v>1</v>
      </c>
      <c r="U1073" s="23" t="n">
        <f>O1073-S1073</f>
        <v>0</v>
      </c>
      <c r="V1073" s="23" t="n">
        <f>MAX(P1073-O1073,0)</f>
        <v>0</v>
      </c>
    </row>
    <row r="1074">
      <c r="A1074" s="19" t="str">
        <v>英国区</v>
      </c>
      <c r="B1074" s="19" t="str">
        <v>伯明翰23号仓</v>
      </c>
      <c r="C1074" s="19" t="str">
        <v>包装组</v>
      </c>
      <c r="D1074" s="21" t="n">
        <v>46120</v>
      </c>
      <c r="E1074" s="19" t="str">
        <v>2026-04</v>
      </c>
      <c r="F1074" s="19" t="str">
        <v>操作员</v>
      </c>
      <c r="G1074" s="19" t="str">
        <v>英国区10:00-18:30 / UK 10:00-18:30</v>
      </c>
      <c r="H1074" s="19" t="str">
        <v>S000007</v>
      </c>
      <c r="I1074" s="19" t="str">
        <v>Kenect</v>
      </c>
      <c r="J1074" s="23" t="n">
        <v>1</v>
      </c>
      <c r="K1074" s="23" t="n">
        <v>0</v>
      </c>
      <c r="L1074" s="23" t="n">
        <f>J1074+K1074</f>
        <v>1</v>
      </c>
      <c r="M1074" s="23" t="n">
        <v>1</v>
      </c>
      <c r="N1074" s="23" t="n">
        <v>1</v>
      </c>
      <c r="O1074" s="23" t="n">
        <v>1</v>
      </c>
      <c r="P1074" s="23" t="n">
        <v>1</v>
      </c>
      <c r="Q1074" s="23" t="n">
        <f>MIN(O1074,P1074)</f>
        <v>1</v>
      </c>
      <c r="R1074" s="25" t="n">
        <f>IF(M1074=0,0,MIN(1,L1074/M1074))</f>
        <v>1</v>
      </c>
      <c r="S1074" s="23" t="n">
        <f>O1074*R1074</f>
        <v>1</v>
      </c>
      <c r="T1074" s="23" t="n">
        <f>MIN(P1074,S1074)</f>
        <v>1</v>
      </c>
      <c r="U1074" s="23" t="n">
        <f>O1074-S1074</f>
        <v>0</v>
      </c>
      <c r="V1074" s="23" t="n">
        <f>MAX(P1074-O1074,0)</f>
        <v>0</v>
      </c>
    </row>
    <row r="1075">
      <c r="A1075" s="19" t="str">
        <v>英国区</v>
      </c>
      <c r="B1075" s="19" t="str">
        <v>伯明翰23号仓</v>
      </c>
      <c r="C1075" s="19" t="str">
        <v>包装组</v>
      </c>
      <c r="D1075" s="21" t="n">
        <v>46136</v>
      </c>
      <c r="E1075" s="19" t="str">
        <v>2026-04</v>
      </c>
      <c r="F1075" s="19" t="str">
        <v>操作员</v>
      </c>
      <c r="G1075" s="19" t="str">
        <v>英国区09:00-17:30 / UK 09:00-17:30</v>
      </c>
      <c r="H1075" s="19" t="str">
        <v>S000274</v>
      </c>
      <c r="I1075" s="19" t="str">
        <v>Jobsworth Recruitment Solutions Limited</v>
      </c>
      <c r="J1075" s="23" t="n">
        <v>1</v>
      </c>
      <c r="K1075" s="23" t="n">
        <v>0</v>
      </c>
      <c r="L1075" s="23" t="n">
        <f>J1075+K1075</f>
        <v>1</v>
      </c>
      <c r="M1075" s="23" t="n">
        <v>1</v>
      </c>
      <c r="N1075" s="23" t="n">
        <v>1</v>
      </c>
      <c r="O1075" s="23" t="n">
        <v>1</v>
      </c>
      <c r="P1075" s="23" t="n">
        <v>1</v>
      </c>
      <c r="Q1075" s="23" t="n">
        <f>MIN(O1075,P1075)</f>
        <v>1</v>
      </c>
      <c r="R1075" s="25" t="n">
        <f>IF(M1075=0,0,MIN(1,L1075/M1075))</f>
        <v>1</v>
      </c>
      <c r="S1075" s="23" t="n">
        <f>O1075*R1075</f>
        <v>1</v>
      </c>
      <c r="T1075" s="23" t="n">
        <f>MIN(P1075,S1075)</f>
        <v>1</v>
      </c>
      <c r="U1075" s="23" t="n">
        <f>O1075-S1075</f>
        <v>0</v>
      </c>
      <c r="V1075" s="23" t="n">
        <f>MAX(P1075-O1075,0)</f>
        <v>0</v>
      </c>
    </row>
    <row r="1076">
      <c r="A1076" s="19" t="str">
        <v>英国区</v>
      </c>
      <c r="B1076" s="19" t="str">
        <v>伯明翰23号仓</v>
      </c>
      <c r="C1076" s="19" t="str">
        <v>包装组</v>
      </c>
      <c r="D1076" s="21" t="n">
        <v>46141</v>
      </c>
      <c r="E1076" s="19" t="str">
        <v>2026-04</v>
      </c>
      <c r="F1076" s="19" t="str">
        <v>操作员</v>
      </c>
      <c r="G1076" s="19" t="str">
        <v>英国区09:00-17:30 / UK 09:00-17:30</v>
      </c>
      <c r="H1076" s="19" t="str">
        <v>S000007</v>
      </c>
      <c r="I1076" s="19" t="str">
        <v>Kenect</v>
      </c>
      <c r="J1076" s="23" t="n">
        <v>2</v>
      </c>
      <c r="K1076" s="23" t="n">
        <v>0</v>
      </c>
      <c r="L1076" s="23" t="n">
        <f>J1076+K1076</f>
        <v>2</v>
      </c>
      <c r="M1076" s="23" t="n">
        <v>2</v>
      </c>
      <c r="N1076" s="23" t="n">
        <v>2</v>
      </c>
      <c r="O1076" s="23" t="n">
        <v>2</v>
      </c>
      <c r="P1076" s="23" t="n">
        <v>2</v>
      </c>
      <c r="Q1076" s="23" t="n">
        <f>MIN(O1076,P1076)</f>
        <v>2</v>
      </c>
      <c r="R1076" s="25" t="n">
        <f>IF(M1076=0,0,MIN(1,L1076/M1076))</f>
        <v>1</v>
      </c>
      <c r="S1076" s="23" t="n">
        <f>O1076*R1076</f>
        <v>2</v>
      </c>
      <c r="T1076" s="23" t="n">
        <f>MIN(P1076,S1076)</f>
        <v>2</v>
      </c>
      <c r="U1076" s="23" t="n">
        <f>O1076-S1076</f>
        <v>0</v>
      </c>
      <c r="V1076" s="23" t="n">
        <f>MAX(P1076-O1076,0)</f>
        <v>0</v>
      </c>
    </row>
    <row r="1077">
      <c r="A1077" s="19" t="str">
        <v>英国区</v>
      </c>
      <c r="B1077" s="19" t="str">
        <v>伯明翰23号仓</v>
      </c>
      <c r="C1077" s="19" t="str">
        <v>包装组</v>
      </c>
      <c r="D1077" s="21" t="n">
        <v>46141</v>
      </c>
      <c r="E1077" s="19" t="str">
        <v>2026-04</v>
      </c>
      <c r="F1077" s="19" t="str">
        <v>操作员</v>
      </c>
      <c r="G1077" s="19" t="str">
        <v>英国区11:00-19:30 / UK 11:00-19:30</v>
      </c>
      <c r="H1077" s="19" t="str">
        <v>S000274</v>
      </c>
      <c r="I1077" s="19" t="str">
        <v>Jobsworth Recruitment Solutions Limited</v>
      </c>
      <c r="J1077" s="23" t="n">
        <v>1</v>
      </c>
      <c r="K1077" s="23" t="n">
        <v>0</v>
      </c>
      <c r="L1077" s="23" t="n">
        <f>J1077+K1077</f>
        <v>1</v>
      </c>
      <c r="M1077" s="23" t="n">
        <v>1</v>
      </c>
      <c r="N1077" s="23" t="n">
        <v>1</v>
      </c>
      <c r="O1077" s="23" t="n">
        <v>1</v>
      </c>
      <c r="P1077" s="23" t="n">
        <v>1</v>
      </c>
      <c r="Q1077" s="23" t="n">
        <f>MIN(O1077,P1077)</f>
        <v>1</v>
      </c>
      <c r="R1077" s="25" t="n">
        <f>IF(M1077=0,0,MIN(1,L1077/M1077))</f>
        <v>1</v>
      </c>
      <c r="S1077" s="23" t="n">
        <f>O1077*R1077</f>
        <v>1</v>
      </c>
      <c r="T1077" s="23" t="n">
        <f>MIN(P1077,S1077)</f>
        <v>1</v>
      </c>
      <c r="U1077" s="23" t="n">
        <f>O1077-S1077</f>
        <v>0</v>
      </c>
      <c r="V1077" s="23" t="n">
        <f>MAX(P1077-O1077,0)</f>
        <v>0</v>
      </c>
    </row>
    <row r="1078">
      <c r="A1078" s="19" t="str">
        <v>英国区</v>
      </c>
      <c r="B1078" s="19" t="str">
        <v>伯明翰23号仓</v>
      </c>
      <c r="C1078" s="19" t="str">
        <v>包装组</v>
      </c>
      <c r="D1078" s="21" t="n">
        <v>46142</v>
      </c>
      <c r="E1078" s="19" t="str">
        <v>2026-04</v>
      </c>
      <c r="F1078" s="19" t="str">
        <v>操作员</v>
      </c>
      <c r="G1078" s="19" t="str">
        <v>英国区11:00-19:30 / UK 11:00-19:30</v>
      </c>
      <c r="H1078" s="19" t="str">
        <v>S000011</v>
      </c>
      <c r="I1078" s="19" t="str">
        <v>SD4U</v>
      </c>
      <c r="J1078" s="23" t="n">
        <v>1</v>
      </c>
      <c r="K1078" s="23" t="n">
        <v>0</v>
      </c>
      <c r="L1078" s="23" t="n">
        <f>J1078+K1078</f>
        <v>1</v>
      </c>
      <c r="M1078" s="23" t="n">
        <v>1</v>
      </c>
      <c r="N1078" s="23" t="n">
        <v>1</v>
      </c>
      <c r="O1078" s="23" t="n">
        <v>1</v>
      </c>
      <c r="P1078" s="23" t="n">
        <v>1</v>
      </c>
      <c r="Q1078" s="23" t="n">
        <f>MIN(O1078,P1078)</f>
        <v>1</v>
      </c>
      <c r="R1078" s="25" t="n">
        <f>IF(M1078=0,0,MIN(1,L1078/M1078))</f>
        <v>1</v>
      </c>
      <c r="S1078" s="23" t="n">
        <f>O1078*R1078</f>
        <v>1</v>
      </c>
      <c r="T1078" s="23" t="n">
        <f>MIN(P1078,S1078)</f>
        <v>1</v>
      </c>
      <c r="U1078" s="23" t="n">
        <f>O1078-S1078</f>
        <v>0</v>
      </c>
      <c r="V1078" s="23" t="n">
        <f>MAX(P1078-O1078,0)</f>
        <v>0</v>
      </c>
    </row>
    <row r="1079">
      <c r="A1079" s="19" t="str">
        <v>英国区</v>
      </c>
      <c r="B1079" s="19" t="str">
        <v>伯明翰23号仓</v>
      </c>
      <c r="C1079" s="19" t="str">
        <v>包装组</v>
      </c>
      <c r="D1079" s="21" t="n">
        <v>46143</v>
      </c>
      <c r="E1079" s="19" t="str">
        <v>2026-05</v>
      </c>
      <c r="F1079" s="19" t="str">
        <v>操作员</v>
      </c>
      <c r="G1079" s="19" t="str">
        <v>英国区11:00-19:30 / UK 11:00-19:30</v>
      </c>
      <c r="H1079" s="19" t="str">
        <v>S000274</v>
      </c>
      <c r="I1079" s="19" t="str">
        <v>Jobsworth Recruitment Solutions Limited</v>
      </c>
      <c r="J1079" s="23" t="n">
        <v>1</v>
      </c>
      <c r="K1079" s="23" t="n">
        <v>0</v>
      </c>
      <c r="L1079" s="23" t="n">
        <f>J1079+K1079</f>
        <v>1</v>
      </c>
      <c r="M1079" s="23" t="n">
        <v>1</v>
      </c>
      <c r="N1079" s="23" t="n">
        <v>1</v>
      </c>
      <c r="O1079" s="23" t="n">
        <v>1</v>
      </c>
      <c r="P1079" s="23" t="n">
        <v>1</v>
      </c>
      <c r="Q1079" s="23" t="n">
        <f>MIN(O1079,P1079)</f>
        <v>1</v>
      </c>
      <c r="R1079" s="25" t="n">
        <f>IF(M1079=0,0,MIN(1,L1079/M1079))</f>
        <v>1</v>
      </c>
      <c r="S1079" s="23" t="n">
        <f>O1079*R1079</f>
        <v>1</v>
      </c>
      <c r="T1079" s="23" t="n">
        <f>MIN(P1079,S1079)</f>
        <v>1</v>
      </c>
      <c r="U1079" s="23" t="n">
        <f>O1079-S1079</f>
        <v>0</v>
      </c>
      <c r="V1079" s="23" t="n">
        <f>MAX(P1079-O1079,0)</f>
        <v>0</v>
      </c>
    </row>
    <row r="1080">
      <c r="A1080" s="19" t="str">
        <v>英国区</v>
      </c>
      <c r="B1080" s="19" t="str">
        <v>伯明翰23号仓</v>
      </c>
      <c r="C1080" s="19" t="str">
        <v>包装组</v>
      </c>
      <c r="D1080" s="21" t="n">
        <v>46145</v>
      </c>
      <c r="E1080" s="19" t="str">
        <v>2026-05</v>
      </c>
      <c r="F1080" s="19" t="str">
        <v>操作员</v>
      </c>
      <c r="G1080" s="19" t="str">
        <v>英国区10:00-18:30 / UK 10:00-18:30</v>
      </c>
      <c r="H1080" s="19" t="str">
        <v>S000007</v>
      </c>
      <c r="I1080" s="19" t="str">
        <v>Kenect</v>
      </c>
      <c r="J1080" s="23" t="n">
        <v>1</v>
      </c>
      <c r="K1080" s="23" t="n">
        <v>0</v>
      </c>
      <c r="L1080" s="23" t="n">
        <f>J1080+K1080</f>
        <v>1</v>
      </c>
      <c r="M1080" s="23" t="n">
        <v>1</v>
      </c>
      <c r="N1080" s="23" t="n">
        <v>1</v>
      </c>
      <c r="O1080" s="23" t="n">
        <v>1</v>
      </c>
      <c r="P1080" s="23" t="n">
        <v>1</v>
      </c>
      <c r="Q1080" s="23" t="n">
        <f>MIN(O1080,P1080)</f>
        <v>1</v>
      </c>
      <c r="R1080" s="25" t="n">
        <f>IF(M1080=0,0,MIN(1,L1080/M1080))</f>
        <v>1</v>
      </c>
      <c r="S1080" s="23" t="n">
        <f>O1080*R1080</f>
        <v>1</v>
      </c>
      <c r="T1080" s="23" t="n">
        <f>MIN(P1080,S1080)</f>
        <v>1</v>
      </c>
      <c r="U1080" s="23" t="n">
        <f>O1080-S1080</f>
        <v>0</v>
      </c>
      <c r="V1080" s="23" t="n">
        <f>MAX(P1080-O1080,0)</f>
        <v>0</v>
      </c>
    </row>
    <row r="1081">
      <c r="A1081" s="19" t="str">
        <v>英国区</v>
      </c>
      <c r="B1081" s="19" t="str">
        <v>伯明翰23号仓</v>
      </c>
      <c r="C1081" s="19" t="str">
        <v>包装组</v>
      </c>
      <c r="D1081" s="21" t="n">
        <v>46148</v>
      </c>
      <c r="E1081" s="19" t="str">
        <v>2026-05</v>
      </c>
      <c r="F1081" s="19" t="str">
        <v>操作员</v>
      </c>
      <c r="G1081" s="19" t="str">
        <v>英国区10:00-18:30 / UK 10:00-18:30</v>
      </c>
      <c r="H1081" s="19" t="str">
        <v>S000274</v>
      </c>
      <c r="I1081" s="19" t="str">
        <v>Jobsworth Recruitment Solutions Limited</v>
      </c>
      <c r="J1081" s="23" t="n">
        <v>2</v>
      </c>
      <c r="K1081" s="23" t="n">
        <v>0</v>
      </c>
      <c r="L1081" s="23" t="n">
        <f>J1081+K1081</f>
        <v>2</v>
      </c>
      <c r="M1081" s="23" t="n">
        <v>2</v>
      </c>
      <c r="N1081" s="23" t="n">
        <v>2</v>
      </c>
      <c r="O1081" s="23" t="n">
        <v>2</v>
      </c>
      <c r="P1081" s="23" t="n">
        <v>2</v>
      </c>
      <c r="Q1081" s="23" t="n">
        <f>MIN(O1081,P1081)</f>
        <v>2</v>
      </c>
      <c r="R1081" s="25" t="n">
        <f>IF(M1081=0,0,MIN(1,L1081/M1081))</f>
        <v>1</v>
      </c>
      <c r="S1081" s="23" t="n">
        <f>O1081*R1081</f>
        <v>2</v>
      </c>
      <c r="T1081" s="23" t="n">
        <f>MIN(P1081,S1081)</f>
        <v>2</v>
      </c>
      <c r="U1081" s="23" t="n">
        <f>O1081-S1081</f>
        <v>0</v>
      </c>
      <c r="V1081" s="23" t="n">
        <f>MAX(P1081-O1081,0)</f>
        <v>0</v>
      </c>
    </row>
    <row r="1082">
      <c r="A1082" s="19" t="str">
        <v>英国区</v>
      </c>
      <c r="B1082" s="19" t="str">
        <v>伯明翰23号仓</v>
      </c>
      <c r="C1082" s="19" t="str">
        <v>包装组</v>
      </c>
      <c r="D1082" s="21" t="n">
        <v>46149</v>
      </c>
      <c r="E1082" s="19" t="str">
        <v>2026-05</v>
      </c>
      <c r="F1082" s="19" t="str">
        <v>操作员</v>
      </c>
      <c r="G1082" s="19" t="str">
        <v>英国区10:00-18:30 / UK 10:00-18:30</v>
      </c>
      <c r="H1082" s="19" t="str">
        <v>S000011</v>
      </c>
      <c r="I1082" s="19" t="str">
        <v>SD4U</v>
      </c>
      <c r="J1082" s="23" t="n">
        <v>2</v>
      </c>
      <c r="K1082" s="23" t="n">
        <v>0</v>
      </c>
      <c r="L1082" s="23" t="n">
        <f>J1082+K1082</f>
        <v>2</v>
      </c>
      <c r="M1082" s="23" t="n">
        <v>2</v>
      </c>
      <c r="N1082" s="23" t="n">
        <v>0</v>
      </c>
      <c r="O1082" s="23" t="n">
        <v>2</v>
      </c>
      <c r="P1082" s="23" t="n">
        <v>0</v>
      </c>
      <c r="Q1082" s="23" t="n">
        <f>MIN(O1082,P1082)</f>
        <v>0</v>
      </c>
      <c r="R1082" s="25" t="n">
        <f>IF(M1082=0,0,MIN(1,L1082/M1082))</f>
        <v>1</v>
      </c>
      <c r="S1082" s="23" t="n">
        <f>O1082*R1082</f>
        <v>2</v>
      </c>
      <c r="T1082" s="23" t="n">
        <f>MIN(P1082,S1082)</f>
        <v>0</v>
      </c>
      <c r="U1082" s="23" t="n">
        <f>O1082-S1082</f>
        <v>0</v>
      </c>
      <c r="V1082" s="23" t="n">
        <f>MAX(P1082-O1082,0)</f>
        <v>0</v>
      </c>
    </row>
    <row r="1083">
      <c r="A1083" s="19" t="str">
        <v>英国区</v>
      </c>
      <c r="B1083" s="19" t="str">
        <v>伯明翰23号仓</v>
      </c>
      <c r="C1083" s="19" t="str">
        <v>包装组</v>
      </c>
      <c r="D1083" s="21" t="n">
        <v>46150</v>
      </c>
      <c r="E1083" s="19" t="str">
        <v>2026-05</v>
      </c>
      <c r="F1083" s="19" t="str">
        <v>操作员</v>
      </c>
      <c r="G1083" s="19" t="str">
        <v>英国区10:00-18:30 / UK 10:00-18:30</v>
      </c>
      <c r="H1083" s="19" t="str">
        <v>S000007</v>
      </c>
      <c r="I1083" s="19" t="str">
        <v>Kenect</v>
      </c>
      <c r="J1083" s="23" t="n">
        <v>2</v>
      </c>
      <c r="K1083" s="23" t="n">
        <v>0</v>
      </c>
      <c r="L1083" s="23" t="n">
        <f>J1083+K1083</f>
        <v>2</v>
      </c>
      <c r="M1083" s="23" t="n">
        <v>2</v>
      </c>
      <c r="N1083" s="23" t="n">
        <v>2</v>
      </c>
      <c r="O1083" s="23" t="n">
        <v>2</v>
      </c>
      <c r="P1083" s="23" t="n">
        <v>2</v>
      </c>
      <c r="Q1083" s="23" t="n">
        <f>MIN(O1083,P1083)</f>
        <v>2</v>
      </c>
      <c r="R1083" s="25" t="n">
        <f>IF(M1083=0,0,MIN(1,L1083/M1083))</f>
        <v>1</v>
      </c>
      <c r="S1083" s="23" t="n">
        <f>O1083*R1083</f>
        <v>2</v>
      </c>
      <c r="T1083" s="23" t="n">
        <f>MIN(P1083,S1083)</f>
        <v>2</v>
      </c>
      <c r="U1083" s="23" t="n">
        <f>O1083-S1083</f>
        <v>0</v>
      </c>
      <c r="V1083" s="23" t="n">
        <f>MAX(P1083-O1083,0)</f>
        <v>0</v>
      </c>
    </row>
    <row r="1084">
      <c r="A1084" s="19" t="str">
        <v>英国区</v>
      </c>
      <c r="B1084" s="19" t="str">
        <v>伯明翰23号仓</v>
      </c>
      <c r="C1084" s="19" t="str">
        <v>包装组</v>
      </c>
      <c r="D1084" s="21" t="n">
        <v>46153</v>
      </c>
      <c r="E1084" s="19" t="str">
        <v>2026-05</v>
      </c>
      <c r="F1084" s="19" t="str">
        <v>操作员</v>
      </c>
      <c r="G1084" s="19" t="str">
        <v>英国区11:00-19:30 / UK 11:00-19:30</v>
      </c>
      <c r="H1084" s="19" t="str">
        <v>S000011</v>
      </c>
      <c r="I1084" s="19" t="str">
        <v>SD4U</v>
      </c>
      <c r="J1084" s="23" t="n">
        <v>2</v>
      </c>
      <c r="K1084" s="23" t="n">
        <v>0</v>
      </c>
      <c r="L1084" s="23" t="n">
        <f>J1084+K1084</f>
        <v>2</v>
      </c>
      <c r="M1084" s="23" t="n">
        <v>2</v>
      </c>
      <c r="N1084" s="23" t="n">
        <v>2</v>
      </c>
      <c r="O1084" s="23" t="n">
        <v>2</v>
      </c>
      <c r="P1084" s="23" t="n">
        <v>2</v>
      </c>
      <c r="Q1084" s="23" t="n">
        <f>MIN(O1084,P1084)</f>
        <v>2</v>
      </c>
      <c r="R1084" s="25" t="n">
        <f>IF(M1084=0,0,MIN(1,L1084/M1084))</f>
        <v>1</v>
      </c>
      <c r="S1084" s="23" t="n">
        <f>O1084*R1084</f>
        <v>2</v>
      </c>
      <c r="T1084" s="23" t="n">
        <f>MIN(P1084,S1084)</f>
        <v>2</v>
      </c>
      <c r="U1084" s="23" t="n">
        <f>O1084-S1084</f>
        <v>0</v>
      </c>
      <c r="V1084" s="23" t="n">
        <f>MAX(P1084-O1084,0)</f>
        <v>0</v>
      </c>
    </row>
    <row r="1085">
      <c r="A1085" s="19" t="str">
        <v>英国区</v>
      </c>
      <c r="B1085" s="19" t="str">
        <v>伯明翰23号仓</v>
      </c>
      <c r="C1085" s="19" t="str">
        <v>包装组</v>
      </c>
      <c r="D1085" s="21" t="n">
        <v>46154</v>
      </c>
      <c r="E1085" s="19" t="str">
        <v>2026-05</v>
      </c>
      <c r="F1085" s="19" t="str">
        <v>操作员</v>
      </c>
      <c r="G1085" s="19" t="str">
        <v>英国区11:00-19:30 / UK 11:00-19:30</v>
      </c>
      <c r="H1085" s="19" t="str">
        <v>S000011</v>
      </c>
      <c r="I1085" s="19" t="str">
        <v>SD4U</v>
      </c>
      <c r="J1085" s="23" t="n">
        <v>1</v>
      </c>
      <c r="K1085" s="23" t="n">
        <v>0</v>
      </c>
      <c r="L1085" s="23" t="n">
        <f>J1085+K1085</f>
        <v>1</v>
      </c>
      <c r="M1085" s="23" t="n">
        <v>1</v>
      </c>
      <c r="N1085" s="23" t="n">
        <v>0</v>
      </c>
      <c r="O1085" s="23" t="n">
        <v>1</v>
      </c>
      <c r="P1085" s="23" t="n">
        <v>0</v>
      </c>
      <c r="Q1085" s="23" t="n">
        <f>MIN(O1085,P1085)</f>
        <v>0</v>
      </c>
      <c r="R1085" s="25" t="n">
        <f>IF(M1085=0,0,MIN(1,L1085/M1085))</f>
        <v>1</v>
      </c>
      <c r="S1085" s="23" t="n">
        <f>O1085*R1085</f>
        <v>1</v>
      </c>
      <c r="T1085" s="23" t="n">
        <f>MIN(P1085,S1085)</f>
        <v>0</v>
      </c>
      <c r="U1085" s="23" t="n">
        <f>O1085-S1085</f>
        <v>0</v>
      </c>
      <c r="V1085" s="23" t="n">
        <f>MAX(P1085-O1085,0)</f>
        <v>0</v>
      </c>
    </row>
    <row r="1086">
      <c r="A1086" s="19" t="str">
        <v>英国区</v>
      </c>
      <c r="B1086" s="19" t="str">
        <v>伯明翰23号仓</v>
      </c>
      <c r="C1086" s="19" t="str">
        <v>包装组</v>
      </c>
      <c r="D1086" s="21" t="n">
        <v>46155</v>
      </c>
      <c r="E1086" s="19" t="str">
        <v>2026-05</v>
      </c>
      <c r="F1086" s="19" t="str">
        <v>操作员</v>
      </c>
      <c r="G1086" s="19" t="str">
        <v>英国区10:00-18:30 / UK 10:00-18:30</v>
      </c>
      <c r="H1086" s="19" t="str">
        <v>S000274</v>
      </c>
      <c r="I1086" s="19" t="str">
        <v>Jobsworth Recruitment Solutions Limited</v>
      </c>
      <c r="J1086" s="23" t="n">
        <v>4</v>
      </c>
      <c r="K1086" s="23" t="n">
        <v>0</v>
      </c>
      <c r="L1086" s="23" t="n">
        <f>J1086+K1086</f>
        <v>4</v>
      </c>
      <c r="M1086" s="23" t="n">
        <v>4</v>
      </c>
      <c r="N1086" s="23" t="n">
        <v>4</v>
      </c>
      <c r="O1086" s="23" t="n">
        <v>4</v>
      </c>
      <c r="P1086" s="23" t="n">
        <v>4</v>
      </c>
      <c r="Q1086" s="23" t="n">
        <f>MIN(O1086,P1086)</f>
        <v>4</v>
      </c>
      <c r="R1086" s="25" t="n">
        <f>IF(M1086=0,0,MIN(1,L1086/M1086))</f>
        <v>1</v>
      </c>
      <c r="S1086" s="23" t="n">
        <f>O1086*R1086</f>
        <v>4</v>
      </c>
      <c r="T1086" s="23" t="n">
        <f>MIN(P1086,S1086)</f>
        <v>4</v>
      </c>
      <c r="U1086" s="23" t="n">
        <f>O1086-S1086</f>
        <v>0</v>
      </c>
      <c r="V1086" s="23" t="n">
        <f>MAX(P1086-O1086,0)</f>
        <v>0</v>
      </c>
    </row>
    <row r="1087">
      <c r="A1087" s="19" t="str">
        <v>英国区</v>
      </c>
      <c r="B1087" s="19" t="str">
        <v>伯明翰23号仓</v>
      </c>
      <c r="C1087" s="19" t="str">
        <v>包装组</v>
      </c>
      <c r="D1087" s="21" t="n">
        <v>46156</v>
      </c>
      <c r="E1087" s="19" t="str">
        <v>2026-05</v>
      </c>
      <c r="F1087" s="19" t="str">
        <v>操作员</v>
      </c>
      <c r="G1087" s="19" t="str">
        <v>英国区10:00-18:30 / UK 10:00-18:30</v>
      </c>
      <c r="H1087" s="19" t="str">
        <v>S000013</v>
      </c>
      <c r="I1087" s="19" t="str">
        <v>FT Recruitment</v>
      </c>
      <c r="J1087" s="23" t="n">
        <v>4</v>
      </c>
      <c r="K1087" s="23" t="n">
        <v>0</v>
      </c>
      <c r="L1087" s="23" t="n">
        <f>J1087+K1087</f>
        <v>4</v>
      </c>
      <c r="M1087" s="23" t="n">
        <v>4</v>
      </c>
      <c r="N1087" s="23" t="n">
        <v>0</v>
      </c>
      <c r="O1087" s="23" t="n">
        <v>4</v>
      </c>
      <c r="P1087" s="23" t="n">
        <v>0</v>
      </c>
      <c r="Q1087" s="23" t="n">
        <f>MIN(O1087,P1087)</f>
        <v>0</v>
      </c>
      <c r="R1087" s="25" t="n">
        <f>IF(M1087=0,0,MIN(1,L1087/M1087))</f>
        <v>1</v>
      </c>
      <c r="S1087" s="23" t="n">
        <f>O1087*R1087</f>
        <v>4</v>
      </c>
      <c r="T1087" s="23" t="n">
        <f>MIN(P1087,S1087)</f>
        <v>0</v>
      </c>
      <c r="U1087" s="23" t="n">
        <f>O1087-S1087</f>
        <v>0</v>
      </c>
      <c r="V1087" s="23" t="n">
        <f>MAX(P1087-O1087,0)</f>
        <v>0</v>
      </c>
    </row>
    <row r="1088">
      <c r="A1088" s="19" t="str">
        <v>英国区</v>
      </c>
      <c r="B1088" s="19" t="str">
        <v>伯明翰23号仓</v>
      </c>
      <c r="C1088" s="19" t="str">
        <v>包装组</v>
      </c>
      <c r="D1088" s="21" t="n">
        <v>46157</v>
      </c>
      <c r="E1088" s="19" t="str">
        <v>2026-05</v>
      </c>
      <c r="F1088" s="19" t="str">
        <v>操作员</v>
      </c>
      <c r="G1088" s="19" t="str">
        <v>英国区10:00-18:30 / UK 10:00-18:30</v>
      </c>
      <c r="H1088" s="19" t="str">
        <v>S000007</v>
      </c>
      <c r="I1088" s="19" t="str">
        <v>Kenect</v>
      </c>
      <c r="J1088" s="23" t="n">
        <v>2</v>
      </c>
      <c r="K1088" s="23" t="n">
        <v>0</v>
      </c>
      <c r="L1088" s="23" t="n">
        <f>J1088+K1088</f>
        <v>2</v>
      </c>
      <c r="M1088" s="23" t="n">
        <v>2</v>
      </c>
      <c r="N1088" s="23" t="n">
        <v>2</v>
      </c>
      <c r="O1088" s="23" t="n">
        <v>2</v>
      </c>
      <c r="P1088" s="23" t="n">
        <v>2</v>
      </c>
      <c r="Q1088" s="23" t="n">
        <f>MIN(O1088,P1088)</f>
        <v>2</v>
      </c>
      <c r="R1088" s="25" t="n">
        <f>IF(M1088=0,0,MIN(1,L1088/M1088))</f>
        <v>1</v>
      </c>
      <c r="S1088" s="23" t="n">
        <f>O1088*R1088</f>
        <v>2</v>
      </c>
      <c r="T1088" s="23" t="n">
        <f>MIN(P1088,S1088)</f>
        <v>2</v>
      </c>
      <c r="U1088" s="23" t="n">
        <f>O1088-S1088</f>
        <v>0</v>
      </c>
      <c r="V1088" s="23" t="n">
        <f>MAX(P1088-O1088,0)</f>
        <v>0</v>
      </c>
    </row>
    <row r="1089">
      <c r="A1089" s="19" t="str">
        <v>英国区</v>
      </c>
      <c r="B1089" s="19" t="str">
        <v>伯明翰23号仓</v>
      </c>
      <c r="C1089" s="19" t="str">
        <v>包装组</v>
      </c>
      <c r="D1089" s="21" t="n">
        <v>46162</v>
      </c>
      <c r="E1089" s="19" t="str">
        <v>2026-05</v>
      </c>
      <c r="F1089" s="19" t="str">
        <v>操作员</v>
      </c>
      <c r="G1089" s="19" t="str">
        <v>英国区11:00-19:30 / UK 11:00-19:30</v>
      </c>
      <c r="H1089" s="19" t="str">
        <v>S000132</v>
      </c>
      <c r="I1089" s="19" t="str">
        <v>HRA Recruitment Services</v>
      </c>
      <c r="J1089" s="23" t="n">
        <v>2</v>
      </c>
      <c r="K1089" s="23" t="n">
        <v>0</v>
      </c>
      <c r="L1089" s="23" t="n">
        <f>J1089+K1089</f>
        <v>2</v>
      </c>
      <c r="M1089" s="23" t="n">
        <v>2</v>
      </c>
      <c r="N1089" s="23" t="n">
        <v>2</v>
      </c>
      <c r="O1089" s="23" t="n">
        <v>2</v>
      </c>
      <c r="P1089" s="23" t="n">
        <v>2</v>
      </c>
      <c r="Q1089" s="23" t="n">
        <f>MIN(O1089,P1089)</f>
        <v>2</v>
      </c>
      <c r="R1089" s="25" t="n">
        <f>IF(M1089=0,0,MIN(1,L1089/M1089))</f>
        <v>1</v>
      </c>
      <c r="S1089" s="23" t="n">
        <f>O1089*R1089</f>
        <v>2</v>
      </c>
      <c r="T1089" s="23" t="n">
        <f>MIN(P1089,S1089)</f>
        <v>2</v>
      </c>
      <c r="U1089" s="23" t="n">
        <f>O1089-S1089</f>
        <v>0</v>
      </c>
      <c r="V1089" s="23" t="n">
        <f>MAX(P1089-O1089,0)</f>
        <v>0</v>
      </c>
    </row>
    <row r="1090">
      <c r="A1090" s="19" t="str">
        <v>英国区</v>
      </c>
      <c r="B1090" s="19" t="str">
        <v>伯明翰23号仓</v>
      </c>
      <c r="C1090" s="19" t="str">
        <v>包装组</v>
      </c>
      <c r="D1090" s="21" t="n">
        <v>46168</v>
      </c>
      <c r="E1090" s="19" t="str">
        <v>2026-05</v>
      </c>
      <c r="F1090" s="19" t="str">
        <v>操作员</v>
      </c>
      <c r="G1090" s="19" t="str">
        <v>英国区09:00-17:30 / UK 09:00-17:30</v>
      </c>
      <c r="H1090" s="19" t="str">
        <v>S000132</v>
      </c>
      <c r="I1090" s="19" t="str">
        <v>HRA Recruitment Services</v>
      </c>
      <c r="J1090" s="23" t="n">
        <v>6</v>
      </c>
      <c r="K1090" s="23" t="n">
        <v>0</v>
      </c>
      <c r="L1090" s="23" t="n">
        <f>J1090+K1090</f>
        <v>6</v>
      </c>
      <c r="M1090" s="23" t="n">
        <v>6</v>
      </c>
      <c r="N1090" s="23" t="n">
        <v>6</v>
      </c>
      <c r="O1090" s="23" t="n">
        <v>6</v>
      </c>
      <c r="P1090" s="23" t="n">
        <v>6</v>
      </c>
      <c r="Q1090" s="23" t="n">
        <f>MIN(O1090,P1090)</f>
        <v>6</v>
      </c>
      <c r="R1090" s="25" t="n">
        <f>IF(M1090=0,0,MIN(1,L1090/M1090))</f>
        <v>1</v>
      </c>
      <c r="S1090" s="23" t="n">
        <f>O1090*R1090</f>
        <v>6</v>
      </c>
      <c r="T1090" s="23" t="n">
        <f>MIN(P1090,S1090)</f>
        <v>6</v>
      </c>
      <c r="U1090" s="23" t="n">
        <f>O1090-S1090</f>
        <v>0</v>
      </c>
      <c r="V1090" s="23" t="n">
        <f>MAX(P1090-O1090,0)</f>
        <v>0</v>
      </c>
    </row>
    <row r="1091">
      <c r="A1091" s="19" t="str">
        <v>英国区</v>
      </c>
      <c r="B1091" s="19" t="str">
        <v>伯明翰23号仓</v>
      </c>
      <c r="C1091" s="19" t="str">
        <v>包装组</v>
      </c>
      <c r="D1091" s="21" t="n">
        <v>46168</v>
      </c>
      <c r="E1091" s="19" t="str">
        <v>2026-05</v>
      </c>
      <c r="F1091" s="19" t="str">
        <v>操作员</v>
      </c>
      <c r="G1091" s="19" t="str">
        <v>英国区11:00-19:30 / UK 11:00-19:30</v>
      </c>
      <c r="H1091" s="19" t="str">
        <v>S000274</v>
      </c>
      <c r="I1091" s="19" t="str">
        <v>Jobsworth Recruitment Solutions Limited</v>
      </c>
      <c r="J1091" s="23" t="n">
        <v>4</v>
      </c>
      <c r="K1091" s="23" t="n">
        <v>0</v>
      </c>
      <c r="L1091" s="23" t="n">
        <f>J1091+K1091</f>
        <v>4</v>
      </c>
      <c r="M1091" s="23" t="n">
        <v>4</v>
      </c>
      <c r="N1091" s="23" t="n">
        <v>4</v>
      </c>
      <c r="O1091" s="23" t="n">
        <v>4</v>
      </c>
      <c r="P1091" s="23" t="n">
        <v>4</v>
      </c>
      <c r="Q1091" s="23" t="n">
        <f>MIN(O1091,P1091)</f>
        <v>4</v>
      </c>
      <c r="R1091" s="25" t="n">
        <f>IF(M1091=0,0,MIN(1,L1091/M1091))</f>
        <v>1</v>
      </c>
      <c r="S1091" s="23" t="n">
        <f>O1091*R1091</f>
        <v>4</v>
      </c>
      <c r="T1091" s="23" t="n">
        <f>MIN(P1091,S1091)</f>
        <v>4</v>
      </c>
      <c r="U1091" s="23" t="n">
        <f>O1091-S1091</f>
        <v>0</v>
      </c>
      <c r="V1091" s="23" t="n">
        <f>MAX(P1091-O1091,0)</f>
        <v>0</v>
      </c>
    </row>
    <row r="1092">
      <c r="A1092" s="19" t="str">
        <v>英国区</v>
      </c>
      <c r="B1092" s="19" t="str">
        <v>伯明翰23号仓</v>
      </c>
      <c r="C1092" s="19" t="str">
        <v>包装组</v>
      </c>
      <c r="D1092" s="21" t="n">
        <v>46169</v>
      </c>
      <c r="E1092" s="19" t="str">
        <v>2026-05</v>
      </c>
      <c r="F1092" s="19" t="str">
        <v>操作员</v>
      </c>
      <c r="G1092" s="19" t="str">
        <v>英国区10:00-18:30 / UK 10:00-18:30</v>
      </c>
      <c r="H1092" s="19" t="str">
        <v>S000132</v>
      </c>
      <c r="I1092" s="19" t="str">
        <v>HRA Recruitment Services</v>
      </c>
      <c r="J1092" s="23" t="n">
        <v>3</v>
      </c>
      <c r="K1092" s="23" t="n">
        <v>0</v>
      </c>
      <c r="L1092" s="23" t="n">
        <f>J1092+K1092</f>
        <v>3</v>
      </c>
      <c r="M1092" s="23" t="n">
        <v>3</v>
      </c>
      <c r="N1092" s="23" t="n">
        <v>3</v>
      </c>
      <c r="O1092" s="23" t="n">
        <v>3</v>
      </c>
      <c r="P1092" s="23" t="n">
        <v>3</v>
      </c>
      <c r="Q1092" s="23" t="n">
        <f>MIN(O1092,P1092)</f>
        <v>3</v>
      </c>
      <c r="R1092" s="25" t="n">
        <f>IF(M1092=0,0,MIN(1,L1092/M1092))</f>
        <v>1</v>
      </c>
      <c r="S1092" s="23" t="n">
        <f>O1092*R1092</f>
        <v>3</v>
      </c>
      <c r="T1092" s="23" t="n">
        <f>MIN(P1092,S1092)</f>
        <v>3</v>
      </c>
      <c r="U1092" s="23" t="n">
        <f>O1092-S1092</f>
        <v>0</v>
      </c>
      <c r="V1092" s="23" t="n">
        <f>MAX(P1092-O1092,0)</f>
        <v>0</v>
      </c>
    </row>
    <row r="1093">
      <c r="A1093" s="19" t="str">
        <v>英国区</v>
      </c>
      <c r="B1093" s="19" t="str">
        <v>伯明翰23号仓</v>
      </c>
      <c r="C1093" s="19" t="str">
        <v>包装组</v>
      </c>
      <c r="D1093" s="21" t="n">
        <v>46170</v>
      </c>
      <c r="E1093" s="19" t="str">
        <v>2026-05</v>
      </c>
      <c r="F1093" s="19" t="str">
        <v>操作员</v>
      </c>
      <c r="G1093" s="19" t="str">
        <v>英国区09:00-17:30 / UK 09:00-17:30</v>
      </c>
      <c r="H1093" s="19" t="str">
        <v>S000011</v>
      </c>
      <c r="I1093" s="19" t="str">
        <v>SD4U</v>
      </c>
      <c r="J1093" s="23" t="n">
        <v>11</v>
      </c>
      <c r="K1093" s="23" t="n">
        <v>0</v>
      </c>
      <c r="L1093" s="23" t="n">
        <f>J1093+K1093</f>
        <v>11</v>
      </c>
      <c r="M1093" s="23" t="n">
        <v>11</v>
      </c>
      <c r="N1093" s="23" t="n">
        <v>11</v>
      </c>
      <c r="O1093" s="23" t="n">
        <v>3</v>
      </c>
      <c r="P1093" s="23" t="n">
        <v>3</v>
      </c>
      <c r="Q1093" s="23" t="n">
        <f>MIN(O1093,P1093)</f>
        <v>3</v>
      </c>
      <c r="R1093" s="25" t="n">
        <f>IF(M1093=0,0,MIN(1,L1093/M1093))</f>
        <v>1</v>
      </c>
      <c r="S1093" s="23" t="n">
        <f>O1093*R1093</f>
        <v>3</v>
      </c>
      <c r="T1093" s="23" t="n">
        <f>MIN(P1093,S1093)</f>
        <v>3</v>
      </c>
      <c r="U1093" s="23" t="n">
        <f>O1093-S1093</f>
        <v>0</v>
      </c>
      <c r="V1093" s="23" t="n">
        <f>MAX(P1093-O1093,0)</f>
        <v>0</v>
      </c>
    </row>
    <row r="1094">
      <c r="A1094" s="19" t="str">
        <v>英国区</v>
      </c>
      <c r="B1094" s="19" t="str">
        <v>伯明翰23号仓</v>
      </c>
      <c r="C1094" s="19" t="str">
        <v>包装组</v>
      </c>
      <c r="D1094" s="21" t="n">
        <v>46170</v>
      </c>
      <c r="E1094" s="19" t="str">
        <v>2026-05</v>
      </c>
      <c r="F1094" s="19" t="str">
        <v>操作员</v>
      </c>
      <c r="G1094" s="19" t="str">
        <v>英国区09:00-17:30 / UK 09:00-17:30</v>
      </c>
      <c r="H1094" s="19" t="str">
        <v>S000132</v>
      </c>
      <c r="I1094" s="19" t="str">
        <v>HRA Recruitment Services</v>
      </c>
      <c r="J1094" s="23" t="n">
        <v>11</v>
      </c>
      <c r="K1094" s="23" t="n">
        <v>0</v>
      </c>
      <c r="L1094" s="23" t="n">
        <f>J1094+K1094</f>
        <v>11</v>
      </c>
      <c r="M1094" s="23" t="n">
        <v>11</v>
      </c>
      <c r="N1094" s="23" t="n">
        <v>11</v>
      </c>
      <c r="O1094" s="23" t="n">
        <v>5</v>
      </c>
      <c r="P1094" s="23" t="n">
        <v>5</v>
      </c>
      <c r="Q1094" s="23" t="n">
        <f>MIN(O1094,P1094)</f>
        <v>5</v>
      </c>
      <c r="R1094" s="25" t="n">
        <f>IF(M1094=0,0,MIN(1,L1094/M1094))</f>
        <v>1</v>
      </c>
      <c r="S1094" s="23" t="n">
        <f>O1094*R1094</f>
        <v>5</v>
      </c>
      <c r="T1094" s="23" t="n">
        <f>MIN(P1094,S1094)</f>
        <v>5</v>
      </c>
      <c r="U1094" s="23" t="n">
        <f>O1094-S1094</f>
        <v>0</v>
      </c>
      <c r="V1094" s="23" t="n">
        <f>MAX(P1094-O1094,0)</f>
        <v>0</v>
      </c>
    </row>
    <row r="1095">
      <c r="A1095" s="19" t="str">
        <v>英国区</v>
      </c>
      <c r="B1095" s="19" t="str">
        <v>伯明翰23号仓</v>
      </c>
      <c r="C1095" s="19" t="str">
        <v>包装组</v>
      </c>
      <c r="D1095" s="21" t="n">
        <v>46170</v>
      </c>
      <c r="E1095" s="19" t="str">
        <v>2026-05</v>
      </c>
      <c r="F1095" s="19" t="str">
        <v>操作员</v>
      </c>
      <c r="G1095" s="19" t="str">
        <v>英国区09:00-17:30 / UK 09:00-17:30</v>
      </c>
      <c r="H1095" s="19" t="str">
        <v>S000274</v>
      </c>
      <c r="I1095" s="19" t="str">
        <v>Jobsworth Recruitment Solutions Limited</v>
      </c>
      <c r="J1095" s="23" t="n">
        <v>11</v>
      </c>
      <c r="K1095" s="23" t="n">
        <v>0</v>
      </c>
      <c r="L1095" s="23" t="n">
        <f>J1095+K1095</f>
        <v>11</v>
      </c>
      <c r="M1095" s="23" t="n">
        <v>11</v>
      </c>
      <c r="N1095" s="23" t="n">
        <v>11</v>
      </c>
      <c r="O1095" s="23" t="n">
        <v>3</v>
      </c>
      <c r="P1095" s="23" t="n">
        <v>3</v>
      </c>
      <c r="Q1095" s="23" t="n">
        <f>MIN(O1095,P1095)</f>
        <v>3</v>
      </c>
      <c r="R1095" s="25" t="n">
        <f>IF(M1095=0,0,MIN(1,L1095/M1095))</f>
        <v>1</v>
      </c>
      <c r="S1095" s="23" t="n">
        <f>O1095*R1095</f>
        <v>3</v>
      </c>
      <c r="T1095" s="23" t="n">
        <f>MIN(P1095,S1095)</f>
        <v>3</v>
      </c>
      <c r="U1095" s="23" t="n">
        <f>O1095-S1095</f>
        <v>0</v>
      </c>
      <c r="V1095" s="23" t="n">
        <f>MAX(P1095-O1095,0)</f>
        <v>0</v>
      </c>
    </row>
    <row r="1096">
      <c r="A1096" s="19" t="str">
        <v>英国区</v>
      </c>
      <c r="B1096" s="19" t="str">
        <v>伯明翰23号仓</v>
      </c>
      <c r="C1096" s="19" t="str">
        <v>包装组</v>
      </c>
      <c r="D1096" s="21" t="n">
        <v>46170</v>
      </c>
      <c r="E1096" s="19" t="str">
        <v>2026-05</v>
      </c>
      <c r="F1096" s="19" t="str">
        <v>操作员</v>
      </c>
      <c r="G1096" s="19" t="str">
        <v>英国区11:00-19:30 / UK 11:00-19:30</v>
      </c>
      <c r="H1096" s="19" t="str">
        <v>S000013</v>
      </c>
      <c r="I1096" s="19" t="str">
        <v>FT Recruitment</v>
      </c>
      <c r="J1096" s="23" t="n">
        <v>3</v>
      </c>
      <c r="K1096" s="23" t="n">
        <v>0</v>
      </c>
      <c r="L1096" s="23" t="n">
        <f>J1096+K1096</f>
        <v>3</v>
      </c>
      <c r="M1096" s="23" t="n">
        <v>3</v>
      </c>
      <c r="N1096" s="23" t="n">
        <v>0</v>
      </c>
      <c r="O1096" s="23" t="n">
        <v>3</v>
      </c>
      <c r="P1096" s="23" t="n">
        <v>0</v>
      </c>
      <c r="Q1096" s="23" t="n">
        <f>MIN(O1096,P1096)</f>
        <v>0</v>
      </c>
      <c r="R1096" s="25" t="n">
        <f>IF(M1096=0,0,MIN(1,L1096/M1096))</f>
        <v>1</v>
      </c>
      <c r="S1096" s="23" t="n">
        <f>O1096*R1096</f>
        <v>3</v>
      </c>
      <c r="T1096" s="23" t="n">
        <f>MIN(P1096,S1096)</f>
        <v>0</v>
      </c>
      <c r="U1096" s="23" t="n">
        <f>O1096-S1096</f>
        <v>0</v>
      </c>
      <c r="V1096" s="23" t="n">
        <f>MAX(P1096-O1096,0)</f>
        <v>0</v>
      </c>
    </row>
    <row r="1097">
      <c r="A1097" s="19" t="str">
        <v>英国区</v>
      </c>
      <c r="B1097" s="19" t="str">
        <v>伯明翰23号仓</v>
      </c>
      <c r="C1097" s="19" t="str">
        <v>包装组</v>
      </c>
      <c r="D1097" s="21" t="n">
        <v>46170</v>
      </c>
      <c r="E1097" s="19" t="str">
        <v>2026-05</v>
      </c>
      <c r="F1097" s="19" t="str">
        <v>操作员</v>
      </c>
      <c r="G1097" s="19" t="str">
        <v>英国区15:00-00:30 / UK 15:00-00:30</v>
      </c>
      <c r="H1097" s="19" t="str">
        <v>S000132</v>
      </c>
      <c r="I1097" s="19" t="str">
        <v>HRA Recruitment Services</v>
      </c>
      <c r="J1097" s="23" t="n">
        <v>1</v>
      </c>
      <c r="K1097" s="23" t="n">
        <v>0</v>
      </c>
      <c r="L1097" s="23" t="n">
        <f>J1097+K1097</f>
        <v>1</v>
      </c>
      <c r="M1097" s="23" t="n">
        <v>1</v>
      </c>
      <c r="N1097" s="23" t="n">
        <v>0</v>
      </c>
      <c r="O1097" s="23" t="n">
        <v>1</v>
      </c>
      <c r="P1097" s="23" t="n">
        <v>0</v>
      </c>
      <c r="Q1097" s="23" t="n">
        <f>MIN(O1097,P1097)</f>
        <v>0</v>
      </c>
      <c r="R1097" s="25" t="n">
        <f>IF(M1097=0,0,MIN(1,L1097/M1097))</f>
        <v>1</v>
      </c>
      <c r="S1097" s="23" t="n">
        <f>O1097*R1097</f>
        <v>1</v>
      </c>
      <c r="T1097" s="23" t="n">
        <f>MIN(P1097,S1097)</f>
        <v>0</v>
      </c>
      <c r="U1097" s="23" t="n">
        <f>O1097-S1097</f>
        <v>0</v>
      </c>
      <c r="V1097" s="23" t="n">
        <f>MAX(P1097-O1097,0)</f>
        <v>0</v>
      </c>
    </row>
    <row r="1098">
      <c r="A1098" s="19" t="str">
        <v>英国区</v>
      </c>
      <c r="B1098" s="19" t="str">
        <v>伯明翰23号仓</v>
      </c>
      <c r="C1098" s="19" t="str">
        <v>包装组</v>
      </c>
      <c r="D1098" s="21" t="n">
        <v>46174</v>
      </c>
      <c r="E1098" s="19" t="str">
        <v>2026-06</v>
      </c>
      <c r="F1098" s="19" t="str">
        <v>操作员</v>
      </c>
      <c r="G1098" s="19" t="str">
        <v>英国区09:00-17:30 / UK 09:00-17:30</v>
      </c>
      <c r="H1098" s="19" t="str">
        <v>S000011</v>
      </c>
      <c r="I1098" s="19" t="str">
        <v>SD4U</v>
      </c>
      <c r="J1098" s="23" t="n">
        <v>13</v>
      </c>
      <c r="K1098" s="23" t="n">
        <v>0</v>
      </c>
      <c r="L1098" s="23" t="n">
        <f>J1098+K1098</f>
        <v>13</v>
      </c>
      <c r="M1098" s="23" t="n">
        <v>20</v>
      </c>
      <c r="N1098" s="23" t="n">
        <v>5</v>
      </c>
      <c r="O1098" s="23" t="n">
        <v>5</v>
      </c>
      <c r="P1098" s="23" t="n">
        <v>3</v>
      </c>
      <c r="Q1098" s="23" t="n">
        <f>MIN(O1098,P1098)</f>
        <v>3</v>
      </c>
      <c r="R1098" s="25" t="n">
        <f>IF(M1098=0,0,MIN(1,L1098/M1098))</f>
        <v>0.65</v>
      </c>
      <c r="S1098" s="23" t="n">
        <f>O1098*R1098</f>
        <v>3.25</v>
      </c>
      <c r="T1098" s="23" t="n">
        <f>MIN(P1098,S1098)</f>
        <v>3</v>
      </c>
      <c r="U1098" s="23" t="n">
        <f>O1098-S1098</f>
        <v>1.75</v>
      </c>
      <c r="V1098" s="23" t="n">
        <f>MAX(P1098-O1098,0)</f>
        <v>0</v>
      </c>
    </row>
    <row r="1099">
      <c r="A1099" s="19" t="str">
        <v>英国区</v>
      </c>
      <c r="B1099" s="19" t="str">
        <v>伯明翰23号仓</v>
      </c>
      <c r="C1099" s="19" t="str">
        <v>包装组</v>
      </c>
      <c r="D1099" s="21" t="n">
        <v>46174</v>
      </c>
      <c r="E1099" s="19" t="str">
        <v>2026-06</v>
      </c>
      <c r="F1099" s="19" t="str">
        <v>操作员</v>
      </c>
      <c r="G1099" s="19" t="str">
        <v>英国区09:00-17:30 / UK 09:00-17:30</v>
      </c>
      <c r="H1099" s="19" t="str">
        <v>S000013</v>
      </c>
      <c r="I1099" s="19" t="str">
        <v>FT Recruitment</v>
      </c>
      <c r="J1099" s="23" t="n">
        <v>13</v>
      </c>
      <c r="K1099" s="23" t="n">
        <v>0</v>
      </c>
      <c r="L1099" s="23" t="n">
        <f>J1099+K1099</f>
        <v>13</v>
      </c>
      <c r="M1099" s="23" t="n">
        <v>20</v>
      </c>
      <c r="N1099" s="23" t="n">
        <v>5</v>
      </c>
      <c r="O1099" s="23" t="n">
        <v>5</v>
      </c>
      <c r="P1099" s="23" t="n">
        <v>2</v>
      </c>
      <c r="Q1099" s="23" t="n">
        <f>MIN(O1099,P1099)</f>
        <v>2</v>
      </c>
      <c r="R1099" s="25" t="n">
        <f>IF(M1099=0,0,MIN(1,L1099/M1099))</f>
        <v>0.65</v>
      </c>
      <c r="S1099" s="23" t="n">
        <f>O1099*R1099</f>
        <v>3.25</v>
      </c>
      <c r="T1099" s="23" t="n">
        <f>MIN(P1099,S1099)</f>
        <v>2</v>
      </c>
      <c r="U1099" s="23" t="n">
        <f>O1099-S1099</f>
        <v>1.75</v>
      </c>
      <c r="V1099" s="23" t="n">
        <f>MAX(P1099-O1099,0)</f>
        <v>0</v>
      </c>
    </row>
    <row r="1100">
      <c r="A1100" s="19" t="str">
        <v>英国区</v>
      </c>
      <c r="B1100" s="19" t="str">
        <v>伯明翰23号仓</v>
      </c>
      <c r="C1100" s="19" t="str">
        <v>包装组</v>
      </c>
      <c r="D1100" s="21" t="n">
        <v>46174</v>
      </c>
      <c r="E1100" s="19" t="str">
        <v>2026-06</v>
      </c>
      <c r="F1100" s="19" t="str">
        <v>操作员</v>
      </c>
      <c r="G1100" s="19" t="str">
        <v>英国区09:00-17:30 / UK 09:00-17:30</v>
      </c>
      <c r="H1100" s="19" t="str">
        <v>S000132</v>
      </c>
      <c r="I1100" s="19" t="str">
        <v>HRA Recruitment Services</v>
      </c>
      <c r="J1100" s="23" t="n">
        <v>13</v>
      </c>
      <c r="K1100" s="23" t="n">
        <v>0</v>
      </c>
      <c r="L1100" s="23" t="n">
        <f>J1100+K1100</f>
        <v>13</v>
      </c>
      <c r="M1100" s="23" t="n">
        <v>20</v>
      </c>
      <c r="N1100" s="23" t="n">
        <v>5</v>
      </c>
      <c r="O1100" s="23" t="n">
        <v>10</v>
      </c>
      <c r="P1100" s="23" t="n">
        <v>0</v>
      </c>
      <c r="Q1100" s="23" t="n">
        <f>MIN(O1100,P1100)</f>
        <v>0</v>
      </c>
      <c r="R1100" s="25" t="n">
        <f>IF(M1100=0,0,MIN(1,L1100/M1100))</f>
        <v>0.65</v>
      </c>
      <c r="S1100" s="23" t="n">
        <f>O1100*R1100</f>
        <v>6.5</v>
      </c>
      <c r="T1100" s="23" t="n">
        <f>MIN(P1100,S1100)</f>
        <v>0</v>
      </c>
      <c r="U1100" s="23" t="n">
        <f>O1100-S1100</f>
        <v>3.5</v>
      </c>
      <c r="V1100" s="23" t="n">
        <f>MAX(P1100-O1100,0)</f>
        <v>0</v>
      </c>
    </row>
    <row r="1101">
      <c r="A1101" s="19" t="str">
        <v>英国区</v>
      </c>
      <c r="B1101" s="19" t="str">
        <v>伯明翰23号仓</v>
      </c>
      <c r="C1101" s="19" t="str">
        <v>包装组</v>
      </c>
      <c r="D1101" s="21" t="n">
        <v>46174</v>
      </c>
      <c r="E1101" s="19" t="str">
        <v>2026-06</v>
      </c>
      <c r="F1101" s="19" t="str">
        <v>操作员</v>
      </c>
      <c r="G1101" s="19" t="str">
        <v>英国区15:00-00:30 / UK 15:00-00:30</v>
      </c>
      <c r="H1101" s="19" t="str">
        <v>S000011</v>
      </c>
      <c r="I1101" s="19" t="str">
        <v>SD4U</v>
      </c>
      <c r="J1101" s="23" t="n">
        <v>18</v>
      </c>
      <c r="K1101" s="23" t="n">
        <v>0</v>
      </c>
      <c r="L1101" s="23" t="n">
        <f>J1101+K1101</f>
        <v>18</v>
      </c>
      <c r="M1101" s="23" t="n">
        <v>20</v>
      </c>
      <c r="N1101" s="23" t="n">
        <v>16</v>
      </c>
      <c r="O1101" s="23" t="n">
        <v>5</v>
      </c>
      <c r="P1101" s="23" t="n">
        <v>3</v>
      </c>
      <c r="Q1101" s="23" t="n">
        <f>MIN(O1101,P1101)</f>
        <v>3</v>
      </c>
      <c r="R1101" s="25" t="n">
        <f>IF(M1101=0,0,MIN(1,L1101/M1101))</f>
        <v>0.9</v>
      </c>
      <c r="S1101" s="23" t="n">
        <f>O1101*R1101</f>
        <v>4.5</v>
      </c>
      <c r="T1101" s="23" t="n">
        <f>MIN(P1101,S1101)</f>
        <v>3</v>
      </c>
      <c r="U1101" s="23" t="n">
        <f>O1101-S1101</f>
        <v>0.5</v>
      </c>
      <c r="V1101" s="23" t="n">
        <f>MAX(P1101-O1101,0)</f>
        <v>0</v>
      </c>
    </row>
    <row r="1102">
      <c r="A1102" s="19" t="str">
        <v>英国区</v>
      </c>
      <c r="B1102" s="19" t="str">
        <v>伯明翰23号仓</v>
      </c>
      <c r="C1102" s="19" t="str">
        <v>包装组</v>
      </c>
      <c r="D1102" s="21" t="n">
        <v>46174</v>
      </c>
      <c r="E1102" s="19" t="str">
        <v>2026-06</v>
      </c>
      <c r="F1102" s="19" t="str">
        <v>操作员</v>
      </c>
      <c r="G1102" s="19" t="str">
        <v>英国区15:00-00:30 / UK 15:00-00:30</v>
      </c>
      <c r="H1102" s="19" t="str">
        <v>S000013</v>
      </c>
      <c r="I1102" s="19" t="str">
        <v>FT Recruitment</v>
      </c>
      <c r="J1102" s="23" t="n">
        <v>18</v>
      </c>
      <c r="K1102" s="23" t="n">
        <v>0</v>
      </c>
      <c r="L1102" s="23" t="n">
        <f>J1102+K1102</f>
        <v>18</v>
      </c>
      <c r="M1102" s="23" t="n">
        <v>20</v>
      </c>
      <c r="N1102" s="23" t="n">
        <v>16</v>
      </c>
      <c r="O1102" s="23" t="n">
        <v>5</v>
      </c>
      <c r="P1102" s="23" t="n">
        <v>5</v>
      </c>
      <c r="Q1102" s="23" t="n">
        <f>MIN(O1102,P1102)</f>
        <v>5</v>
      </c>
      <c r="R1102" s="25" t="n">
        <f>IF(M1102=0,0,MIN(1,L1102/M1102))</f>
        <v>0.9</v>
      </c>
      <c r="S1102" s="23" t="n">
        <f>O1102*R1102</f>
        <v>4.5</v>
      </c>
      <c r="T1102" s="23" t="n">
        <f>MIN(P1102,S1102)</f>
        <v>4.5</v>
      </c>
      <c r="U1102" s="23" t="n">
        <f>O1102-S1102</f>
        <v>0.5</v>
      </c>
      <c r="V1102" s="23" t="n">
        <f>MAX(P1102-O1102,0)</f>
        <v>0</v>
      </c>
    </row>
    <row r="1103">
      <c r="A1103" s="19" t="str">
        <v>英国区</v>
      </c>
      <c r="B1103" s="19" t="str">
        <v>伯明翰23号仓</v>
      </c>
      <c r="C1103" s="19" t="str">
        <v>包装组</v>
      </c>
      <c r="D1103" s="21" t="n">
        <v>46174</v>
      </c>
      <c r="E1103" s="19" t="str">
        <v>2026-06</v>
      </c>
      <c r="F1103" s="19" t="str">
        <v>操作员</v>
      </c>
      <c r="G1103" s="19" t="str">
        <v>英国区15:00-00:30 / UK 15:00-00:30</v>
      </c>
      <c r="H1103" s="19" t="str">
        <v>S000132</v>
      </c>
      <c r="I1103" s="19" t="str">
        <v>HRA Recruitment Services</v>
      </c>
      <c r="J1103" s="23" t="n">
        <v>18</v>
      </c>
      <c r="K1103" s="23" t="n">
        <v>0</v>
      </c>
      <c r="L1103" s="23" t="n">
        <f>J1103+K1103</f>
        <v>18</v>
      </c>
      <c r="M1103" s="23" t="n">
        <v>20</v>
      </c>
      <c r="N1103" s="23" t="n">
        <v>16</v>
      </c>
      <c r="O1103" s="23" t="n">
        <v>10</v>
      </c>
      <c r="P1103" s="23" t="n">
        <v>8</v>
      </c>
      <c r="Q1103" s="23" t="n">
        <f>MIN(O1103,P1103)</f>
        <v>8</v>
      </c>
      <c r="R1103" s="25" t="n">
        <f>IF(M1103=0,0,MIN(1,L1103/M1103))</f>
        <v>0.9</v>
      </c>
      <c r="S1103" s="23" t="n">
        <f>O1103*R1103</f>
        <v>9</v>
      </c>
      <c r="T1103" s="23" t="n">
        <f>MIN(P1103,S1103)</f>
        <v>8</v>
      </c>
      <c r="U1103" s="23" t="n">
        <f>O1103-S1103</f>
        <v>1</v>
      </c>
      <c r="V1103" s="23" t="n">
        <f>MAX(P1103-O1103,0)</f>
        <v>0</v>
      </c>
    </row>
    <row r="1104">
      <c r="A1104" s="19" t="str">
        <v>英国区</v>
      </c>
      <c r="B1104" s="19" t="str">
        <v>伯明翰23号仓</v>
      </c>
      <c r="C1104" s="19" t="str">
        <v>包装组</v>
      </c>
      <c r="D1104" s="21" t="n">
        <v>46174</v>
      </c>
      <c r="E1104" s="19" t="str">
        <v>2026-06</v>
      </c>
      <c r="F1104" s="19" t="str">
        <v>操作员</v>
      </c>
      <c r="G1104" s="19" t="str">
        <v>英国区22:00-06:30 / UK 22:00-06:30</v>
      </c>
      <c r="H1104" s="19" t="str">
        <v>S000011</v>
      </c>
      <c r="I1104" s="19" t="str">
        <v>SD4U</v>
      </c>
      <c r="J1104" s="23" t="n">
        <v>10</v>
      </c>
      <c r="K1104" s="23" t="n">
        <v>0</v>
      </c>
      <c r="L1104" s="23" t="n">
        <f>J1104+K1104</f>
        <v>10</v>
      </c>
      <c r="M1104" s="23" t="n">
        <v>20</v>
      </c>
      <c r="N1104" s="23" t="n">
        <v>16</v>
      </c>
      <c r="O1104" s="23" t="n">
        <v>5</v>
      </c>
      <c r="P1104" s="23" t="n">
        <v>5</v>
      </c>
      <c r="Q1104" s="23" t="n">
        <f>MIN(O1104,P1104)</f>
        <v>5</v>
      </c>
      <c r="R1104" s="25" t="n">
        <f>IF(M1104=0,0,MIN(1,L1104/M1104))</f>
        <v>0.5</v>
      </c>
      <c r="S1104" s="23" t="n">
        <f>O1104*R1104</f>
        <v>2.5</v>
      </c>
      <c r="T1104" s="23" t="n">
        <f>MIN(P1104,S1104)</f>
        <v>2.5</v>
      </c>
      <c r="U1104" s="23" t="n">
        <f>O1104-S1104</f>
        <v>2.5</v>
      </c>
      <c r="V1104" s="23" t="n">
        <f>MAX(P1104-O1104,0)</f>
        <v>0</v>
      </c>
    </row>
    <row r="1105">
      <c r="A1105" s="19" t="str">
        <v>英国区</v>
      </c>
      <c r="B1105" s="19" t="str">
        <v>伯明翰23号仓</v>
      </c>
      <c r="C1105" s="19" t="str">
        <v>包装组</v>
      </c>
      <c r="D1105" s="21" t="n">
        <v>46174</v>
      </c>
      <c r="E1105" s="19" t="str">
        <v>2026-06</v>
      </c>
      <c r="F1105" s="19" t="str">
        <v>操作员</v>
      </c>
      <c r="G1105" s="19" t="str">
        <v>英国区22:00-06:30 / UK 22:00-06:30</v>
      </c>
      <c r="H1105" s="19" t="str">
        <v>S000013</v>
      </c>
      <c r="I1105" s="19" t="str">
        <v>FT Recruitment</v>
      </c>
      <c r="J1105" s="23" t="n">
        <v>10</v>
      </c>
      <c r="K1105" s="23" t="n">
        <v>0</v>
      </c>
      <c r="L1105" s="23" t="n">
        <f>J1105+K1105</f>
        <v>10</v>
      </c>
      <c r="M1105" s="23" t="n">
        <v>20</v>
      </c>
      <c r="N1105" s="23" t="n">
        <v>16</v>
      </c>
      <c r="O1105" s="23" t="n">
        <v>5</v>
      </c>
      <c r="P1105" s="23" t="n">
        <v>1</v>
      </c>
      <c r="Q1105" s="23" t="n">
        <f>MIN(O1105,P1105)</f>
        <v>1</v>
      </c>
      <c r="R1105" s="25" t="n">
        <f>IF(M1105=0,0,MIN(1,L1105/M1105))</f>
        <v>0.5</v>
      </c>
      <c r="S1105" s="23" t="n">
        <f>O1105*R1105</f>
        <v>2.5</v>
      </c>
      <c r="T1105" s="23" t="n">
        <f>MIN(P1105,S1105)</f>
        <v>1</v>
      </c>
      <c r="U1105" s="23" t="n">
        <f>O1105-S1105</f>
        <v>2.5</v>
      </c>
      <c r="V1105" s="23" t="n">
        <f>MAX(P1105-O1105,0)</f>
        <v>0</v>
      </c>
    </row>
    <row r="1106">
      <c r="A1106" s="19" t="str">
        <v>英国区</v>
      </c>
      <c r="B1106" s="19" t="str">
        <v>伯明翰23号仓</v>
      </c>
      <c r="C1106" s="19" t="str">
        <v>包装组</v>
      </c>
      <c r="D1106" s="21" t="n">
        <v>46174</v>
      </c>
      <c r="E1106" s="19" t="str">
        <v>2026-06</v>
      </c>
      <c r="F1106" s="19" t="str">
        <v>操作员</v>
      </c>
      <c r="G1106" s="19" t="str">
        <v>英国区22:00-06:30 / UK 22:00-06:30</v>
      </c>
      <c r="H1106" s="19" t="str">
        <v>S000132</v>
      </c>
      <c r="I1106" s="19" t="str">
        <v>HRA Recruitment Services</v>
      </c>
      <c r="J1106" s="23" t="n">
        <v>10</v>
      </c>
      <c r="K1106" s="23" t="n">
        <v>0</v>
      </c>
      <c r="L1106" s="23" t="n">
        <f>J1106+K1106</f>
        <v>10</v>
      </c>
      <c r="M1106" s="23" t="n">
        <v>20</v>
      </c>
      <c r="N1106" s="23" t="n">
        <v>16</v>
      </c>
      <c r="O1106" s="23" t="n">
        <v>10</v>
      </c>
      <c r="P1106" s="23" t="n">
        <v>10</v>
      </c>
      <c r="Q1106" s="23" t="n">
        <f>MIN(O1106,P1106)</f>
        <v>10</v>
      </c>
      <c r="R1106" s="25" t="n">
        <f>IF(M1106=0,0,MIN(1,L1106/M1106))</f>
        <v>0.5</v>
      </c>
      <c r="S1106" s="23" t="n">
        <f>O1106*R1106</f>
        <v>5</v>
      </c>
      <c r="T1106" s="23" t="n">
        <f>MIN(P1106,S1106)</f>
        <v>5</v>
      </c>
      <c r="U1106" s="23" t="n">
        <f>O1106-S1106</f>
        <v>5</v>
      </c>
      <c r="V1106" s="23" t="n">
        <f>MAX(P1106-O1106,0)</f>
        <v>0</v>
      </c>
    </row>
    <row r="1107">
      <c r="A1107" s="19" t="str">
        <v>英国区</v>
      </c>
      <c r="B1107" s="19" t="str">
        <v>伯明翰23号仓</v>
      </c>
      <c r="C1107" s="19" t="str">
        <v>包装组</v>
      </c>
      <c r="D1107" s="21" t="n">
        <v>46175</v>
      </c>
      <c r="E1107" s="19" t="str">
        <v>2026-06</v>
      </c>
      <c r="F1107" s="19" t="str">
        <v>操作员</v>
      </c>
      <c r="G1107" s="19" t="str">
        <v>英国区09:00-17:30 / UK 09:00-17:30</v>
      </c>
      <c r="H1107" s="19" t="str">
        <v>S000011</v>
      </c>
      <c r="I1107" s="19" t="str">
        <v>SD4U</v>
      </c>
      <c r="J1107" s="23" t="n">
        <v>10</v>
      </c>
      <c r="K1107" s="23" t="n">
        <v>0</v>
      </c>
      <c r="L1107" s="23" t="n">
        <f>J1107+K1107</f>
        <v>10</v>
      </c>
      <c r="M1107" s="23" t="n">
        <v>20</v>
      </c>
      <c r="N1107" s="23" t="n">
        <v>18</v>
      </c>
      <c r="O1107" s="23" t="n">
        <v>5</v>
      </c>
      <c r="P1107" s="23" t="n">
        <v>3</v>
      </c>
      <c r="Q1107" s="23" t="n">
        <f>MIN(O1107,P1107)</f>
        <v>3</v>
      </c>
      <c r="R1107" s="25" t="n">
        <f>IF(M1107=0,0,MIN(1,L1107/M1107))</f>
        <v>0.5</v>
      </c>
      <c r="S1107" s="23" t="n">
        <f>O1107*R1107</f>
        <v>2.5</v>
      </c>
      <c r="T1107" s="23" t="n">
        <f>MIN(P1107,S1107)</f>
        <v>2.5</v>
      </c>
      <c r="U1107" s="23" t="n">
        <f>O1107-S1107</f>
        <v>2.5</v>
      </c>
      <c r="V1107" s="23" t="n">
        <f>MAX(P1107-O1107,0)</f>
        <v>0</v>
      </c>
    </row>
    <row r="1108">
      <c r="A1108" s="19" t="str">
        <v>英国区</v>
      </c>
      <c r="B1108" s="19" t="str">
        <v>伯明翰23号仓</v>
      </c>
      <c r="C1108" s="19" t="str">
        <v>包装组</v>
      </c>
      <c r="D1108" s="21" t="n">
        <v>46175</v>
      </c>
      <c r="E1108" s="19" t="str">
        <v>2026-06</v>
      </c>
      <c r="F1108" s="19" t="str">
        <v>操作员</v>
      </c>
      <c r="G1108" s="19" t="str">
        <v>英国区09:00-17:30 / UK 09:00-17:30</v>
      </c>
      <c r="H1108" s="19" t="str">
        <v>S000274</v>
      </c>
      <c r="I1108" s="19" t="str">
        <v>Jobsworth Recruitment Solutions Limited</v>
      </c>
      <c r="J1108" s="23" t="n">
        <v>10</v>
      </c>
      <c r="K1108" s="23" t="n">
        <v>0</v>
      </c>
      <c r="L1108" s="23" t="n">
        <f>J1108+K1108</f>
        <v>10</v>
      </c>
      <c r="M1108" s="23" t="n">
        <v>20</v>
      </c>
      <c r="N1108" s="23" t="n">
        <v>18</v>
      </c>
      <c r="O1108" s="23" t="n">
        <v>10</v>
      </c>
      <c r="P1108" s="23" t="n">
        <v>10</v>
      </c>
      <c r="Q1108" s="23" t="n">
        <f>MIN(O1108,P1108)</f>
        <v>10</v>
      </c>
      <c r="R1108" s="25" t="n">
        <f>IF(M1108=0,0,MIN(1,L1108/M1108))</f>
        <v>0.5</v>
      </c>
      <c r="S1108" s="23" t="n">
        <f>O1108*R1108</f>
        <v>5</v>
      </c>
      <c r="T1108" s="23" t="n">
        <f>MIN(P1108,S1108)</f>
        <v>5</v>
      </c>
      <c r="U1108" s="23" t="n">
        <f>O1108-S1108</f>
        <v>5</v>
      </c>
      <c r="V1108" s="23" t="n">
        <f>MAX(P1108-O1108,0)</f>
        <v>0</v>
      </c>
    </row>
    <row r="1109">
      <c r="A1109" s="19" t="str">
        <v>英国区</v>
      </c>
      <c r="B1109" s="19" t="str">
        <v>伯明翰23号仓</v>
      </c>
      <c r="C1109" s="19" t="str">
        <v>包装组</v>
      </c>
      <c r="D1109" s="21" t="n">
        <v>46175</v>
      </c>
      <c r="E1109" s="19" t="str">
        <v>2026-06</v>
      </c>
      <c r="F1109" s="19" t="str">
        <v>操作员</v>
      </c>
      <c r="G1109" s="19" t="str">
        <v>英国区09:00-17:30 / UK 09:00-17:30</v>
      </c>
      <c r="H1109" s="19" t="str">
        <v>S000331</v>
      </c>
      <c r="I1109" s="19" t="str">
        <v>Employment of London Limited</v>
      </c>
      <c r="J1109" s="23" t="n">
        <v>10</v>
      </c>
      <c r="K1109" s="23" t="n">
        <v>0</v>
      </c>
      <c r="L1109" s="23" t="n">
        <f>J1109+K1109</f>
        <v>10</v>
      </c>
      <c r="M1109" s="23" t="n">
        <v>20</v>
      </c>
      <c r="N1109" s="23" t="n">
        <v>18</v>
      </c>
      <c r="O1109" s="23" t="n">
        <v>5</v>
      </c>
      <c r="P1109" s="23" t="n">
        <v>5</v>
      </c>
      <c r="Q1109" s="23" t="n">
        <f>MIN(O1109,P1109)</f>
        <v>5</v>
      </c>
      <c r="R1109" s="25" t="n">
        <f>IF(M1109=0,0,MIN(1,L1109/M1109))</f>
        <v>0.5</v>
      </c>
      <c r="S1109" s="23" t="n">
        <f>O1109*R1109</f>
        <v>2.5</v>
      </c>
      <c r="T1109" s="23" t="n">
        <f>MIN(P1109,S1109)</f>
        <v>2.5</v>
      </c>
      <c r="U1109" s="23" t="n">
        <f>O1109-S1109</f>
        <v>2.5</v>
      </c>
      <c r="V1109" s="23" t="n">
        <f>MAX(P1109-O1109,0)</f>
        <v>0</v>
      </c>
    </row>
    <row r="1110">
      <c r="A1110" s="19" t="str">
        <v>英国区</v>
      </c>
      <c r="B1110" s="19" t="str">
        <v>伯明翰23号仓</v>
      </c>
      <c r="C1110" s="19" t="str">
        <v>包装组</v>
      </c>
      <c r="D1110" s="21" t="n">
        <v>46175</v>
      </c>
      <c r="E1110" s="19" t="str">
        <v>2026-06</v>
      </c>
      <c r="F1110" s="19" t="str">
        <v>操作员</v>
      </c>
      <c r="G1110" s="19" t="str">
        <v>英国区15:00-00:30 / UK 15:00-00:30</v>
      </c>
      <c r="H1110" s="19" t="str">
        <v>S000011</v>
      </c>
      <c r="I1110" s="19" t="str">
        <v>SD4U</v>
      </c>
      <c r="J1110" s="23" t="n">
        <v>10</v>
      </c>
      <c r="K1110" s="23" t="n">
        <v>0</v>
      </c>
      <c r="L1110" s="23" t="n">
        <f>J1110+K1110</f>
        <v>10</v>
      </c>
      <c r="M1110" s="23" t="n">
        <v>20</v>
      </c>
      <c r="N1110" s="23" t="n">
        <v>18</v>
      </c>
      <c r="O1110" s="23" t="n">
        <v>5</v>
      </c>
      <c r="P1110" s="23" t="n">
        <v>3</v>
      </c>
      <c r="Q1110" s="23" t="n">
        <f>MIN(O1110,P1110)</f>
        <v>3</v>
      </c>
      <c r="R1110" s="25" t="n">
        <f>IF(M1110=0,0,MIN(1,L1110/M1110))</f>
        <v>0.5</v>
      </c>
      <c r="S1110" s="23" t="n">
        <f>O1110*R1110</f>
        <v>2.5</v>
      </c>
      <c r="T1110" s="23" t="n">
        <f>MIN(P1110,S1110)</f>
        <v>2.5</v>
      </c>
      <c r="U1110" s="23" t="n">
        <f>O1110-S1110</f>
        <v>2.5</v>
      </c>
      <c r="V1110" s="23" t="n">
        <f>MAX(P1110-O1110,0)</f>
        <v>0</v>
      </c>
    </row>
    <row r="1111">
      <c r="A1111" s="19" t="str">
        <v>英国区</v>
      </c>
      <c r="B1111" s="19" t="str">
        <v>伯明翰23号仓</v>
      </c>
      <c r="C1111" s="19" t="str">
        <v>包装组</v>
      </c>
      <c r="D1111" s="21" t="n">
        <v>46175</v>
      </c>
      <c r="E1111" s="19" t="str">
        <v>2026-06</v>
      </c>
      <c r="F1111" s="19" t="str">
        <v>操作员</v>
      </c>
      <c r="G1111" s="19" t="str">
        <v>英国区15:00-00:30 / UK 15:00-00:30</v>
      </c>
      <c r="H1111" s="19" t="str">
        <v>S000274</v>
      </c>
      <c r="I1111" s="19" t="str">
        <v>Jobsworth Recruitment Solutions Limited</v>
      </c>
      <c r="J1111" s="23" t="n">
        <v>10</v>
      </c>
      <c r="K1111" s="23" t="n">
        <v>0</v>
      </c>
      <c r="L1111" s="23" t="n">
        <f>J1111+K1111</f>
        <v>10</v>
      </c>
      <c r="M1111" s="23" t="n">
        <v>20</v>
      </c>
      <c r="N1111" s="23" t="n">
        <v>18</v>
      </c>
      <c r="O1111" s="23" t="n">
        <v>10</v>
      </c>
      <c r="P1111" s="23" t="n">
        <v>10</v>
      </c>
      <c r="Q1111" s="23" t="n">
        <f>MIN(O1111,P1111)</f>
        <v>10</v>
      </c>
      <c r="R1111" s="25" t="n">
        <f>IF(M1111=0,0,MIN(1,L1111/M1111))</f>
        <v>0.5</v>
      </c>
      <c r="S1111" s="23" t="n">
        <f>O1111*R1111</f>
        <v>5</v>
      </c>
      <c r="T1111" s="23" t="n">
        <f>MIN(P1111,S1111)</f>
        <v>5</v>
      </c>
      <c r="U1111" s="23" t="n">
        <f>O1111-S1111</f>
        <v>5</v>
      </c>
      <c r="V1111" s="23" t="n">
        <f>MAX(P1111-O1111,0)</f>
        <v>0</v>
      </c>
    </row>
    <row r="1112">
      <c r="A1112" s="19" t="str">
        <v>英国区</v>
      </c>
      <c r="B1112" s="19" t="str">
        <v>伯明翰23号仓</v>
      </c>
      <c r="C1112" s="19" t="str">
        <v>包装组</v>
      </c>
      <c r="D1112" s="21" t="n">
        <v>46175</v>
      </c>
      <c r="E1112" s="19" t="str">
        <v>2026-06</v>
      </c>
      <c r="F1112" s="19" t="str">
        <v>操作员</v>
      </c>
      <c r="G1112" s="19" t="str">
        <v>英国区15:00-00:30 / UK 15:00-00:30</v>
      </c>
      <c r="H1112" s="19" t="str">
        <v>S000331</v>
      </c>
      <c r="I1112" s="19" t="str">
        <v>Employment of London Limited</v>
      </c>
      <c r="J1112" s="23" t="n">
        <v>10</v>
      </c>
      <c r="K1112" s="23" t="n">
        <v>0</v>
      </c>
      <c r="L1112" s="23" t="n">
        <f>J1112+K1112</f>
        <v>10</v>
      </c>
      <c r="M1112" s="23" t="n">
        <v>20</v>
      </c>
      <c r="N1112" s="23" t="n">
        <v>18</v>
      </c>
      <c r="O1112" s="23" t="n">
        <v>5</v>
      </c>
      <c r="P1112" s="23" t="n">
        <v>5</v>
      </c>
      <c r="Q1112" s="23" t="n">
        <f>MIN(O1112,P1112)</f>
        <v>5</v>
      </c>
      <c r="R1112" s="25" t="n">
        <f>IF(M1112=0,0,MIN(1,L1112/M1112))</f>
        <v>0.5</v>
      </c>
      <c r="S1112" s="23" t="n">
        <f>O1112*R1112</f>
        <v>2.5</v>
      </c>
      <c r="T1112" s="23" t="n">
        <f>MIN(P1112,S1112)</f>
        <v>2.5</v>
      </c>
      <c r="U1112" s="23" t="n">
        <f>O1112-S1112</f>
        <v>2.5</v>
      </c>
      <c r="V1112" s="23" t="n">
        <f>MAX(P1112-O1112,0)</f>
        <v>0</v>
      </c>
    </row>
    <row r="1113">
      <c r="A1113" s="19" t="str">
        <v>英国区</v>
      </c>
      <c r="B1113" s="19" t="str">
        <v>伯明翰23号仓</v>
      </c>
      <c r="C1113" s="19" t="str">
        <v>包装组</v>
      </c>
      <c r="D1113" s="21" t="n">
        <v>46175</v>
      </c>
      <c r="E1113" s="19" t="str">
        <v>2026-06</v>
      </c>
      <c r="F1113" s="19" t="str">
        <v>操作员</v>
      </c>
      <c r="G1113" s="19" t="str">
        <v>英国区22:00-06:30 / UK 22:00-06:30</v>
      </c>
      <c r="H1113" s="19" t="str">
        <v>S000011</v>
      </c>
      <c r="I1113" s="19" t="str">
        <v>SD4U</v>
      </c>
      <c r="J1113" s="23" t="n">
        <v>10</v>
      </c>
      <c r="K1113" s="23" t="n">
        <v>0</v>
      </c>
      <c r="L1113" s="23" t="n">
        <f>J1113+K1113</f>
        <v>10</v>
      </c>
      <c r="M1113" s="23" t="n">
        <v>20</v>
      </c>
      <c r="N1113" s="23" t="n">
        <v>20</v>
      </c>
      <c r="O1113" s="23" t="n">
        <v>5</v>
      </c>
      <c r="P1113" s="23" t="n">
        <v>5</v>
      </c>
      <c r="Q1113" s="23" t="n">
        <f>MIN(O1113,P1113)</f>
        <v>5</v>
      </c>
      <c r="R1113" s="25" t="n">
        <f>IF(M1113=0,0,MIN(1,L1113/M1113))</f>
        <v>0.5</v>
      </c>
      <c r="S1113" s="23" t="n">
        <f>O1113*R1113</f>
        <v>2.5</v>
      </c>
      <c r="T1113" s="23" t="n">
        <f>MIN(P1113,S1113)</f>
        <v>2.5</v>
      </c>
      <c r="U1113" s="23" t="n">
        <f>O1113-S1113</f>
        <v>2.5</v>
      </c>
      <c r="V1113" s="23" t="n">
        <f>MAX(P1113-O1113,0)</f>
        <v>0</v>
      </c>
    </row>
    <row r="1114">
      <c r="A1114" s="19" t="str">
        <v>英国区</v>
      </c>
      <c r="B1114" s="19" t="str">
        <v>伯明翰23号仓</v>
      </c>
      <c r="C1114" s="19" t="str">
        <v>包装组</v>
      </c>
      <c r="D1114" s="21" t="n">
        <v>46175</v>
      </c>
      <c r="E1114" s="19" t="str">
        <v>2026-06</v>
      </c>
      <c r="F1114" s="19" t="str">
        <v>操作员</v>
      </c>
      <c r="G1114" s="19" t="str">
        <v>英国区22:00-06:30 / UK 22:00-06:30</v>
      </c>
      <c r="H1114" s="19" t="str">
        <v>S000274</v>
      </c>
      <c r="I1114" s="19" t="str">
        <v>Jobsworth Recruitment Solutions Limited</v>
      </c>
      <c r="J1114" s="23" t="n">
        <v>10</v>
      </c>
      <c r="K1114" s="23" t="n">
        <v>0</v>
      </c>
      <c r="L1114" s="23" t="n">
        <f>J1114+K1114</f>
        <v>10</v>
      </c>
      <c r="M1114" s="23" t="n">
        <v>20</v>
      </c>
      <c r="N1114" s="23" t="n">
        <v>20</v>
      </c>
      <c r="O1114" s="23" t="n">
        <v>10</v>
      </c>
      <c r="P1114" s="23" t="n">
        <v>10</v>
      </c>
      <c r="Q1114" s="23" t="n">
        <f>MIN(O1114,P1114)</f>
        <v>10</v>
      </c>
      <c r="R1114" s="25" t="n">
        <f>IF(M1114=0,0,MIN(1,L1114/M1114))</f>
        <v>0.5</v>
      </c>
      <c r="S1114" s="23" t="n">
        <f>O1114*R1114</f>
        <v>5</v>
      </c>
      <c r="T1114" s="23" t="n">
        <f>MIN(P1114,S1114)</f>
        <v>5</v>
      </c>
      <c r="U1114" s="23" t="n">
        <f>O1114-S1114</f>
        <v>5</v>
      </c>
      <c r="V1114" s="23" t="n">
        <f>MAX(P1114-O1114,0)</f>
        <v>0</v>
      </c>
    </row>
    <row r="1115">
      <c r="A1115" s="19" t="str">
        <v>英国区</v>
      </c>
      <c r="B1115" s="19" t="str">
        <v>伯明翰23号仓</v>
      </c>
      <c r="C1115" s="19" t="str">
        <v>包装组</v>
      </c>
      <c r="D1115" s="21" t="n">
        <v>46175</v>
      </c>
      <c r="E1115" s="19" t="str">
        <v>2026-06</v>
      </c>
      <c r="F1115" s="19" t="str">
        <v>操作员</v>
      </c>
      <c r="G1115" s="19" t="str">
        <v>英国区22:00-06:30 / UK 22:00-06:30</v>
      </c>
      <c r="H1115" s="19" t="str">
        <v>S000331</v>
      </c>
      <c r="I1115" s="19" t="str">
        <v>Employment of London Limited</v>
      </c>
      <c r="J1115" s="23" t="n">
        <v>10</v>
      </c>
      <c r="K1115" s="23" t="n">
        <v>0</v>
      </c>
      <c r="L1115" s="23" t="n">
        <f>J1115+K1115</f>
        <v>10</v>
      </c>
      <c r="M1115" s="23" t="n">
        <v>20</v>
      </c>
      <c r="N1115" s="23" t="n">
        <v>20</v>
      </c>
      <c r="O1115" s="23" t="n">
        <v>5</v>
      </c>
      <c r="P1115" s="23" t="n">
        <v>5</v>
      </c>
      <c r="Q1115" s="23" t="n">
        <f>MIN(O1115,P1115)</f>
        <v>5</v>
      </c>
      <c r="R1115" s="25" t="n">
        <f>IF(M1115=0,0,MIN(1,L1115/M1115))</f>
        <v>0.5</v>
      </c>
      <c r="S1115" s="23" t="n">
        <f>O1115*R1115</f>
        <v>2.5</v>
      </c>
      <c r="T1115" s="23" t="n">
        <f>MIN(P1115,S1115)</f>
        <v>2.5</v>
      </c>
      <c r="U1115" s="23" t="n">
        <f>O1115-S1115</f>
        <v>2.5</v>
      </c>
      <c r="V1115" s="23" t="n">
        <f>MAX(P1115-O1115,0)</f>
        <v>0</v>
      </c>
    </row>
    <row r="1116">
      <c r="A1116" s="19" t="str">
        <v>英国区</v>
      </c>
      <c r="B1116" s="19" t="str">
        <v>伯明翰23号仓</v>
      </c>
      <c r="C1116" s="19" t="str">
        <v>包装组</v>
      </c>
      <c r="D1116" s="21" t="n">
        <v>46176</v>
      </c>
      <c r="E1116" s="19" t="str">
        <v>2026-06</v>
      </c>
      <c r="F1116" s="19" t="str">
        <v>操作员</v>
      </c>
      <c r="G1116" s="19" t="str">
        <v>英国区09:00-17:30 / UK 09:00-17:30</v>
      </c>
      <c r="H1116" s="19" t="str">
        <v>S000132</v>
      </c>
      <c r="I1116" s="19" t="str">
        <v>HRA Recruitment Services</v>
      </c>
      <c r="J1116" s="23" t="n">
        <v>10</v>
      </c>
      <c r="K1116" s="23" t="n">
        <v>0</v>
      </c>
      <c r="L1116" s="23" t="n">
        <f>J1116+K1116</f>
        <v>10</v>
      </c>
      <c r="M1116" s="23" t="n">
        <v>10</v>
      </c>
      <c r="N1116" s="23" t="n">
        <v>10</v>
      </c>
      <c r="O1116" s="23" t="n">
        <v>5</v>
      </c>
      <c r="P1116" s="23" t="n">
        <v>5</v>
      </c>
      <c r="Q1116" s="23" t="n">
        <f>MIN(O1116,P1116)</f>
        <v>5</v>
      </c>
      <c r="R1116" s="25" t="n">
        <f>IF(M1116=0,0,MIN(1,L1116/M1116))</f>
        <v>1</v>
      </c>
      <c r="S1116" s="23" t="n">
        <f>O1116*R1116</f>
        <v>5</v>
      </c>
      <c r="T1116" s="23" t="n">
        <f>MIN(P1116,S1116)</f>
        <v>5</v>
      </c>
      <c r="U1116" s="23" t="n">
        <f>O1116-S1116</f>
        <v>0</v>
      </c>
      <c r="V1116" s="23" t="n">
        <f>MAX(P1116-O1116,0)</f>
        <v>0</v>
      </c>
    </row>
    <row r="1117">
      <c r="A1117" s="19" t="str">
        <v>英国区</v>
      </c>
      <c r="B1117" s="19" t="str">
        <v>伯明翰23号仓</v>
      </c>
      <c r="C1117" s="19" t="str">
        <v>包装组</v>
      </c>
      <c r="D1117" s="21" t="n">
        <v>46176</v>
      </c>
      <c r="E1117" s="19" t="str">
        <v>2026-06</v>
      </c>
      <c r="F1117" s="19" t="str">
        <v>操作员</v>
      </c>
      <c r="G1117" s="19" t="str">
        <v>英国区09:00-17:30 / UK 09:00-17:30</v>
      </c>
      <c r="H1117" s="19" t="str">
        <v>S000331</v>
      </c>
      <c r="I1117" s="19" t="str">
        <v>Employment of London Limited</v>
      </c>
      <c r="J1117" s="23" t="n">
        <v>10</v>
      </c>
      <c r="K1117" s="23" t="n">
        <v>0</v>
      </c>
      <c r="L1117" s="23" t="n">
        <f>J1117+K1117</f>
        <v>10</v>
      </c>
      <c r="M1117" s="23" t="n">
        <v>10</v>
      </c>
      <c r="N1117" s="23" t="n">
        <v>10</v>
      </c>
      <c r="O1117" s="23" t="n">
        <v>5</v>
      </c>
      <c r="P1117" s="23" t="n">
        <v>5</v>
      </c>
      <c r="Q1117" s="23" t="n">
        <f>MIN(O1117,P1117)</f>
        <v>5</v>
      </c>
      <c r="R1117" s="25" t="n">
        <f>IF(M1117=0,0,MIN(1,L1117/M1117))</f>
        <v>1</v>
      </c>
      <c r="S1117" s="23" t="n">
        <f>O1117*R1117</f>
        <v>5</v>
      </c>
      <c r="T1117" s="23" t="n">
        <f>MIN(P1117,S1117)</f>
        <v>5</v>
      </c>
      <c r="U1117" s="23" t="n">
        <f>O1117-S1117</f>
        <v>0</v>
      </c>
      <c r="V1117" s="23" t="n">
        <f>MAX(P1117-O1117,0)</f>
        <v>0</v>
      </c>
    </row>
    <row r="1118">
      <c r="A1118" s="19" t="str">
        <v>英国区</v>
      </c>
      <c r="B1118" s="19" t="str">
        <v>伯明翰23号仓</v>
      </c>
      <c r="C1118" s="19" t="str">
        <v>包装组</v>
      </c>
      <c r="D1118" s="21" t="n">
        <v>46176</v>
      </c>
      <c r="E1118" s="19" t="str">
        <v>2026-06</v>
      </c>
      <c r="F1118" s="19" t="str">
        <v>操作员</v>
      </c>
      <c r="G1118" s="19" t="str">
        <v>英国区15:00-00:30 / UK 15:00-00:30</v>
      </c>
      <c r="H1118" s="19" t="str">
        <v>S000132</v>
      </c>
      <c r="I1118" s="19" t="str">
        <v>HRA Recruitment Services</v>
      </c>
      <c r="J1118" s="23" t="n">
        <v>10</v>
      </c>
      <c r="K1118" s="23" t="n">
        <v>0</v>
      </c>
      <c r="L1118" s="23" t="n">
        <f>J1118+K1118</f>
        <v>10</v>
      </c>
      <c r="M1118" s="23" t="n">
        <v>10</v>
      </c>
      <c r="N1118" s="23" t="n">
        <v>10</v>
      </c>
      <c r="O1118" s="23" t="n">
        <v>5</v>
      </c>
      <c r="P1118" s="23" t="n">
        <v>5</v>
      </c>
      <c r="Q1118" s="23" t="n">
        <f>MIN(O1118,P1118)</f>
        <v>5</v>
      </c>
      <c r="R1118" s="25" t="n">
        <f>IF(M1118=0,0,MIN(1,L1118/M1118))</f>
        <v>1</v>
      </c>
      <c r="S1118" s="23" t="n">
        <f>O1118*R1118</f>
        <v>5</v>
      </c>
      <c r="T1118" s="23" t="n">
        <f>MIN(P1118,S1118)</f>
        <v>5</v>
      </c>
      <c r="U1118" s="23" t="n">
        <f>O1118-S1118</f>
        <v>0</v>
      </c>
      <c r="V1118" s="23" t="n">
        <f>MAX(P1118-O1118,0)</f>
        <v>0</v>
      </c>
    </row>
    <row r="1119">
      <c r="A1119" s="19" t="str">
        <v>英国区</v>
      </c>
      <c r="B1119" s="19" t="str">
        <v>伯明翰23号仓</v>
      </c>
      <c r="C1119" s="19" t="str">
        <v>包装组</v>
      </c>
      <c r="D1119" s="21" t="n">
        <v>46176</v>
      </c>
      <c r="E1119" s="19" t="str">
        <v>2026-06</v>
      </c>
      <c r="F1119" s="19" t="str">
        <v>操作员</v>
      </c>
      <c r="G1119" s="19" t="str">
        <v>英国区15:00-00:30 / UK 15:00-00:30</v>
      </c>
      <c r="H1119" s="19" t="str">
        <v>S000331</v>
      </c>
      <c r="I1119" s="19" t="str">
        <v>Employment of London Limited</v>
      </c>
      <c r="J1119" s="23" t="n">
        <v>10</v>
      </c>
      <c r="K1119" s="23" t="n">
        <v>0</v>
      </c>
      <c r="L1119" s="23" t="n">
        <f>J1119+K1119</f>
        <v>10</v>
      </c>
      <c r="M1119" s="23" t="n">
        <v>10</v>
      </c>
      <c r="N1119" s="23" t="n">
        <v>10</v>
      </c>
      <c r="O1119" s="23" t="n">
        <v>5</v>
      </c>
      <c r="P1119" s="23" t="n">
        <v>5</v>
      </c>
      <c r="Q1119" s="23" t="n">
        <f>MIN(O1119,P1119)</f>
        <v>5</v>
      </c>
      <c r="R1119" s="25" t="n">
        <f>IF(M1119=0,0,MIN(1,L1119/M1119))</f>
        <v>1</v>
      </c>
      <c r="S1119" s="23" t="n">
        <f>O1119*R1119</f>
        <v>5</v>
      </c>
      <c r="T1119" s="23" t="n">
        <f>MIN(P1119,S1119)</f>
        <v>5</v>
      </c>
      <c r="U1119" s="23" t="n">
        <f>O1119-S1119</f>
        <v>0</v>
      </c>
      <c r="V1119" s="23" t="n">
        <f>MAX(P1119-O1119,0)</f>
        <v>0</v>
      </c>
    </row>
    <row r="1120">
      <c r="A1120" s="19" t="str">
        <v>英国区</v>
      </c>
      <c r="B1120" s="19" t="str">
        <v>伯明翰23号仓</v>
      </c>
      <c r="C1120" s="19" t="str">
        <v>包装组</v>
      </c>
      <c r="D1120" s="21" t="n">
        <v>46176</v>
      </c>
      <c r="E1120" s="19" t="str">
        <v>2026-06</v>
      </c>
      <c r="F1120" s="19" t="str">
        <v>操作员</v>
      </c>
      <c r="G1120" s="19" t="str">
        <v>英国区22:00-06:30 / UK 22:00-06:30</v>
      </c>
      <c r="H1120" s="19" t="str">
        <v>S000132</v>
      </c>
      <c r="I1120" s="19" t="str">
        <v>HRA Recruitment Services</v>
      </c>
      <c r="J1120" s="23" t="n">
        <v>10</v>
      </c>
      <c r="K1120" s="23" t="n">
        <v>0</v>
      </c>
      <c r="L1120" s="23" t="n">
        <f>J1120+K1120</f>
        <v>10</v>
      </c>
      <c r="M1120" s="23" t="n">
        <v>10</v>
      </c>
      <c r="N1120" s="23" t="n">
        <v>10</v>
      </c>
      <c r="O1120" s="23" t="n">
        <v>5</v>
      </c>
      <c r="P1120" s="23" t="n">
        <v>5</v>
      </c>
      <c r="Q1120" s="23" t="n">
        <f>MIN(O1120,P1120)</f>
        <v>5</v>
      </c>
      <c r="R1120" s="25" t="n">
        <f>IF(M1120=0,0,MIN(1,L1120/M1120))</f>
        <v>1</v>
      </c>
      <c r="S1120" s="23" t="n">
        <f>O1120*R1120</f>
        <v>5</v>
      </c>
      <c r="T1120" s="23" t="n">
        <f>MIN(P1120,S1120)</f>
        <v>5</v>
      </c>
      <c r="U1120" s="23" t="n">
        <f>O1120-S1120</f>
        <v>0</v>
      </c>
      <c r="V1120" s="23" t="n">
        <f>MAX(P1120-O1120,0)</f>
        <v>0</v>
      </c>
    </row>
    <row r="1121">
      <c r="A1121" s="19" t="str">
        <v>英国区</v>
      </c>
      <c r="B1121" s="19" t="str">
        <v>伯明翰23号仓</v>
      </c>
      <c r="C1121" s="19" t="str">
        <v>包装组</v>
      </c>
      <c r="D1121" s="21" t="n">
        <v>46176</v>
      </c>
      <c r="E1121" s="19" t="str">
        <v>2026-06</v>
      </c>
      <c r="F1121" s="19" t="str">
        <v>操作员</v>
      </c>
      <c r="G1121" s="19" t="str">
        <v>英国区22:00-06:30 / UK 22:00-06:30</v>
      </c>
      <c r="H1121" s="19" t="str">
        <v>S000331</v>
      </c>
      <c r="I1121" s="19" t="str">
        <v>Employment of London Limited</v>
      </c>
      <c r="J1121" s="23" t="n">
        <v>10</v>
      </c>
      <c r="K1121" s="23" t="n">
        <v>0</v>
      </c>
      <c r="L1121" s="23" t="n">
        <f>J1121+K1121</f>
        <v>10</v>
      </c>
      <c r="M1121" s="23" t="n">
        <v>10</v>
      </c>
      <c r="N1121" s="23" t="n">
        <v>10</v>
      </c>
      <c r="O1121" s="23" t="n">
        <v>5</v>
      </c>
      <c r="P1121" s="23" t="n">
        <v>5</v>
      </c>
      <c r="Q1121" s="23" t="n">
        <f>MIN(O1121,P1121)</f>
        <v>5</v>
      </c>
      <c r="R1121" s="25" t="n">
        <f>IF(M1121=0,0,MIN(1,L1121/M1121))</f>
        <v>1</v>
      </c>
      <c r="S1121" s="23" t="n">
        <f>O1121*R1121</f>
        <v>5</v>
      </c>
      <c r="T1121" s="23" t="n">
        <f>MIN(P1121,S1121)</f>
        <v>5</v>
      </c>
      <c r="U1121" s="23" t="n">
        <f>O1121-S1121</f>
        <v>0</v>
      </c>
      <c r="V1121" s="23" t="n">
        <f>MAX(P1121-O1121,0)</f>
        <v>0</v>
      </c>
    </row>
    <row r="1122">
      <c r="A1122" s="19" t="str">
        <v>英国区</v>
      </c>
      <c r="B1122" s="19" t="str">
        <v>伯明翰23号仓</v>
      </c>
      <c r="C1122" s="19" t="str">
        <v>包装组</v>
      </c>
      <c r="D1122" s="21" t="n">
        <v>46177</v>
      </c>
      <c r="E1122" s="19" t="str">
        <v>2026-06</v>
      </c>
      <c r="F1122" s="19" t="str">
        <v>操作员</v>
      </c>
      <c r="G1122" s="19" t="str">
        <v>英国区09:00-17:30 / UK 09:00-17:30</v>
      </c>
      <c r="H1122" s="19" t="str">
        <v>S000011</v>
      </c>
      <c r="I1122" s="19" t="str">
        <v>SD4U</v>
      </c>
      <c r="J1122" s="23" t="n">
        <v>10</v>
      </c>
      <c r="K1122" s="23" t="n">
        <v>0</v>
      </c>
      <c r="L1122" s="23" t="n">
        <f>J1122+K1122</f>
        <v>10</v>
      </c>
      <c r="M1122" s="23" t="n">
        <v>10</v>
      </c>
      <c r="N1122" s="23" t="n">
        <v>8</v>
      </c>
      <c r="O1122" s="23" t="n">
        <v>5</v>
      </c>
      <c r="P1122" s="23" t="n">
        <v>3</v>
      </c>
      <c r="Q1122" s="23" t="n">
        <f>MIN(O1122,P1122)</f>
        <v>3</v>
      </c>
      <c r="R1122" s="25" t="n">
        <f>IF(M1122=0,0,MIN(1,L1122/M1122))</f>
        <v>1</v>
      </c>
      <c r="S1122" s="23" t="n">
        <f>O1122*R1122</f>
        <v>5</v>
      </c>
      <c r="T1122" s="23" t="n">
        <f>MIN(P1122,S1122)</f>
        <v>3</v>
      </c>
      <c r="U1122" s="23" t="n">
        <f>O1122-S1122</f>
        <v>0</v>
      </c>
      <c r="V1122" s="23" t="n">
        <f>MAX(P1122-O1122,0)</f>
        <v>0</v>
      </c>
    </row>
    <row r="1123">
      <c r="A1123" s="19" t="str">
        <v>英国区</v>
      </c>
      <c r="B1123" s="19" t="str">
        <v>伯明翰23号仓</v>
      </c>
      <c r="C1123" s="19" t="str">
        <v>包装组</v>
      </c>
      <c r="D1123" s="21" t="n">
        <v>46177</v>
      </c>
      <c r="E1123" s="19" t="str">
        <v>2026-06</v>
      </c>
      <c r="F1123" s="19" t="str">
        <v>操作员</v>
      </c>
      <c r="G1123" s="19" t="str">
        <v>英国区09:00-17:30 / UK 09:00-17:30</v>
      </c>
      <c r="H1123" s="19" t="str">
        <v>S000274</v>
      </c>
      <c r="I1123" s="19" t="str">
        <v>Jobsworth Recruitment Solutions Limited</v>
      </c>
      <c r="J1123" s="23" t="n">
        <v>10</v>
      </c>
      <c r="K1123" s="23" t="n">
        <v>0</v>
      </c>
      <c r="L1123" s="23" t="n">
        <f>J1123+K1123</f>
        <v>10</v>
      </c>
      <c r="M1123" s="23" t="n">
        <v>10</v>
      </c>
      <c r="N1123" s="23" t="n">
        <v>8</v>
      </c>
      <c r="O1123" s="23" t="n">
        <v>5</v>
      </c>
      <c r="P1123" s="23" t="n">
        <v>5</v>
      </c>
      <c r="Q1123" s="23" t="n">
        <f>MIN(O1123,P1123)</f>
        <v>5</v>
      </c>
      <c r="R1123" s="25" t="n">
        <f>IF(M1123=0,0,MIN(1,L1123/M1123))</f>
        <v>1</v>
      </c>
      <c r="S1123" s="23" t="n">
        <f>O1123*R1123</f>
        <v>5</v>
      </c>
      <c r="T1123" s="23" t="n">
        <f>MIN(P1123,S1123)</f>
        <v>5</v>
      </c>
      <c r="U1123" s="23" t="n">
        <f>O1123-S1123</f>
        <v>0</v>
      </c>
      <c r="V1123" s="23" t="n">
        <f>MAX(P1123-O1123,0)</f>
        <v>0</v>
      </c>
    </row>
    <row r="1124">
      <c r="A1124" s="19" t="str">
        <v>英国区</v>
      </c>
      <c r="B1124" s="19" t="str">
        <v>伯明翰23号仓</v>
      </c>
      <c r="C1124" s="19" t="str">
        <v>包装组</v>
      </c>
      <c r="D1124" s="21" t="n">
        <v>46177</v>
      </c>
      <c r="E1124" s="19" t="str">
        <v>2026-06</v>
      </c>
      <c r="F1124" s="19" t="str">
        <v>操作员</v>
      </c>
      <c r="G1124" s="19" t="str">
        <v>英国区15:00-00:30 / UK 15:00-00:30</v>
      </c>
      <c r="H1124" s="19" t="str">
        <v>S000011</v>
      </c>
      <c r="I1124" s="19" t="str">
        <v>SD4U</v>
      </c>
      <c r="J1124" s="23" t="n">
        <v>13</v>
      </c>
      <c r="K1124" s="23" t="n">
        <v>0</v>
      </c>
      <c r="L1124" s="23" t="n">
        <f>J1124+K1124</f>
        <v>13</v>
      </c>
      <c r="M1124" s="23" t="n">
        <v>13</v>
      </c>
      <c r="N1124" s="23" t="n">
        <v>11</v>
      </c>
      <c r="O1124" s="23" t="n">
        <v>5</v>
      </c>
      <c r="P1124" s="23" t="n">
        <v>3</v>
      </c>
      <c r="Q1124" s="23" t="n">
        <f>MIN(O1124,P1124)</f>
        <v>3</v>
      </c>
      <c r="R1124" s="25" t="n">
        <f>IF(M1124=0,0,MIN(1,L1124/M1124))</f>
        <v>1</v>
      </c>
      <c r="S1124" s="23" t="n">
        <f>O1124*R1124</f>
        <v>5</v>
      </c>
      <c r="T1124" s="23" t="n">
        <f>MIN(P1124,S1124)</f>
        <v>3</v>
      </c>
      <c r="U1124" s="23" t="n">
        <f>O1124-S1124</f>
        <v>0</v>
      </c>
      <c r="V1124" s="23" t="n">
        <f>MAX(P1124-O1124,0)</f>
        <v>0</v>
      </c>
    </row>
    <row r="1125">
      <c r="A1125" s="19" t="str">
        <v>英国区</v>
      </c>
      <c r="B1125" s="19" t="str">
        <v>伯明翰23号仓</v>
      </c>
      <c r="C1125" s="19" t="str">
        <v>包装组</v>
      </c>
      <c r="D1125" s="21" t="n">
        <v>46177</v>
      </c>
      <c r="E1125" s="19" t="str">
        <v>2026-06</v>
      </c>
      <c r="F1125" s="19" t="str">
        <v>操作员</v>
      </c>
      <c r="G1125" s="19" t="str">
        <v>英国区15:00-00:30 / UK 15:00-00:30</v>
      </c>
      <c r="H1125" s="19" t="str">
        <v>S000274</v>
      </c>
      <c r="I1125" s="19" t="str">
        <v>Jobsworth Recruitment Solutions Limited</v>
      </c>
      <c r="J1125" s="23" t="n">
        <v>13</v>
      </c>
      <c r="K1125" s="23" t="n">
        <v>0</v>
      </c>
      <c r="L1125" s="23" t="n">
        <f>J1125+K1125</f>
        <v>13</v>
      </c>
      <c r="M1125" s="23" t="n">
        <v>13</v>
      </c>
      <c r="N1125" s="23" t="n">
        <v>11</v>
      </c>
      <c r="O1125" s="23" t="n">
        <v>5</v>
      </c>
      <c r="P1125" s="23" t="n">
        <v>5</v>
      </c>
      <c r="Q1125" s="23" t="n">
        <f>MIN(O1125,P1125)</f>
        <v>5</v>
      </c>
      <c r="R1125" s="25" t="n">
        <f>IF(M1125=0,0,MIN(1,L1125/M1125))</f>
        <v>1</v>
      </c>
      <c r="S1125" s="23" t="n">
        <f>O1125*R1125</f>
        <v>5</v>
      </c>
      <c r="T1125" s="23" t="n">
        <f>MIN(P1125,S1125)</f>
        <v>5</v>
      </c>
      <c r="U1125" s="23" t="n">
        <f>O1125-S1125</f>
        <v>0</v>
      </c>
      <c r="V1125" s="23" t="n">
        <f>MAX(P1125-O1125,0)</f>
        <v>0</v>
      </c>
    </row>
    <row r="1126">
      <c r="A1126" s="19" t="str">
        <v>英国区</v>
      </c>
      <c r="B1126" s="19" t="str">
        <v>伯明翰23号仓</v>
      </c>
      <c r="C1126" s="19" t="str">
        <v>包装组</v>
      </c>
      <c r="D1126" s="21" t="n">
        <v>46177</v>
      </c>
      <c r="E1126" s="19" t="str">
        <v>2026-06</v>
      </c>
      <c r="F1126" s="19" t="str">
        <v>操作员</v>
      </c>
      <c r="G1126" s="19" t="str">
        <v>英国区15:00-00:30 / UK 15:00-00:30</v>
      </c>
      <c r="H1126" s="19" t="str">
        <v>S000331</v>
      </c>
      <c r="I1126" s="19" t="str">
        <v>Employment of London Limited</v>
      </c>
      <c r="J1126" s="23" t="n">
        <v>13</v>
      </c>
      <c r="K1126" s="23" t="n">
        <v>0</v>
      </c>
      <c r="L1126" s="23" t="n">
        <f>J1126+K1126</f>
        <v>13</v>
      </c>
      <c r="M1126" s="23" t="n">
        <v>13</v>
      </c>
      <c r="N1126" s="23" t="n">
        <v>11</v>
      </c>
      <c r="O1126" s="23" t="n">
        <v>3</v>
      </c>
      <c r="P1126" s="23" t="n">
        <v>3</v>
      </c>
      <c r="Q1126" s="23" t="n">
        <f>MIN(O1126,P1126)</f>
        <v>3</v>
      </c>
      <c r="R1126" s="25" t="n">
        <f>IF(M1126=0,0,MIN(1,L1126/M1126))</f>
        <v>1</v>
      </c>
      <c r="S1126" s="23" t="n">
        <f>O1126*R1126</f>
        <v>3</v>
      </c>
      <c r="T1126" s="23" t="n">
        <f>MIN(P1126,S1126)</f>
        <v>3</v>
      </c>
      <c r="U1126" s="23" t="n">
        <f>O1126-S1126</f>
        <v>0</v>
      </c>
      <c r="V1126" s="23" t="n">
        <f>MAX(P1126-O1126,0)</f>
        <v>0</v>
      </c>
    </row>
    <row r="1127">
      <c r="A1127" s="19" t="str">
        <v>英国区</v>
      </c>
      <c r="B1127" s="19" t="str">
        <v>伯明翰23号仓</v>
      </c>
      <c r="C1127" s="19" t="str">
        <v>包装组</v>
      </c>
      <c r="D1127" s="21" t="n">
        <v>46177</v>
      </c>
      <c r="E1127" s="19" t="str">
        <v>2026-06</v>
      </c>
      <c r="F1127" s="19" t="str">
        <v>操作员</v>
      </c>
      <c r="G1127" s="19" t="str">
        <v>英国区22:00-06:30 / UK 22:00-06:30</v>
      </c>
      <c r="H1127" s="19" t="str">
        <v>S000011</v>
      </c>
      <c r="I1127" s="19" t="str">
        <v>SD4U</v>
      </c>
      <c r="J1127" s="23" t="n">
        <v>10</v>
      </c>
      <c r="K1127" s="23" t="n">
        <v>0</v>
      </c>
      <c r="L1127" s="23" t="n">
        <f>J1127+K1127</f>
        <v>10</v>
      </c>
      <c r="M1127" s="23" t="n">
        <v>10</v>
      </c>
      <c r="N1127" s="23" t="n">
        <v>10</v>
      </c>
      <c r="O1127" s="23" t="n">
        <v>5</v>
      </c>
      <c r="P1127" s="23" t="n">
        <v>5</v>
      </c>
      <c r="Q1127" s="23" t="n">
        <f>MIN(O1127,P1127)</f>
        <v>5</v>
      </c>
      <c r="R1127" s="25" t="n">
        <f>IF(M1127=0,0,MIN(1,L1127/M1127))</f>
        <v>1</v>
      </c>
      <c r="S1127" s="23" t="n">
        <f>O1127*R1127</f>
        <v>5</v>
      </c>
      <c r="T1127" s="23" t="n">
        <f>MIN(P1127,S1127)</f>
        <v>5</v>
      </c>
      <c r="U1127" s="23" t="n">
        <f>O1127-S1127</f>
        <v>0</v>
      </c>
      <c r="V1127" s="23" t="n">
        <f>MAX(P1127-O1127,0)</f>
        <v>0</v>
      </c>
    </row>
    <row r="1128">
      <c r="A1128" s="19" t="str">
        <v>英国区</v>
      </c>
      <c r="B1128" s="19" t="str">
        <v>伯明翰23号仓</v>
      </c>
      <c r="C1128" s="19" t="str">
        <v>包装组</v>
      </c>
      <c r="D1128" s="21" t="n">
        <v>46177</v>
      </c>
      <c r="E1128" s="19" t="str">
        <v>2026-06</v>
      </c>
      <c r="F1128" s="19" t="str">
        <v>操作员</v>
      </c>
      <c r="G1128" s="19" t="str">
        <v>英国区22:00-06:30 / UK 22:00-06:30</v>
      </c>
      <c r="H1128" s="19" t="str">
        <v>S000274</v>
      </c>
      <c r="I1128" s="19" t="str">
        <v>Jobsworth Recruitment Solutions Limited</v>
      </c>
      <c r="J1128" s="23" t="n">
        <v>10</v>
      </c>
      <c r="K1128" s="23" t="n">
        <v>0</v>
      </c>
      <c r="L1128" s="23" t="n">
        <f>J1128+K1128</f>
        <v>10</v>
      </c>
      <c r="M1128" s="23" t="n">
        <v>10</v>
      </c>
      <c r="N1128" s="23" t="n">
        <v>10</v>
      </c>
      <c r="O1128" s="23" t="n">
        <v>5</v>
      </c>
      <c r="P1128" s="23" t="n">
        <v>5</v>
      </c>
      <c r="Q1128" s="23" t="n">
        <f>MIN(O1128,P1128)</f>
        <v>5</v>
      </c>
      <c r="R1128" s="25" t="n">
        <f>IF(M1128=0,0,MIN(1,L1128/M1128))</f>
        <v>1</v>
      </c>
      <c r="S1128" s="23" t="n">
        <f>O1128*R1128</f>
        <v>5</v>
      </c>
      <c r="T1128" s="23" t="n">
        <f>MIN(P1128,S1128)</f>
        <v>5</v>
      </c>
      <c r="U1128" s="23" t="n">
        <f>O1128-S1128</f>
        <v>0</v>
      </c>
      <c r="V1128" s="23" t="n">
        <f>MAX(P1128-O1128,0)</f>
        <v>0</v>
      </c>
    </row>
    <row r="1129">
      <c r="A1129" s="19" t="str">
        <v>英国区</v>
      </c>
      <c r="B1129" s="19" t="str">
        <v>伯明翰23号仓</v>
      </c>
      <c r="C1129" s="19" t="str">
        <v>包装组</v>
      </c>
      <c r="D1129" s="21" t="n">
        <v>46178</v>
      </c>
      <c r="E1129" s="19" t="str">
        <v>2026-06</v>
      </c>
      <c r="F1129" s="19" t="str">
        <v>操作员</v>
      </c>
      <c r="G1129" s="19" t="str">
        <v>英国区09:00-17:30 / UK 09:00-17:30</v>
      </c>
      <c r="H1129" s="19" t="str">
        <v>S000007</v>
      </c>
      <c r="I1129" s="19" t="str">
        <v>Kenect</v>
      </c>
      <c r="J1129" s="23" t="n">
        <v>10</v>
      </c>
      <c r="K1129" s="23" t="n">
        <v>0</v>
      </c>
      <c r="L1129" s="23" t="n">
        <f>J1129+K1129</f>
        <v>10</v>
      </c>
      <c r="M1129" s="23" t="n">
        <v>10</v>
      </c>
      <c r="N1129" s="23" t="n">
        <v>10</v>
      </c>
      <c r="O1129" s="23" t="n">
        <v>5</v>
      </c>
      <c r="P1129" s="23" t="n">
        <v>5</v>
      </c>
      <c r="Q1129" s="23" t="n">
        <f>MIN(O1129,P1129)</f>
        <v>5</v>
      </c>
      <c r="R1129" s="25" t="n">
        <f>IF(M1129=0,0,MIN(1,L1129/M1129))</f>
        <v>1</v>
      </c>
      <c r="S1129" s="23" t="n">
        <f>O1129*R1129</f>
        <v>5</v>
      </c>
      <c r="T1129" s="23" t="n">
        <f>MIN(P1129,S1129)</f>
        <v>5</v>
      </c>
      <c r="U1129" s="23" t="n">
        <f>O1129-S1129</f>
        <v>0</v>
      </c>
      <c r="V1129" s="23" t="n">
        <f>MAX(P1129-O1129,0)</f>
        <v>0</v>
      </c>
    </row>
    <row r="1130">
      <c r="A1130" s="19" t="str">
        <v>英国区</v>
      </c>
      <c r="B1130" s="19" t="str">
        <v>伯明翰23号仓</v>
      </c>
      <c r="C1130" s="19" t="str">
        <v>包装组</v>
      </c>
      <c r="D1130" s="21" t="n">
        <v>46178</v>
      </c>
      <c r="E1130" s="19" t="str">
        <v>2026-06</v>
      </c>
      <c r="F1130" s="19" t="str">
        <v>操作员</v>
      </c>
      <c r="G1130" s="19" t="str">
        <v>英国区09:00-17:30 / UK 09:00-17:30</v>
      </c>
      <c r="H1130" s="19" t="str">
        <v>S000331</v>
      </c>
      <c r="I1130" s="19" t="str">
        <v>Employment of London Limited</v>
      </c>
      <c r="J1130" s="23" t="n">
        <v>10</v>
      </c>
      <c r="K1130" s="23" t="n">
        <v>0</v>
      </c>
      <c r="L1130" s="23" t="n">
        <f>J1130+K1130</f>
        <v>10</v>
      </c>
      <c r="M1130" s="23" t="n">
        <v>10</v>
      </c>
      <c r="N1130" s="23" t="n">
        <v>10</v>
      </c>
      <c r="O1130" s="23" t="n">
        <v>5</v>
      </c>
      <c r="P1130" s="23" t="n">
        <v>5</v>
      </c>
      <c r="Q1130" s="23" t="n">
        <f>MIN(O1130,P1130)</f>
        <v>5</v>
      </c>
      <c r="R1130" s="25" t="n">
        <f>IF(M1130=0,0,MIN(1,L1130/M1130))</f>
        <v>1</v>
      </c>
      <c r="S1130" s="23" t="n">
        <f>O1130*R1130</f>
        <v>5</v>
      </c>
      <c r="T1130" s="23" t="n">
        <f>MIN(P1130,S1130)</f>
        <v>5</v>
      </c>
      <c r="U1130" s="23" t="n">
        <f>O1130-S1130</f>
        <v>0</v>
      </c>
      <c r="V1130" s="23" t="n">
        <f>MAX(P1130-O1130,0)</f>
        <v>0</v>
      </c>
    </row>
    <row r="1131">
      <c r="A1131" s="19" t="str">
        <v>英国区</v>
      </c>
      <c r="B1131" s="19" t="str">
        <v>伯明翰23号仓</v>
      </c>
      <c r="C1131" s="19" t="str">
        <v>包装组</v>
      </c>
      <c r="D1131" s="21" t="n">
        <v>46178</v>
      </c>
      <c r="E1131" s="19" t="str">
        <v>2026-06</v>
      </c>
      <c r="F1131" s="19" t="str">
        <v>操作员</v>
      </c>
      <c r="G1131" s="19" t="str">
        <v>英国区15:00-00:30 / UK 15:00-00:30</v>
      </c>
      <c r="H1131" s="19" t="str">
        <v>S000007</v>
      </c>
      <c r="I1131" s="19" t="str">
        <v>Kenect</v>
      </c>
      <c r="J1131" s="23" t="n">
        <v>10</v>
      </c>
      <c r="K1131" s="23" t="n">
        <v>0</v>
      </c>
      <c r="L1131" s="23" t="n">
        <f>J1131+K1131</f>
        <v>10</v>
      </c>
      <c r="M1131" s="23" t="n">
        <v>10</v>
      </c>
      <c r="N1131" s="23" t="n">
        <v>9</v>
      </c>
      <c r="O1131" s="23" t="n">
        <v>5</v>
      </c>
      <c r="P1131" s="23" t="n">
        <v>4</v>
      </c>
      <c r="Q1131" s="23" t="n">
        <f>MIN(O1131,P1131)</f>
        <v>4</v>
      </c>
      <c r="R1131" s="25" t="n">
        <f>IF(M1131=0,0,MIN(1,L1131/M1131))</f>
        <v>1</v>
      </c>
      <c r="S1131" s="23" t="n">
        <f>O1131*R1131</f>
        <v>5</v>
      </c>
      <c r="T1131" s="23" t="n">
        <f>MIN(P1131,S1131)</f>
        <v>4</v>
      </c>
      <c r="U1131" s="23" t="n">
        <f>O1131-S1131</f>
        <v>0</v>
      </c>
      <c r="V1131" s="23" t="n">
        <f>MAX(P1131-O1131,0)</f>
        <v>0</v>
      </c>
    </row>
    <row r="1132">
      <c r="A1132" s="19" t="str">
        <v>英国区</v>
      </c>
      <c r="B1132" s="19" t="str">
        <v>伯明翰23号仓</v>
      </c>
      <c r="C1132" s="19" t="str">
        <v>包装组</v>
      </c>
      <c r="D1132" s="21" t="n">
        <v>46178</v>
      </c>
      <c r="E1132" s="19" t="str">
        <v>2026-06</v>
      </c>
      <c r="F1132" s="19" t="str">
        <v>操作员</v>
      </c>
      <c r="G1132" s="19" t="str">
        <v>英国区15:00-00:30 / UK 15:00-00:30</v>
      </c>
      <c r="H1132" s="19" t="str">
        <v>S000331</v>
      </c>
      <c r="I1132" s="19" t="str">
        <v>Employment of London Limited</v>
      </c>
      <c r="J1132" s="23" t="n">
        <v>10</v>
      </c>
      <c r="K1132" s="23" t="n">
        <v>0</v>
      </c>
      <c r="L1132" s="23" t="n">
        <f>J1132+K1132</f>
        <v>10</v>
      </c>
      <c r="M1132" s="23" t="n">
        <v>10</v>
      </c>
      <c r="N1132" s="23" t="n">
        <v>9</v>
      </c>
      <c r="O1132" s="23" t="n">
        <v>5</v>
      </c>
      <c r="P1132" s="23" t="n">
        <v>5</v>
      </c>
      <c r="Q1132" s="23" t="n">
        <f>MIN(O1132,P1132)</f>
        <v>5</v>
      </c>
      <c r="R1132" s="25" t="n">
        <f>IF(M1132=0,0,MIN(1,L1132/M1132))</f>
        <v>1</v>
      </c>
      <c r="S1132" s="23" t="n">
        <f>O1132*R1132</f>
        <v>5</v>
      </c>
      <c r="T1132" s="23" t="n">
        <f>MIN(P1132,S1132)</f>
        <v>5</v>
      </c>
      <c r="U1132" s="23" t="n">
        <f>O1132-S1132</f>
        <v>0</v>
      </c>
      <c r="V1132" s="23" t="n">
        <f>MAX(P1132-O1132,0)</f>
        <v>0</v>
      </c>
    </row>
    <row r="1133">
      <c r="A1133" s="19" t="str">
        <v>英国区</v>
      </c>
      <c r="B1133" s="19" t="str">
        <v>伯明翰23号仓</v>
      </c>
      <c r="C1133" s="19" t="str">
        <v>包装组</v>
      </c>
      <c r="D1133" s="21" t="n">
        <v>46178</v>
      </c>
      <c r="E1133" s="19" t="str">
        <v>2026-06</v>
      </c>
      <c r="F1133" s="19" t="str">
        <v>操作员</v>
      </c>
      <c r="G1133" s="19" t="str">
        <v>英国区22:00-06:30 / UK 22:00-06:30</v>
      </c>
      <c r="H1133" s="19" t="str">
        <v>S000007</v>
      </c>
      <c r="I1133" s="19" t="str">
        <v>Kenect</v>
      </c>
      <c r="J1133" s="23" t="n">
        <v>10</v>
      </c>
      <c r="K1133" s="23" t="n">
        <v>0</v>
      </c>
      <c r="L1133" s="23" t="n">
        <f>J1133+K1133</f>
        <v>10</v>
      </c>
      <c r="M1133" s="23" t="n">
        <v>10</v>
      </c>
      <c r="N1133" s="23" t="n">
        <v>9</v>
      </c>
      <c r="O1133" s="23" t="n">
        <v>5</v>
      </c>
      <c r="P1133" s="23" t="n">
        <v>4</v>
      </c>
      <c r="Q1133" s="23" t="n">
        <f>MIN(O1133,P1133)</f>
        <v>4</v>
      </c>
      <c r="R1133" s="25" t="n">
        <f>IF(M1133=0,0,MIN(1,L1133/M1133))</f>
        <v>1</v>
      </c>
      <c r="S1133" s="23" t="n">
        <f>O1133*R1133</f>
        <v>5</v>
      </c>
      <c r="T1133" s="23" t="n">
        <f>MIN(P1133,S1133)</f>
        <v>4</v>
      </c>
      <c r="U1133" s="23" t="n">
        <f>O1133-S1133</f>
        <v>0</v>
      </c>
      <c r="V1133" s="23" t="n">
        <f>MAX(P1133-O1133,0)</f>
        <v>0</v>
      </c>
    </row>
    <row r="1134">
      <c r="A1134" s="19" t="str">
        <v>英国区</v>
      </c>
      <c r="B1134" s="19" t="str">
        <v>伯明翰23号仓</v>
      </c>
      <c r="C1134" s="19" t="str">
        <v>包装组</v>
      </c>
      <c r="D1134" s="21" t="n">
        <v>46178</v>
      </c>
      <c r="E1134" s="19" t="str">
        <v>2026-06</v>
      </c>
      <c r="F1134" s="19" t="str">
        <v>操作员</v>
      </c>
      <c r="G1134" s="19" t="str">
        <v>英国区22:00-06:30 / UK 22:00-06:30</v>
      </c>
      <c r="H1134" s="19" t="str">
        <v>S000331</v>
      </c>
      <c r="I1134" s="19" t="str">
        <v>Employment of London Limited</v>
      </c>
      <c r="J1134" s="23" t="n">
        <v>10</v>
      </c>
      <c r="K1134" s="23" t="n">
        <v>0</v>
      </c>
      <c r="L1134" s="23" t="n">
        <f>J1134+K1134</f>
        <v>10</v>
      </c>
      <c r="M1134" s="23" t="n">
        <v>10</v>
      </c>
      <c r="N1134" s="23" t="n">
        <v>9</v>
      </c>
      <c r="O1134" s="23" t="n">
        <v>5</v>
      </c>
      <c r="P1134" s="23" t="n">
        <v>5</v>
      </c>
      <c r="Q1134" s="23" t="n">
        <f>MIN(O1134,P1134)</f>
        <v>5</v>
      </c>
      <c r="R1134" s="25" t="n">
        <f>IF(M1134=0,0,MIN(1,L1134/M1134))</f>
        <v>1</v>
      </c>
      <c r="S1134" s="23" t="n">
        <f>O1134*R1134</f>
        <v>5</v>
      </c>
      <c r="T1134" s="23" t="n">
        <f>MIN(P1134,S1134)</f>
        <v>5</v>
      </c>
      <c r="U1134" s="23" t="n">
        <f>O1134-S1134</f>
        <v>0</v>
      </c>
      <c r="V1134" s="23" t="n">
        <f>MAX(P1134-O1134,0)</f>
        <v>0</v>
      </c>
    </row>
    <row r="1135">
      <c r="A1135" s="19" t="str">
        <v>英国区</v>
      </c>
      <c r="B1135" s="19" t="str">
        <v>伯明翰23号仓</v>
      </c>
      <c r="C1135" s="19" t="str">
        <v>包装组</v>
      </c>
      <c r="D1135" s="21" t="n">
        <v>46181</v>
      </c>
      <c r="E1135" s="19" t="str">
        <v>2026-06</v>
      </c>
      <c r="F1135" s="19" t="str">
        <v>操作员</v>
      </c>
      <c r="G1135" s="19" t="str">
        <v>英国区10:00-18:30 / UK 10:00-18:30</v>
      </c>
      <c r="H1135" s="19" t="str">
        <v>S000132</v>
      </c>
      <c r="I1135" s="19" t="str">
        <v>HRA Recruitment Services</v>
      </c>
      <c r="J1135" s="23" t="n">
        <v>3</v>
      </c>
      <c r="K1135" s="23" t="n">
        <v>0</v>
      </c>
      <c r="L1135" s="23" t="n">
        <f>J1135+K1135</f>
        <v>3</v>
      </c>
      <c r="M1135" s="23" t="n">
        <v>3</v>
      </c>
      <c r="N1135" s="23" t="n">
        <v>3</v>
      </c>
      <c r="O1135" s="23" t="n">
        <v>3</v>
      </c>
      <c r="P1135" s="23" t="n">
        <v>3</v>
      </c>
      <c r="Q1135" s="23" t="n">
        <f>MIN(O1135,P1135)</f>
        <v>3</v>
      </c>
      <c r="R1135" s="25" t="n">
        <f>IF(M1135=0,0,MIN(1,L1135/M1135))</f>
        <v>1</v>
      </c>
      <c r="S1135" s="23" t="n">
        <f>O1135*R1135</f>
        <v>3</v>
      </c>
      <c r="T1135" s="23" t="n">
        <f>MIN(P1135,S1135)</f>
        <v>3</v>
      </c>
      <c r="U1135" s="23" t="n">
        <f>O1135-S1135</f>
        <v>0</v>
      </c>
      <c r="V1135" s="23" t="n">
        <f>MAX(P1135-O1135,0)</f>
        <v>0</v>
      </c>
    </row>
    <row r="1136">
      <c r="A1136" s="19" t="str">
        <v>英国区</v>
      </c>
      <c r="B1136" s="19" t="str">
        <v>伯明翰23号仓</v>
      </c>
      <c r="C1136" s="19" t="str">
        <v>包装组</v>
      </c>
      <c r="D1136" s="21" t="n">
        <v>46182</v>
      </c>
      <c r="E1136" s="19" t="str">
        <v>2026-06</v>
      </c>
      <c r="F1136" s="19" t="str">
        <v>操作员</v>
      </c>
      <c r="G1136" s="19" t="str">
        <v>英国区08:00-16:30 / UK 08:00-16:30</v>
      </c>
      <c r="H1136" s="19" t="str">
        <v>S000132</v>
      </c>
      <c r="I1136" s="19" t="str">
        <v>HRA Recruitment Services</v>
      </c>
      <c r="J1136" s="23" t="n">
        <v>5</v>
      </c>
      <c r="K1136" s="23" t="n">
        <v>0</v>
      </c>
      <c r="L1136" s="23" t="n">
        <f>J1136+K1136</f>
        <v>5</v>
      </c>
      <c r="M1136" s="23" t="n">
        <v>7</v>
      </c>
      <c r="N1136" s="23" t="n">
        <v>7</v>
      </c>
      <c r="O1136" s="23" t="n">
        <v>2</v>
      </c>
      <c r="P1136" s="23" t="n">
        <v>2</v>
      </c>
      <c r="Q1136" s="23" t="n">
        <f>MIN(O1136,P1136)</f>
        <v>2</v>
      </c>
      <c r="R1136" s="25" t="n">
        <f>IF(M1136=0,0,MIN(1,L1136/M1136))</f>
        <v>0.7142857142857143</v>
      </c>
      <c r="S1136" s="23" t="n">
        <f>O1136*R1136</f>
        <v>1.4285714285714286</v>
      </c>
      <c r="T1136" s="23" t="n">
        <f>MIN(P1136,S1136)</f>
        <v>1.4285714285714286</v>
      </c>
      <c r="U1136" s="23" t="n">
        <f>O1136-S1136</f>
        <v>0.5714285714285714</v>
      </c>
      <c r="V1136" s="23" t="n">
        <f>MAX(P1136-O1136,0)</f>
        <v>0</v>
      </c>
    </row>
    <row r="1137">
      <c r="A1137" s="19" t="str">
        <v>英国区</v>
      </c>
      <c r="B1137" s="19" t="str">
        <v>伯明翰23号仓</v>
      </c>
      <c r="C1137" s="19" t="str">
        <v>包装组</v>
      </c>
      <c r="D1137" s="21" t="n">
        <v>46182</v>
      </c>
      <c r="E1137" s="19" t="str">
        <v>2026-06</v>
      </c>
      <c r="F1137" s="19" t="str">
        <v>操作员</v>
      </c>
      <c r="G1137" s="19" t="str">
        <v>英国区08:00-16:30 / UK 08:00-16:30</v>
      </c>
      <c r="H1137" s="19" t="str">
        <v>S000331</v>
      </c>
      <c r="I1137" s="19" t="str">
        <v>Employment of London Limited</v>
      </c>
      <c r="J1137" s="23" t="n">
        <v>5</v>
      </c>
      <c r="K1137" s="23" t="n">
        <v>0</v>
      </c>
      <c r="L1137" s="23" t="n">
        <f>J1137+K1137</f>
        <v>5</v>
      </c>
      <c r="M1137" s="23" t="n">
        <v>7</v>
      </c>
      <c r="N1137" s="23" t="n">
        <v>7</v>
      </c>
      <c r="O1137" s="23" t="n">
        <v>5</v>
      </c>
      <c r="P1137" s="23" t="n">
        <v>5</v>
      </c>
      <c r="Q1137" s="23" t="n">
        <f>MIN(O1137,P1137)</f>
        <v>5</v>
      </c>
      <c r="R1137" s="25" t="n">
        <f>IF(M1137=0,0,MIN(1,L1137/M1137))</f>
        <v>0.7142857142857143</v>
      </c>
      <c r="S1137" s="23" t="n">
        <f>O1137*R1137</f>
        <v>3.5714285714285716</v>
      </c>
      <c r="T1137" s="23" t="n">
        <f>MIN(P1137,S1137)</f>
        <v>3.5714285714285716</v>
      </c>
      <c r="U1137" s="23" t="n">
        <f>O1137-S1137</f>
        <v>1.4285714285714284</v>
      </c>
      <c r="V1137" s="23" t="n">
        <f>MAX(P1137-O1137,0)</f>
        <v>0</v>
      </c>
    </row>
    <row r="1138">
      <c r="A1138" s="19" t="str">
        <v>英国区</v>
      </c>
      <c r="B1138" s="19" t="str">
        <v>伯明翰23号仓</v>
      </c>
      <c r="C1138" s="19" t="str">
        <v>包装组</v>
      </c>
      <c r="D1138" s="21" t="n">
        <v>46182</v>
      </c>
      <c r="E1138" s="19" t="str">
        <v>2026-06</v>
      </c>
      <c r="F1138" s="19" t="str">
        <v>操作员</v>
      </c>
      <c r="G1138" s="19" t="str">
        <v>英国区09:00-17:30 / UK 09:00-17:30</v>
      </c>
      <c r="H1138" s="19" t="str">
        <v>S000132</v>
      </c>
      <c r="I1138" s="19" t="str">
        <v>HRA Recruitment Services</v>
      </c>
      <c r="J1138" s="23" t="n">
        <v>2</v>
      </c>
      <c r="K1138" s="23" t="n">
        <v>0</v>
      </c>
      <c r="L1138" s="23" t="n">
        <f>J1138+K1138</f>
        <v>2</v>
      </c>
      <c r="M1138" s="23" t="n">
        <v>3</v>
      </c>
      <c r="N1138" s="23" t="n">
        <v>3</v>
      </c>
      <c r="O1138" s="23" t="n">
        <v>1</v>
      </c>
      <c r="P1138" s="23" t="n">
        <v>1</v>
      </c>
      <c r="Q1138" s="23" t="n">
        <f>MIN(O1138,P1138)</f>
        <v>1</v>
      </c>
      <c r="R1138" s="25" t="n">
        <f>IF(M1138=0,0,MIN(1,L1138/M1138))</f>
        <v>0.6666666666666666</v>
      </c>
      <c r="S1138" s="23" t="n">
        <f>O1138*R1138</f>
        <v>0.6666666666666666</v>
      </c>
      <c r="T1138" s="23" t="n">
        <f>MIN(P1138,S1138)</f>
        <v>0.6666666666666666</v>
      </c>
      <c r="U1138" s="23" t="n">
        <f>O1138-S1138</f>
        <v>0.33333333333333337</v>
      </c>
      <c r="V1138" s="23" t="n">
        <f>MAX(P1138-O1138,0)</f>
        <v>0</v>
      </c>
    </row>
    <row r="1139">
      <c r="A1139" s="19" t="str">
        <v>英国区</v>
      </c>
      <c r="B1139" s="19" t="str">
        <v>伯明翰23号仓</v>
      </c>
      <c r="C1139" s="19" t="str">
        <v>包装组</v>
      </c>
      <c r="D1139" s="21" t="n">
        <v>46182</v>
      </c>
      <c r="E1139" s="19" t="str">
        <v>2026-06</v>
      </c>
      <c r="F1139" s="19" t="str">
        <v>操作员</v>
      </c>
      <c r="G1139" s="19" t="str">
        <v>英国区09:00-17:30 / UK 09:00-17:30</v>
      </c>
      <c r="H1139" s="19" t="str">
        <v>S000331</v>
      </c>
      <c r="I1139" s="19" t="str">
        <v>Employment of London Limited</v>
      </c>
      <c r="J1139" s="23" t="n">
        <v>2</v>
      </c>
      <c r="K1139" s="23" t="n">
        <v>0</v>
      </c>
      <c r="L1139" s="23" t="n">
        <f>J1139+K1139</f>
        <v>2</v>
      </c>
      <c r="M1139" s="23" t="n">
        <v>3</v>
      </c>
      <c r="N1139" s="23" t="n">
        <v>3</v>
      </c>
      <c r="O1139" s="23" t="n">
        <v>2</v>
      </c>
      <c r="P1139" s="23" t="n">
        <v>2</v>
      </c>
      <c r="Q1139" s="23" t="n">
        <f>MIN(O1139,P1139)</f>
        <v>2</v>
      </c>
      <c r="R1139" s="25" t="n">
        <f>IF(M1139=0,0,MIN(1,L1139/M1139))</f>
        <v>0.6666666666666666</v>
      </c>
      <c r="S1139" s="23" t="n">
        <f>O1139*R1139</f>
        <v>1.3333333333333333</v>
      </c>
      <c r="T1139" s="23" t="n">
        <f>MIN(P1139,S1139)</f>
        <v>1.3333333333333333</v>
      </c>
      <c r="U1139" s="23" t="n">
        <f>O1139-S1139</f>
        <v>0.6666666666666667</v>
      </c>
      <c r="V1139" s="23" t="n">
        <f>MAX(P1139-O1139,0)</f>
        <v>0</v>
      </c>
    </row>
    <row r="1140">
      <c r="A1140" s="19" t="str">
        <v>英国区</v>
      </c>
      <c r="B1140" s="19" t="str">
        <v>伯明翰23号仓</v>
      </c>
      <c r="C1140" s="19" t="str">
        <v>包装组</v>
      </c>
      <c r="D1140" s="21" t="n">
        <v>46182</v>
      </c>
      <c r="E1140" s="19" t="str">
        <v>2026-06</v>
      </c>
      <c r="F1140" s="19" t="str">
        <v>操作员</v>
      </c>
      <c r="G1140" s="19" t="str">
        <v>英国区10:00-18:30 / UK 10:00-18:30</v>
      </c>
      <c r="H1140" s="19" t="str">
        <v>S000132</v>
      </c>
      <c r="I1140" s="19" t="str">
        <v>HRA Recruitment Services</v>
      </c>
      <c r="J1140" s="23" t="n">
        <v>4</v>
      </c>
      <c r="K1140" s="23" t="n">
        <v>0</v>
      </c>
      <c r="L1140" s="23" t="n">
        <f>J1140+K1140</f>
        <v>4</v>
      </c>
      <c r="M1140" s="23" t="n">
        <v>6</v>
      </c>
      <c r="N1140" s="23" t="n">
        <v>6</v>
      </c>
      <c r="O1140" s="23" t="n">
        <v>2</v>
      </c>
      <c r="P1140" s="23" t="n">
        <v>2</v>
      </c>
      <c r="Q1140" s="23" t="n">
        <f>MIN(O1140,P1140)</f>
        <v>2</v>
      </c>
      <c r="R1140" s="25" t="n">
        <f>IF(M1140=0,0,MIN(1,L1140/M1140))</f>
        <v>0.6666666666666666</v>
      </c>
      <c r="S1140" s="23" t="n">
        <f>O1140*R1140</f>
        <v>1.3333333333333333</v>
      </c>
      <c r="T1140" s="23" t="n">
        <f>MIN(P1140,S1140)</f>
        <v>1.3333333333333333</v>
      </c>
      <c r="U1140" s="23" t="n">
        <f>O1140-S1140</f>
        <v>0.6666666666666667</v>
      </c>
      <c r="V1140" s="23" t="n">
        <f>MAX(P1140-O1140,0)</f>
        <v>0</v>
      </c>
    </row>
    <row r="1141">
      <c r="A1141" s="19" t="str">
        <v>英国区</v>
      </c>
      <c r="B1141" s="19" t="str">
        <v>伯明翰23号仓</v>
      </c>
      <c r="C1141" s="19" t="str">
        <v>包装组</v>
      </c>
      <c r="D1141" s="21" t="n">
        <v>46182</v>
      </c>
      <c r="E1141" s="19" t="str">
        <v>2026-06</v>
      </c>
      <c r="F1141" s="19" t="str">
        <v>操作员</v>
      </c>
      <c r="G1141" s="19" t="str">
        <v>英国区10:00-18:30 / UK 10:00-18:30</v>
      </c>
      <c r="H1141" s="19" t="str">
        <v>S000331</v>
      </c>
      <c r="I1141" s="19" t="str">
        <v>Employment of London Limited</v>
      </c>
      <c r="J1141" s="23" t="n">
        <v>4</v>
      </c>
      <c r="K1141" s="23" t="n">
        <v>0</v>
      </c>
      <c r="L1141" s="23" t="n">
        <f>J1141+K1141</f>
        <v>4</v>
      </c>
      <c r="M1141" s="23" t="n">
        <v>6</v>
      </c>
      <c r="N1141" s="23" t="n">
        <v>6</v>
      </c>
      <c r="O1141" s="23" t="n">
        <v>4</v>
      </c>
      <c r="P1141" s="23" t="n">
        <v>4</v>
      </c>
      <c r="Q1141" s="23" t="n">
        <f>MIN(O1141,P1141)</f>
        <v>4</v>
      </c>
      <c r="R1141" s="25" t="n">
        <f>IF(M1141=0,0,MIN(1,L1141/M1141))</f>
        <v>0.6666666666666666</v>
      </c>
      <c r="S1141" s="23" t="n">
        <f>O1141*R1141</f>
        <v>2.6666666666666665</v>
      </c>
      <c r="T1141" s="23" t="n">
        <f>MIN(P1141,S1141)</f>
        <v>2.6666666666666665</v>
      </c>
      <c r="U1141" s="23" t="n">
        <f>O1141-S1141</f>
        <v>1.3333333333333335</v>
      </c>
      <c r="V1141" s="23" t="n">
        <f>MAX(P1141-O1141,0)</f>
        <v>0</v>
      </c>
    </row>
    <row r="1142">
      <c r="A1142" s="19" t="str">
        <v>英国区</v>
      </c>
      <c r="B1142" s="19" t="str">
        <v>伯明翰23号仓</v>
      </c>
      <c r="C1142" s="19" t="str">
        <v>包装组</v>
      </c>
      <c r="D1142" s="21" t="n">
        <v>46182</v>
      </c>
      <c r="E1142" s="19" t="str">
        <v>2026-06</v>
      </c>
      <c r="F1142" s="19" t="str">
        <v>操作员</v>
      </c>
      <c r="G1142" s="19" t="str">
        <v>英国区11:00-19:30 / UK 11:00-19:30</v>
      </c>
      <c r="H1142" s="19" t="str">
        <v>S000132</v>
      </c>
      <c r="I1142" s="19" t="str">
        <v>HRA Recruitment Services</v>
      </c>
      <c r="J1142" s="23" t="n">
        <v>1</v>
      </c>
      <c r="K1142" s="23" t="n">
        <v>0</v>
      </c>
      <c r="L1142" s="23" t="n">
        <f>J1142+K1142</f>
        <v>1</v>
      </c>
      <c r="M1142" s="23" t="n">
        <v>2</v>
      </c>
      <c r="N1142" s="23" t="n">
        <v>2</v>
      </c>
      <c r="O1142" s="23" t="n">
        <v>1</v>
      </c>
      <c r="P1142" s="23" t="n">
        <v>1</v>
      </c>
      <c r="Q1142" s="23" t="n">
        <f>MIN(O1142,P1142)</f>
        <v>1</v>
      </c>
      <c r="R1142" s="25" t="n">
        <f>IF(M1142=0,0,MIN(1,L1142/M1142))</f>
        <v>0.5</v>
      </c>
      <c r="S1142" s="23" t="n">
        <f>O1142*R1142</f>
        <v>0.5</v>
      </c>
      <c r="T1142" s="23" t="n">
        <f>MIN(P1142,S1142)</f>
        <v>0.5</v>
      </c>
      <c r="U1142" s="23" t="n">
        <f>O1142-S1142</f>
        <v>0.5</v>
      </c>
      <c r="V1142" s="23" t="n">
        <f>MAX(P1142-O1142,0)</f>
        <v>0</v>
      </c>
    </row>
    <row r="1143">
      <c r="A1143" s="19" t="str">
        <v>英国区</v>
      </c>
      <c r="B1143" s="19" t="str">
        <v>伯明翰23号仓</v>
      </c>
      <c r="C1143" s="19" t="str">
        <v>包装组</v>
      </c>
      <c r="D1143" s="21" t="n">
        <v>46182</v>
      </c>
      <c r="E1143" s="19" t="str">
        <v>2026-06</v>
      </c>
      <c r="F1143" s="19" t="str">
        <v>操作员</v>
      </c>
      <c r="G1143" s="19" t="str">
        <v>英国区11:00-19:30 / UK 11:00-19:30</v>
      </c>
      <c r="H1143" s="19" t="str">
        <v>S000331</v>
      </c>
      <c r="I1143" s="19" t="str">
        <v>Employment of London Limited</v>
      </c>
      <c r="J1143" s="23" t="n">
        <v>1</v>
      </c>
      <c r="K1143" s="23" t="n">
        <v>0</v>
      </c>
      <c r="L1143" s="23" t="n">
        <f>J1143+K1143</f>
        <v>1</v>
      </c>
      <c r="M1143" s="23" t="n">
        <v>2</v>
      </c>
      <c r="N1143" s="23" t="n">
        <v>2</v>
      </c>
      <c r="O1143" s="23" t="n">
        <v>1</v>
      </c>
      <c r="P1143" s="23" t="n">
        <v>1</v>
      </c>
      <c r="Q1143" s="23" t="n">
        <f>MIN(O1143,P1143)</f>
        <v>1</v>
      </c>
      <c r="R1143" s="25" t="n">
        <f>IF(M1143=0,0,MIN(1,L1143/M1143))</f>
        <v>0.5</v>
      </c>
      <c r="S1143" s="23" t="n">
        <f>O1143*R1143</f>
        <v>0.5</v>
      </c>
      <c r="T1143" s="23" t="n">
        <f>MIN(P1143,S1143)</f>
        <v>0.5</v>
      </c>
      <c r="U1143" s="23" t="n">
        <f>O1143-S1143</f>
        <v>0.5</v>
      </c>
      <c r="V1143" s="23" t="n">
        <f>MAX(P1143-O1143,0)</f>
        <v>0</v>
      </c>
    </row>
    <row r="1144">
      <c r="A1144" s="19" t="str">
        <v>英国区</v>
      </c>
      <c r="B1144" s="19" t="str">
        <v>伯明翰23号仓</v>
      </c>
      <c r="C1144" s="19" t="str">
        <v>包装组</v>
      </c>
      <c r="D1144" s="21" t="n">
        <v>46182</v>
      </c>
      <c r="E1144" s="19" t="str">
        <v>2026-06</v>
      </c>
      <c r="F1144" s="19" t="str">
        <v>操作员</v>
      </c>
      <c r="G1144" s="19" t="str">
        <v>英国区15:00-00:30 / UK 15:00-00:30</v>
      </c>
      <c r="H1144" s="19" t="str">
        <v>S000132</v>
      </c>
      <c r="I1144" s="19" t="str">
        <v>HRA Recruitment Services</v>
      </c>
      <c r="J1144" s="23" t="n">
        <v>5</v>
      </c>
      <c r="K1144" s="23" t="n">
        <v>0</v>
      </c>
      <c r="L1144" s="23" t="n">
        <f>J1144+K1144</f>
        <v>5</v>
      </c>
      <c r="M1144" s="23" t="n">
        <v>7</v>
      </c>
      <c r="N1144" s="23" t="n">
        <v>7</v>
      </c>
      <c r="O1144" s="23" t="n">
        <v>2</v>
      </c>
      <c r="P1144" s="23" t="n">
        <v>2</v>
      </c>
      <c r="Q1144" s="23" t="n">
        <f>MIN(O1144,P1144)</f>
        <v>2</v>
      </c>
      <c r="R1144" s="25" t="n">
        <f>IF(M1144=0,0,MIN(1,L1144/M1144))</f>
        <v>0.7142857142857143</v>
      </c>
      <c r="S1144" s="23" t="n">
        <f>O1144*R1144</f>
        <v>1.4285714285714286</v>
      </c>
      <c r="T1144" s="23" t="n">
        <f>MIN(P1144,S1144)</f>
        <v>1.4285714285714286</v>
      </c>
      <c r="U1144" s="23" t="n">
        <f>O1144-S1144</f>
        <v>0.5714285714285714</v>
      </c>
      <c r="V1144" s="23" t="n">
        <f>MAX(P1144-O1144,0)</f>
        <v>0</v>
      </c>
    </row>
    <row r="1145">
      <c r="A1145" s="19" t="str">
        <v>英国区</v>
      </c>
      <c r="B1145" s="19" t="str">
        <v>伯明翰23号仓</v>
      </c>
      <c r="C1145" s="19" t="str">
        <v>包装组</v>
      </c>
      <c r="D1145" s="21" t="n">
        <v>46182</v>
      </c>
      <c r="E1145" s="19" t="str">
        <v>2026-06</v>
      </c>
      <c r="F1145" s="19" t="str">
        <v>操作员</v>
      </c>
      <c r="G1145" s="19" t="str">
        <v>英国区15:00-00:30 / UK 15:00-00:30</v>
      </c>
      <c r="H1145" s="19" t="str">
        <v>S000331</v>
      </c>
      <c r="I1145" s="19" t="str">
        <v>Employment of London Limited</v>
      </c>
      <c r="J1145" s="23" t="n">
        <v>5</v>
      </c>
      <c r="K1145" s="23" t="n">
        <v>0</v>
      </c>
      <c r="L1145" s="23" t="n">
        <f>J1145+K1145</f>
        <v>5</v>
      </c>
      <c r="M1145" s="23" t="n">
        <v>7</v>
      </c>
      <c r="N1145" s="23" t="n">
        <v>7</v>
      </c>
      <c r="O1145" s="23" t="n">
        <v>5</v>
      </c>
      <c r="P1145" s="23" t="n">
        <v>5</v>
      </c>
      <c r="Q1145" s="23" t="n">
        <f>MIN(O1145,P1145)</f>
        <v>5</v>
      </c>
      <c r="R1145" s="25" t="n">
        <f>IF(M1145=0,0,MIN(1,L1145/M1145))</f>
        <v>0.7142857142857143</v>
      </c>
      <c r="S1145" s="23" t="n">
        <f>O1145*R1145</f>
        <v>3.5714285714285716</v>
      </c>
      <c r="T1145" s="23" t="n">
        <f>MIN(P1145,S1145)</f>
        <v>3.5714285714285716</v>
      </c>
      <c r="U1145" s="23" t="n">
        <f>O1145-S1145</f>
        <v>1.4285714285714284</v>
      </c>
      <c r="V1145" s="23" t="n">
        <f>MAX(P1145-O1145,0)</f>
        <v>0</v>
      </c>
    </row>
    <row r="1146">
      <c r="A1146" s="19" t="str">
        <v>英国区</v>
      </c>
      <c r="B1146" s="19" t="str">
        <v>伯明翰23号仓</v>
      </c>
      <c r="C1146" s="19" t="str">
        <v>包装组</v>
      </c>
      <c r="D1146" s="21" t="n">
        <v>46183</v>
      </c>
      <c r="E1146" s="19" t="str">
        <v>2026-06</v>
      </c>
      <c r="F1146" s="19" t="str">
        <v>操作员</v>
      </c>
      <c r="G1146" s="19" t="str">
        <v>英国区09:00-17:30 / UK 09:00-17:30</v>
      </c>
      <c r="H1146" s="19" t="str">
        <v>S000013</v>
      </c>
      <c r="I1146" s="19" t="str">
        <v>FT Recruitment</v>
      </c>
      <c r="J1146" s="23" t="n">
        <v>2</v>
      </c>
      <c r="K1146" s="23" t="n">
        <v>0</v>
      </c>
      <c r="L1146" s="23" t="n">
        <f>J1146+K1146</f>
        <v>2</v>
      </c>
      <c r="M1146" s="23" t="n">
        <v>2</v>
      </c>
      <c r="N1146" s="23" t="n">
        <v>2</v>
      </c>
      <c r="O1146" s="23" t="n">
        <v>2</v>
      </c>
      <c r="P1146" s="23" t="n">
        <v>2</v>
      </c>
      <c r="Q1146" s="23" t="n">
        <f>MIN(O1146,P1146)</f>
        <v>2</v>
      </c>
      <c r="R1146" s="25" t="n">
        <f>IF(M1146=0,0,MIN(1,L1146/M1146))</f>
        <v>1</v>
      </c>
      <c r="S1146" s="23" t="n">
        <f>O1146*R1146</f>
        <v>2</v>
      </c>
      <c r="T1146" s="23" t="n">
        <f>MIN(P1146,S1146)</f>
        <v>2</v>
      </c>
      <c r="U1146" s="23" t="n">
        <f>O1146-S1146</f>
        <v>0</v>
      </c>
      <c r="V1146" s="23" t="n">
        <f>MAX(P1146-O1146,0)</f>
        <v>0</v>
      </c>
    </row>
    <row r="1147">
      <c r="A1147" s="19" t="str">
        <v>英国区</v>
      </c>
      <c r="B1147" s="19" t="str">
        <v>伯明翰23号仓</v>
      </c>
      <c r="C1147" s="19" t="str">
        <v>包装组</v>
      </c>
      <c r="D1147" s="21" t="n">
        <v>46183</v>
      </c>
      <c r="E1147" s="19" t="str">
        <v>2026-06</v>
      </c>
      <c r="F1147" s="19" t="str">
        <v>操作员</v>
      </c>
      <c r="G1147" s="19" t="str">
        <v>英国区11:00-19:30 / UK 11:00-19:30</v>
      </c>
      <c r="H1147" s="19" t="str">
        <v>S000013</v>
      </c>
      <c r="I1147" s="19" t="str">
        <v>FT Recruitment</v>
      </c>
      <c r="J1147" s="23" t="n">
        <v>1</v>
      </c>
      <c r="K1147" s="23" t="n">
        <v>0</v>
      </c>
      <c r="L1147" s="23" t="n">
        <f>J1147+K1147</f>
        <v>1</v>
      </c>
      <c r="M1147" s="23" t="n">
        <v>1</v>
      </c>
      <c r="N1147" s="23" t="n">
        <v>0</v>
      </c>
      <c r="O1147" s="23" t="n">
        <v>1</v>
      </c>
      <c r="P1147" s="23" t="n">
        <v>0</v>
      </c>
      <c r="Q1147" s="23" t="n">
        <f>MIN(O1147,P1147)</f>
        <v>0</v>
      </c>
      <c r="R1147" s="25" t="n">
        <f>IF(M1147=0,0,MIN(1,L1147/M1147))</f>
        <v>1</v>
      </c>
      <c r="S1147" s="23" t="n">
        <f>O1147*R1147</f>
        <v>1</v>
      </c>
      <c r="T1147" s="23" t="n">
        <f>MIN(P1147,S1147)</f>
        <v>0</v>
      </c>
      <c r="U1147" s="23" t="n">
        <f>O1147-S1147</f>
        <v>0</v>
      </c>
      <c r="V1147" s="23" t="n">
        <f>MAX(P1147-O1147,0)</f>
        <v>0</v>
      </c>
    </row>
    <row r="1148">
      <c r="A1148" s="19" t="str">
        <v>英国区</v>
      </c>
      <c r="B1148" s="19" t="str">
        <v>伯明翰23号仓</v>
      </c>
      <c r="C1148" s="19" t="str">
        <v>包装组</v>
      </c>
      <c r="D1148" s="21" t="n">
        <v>46184</v>
      </c>
      <c r="E1148" s="19" t="str">
        <v>2026-06</v>
      </c>
      <c r="F1148" s="19" t="str">
        <v>操作员</v>
      </c>
      <c r="G1148" s="19" t="str">
        <v>英国区09:00-17:30 / UK 09:00-17:30</v>
      </c>
      <c r="H1148" s="19" t="str">
        <v>S000274</v>
      </c>
      <c r="I1148" s="19" t="str">
        <v>Jobsworth Recruitment Solutions Limited</v>
      </c>
      <c r="J1148" s="23" t="n">
        <v>2</v>
      </c>
      <c r="K1148" s="23" t="n">
        <v>0</v>
      </c>
      <c r="L1148" s="23" t="n">
        <f>J1148+K1148</f>
        <v>2</v>
      </c>
      <c r="M1148" s="23" t="n">
        <v>2</v>
      </c>
      <c r="N1148" s="23" t="n">
        <v>2</v>
      </c>
      <c r="O1148" s="23" t="n">
        <v>2</v>
      </c>
      <c r="P1148" s="23" t="n">
        <v>2</v>
      </c>
      <c r="Q1148" s="23" t="n">
        <f>MIN(O1148,P1148)</f>
        <v>2</v>
      </c>
      <c r="R1148" s="25" t="n">
        <f>IF(M1148=0,0,MIN(1,L1148/M1148))</f>
        <v>1</v>
      </c>
      <c r="S1148" s="23" t="n">
        <f>O1148*R1148</f>
        <v>2</v>
      </c>
      <c r="T1148" s="23" t="n">
        <f>MIN(P1148,S1148)</f>
        <v>2</v>
      </c>
      <c r="U1148" s="23" t="n">
        <f>O1148-S1148</f>
        <v>0</v>
      </c>
      <c r="V1148" s="23" t="n">
        <f>MAX(P1148-O1148,0)</f>
        <v>0</v>
      </c>
    </row>
    <row r="1149">
      <c r="A1149" s="19" t="str">
        <v>英国区</v>
      </c>
      <c r="B1149" s="19" t="str">
        <v>伯明翰23号仓</v>
      </c>
      <c r="C1149" s="19" t="str">
        <v>包装组</v>
      </c>
      <c r="D1149" s="21" t="n">
        <v>46184</v>
      </c>
      <c r="E1149" s="19" t="str">
        <v>2026-06</v>
      </c>
      <c r="F1149" s="19" t="str">
        <v>操作员</v>
      </c>
      <c r="G1149" s="19" t="str">
        <v>英国区11:00-19:30 / UK 11:00-19:30</v>
      </c>
      <c r="H1149" s="19" t="str">
        <v>S000274</v>
      </c>
      <c r="I1149" s="19" t="str">
        <v>Jobsworth Recruitment Solutions Limited</v>
      </c>
      <c r="J1149" s="23" t="n">
        <v>1</v>
      </c>
      <c r="K1149" s="23" t="n">
        <v>0</v>
      </c>
      <c r="L1149" s="23" t="n">
        <f>J1149+K1149</f>
        <v>1</v>
      </c>
      <c r="M1149" s="23" t="n">
        <v>1</v>
      </c>
      <c r="N1149" s="23" t="n">
        <v>1</v>
      </c>
      <c r="O1149" s="23" t="n">
        <v>1</v>
      </c>
      <c r="P1149" s="23" t="n">
        <v>1</v>
      </c>
      <c r="Q1149" s="23" t="n">
        <f>MIN(O1149,P1149)</f>
        <v>1</v>
      </c>
      <c r="R1149" s="25" t="n">
        <f>IF(M1149=0,0,MIN(1,L1149/M1149))</f>
        <v>1</v>
      </c>
      <c r="S1149" s="23" t="n">
        <f>O1149*R1149</f>
        <v>1</v>
      </c>
      <c r="T1149" s="23" t="n">
        <f>MIN(P1149,S1149)</f>
        <v>1</v>
      </c>
      <c r="U1149" s="23" t="n">
        <f>O1149-S1149</f>
        <v>0</v>
      </c>
      <c r="V1149" s="23" t="n">
        <f>MAX(P1149-O1149,0)</f>
        <v>0</v>
      </c>
    </row>
    <row r="1150">
      <c r="A1150" s="19" t="str">
        <v>英国区</v>
      </c>
      <c r="B1150" s="19" t="str">
        <v>伯明翰23号仓</v>
      </c>
      <c r="C1150" s="19" t="str">
        <v>包装组</v>
      </c>
      <c r="D1150" s="21" t="n">
        <v>46185</v>
      </c>
      <c r="E1150" s="19" t="str">
        <v>2026-06</v>
      </c>
      <c r="F1150" s="19" t="str">
        <v>操作员</v>
      </c>
      <c r="G1150" s="19" t="str">
        <v>英国区09:00-17:30 / UK 09:00-17:30</v>
      </c>
      <c r="H1150" s="19" t="str">
        <v>S000132</v>
      </c>
      <c r="I1150" s="19" t="str">
        <v>HRA Recruitment Services</v>
      </c>
      <c r="J1150" s="23" t="n">
        <v>8</v>
      </c>
      <c r="K1150" s="23" t="n">
        <v>0</v>
      </c>
      <c r="L1150" s="23" t="n">
        <f>J1150+K1150</f>
        <v>8</v>
      </c>
      <c r="M1150" s="23" t="n">
        <v>8</v>
      </c>
      <c r="N1150" s="23" t="n">
        <v>8</v>
      </c>
      <c r="O1150" s="23" t="n">
        <v>3</v>
      </c>
      <c r="P1150" s="23" t="n">
        <v>3</v>
      </c>
      <c r="Q1150" s="23" t="n">
        <f>MIN(O1150,P1150)</f>
        <v>3</v>
      </c>
      <c r="R1150" s="25" t="n">
        <f>IF(M1150=0,0,MIN(1,L1150/M1150))</f>
        <v>1</v>
      </c>
      <c r="S1150" s="23" t="n">
        <f>O1150*R1150</f>
        <v>3</v>
      </c>
      <c r="T1150" s="23" t="n">
        <f>MIN(P1150,S1150)</f>
        <v>3</v>
      </c>
      <c r="U1150" s="23" t="n">
        <f>O1150-S1150</f>
        <v>0</v>
      </c>
      <c r="V1150" s="23" t="n">
        <f>MAX(P1150-O1150,0)</f>
        <v>0</v>
      </c>
    </row>
    <row r="1151">
      <c r="A1151" s="19" t="str">
        <v>英国区</v>
      </c>
      <c r="B1151" s="19" t="str">
        <v>伯明翰23号仓</v>
      </c>
      <c r="C1151" s="19" t="str">
        <v>包装组</v>
      </c>
      <c r="D1151" s="21" t="n">
        <v>46185</v>
      </c>
      <c r="E1151" s="19" t="str">
        <v>2026-06</v>
      </c>
      <c r="F1151" s="19" t="str">
        <v>操作员</v>
      </c>
      <c r="G1151" s="19" t="str">
        <v>英国区09:00-17:30 / UK 09:00-17:30</v>
      </c>
      <c r="H1151" s="19" t="str">
        <v>S000274</v>
      </c>
      <c r="I1151" s="19" t="str">
        <v>Jobsworth Recruitment Solutions Limited</v>
      </c>
      <c r="J1151" s="23" t="n">
        <v>8</v>
      </c>
      <c r="K1151" s="23" t="n">
        <v>0</v>
      </c>
      <c r="L1151" s="23" t="n">
        <f>J1151+K1151</f>
        <v>8</v>
      </c>
      <c r="M1151" s="23" t="n">
        <v>8</v>
      </c>
      <c r="N1151" s="23" t="n">
        <v>8</v>
      </c>
      <c r="O1151" s="23" t="n">
        <v>2</v>
      </c>
      <c r="P1151" s="23" t="n">
        <v>2</v>
      </c>
      <c r="Q1151" s="23" t="n">
        <f>MIN(O1151,P1151)</f>
        <v>2</v>
      </c>
      <c r="R1151" s="25" t="n">
        <f>IF(M1151=0,0,MIN(1,L1151/M1151))</f>
        <v>1</v>
      </c>
      <c r="S1151" s="23" t="n">
        <f>O1151*R1151</f>
        <v>2</v>
      </c>
      <c r="T1151" s="23" t="n">
        <f>MIN(P1151,S1151)</f>
        <v>2</v>
      </c>
      <c r="U1151" s="23" t="n">
        <f>O1151-S1151</f>
        <v>0</v>
      </c>
      <c r="V1151" s="23" t="n">
        <f>MAX(P1151-O1151,0)</f>
        <v>0</v>
      </c>
    </row>
    <row r="1152">
      <c r="A1152" s="19" t="str">
        <v>英国区</v>
      </c>
      <c r="B1152" s="19" t="str">
        <v>伯明翰23号仓</v>
      </c>
      <c r="C1152" s="19" t="str">
        <v>包装组</v>
      </c>
      <c r="D1152" s="21" t="n">
        <v>46185</v>
      </c>
      <c r="E1152" s="19" t="str">
        <v>2026-06</v>
      </c>
      <c r="F1152" s="19" t="str">
        <v>操作员</v>
      </c>
      <c r="G1152" s="19" t="str">
        <v>英国区09:00-17:30 / UK 09:00-17:30</v>
      </c>
      <c r="H1152" s="19" t="str">
        <v>S000331</v>
      </c>
      <c r="I1152" s="19" t="str">
        <v>Employment of London Limited</v>
      </c>
      <c r="J1152" s="23" t="n">
        <v>8</v>
      </c>
      <c r="K1152" s="23" t="n">
        <v>0</v>
      </c>
      <c r="L1152" s="23" t="n">
        <f>J1152+K1152</f>
        <v>8</v>
      </c>
      <c r="M1152" s="23" t="n">
        <v>8</v>
      </c>
      <c r="N1152" s="23" t="n">
        <v>8</v>
      </c>
      <c r="O1152" s="23" t="n">
        <v>3</v>
      </c>
      <c r="P1152" s="23" t="n">
        <v>3</v>
      </c>
      <c r="Q1152" s="23" t="n">
        <f>MIN(O1152,P1152)</f>
        <v>3</v>
      </c>
      <c r="R1152" s="25" t="n">
        <f>IF(M1152=0,0,MIN(1,L1152/M1152))</f>
        <v>1</v>
      </c>
      <c r="S1152" s="23" t="n">
        <f>O1152*R1152</f>
        <v>3</v>
      </c>
      <c r="T1152" s="23" t="n">
        <f>MIN(P1152,S1152)</f>
        <v>3</v>
      </c>
      <c r="U1152" s="23" t="n">
        <f>O1152-S1152</f>
        <v>0</v>
      </c>
      <c r="V1152" s="23" t="n">
        <f>MAX(P1152-O1152,0)</f>
        <v>0</v>
      </c>
    </row>
    <row r="1153">
      <c r="A1153" s="19" t="str">
        <v>英国区</v>
      </c>
      <c r="B1153" s="19" t="str">
        <v>伯明翰23号仓</v>
      </c>
      <c r="C1153" s="19" t="str">
        <v>包装组</v>
      </c>
      <c r="D1153" s="21" t="n">
        <v>46185</v>
      </c>
      <c r="E1153" s="19" t="str">
        <v>2026-06</v>
      </c>
      <c r="F1153" s="19" t="str">
        <v>操作员</v>
      </c>
      <c r="G1153" s="19" t="str">
        <v>英国区10:00-18:30 / UK 10:00-18:30</v>
      </c>
      <c r="H1153" s="19" t="str">
        <v>S000132</v>
      </c>
      <c r="I1153" s="19" t="str">
        <v>HRA Recruitment Services</v>
      </c>
      <c r="J1153" s="23" t="n">
        <v>2</v>
      </c>
      <c r="K1153" s="23" t="n">
        <v>0</v>
      </c>
      <c r="L1153" s="23" t="n">
        <f>J1153+K1153</f>
        <v>2</v>
      </c>
      <c r="M1153" s="23" t="n">
        <v>2</v>
      </c>
      <c r="N1153" s="23" t="n">
        <v>2</v>
      </c>
      <c r="O1153" s="23" t="n">
        <v>1</v>
      </c>
      <c r="P1153" s="23" t="n">
        <v>1</v>
      </c>
      <c r="Q1153" s="23" t="n">
        <f>MIN(O1153,P1153)</f>
        <v>1</v>
      </c>
      <c r="R1153" s="25" t="n">
        <f>IF(M1153=0,0,MIN(1,L1153/M1153))</f>
        <v>1</v>
      </c>
      <c r="S1153" s="23" t="n">
        <f>O1153*R1153</f>
        <v>1</v>
      </c>
      <c r="T1153" s="23" t="n">
        <f>MIN(P1153,S1153)</f>
        <v>1</v>
      </c>
      <c r="U1153" s="23" t="n">
        <f>O1153-S1153</f>
        <v>0</v>
      </c>
      <c r="V1153" s="23" t="n">
        <f>MAX(P1153-O1153,0)</f>
        <v>0</v>
      </c>
    </row>
    <row r="1154">
      <c r="A1154" s="19" t="str">
        <v>英国区</v>
      </c>
      <c r="B1154" s="19" t="str">
        <v>伯明翰23号仓</v>
      </c>
      <c r="C1154" s="19" t="str">
        <v>包装组</v>
      </c>
      <c r="D1154" s="21" t="n">
        <v>46185</v>
      </c>
      <c r="E1154" s="19" t="str">
        <v>2026-06</v>
      </c>
      <c r="F1154" s="19" t="str">
        <v>操作员</v>
      </c>
      <c r="G1154" s="19" t="str">
        <v>英国区10:00-18:30 / UK 10:00-18:30</v>
      </c>
      <c r="H1154" s="19" t="str">
        <v>S000331</v>
      </c>
      <c r="I1154" s="19" t="str">
        <v>Employment of London Limited</v>
      </c>
      <c r="J1154" s="23" t="n">
        <v>2</v>
      </c>
      <c r="K1154" s="23" t="n">
        <v>0</v>
      </c>
      <c r="L1154" s="23" t="n">
        <f>J1154+K1154</f>
        <v>2</v>
      </c>
      <c r="M1154" s="23" t="n">
        <v>2</v>
      </c>
      <c r="N1154" s="23" t="n">
        <v>2</v>
      </c>
      <c r="O1154" s="23" t="n">
        <v>1</v>
      </c>
      <c r="P1154" s="23" t="n">
        <v>1</v>
      </c>
      <c r="Q1154" s="23" t="n">
        <f>MIN(O1154,P1154)</f>
        <v>1</v>
      </c>
      <c r="R1154" s="25" t="n">
        <f>IF(M1154=0,0,MIN(1,L1154/M1154))</f>
        <v>1</v>
      </c>
      <c r="S1154" s="23" t="n">
        <f>O1154*R1154</f>
        <v>1</v>
      </c>
      <c r="T1154" s="23" t="n">
        <f>MIN(P1154,S1154)</f>
        <v>1</v>
      </c>
      <c r="U1154" s="23" t="n">
        <f>O1154-S1154</f>
        <v>0</v>
      </c>
      <c r="V1154" s="23" t="n">
        <f>MAX(P1154-O1154,0)</f>
        <v>0</v>
      </c>
    </row>
    <row r="1155">
      <c r="A1155" s="19" t="str">
        <v>英国区</v>
      </c>
      <c r="B1155" s="19" t="str">
        <v>伯明翰23号仓</v>
      </c>
      <c r="C1155" s="19" t="str">
        <v>包装组</v>
      </c>
      <c r="D1155" s="21" t="n">
        <v>46185</v>
      </c>
      <c r="E1155" s="19" t="str">
        <v>2026-06</v>
      </c>
      <c r="F1155" s="19" t="str">
        <v>操作员</v>
      </c>
      <c r="G1155" s="19" t="str">
        <v>英国区11:00-19:30 / UK 11:00-19:30</v>
      </c>
      <c r="H1155" s="19" t="str">
        <v>S000274</v>
      </c>
      <c r="I1155" s="19" t="str">
        <v>Jobsworth Recruitment Solutions Limited</v>
      </c>
      <c r="J1155" s="23" t="n">
        <v>1</v>
      </c>
      <c r="K1155" s="23" t="n">
        <v>0</v>
      </c>
      <c r="L1155" s="23" t="n">
        <f>J1155+K1155</f>
        <v>1</v>
      </c>
      <c r="M1155" s="23" t="n">
        <v>1</v>
      </c>
      <c r="N1155" s="23" t="n">
        <v>1</v>
      </c>
      <c r="O1155" s="23" t="n">
        <v>1</v>
      </c>
      <c r="P1155" s="23" t="n">
        <v>1</v>
      </c>
      <c r="Q1155" s="23" t="n">
        <f>MIN(O1155,P1155)</f>
        <v>1</v>
      </c>
      <c r="R1155" s="25" t="n">
        <f>IF(M1155=0,0,MIN(1,L1155/M1155))</f>
        <v>1</v>
      </c>
      <c r="S1155" s="23" t="n">
        <f>O1155*R1155</f>
        <v>1</v>
      </c>
      <c r="T1155" s="23" t="n">
        <f>MIN(P1155,S1155)</f>
        <v>1</v>
      </c>
      <c r="U1155" s="23" t="n">
        <f>O1155-S1155</f>
        <v>0</v>
      </c>
      <c r="V1155" s="23" t="n">
        <f>MAX(P1155-O1155,0)</f>
        <v>0</v>
      </c>
    </row>
    <row r="1156">
      <c r="A1156" s="19" t="str">
        <v>英国区</v>
      </c>
      <c r="B1156" s="19" t="str">
        <v>伯明翰23号仓</v>
      </c>
      <c r="C1156" s="19" t="str">
        <v>包装组</v>
      </c>
      <c r="D1156" s="21" t="n">
        <v>46185</v>
      </c>
      <c r="E1156" s="19" t="str">
        <v>2026-06</v>
      </c>
      <c r="F1156" s="19" t="str">
        <v>操作员</v>
      </c>
      <c r="G1156" s="19" t="str">
        <v>英国区15:00-00:30 / UK 15:00-00:30</v>
      </c>
      <c r="H1156" s="19" t="str">
        <v>S000132</v>
      </c>
      <c r="I1156" s="19" t="str">
        <v>HRA Recruitment Services</v>
      </c>
      <c r="J1156" s="23" t="n">
        <v>6</v>
      </c>
      <c r="K1156" s="23" t="n">
        <v>0</v>
      </c>
      <c r="L1156" s="23" t="n">
        <f>J1156+K1156</f>
        <v>6</v>
      </c>
      <c r="M1156" s="23" t="n">
        <v>6</v>
      </c>
      <c r="N1156" s="23" t="n">
        <v>5</v>
      </c>
      <c r="O1156" s="23" t="n">
        <v>3</v>
      </c>
      <c r="P1156" s="23" t="n">
        <v>2</v>
      </c>
      <c r="Q1156" s="23" t="n">
        <f>MIN(O1156,P1156)</f>
        <v>2</v>
      </c>
      <c r="R1156" s="25" t="n">
        <f>IF(M1156=0,0,MIN(1,L1156/M1156))</f>
        <v>1</v>
      </c>
      <c r="S1156" s="23" t="n">
        <f>O1156*R1156</f>
        <v>3</v>
      </c>
      <c r="T1156" s="23" t="n">
        <f>MIN(P1156,S1156)</f>
        <v>2</v>
      </c>
      <c r="U1156" s="23" t="n">
        <f>O1156-S1156</f>
        <v>0</v>
      </c>
      <c r="V1156" s="23" t="n">
        <f>MAX(P1156-O1156,0)</f>
        <v>0</v>
      </c>
    </row>
    <row r="1157">
      <c r="A1157" s="19" t="str">
        <v>英国区</v>
      </c>
      <c r="B1157" s="19" t="str">
        <v>伯明翰23号仓</v>
      </c>
      <c r="C1157" s="19" t="str">
        <v>包装组</v>
      </c>
      <c r="D1157" s="21" t="n">
        <v>46185</v>
      </c>
      <c r="E1157" s="19" t="str">
        <v>2026-06</v>
      </c>
      <c r="F1157" s="19" t="str">
        <v>操作员</v>
      </c>
      <c r="G1157" s="19" t="str">
        <v>英国区15:00-00:30 / UK 15:00-00:30</v>
      </c>
      <c r="H1157" s="19" t="str">
        <v>S000331</v>
      </c>
      <c r="I1157" s="19" t="str">
        <v>Employment of London Limited</v>
      </c>
      <c r="J1157" s="23" t="n">
        <v>6</v>
      </c>
      <c r="K1157" s="23" t="n">
        <v>0</v>
      </c>
      <c r="L1157" s="23" t="n">
        <f>J1157+K1157</f>
        <v>6</v>
      </c>
      <c r="M1157" s="23" t="n">
        <v>6</v>
      </c>
      <c r="N1157" s="23" t="n">
        <v>5</v>
      </c>
      <c r="O1157" s="23" t="n">
        <v>3</v>
      </c>
      <c r="P1157" s="23" t="n">
        <v>3</v>
      </c>
      <c r="Q1157" s="23" t="n">
        <f>MIN(O1157,P1157)</f>
        <v>3</v>
      </c>
      <c r="R1157" s="25" t="n">
        <f>IF(M1157=0,0,MIN(1,L1157/M1157))</f>
        <v>1</v>
      </c>
      <c r="S1157" s="23" t="n">
        <f>O1157*R1157</f>
        <v>3</v>
      </c>
      <c r="T1157" s="23" t="n">
        <f>MIN(P1157,S1157)</f>
        <v>3</v>
      </c>
      <c r="U1157" s="23" t="n">
        <f>O1157-S1157</f>
        <v>0</v>
      </c>
      <c r="V1157" s="23" t="n">
        <f>MAX(P1157-O1157,0)</f>
        <v>0</v>
      </c>
    </row>
    <row r="1158">
      <c r="A1158" s="19" t="str">
        <v>英国区</v>
      </c>
      <c r="B1158" s="19" t="str">
        <v>伯明翰23号仓</v>
      </c>
      <c r="C1158" s="19" t="str">
        <v>包装组</v>
      </c>
      <c r="D1158" s="21" t="n">
        <v>46188</v>
      </c>
      <c r="E1158" s="19" t="str">
        <v>2026-06</v>
      </c>
      <c r="F1158" s="19" t="str">
        <v>操作员</v>
      </c>
      <c r="G1158" s="19" t="str">
        <v>英国区11:00-19:30 / UK 11:00-19:30</v>
      </c>
      <c r="H1158" s="19" t="str">
        <v>S000274</v>
      </c>
      <c r="I1158" s="19" t="str">
        <v>Jobsworth Recruitment Solutions Limited</v>
      </c>
      <c r="J1158" s="23" t="n">
        <v>2</v>
      </c>
      <c r="K1158" s="23" t="n">
        <v>0</v>
      </c>
      <c r="L1158" s="23" t="n">
        <f>J1158+K1158</f>
        <v>2</v>
      </c>
      <c r="M1158" s="23" t="n">
        <v>2</v>
      </c>
      <c r="N1158" s="23" t="n">
        <v>2</v>
      </c>
      <c r="O1158" s="23" t="n">
        <v>2</v>
      </c>
      <c r="P1158" s="23" t="n">
        <v>2</v>
      </c>
      <c r="Q1158" s="23" t="n">
        <f>MIN(O1158,P1158)</f>
        <v>2</v>
      </c>
      <c r="R1158" s="25" t="n">
        <f>IF(M1158=0,0,MIN(1,L1158/M1158))</f>
        <v>1</v>
      </c>
      <c r="S1158" s="23" t="n">
        <f>O1158*R1158</f>
        <v>2</v>
      </c>
      <c r="T1158" s="23" t="n">
        <f>MIN(P1158,S1158)</f>
        <v>2</v>
      </c>
      <c r="U1158" s="23" t="n">
        <f>O1158-S1158</f>
        <v>0</v>
      </c>
      <c r="V1158" s="23" t="n">
        <f>MAX(P1158-O1158,0)</f>
        <v>0</v>
      </c>
    </row>
    <row r="1159">
      <c r="A1159" s="19" t="str">
        <v>英国区</v>
      </c>
      <c r="B1159" s="19" t="str">
        <v>伯明翰23号仓</v>
      </c>
      <c r="C1159" s="19" t="str">
        <v>包装组</v>
      </c>
      <c r="D1159" s="21" t="n">
        <v>46189</v>
      </c>
      <c r="E1159" s="19" t="str">
        <v>2026-06</v>
      </c>
      <c r="F1159" s="19" t="str">
        <v>操作员</v>
      </c>
      <c r="G1159" s="19" t="str">
        <v>英国区09:00-17:30 / UK 09:00-17:30</v>
      </c>
      <c r="H1159" s="19" t="str">
        <v>S000132</v>
      </c>
      <c r="I1159" s="19" t="str">
        <v>HRA Recruitment Services</v>
      </c>
      <c r="J1159" s="23" t="n">
        <v>2</v>
      </c>
      <c r="K1159" s="23" t="n">
        <v>0</v>
      </c>
      <c r="L1159" s="23" t="n">
        <f>J1159+K1159</f>
        <v>2</v>
      </c>
      <c r="M1159" s="23" t="n">
        <v>2</v>
      </c>
      <c r="N1159" s="23" t="n">
        <v>0</v>
      </c>
      <c r="O1159" s="23" t="n">
        <v>2</v>
      </c>
      <c r="P1159" s="23" t="n">
        <v>0</v>
      </c>
      <c r="Q1159" s="23" t="n">
        <f>MIN(O1159,P1159)</f>
        <v>0</v>
      </c>
      <c r="R1159" s="25" t="n">
        <f>IF(M1159=0,0,MIN(1,L1159/M1159))</f>
        <v>1</v>
      </c>
      <c r="S1159" s="23" t="n">
        <f>O1159*R1159</f>
        <v>2</v>
      </c>
      <c r="T1159" s="23" t="n">
        <f>MIN(P1159,S1159)</f>
        <v>0</v>
      </c>
      <c r="U1159" s="23" t="n">
        <f>O1159-S1159</f>
        <v>0</v>
      </c>
      <c r="V1159" s="23" t="n">
        <f>MAX(P1159-O1159,0)</f>
        <v>0</v>
      </c>
    </row>
    <row r="1160">
      <c r="A1160" s="19" t="str">
        <v>英国区</v>
      </c>
      <c r="B1160" s="19" t="str">
        <v>伯明翰23号仓</v>
      </c>
      <c r="C1160" s="19" t="str">
        <v>包装组</v>
      </c>
      <c r="D1160" s="21" t="n">
        <v>46189</v>
      </c>
      <c r="E1160" s="19" t="str">
        <v>2026-06</v>
      </c>
      <c r="F1160" s="19" t="str">
        <v>操作员</v>
      </c>
      <c r="G1160" s="19" t="str">
        <v>英国区10:00-18:30 / UK 10:00-18:30</v>
      </c>
      <c r="H1160" s="19" t="str">
        <v>S000132</v>
      </c>
      <c r="I1160" s="19" t="str">
        <v>HRA Recruitment Services</v>
      </c>
      <c r="J1160" s="23" t="n">
        <v>5</v>
      </c>
      <c r="K1160" s="23" t="n">
        <v>0</v>
      </c>
      <c r="L1160" s="23" t="n">
        <f>J1160+K1160</f>
        <v>5</v>
      </c>
      <c r="M1160" s="23" t="n">
        <v>5</v>
      </c>
      <c r="N1160" s="23" t="n">
        <v>0</v>
      </c>
      <c r="O1160" s="23" t="n">
        <v>5</v>
      </c>
      <c r="P1160" s="23" t="n">
        <v>0</v>
      </c>
      <c r="Q1160" s="23" t="n">
        <f>MIN(O1160,P1160)</f>
        <v>0</v>
      </c>
      <c r="R1160" s="25" t="n">
        <f>IF(M1160=0,0,MIN(1,L1160/M1160))</f>
        <v>1</v>
      </c>
      <c r="S1160" s="23" t="n">
        <f>O1160*R1160</f>
        <v>5</v>
      </c>
      <c r="T1160" s="23" t="n">
        <f>MIN(P1160,S1160)</f>
        <v>0</v>
      </c>
      <c r="U1160" s="23" t="n">
        <f>O1160-S1160</f>
        <v>0</v>
      </c>
      <c r="V1160" s="23" t="n">
        <f>MAX(P1160-O1160,0)</f>
        <v>0</v>
      </c>
    </row>
    <row r="1161">
      <c r="A1161" s="19" t="str">
        <v>英国区</v>
      </c>
      <c r="B1161" s="19" t="str">
        <v>伯明翰23号仓</v>
      </c>
      <c r="C1161" s="19" t="str">
        <v>包装组</v>
      </c>
      <c r="D1161" s="21" t="n">
        <v>46189</v>
      </c>
      <c r="E1161" s="19" t="str">
        <v>2026-06</v>
      </c>
      <c r="F1161" s="19" t="str">
        <v>操作员</v>
      </c>
      <c r="G1161" s="19" t="str">
        <v>英国区11:00-19:30 / UK 11:00-19:30</v>
      </c>
      <c r="H1161" s="19" t="str">
        <v>S000132</v>
      </c>
      <c r="I1161" s="19" t="str">
        <v>HRA Recruitment Services</v>
      </c>
      <c r="J1161" s="23" t="n">
        <v>7</v>
      </c>
      <c r="K1161" s="23" t="n">
        <v>0</v>
      </c>
      <c r="L1161" s="23" t="n">
        <f>J1161+K1161</f>
        <v>7</v>
      </c>
      <c r="M1161" s="23" t="n">
        <v>7</v>
      </c>
      <c r="N1161" s="23" t="n">
        <v>0</v>
      </c>
      <c r="O1161" s="23" t="n">
        <v>7</v>
      </c>
      <c r="P1161" s="23" t="n">
        <v>0</v>
      </c>
      <c r="Q1161" s="23" t="n">
        <f>MIN(O1161,P1161)</f>
        <v>0</v>
      </c>
      <c r="R1161" s="25" t="n">
        <f>IF(M1161=0,0,MIN(1,L1161/M1161))</f>
        <v>1</v>
      </c>
      <c r="S1161" s="23" t="n">
        <f>O1161*R1161</f>
        <v>7</v>
      </c>
      <c r="T1161" s="23" t="n">
        <f>MIN(P1161,S1161)</f>
        <v>0</v>
      </c>
      <c r="U1161" s="23" t="n">
        <f>O1161-S1161</f>
        <v>0</v>
      </c>
      <c r="V1161" s="23" t="n">
        <f>MAX(P1161-O1161,0)</f>
        <v>0</v>
      </c>
    </row>
    <row r="1162">
      <c r="A1162" s="19" t="str">
        <v>英国区</v>
      </c>
      <c r="B1162" s="19" t="str">
        <v>伯明翰23号仓</v>
      </c>
      <c r="C1162" s="19" t="str">
        <v>包装组</v>
      </c>
      <c r="D1162" s="21" t="n">
        <v>46189</v>
      </c>
      <c r="E1162" s="19" t="str">
        <v>2026-06</v>
      </c>
      <c r="F1162" s="19" t="str">
        <v>操作员</v>
      </c>
      <c r="G1162" s="19" t="str">
        <v>英国区22:00-06:30 / UK 22:00-06:30</v>
      </c>
      <c r="H1162" s="19" t="str">
        <v>S000331</v>
      </c>
      <c r="I1162" s="19" t="str">
        <v>Employment of London Limited</v>
      </c>
      <c r="J1162" s="23" t="n">
        <v>2</v>
      </c>
      <c r="K1162" s="23" t="n">
        <v>0</v>
      </c>
      <c r="L1162" s="23" t="n">
        <f>J1162+K1162</f>
        <v>2</v>
      </c>
      <c r="M1162" s="23" t="n">
        <v>2</v>
      </c>
      <c r="N1162" s="23" t="n">
        <v>2</v>
      </c>
      <c r="O1162" s="23" t="n">
        <v>2</v>
      </c>
      <c r="P1162" s="23" t="n">
        <v>2</v>
      </c>
      <c r="Q1162" s="23" t="n">
        <f>MIN(O1162,P1162)</f>
        <v>2</v>
      </c>
      <c r="R1162" s="25" t="n">
        <f>IF(M1162=0,0,MIN(1,L1162/M1162))</f>
        <v>1</v>
      </c>
      <c r="S1162" s="23" t="n">
        <f>O1162*R1162</f>
        <v>2</v>
      </c>
      <c r="T1162" s="23" t="n">
        <f>MIN(P1162,S1162)</f>
        <v>2</v>
      </c>
      <c r="U1162" s="23" t="n">
        <f>O1162-S1162</f>
        <v>0</v>
      </c>
      <c r="V1162" s="23" t="n">
        <f>MAX(P1162-O1162,0)</f>
        <v>0</v>
      </c>
    </row>
    <row r="1163">
      <c r="A1163" s="19" t="str">
        <v>英国区</v>
      </c>
      <c r="B1163" s="19" t="str">
        <v>伯明翰23号仓</v>
      </c>
      <c r="C1163" s="19" t="str">
        <v>包装组</v>
      </c>
      <c r="D1163" s="21" t="n">
        <v>46196</v>
      </c>
      <c r="E1163" s="19" t="str">
        <v>2026-06</v>
      </c>
      <c r="F1163" s="19" t="str">
        <v>操作员</v>
      </c>
      <c r="G1163" s="19" t="str">
        <v>英国区11:00-19:30 / UK 11:00-19:30</v>
      </c>
      <c r="H1163" s="19" t="str">
        <v>S000331</v>
      </c>
      <c r="I1163" s="19" t="str">
        <v>Employment of London Limited</v>
      </c>
      <c r="J1163" s="23" t="n">
        <v>1</v>
      </c>
      <c r="K1163" s="23" t="n">
        <v>0</v>
      </c>
      <c r="L1163" s="23" t="n">
        <f>J1163+K1163</f>
        <v>1</v>
      </c>
      <c r="M1163" s="23" t="n">
        <v>1</v>
      </c>
      <c r="N1163" s="23" t="n">
        <v>1</v>
      </c>
      <c r="O1163" s="23" t="n">
        <v>1</v>
      </c>
      <c r="P1163" s="23" t="n">
        <v>1</v>
      </c>
      <c r="Q1163" s="23" t="n">
        <f>MIN(O1163,P1163)</f>
        <v>1</v>
      </c>
      <c r="R1163" s="25" t="n">
        <f>IF(M1163=0,0,MIN(1,L1163/M1163))</f>
        <v>1</v>
      </c>
      <c r="S1163" s="23" t="n">
        <f>O1163*R1163</f>
        <v>1</v>
      </c>
      <c r="T1163" s="23" t="n">
        <f>MIN(P1163,S1163)</f>
        <v>1</v>
      </c>
      <c r="U1163" s="23" t="n">
        <f>O1163-S1163</f>
        <v>0</v>
      </c>
      <c r="V1163" s="23" t="n">
        <f>MAX(P1163-O1163,0)</f>
        <v>0</v>
      </c>
    </row>
    <row r="1164">
      <c r="A1164" s="19" t="str">
        <v>英国区</v>
      </c>
      <c r="B1164" s="19" t="str">
        <v>伯明翰23号仓</v>
      </c>
      <c r="C1164" s="19" t="str">
        <v>包装组</v>
      </c>
      <c r="D1164" s="21" t="n">
        <v>46197</v>
      </c>
      <c r="E1164" s="19" t="str">
        <v>2026-06</v>
      </c>
      <c r="F1164" s="19" t="str">
        <v>操作员</v>
      </c>
      <c r="G1164" s="19" t="str">
        <v>英国区09:00-17:30 / UK 09:00-17:30</v>
      </c>
      <c r="H1164" s="19" t="str">
        <v>S000331</v>
      </c>
      <c r="I1164" s="19" t="str">
        <v>Employment of London Limited</v>
      </c>
      <c r="J1164" s="23" t="n">
        <v>1</v>
      </c>
      <c r="K1164" s="23" t="n">
        <v>0</v>
      </c>
      <c r="L1164" s="23" t="n">
        <f>J1164+K1164</f>
        <v>1</v>
      </c>
      <c r="M1164" s="23" t="n">
        <v>1</v>
      </c>
      <c r="N1164" s="23" t="n">
        <v>1</v>
      </c>
      <c r="O1164" s="23" t="n">
        <v>1</v>
      </c>
      <c r="P1164" s="23" t="n">
        <v>1</v>
      </c>
      <c r="Q1164" s="23" t="n">
        <f>MIN(O1164,P1164)</f>
        <v>1</v>
      </c>
      <c r="R1164" s="25" t="n">
        <f>IF(M1164=0,0,MIN(1,L1164/M1164))</f>
        <v>1</v>
      </c>
      <c r="S1164" s="23" t="n">
        <f>O1164*R1164</f>
        <v>1</v>
      </c>
      <c r="T1164" s="23" t="n">
        <f>MIN(P1164,S1164)</f>
        <v>1</v>
      </c>
      <c r="U1164" s="23" t="n">
        <f>O1164-S1164</f>
        <v>0</v>
      </c>
      <c r="V1164" s="23" t="n">
        <f>MAX(P1164-O1164,0)</f>
        <v>0</v>
      </c>
    </row>
    <row r="1165">
      <c r="A1165" s="19" t="str">
        <v>英国区</v>
      </c>
      <c r="B1165" s="19" t="str">
        <v>伯明翰23号仓</v>
      </c>
      <c r="C1165" s="19" t="str">
        <v>包装组</v>
      </c>
      <c r="D1165" s="21" t="n">
        <v>46202</v>
      </c>
      <c r="E1165" s="19" t="str">
        <v>2026-06</v>
      </c>
      <c r="F1165" s="19" t="str">
        <v>操作员</v>
      </c>
      <c r="G1165" s="19" t="str">
        <v>英国区10:00-18:30 / UK 10:00-18:30</v>
      </c>
      <c r="H1165" s="19" t="str">
        <v>S000331</v>
      </c>
      <c r="I1165" s="19" t="str">
        <v>Employment of London Limited</v>
      </c>
      <c r="J1165" s="23" t="n">
        <v>3</v>
      </c>
      <c r="K1165" s="23" t="n">
        <v>0</v>
      </c>
      <c r="L1165" s="23" t="n">
        <f>J1165+K1165</f>
        <v>3</v>
      </c>
      <c r="M1165" s="23" t="n">
        <v>3</v>
      </c>
      <c r="N1165" s="23" t="n">
        <v>3</v>
      </c>
      <c r="O1165" s="23" t="n">
        <v>3</v>
      </c>
      <c r="P1165" s="23" t="n">
        <v>3</v>
      </c>
      <c r="Q1165" s="23" t="n">
        <f>MIN(O1165,P1165)</f>
        <v>3</v>
      </c>
      <c r="R1165" s="25" t="n">
        <f>IF(M1165=0,0,MIN(1,L1165/M1165))</f>
        <v>1</v>
      </c>
      <c r="S1165" s="23" t="n">
        <f>O1165*R1165</f>
        <v>3</v>
      </c>
      <c r="T1165" s="23" t="n">
        <f>MIN(P1165,S1165)</f>
        <v>3</v>
      </c>
      <c r="U1165" s="23" t="n">
        <f>O1165-S1165</f>
        <v>0</v>
      </c>
      <c r="V1165" s="23" t="n">
        <f>MAX(P1165-O1165,0)</f>
        <v>0</v>
      </c>
    </row>
    <row r="1166">
      <c r="A1166" s="19" t="str">
        <v>英国区</v>
      </c>
      <c r="B1166" s="19" t="str">
        <v>伯明翰23号仓</v>
      </c>
      <c r="C1166" s="19" t="str">
        <v>售后组</v>
      </c>
      <c r="D1166" s="21" t="n">
        <v>46113</v>
      </c>
      <c r="E1166" s="19" t="str">
        <v>2026-04</v>
      </c>
      <c r="F1166" s="19" t="str">
        <v>售后处理员</v>
      </c>
      <c r="G1166" s="19" t="str">
        <v>英国区09:00-17:30 / UK 09:00-17:30</v>
      </c>
      <c r="H1166" s="19" t="str">
        <v>S000132</v>
      </c>
      <c r="I1166" s="19" t="str">
        <v>HRA Recruitment Services</v>
      </c>
      <c r="J1166" s="23" t="n">
        <v>1</v>
      </c>
      <c r="K1166" s="23" t="n">
        <v>0</v>
      </c>
      <c r="L1166" s="23" t="n">
        <f>J1166+K1166</f>
        <v>1</v>
      </c>
      <c r="M1166" s="23" t="n">
        <v>1</v>
      </c>
      <c r="N1166" s="23" t="n">
        <v>1</v>
      </c>
      <c r="O1166" s="23" t="n">
        <v>1</v>
      </c>
      <c r="P1166" s="23" t="n">
        <v>1</v>
      </c>
      <c r="Q1166" s="23" t="n">
        <f>MIN(O1166,P1166)</f>
        <v>1</v>
      </c>
      <c r="R1166" s="25" t="n">
        <f>IF(M1166=0,0,MIN(1,L1166/M1166))</f>
        <v>1</v>
      </c>
      <c r="S1166" s="23" t="n">
        <f>O1166*R1166</f>
        <v>1</v>
      </c>
      <c r="T1166" s="23" t="n">
        <f>MIN(P1166,S1166)</f>
        <v>1</v>
      </c>
      <c r="U1166" s="23" t="n">
        <f>O1166-S1166</f>
        <v>0</v>
      </c>
      <c r="V1166" s="23" t="n">
        <f>MAX(P1166-O1166,0)</f>
        <v>0</v>
      </c>
    </row>
    <row r="1167">
      <c r="A1167" s="19" t="str">
        <v>英国区</v>
      </c>
      <c r="B1167" s="19" t="str">
        <v>伯明翰23号仓</v>
      </c>
      <c r="C1167" s="19" t="str">
        <v>售后组</v>
      </c>
      <c r="D1167" s="21" t="n">
        <v>46156</v>
      </c>
      <c r="E1167" s="19" t="str">
        <v>2026-05</v>
      </c>
      <c r="F1167" s="19" t="str">
        <v>操作员</v>
      </c>
      <c r="G1167" s="19" t="str">
        <v>英国区08:00-16:30 / UK 08:00-16:30</v>
      </c>
      <c r="H1167" s="19" t="str">
        <v>S000011</v>
      </c>
      <c r="I1167" s="19" t="str">
        <v>SD4U</v>
      </c>
      <c r="J1167" s="23" t="n">
        <v>2</v>
      </c>
      <c r="K1167" s="23" t="n">
        <v>0</v>
      </c>
      <c r="L1167" s="23" t="n">
        <f>J1167+K1167</f>
        <v>2</v>
      </c>
      <c r="M1167" s="23" t="n">
        <v>2</v>
      </c>
      <c r="N1167" s="23" t="n">
        <v>2</v>
      </c>
      <c r="O1167" s="23" t="n">
        <v>2</v>
      </c>
      <c r="P1167" s="23" t="n">
        <v>2</v>
      </c>
      <c r="Q1167" s="23" t="n">
        <f>MIN(O1167,P1167)</f>
        <v>2</v>
      </c>
      <c r="R1167" s="25" t="n">
        <f>IF(M1167=0,0,MIN(1,L1167/M1167))</f>
        <v>1</v>
      </c>
      <c r="S1167" s="23" t="n">
        <f>O1167*R1167</f>
        <v>2</v>
      </c>
      <c r="T1167" s="23" t="n">
        <f>MIN(P1167,S1167)</f>
        <v>2</v>
      </c>
      <c r="U1167" s="23" t="n">
        <f>O1167-S1167</f>
        <v>0</v>
      </c>
      <c r="V1167" s="23" t="n">
        <f>MAX(P1167-O1167,0)</f>
        <v>0</v>
      </c>
    </row>
    <row r="1168">
      <c r="A1168" s="19" t="str">
        <v>英国区</v>
      </c>
      <c r="B1168" s="19" t="str">
        <v>伯明翰23号仓</v>
      </c>
      <c r="C1168" s="19" t="str">
        <v>售后组</v>
      </c>
      <c r="D1168" s="21" t="n">
        <v>46181</v>
      </c>
      <c r="E1168" s="19" t="str">
        <v>2026-06</v>
      </c>
      <c r="F1168" s="19" t="str">
        <v>操作员</v>
      </c>
      <c r="G1168" s="19" t="str">
        <v>英国区10:00-18:30 / UK 10:00-18:30</v>
      </c>
      <c r="H1168" s="19" t="str">
        <v>S000132</v>
      </c>
      <c r="I1168" s="19" t="str">
        <v>HRA Recruitment Services</v>
      </c>
      <c r="J1168" s="23" t="n">
        <v>1</v>
      </c>
      <c r="K1168" s="23" t="n">
        <v>0</v>
      </c>
      <c r="L1168" s="23" t="n">
        <f>J1168+K1168</f>
        <v>1</v>
      </c>
      <c r="M1168" s="23" t="n">
        <v>1</v>
      </c>
      <c r="N1168" s="23" t="n">
        <v>1</v>
      </c>
      <c r="O1168" s="23" t="n">
        <v>1</v>
      </c>
      <c r="P1168" s="23" t="n">
        <v>1</v>
      </c>
      <c r="Q1168" s="23" t="n">
        <f>MIN(O1168,P1168)</f>
        <v>1</v>
      </c>
      <c r="R1168" s="25" t="n">
        <f>IF(M1168=0,0,MIN(1,L1168/M1168))</f>
        <v>1</v>
      </c>
      <c r="S1168" s="23" t="n">
        <f>O1168*R1168</f>
        <v>1</v>
      </c>
      <c r="T1168" s="23" t="n">
        <f>MIN(P1168,S1168)</f>
        <v>1</v>
      </c>
      <c r="U1168" s="23" t="n">
        <f>O1168-S1168</f>
        <v>0</v>
      </c>
      <c r="V1168" s="23" t="n">
        <f>MAX(P1168-O1168,0)</f>
        <v>0</v>
      </c>
    </row>
    <row r="1169">
      <c r="A1169" s="19" t="str">
        <v>英国区</v>
      </c>
      <c r="B1169" s="19" t="str">
        <v>伯明翰23号仓</v>
      </c>
      <c r="C1169" s="19" t="str">
        <v>售后组</v>
      </c>
      <c r="D1169" s="21" t="n">
        <v>46184</v>
      </c>
      <c r="E1169" s="19" t="str">
        <v>2026-06</v>
      </c>
      <c r="F1169" s="19" t="str">
        <v>操作员</v>
      </c>
      <c r="G1169" s="19" t="str">
        <v>英国区08:00-16:30 / UK 08:00-16:30</v>
      </c>
      <c r="H1169" s="19" t="str">
        <v>S000007</v>
      </c>
      <c r="I1169" s="19" t="str">
        <v>Kenect</v>
      </c>
      <c r="J1169" s="23" t="n">
        <v>2</v>
      </c>
      <c r="K1169" s="23" t="n">
        <v>0</v>
      </c>
      <c r="L1169" s="23" t="n">
        <f>J1169+K1169</f>
        <v>2</v>
      </c>
      <c r="M1169" s="23" t="n">
        <v>2</v>
      </c>
      <c r="N1169" s="23" t="n">
        <v>2</v>
      </c>
      <c r="O1169" s="23" t="n">
        <v>2</v>
      </c>
      <c r="P1169" s="23" t="n">
        <v>2</v>
      </c>
      <c r="Q1169" s="23" t="n">
        <f>MIN(O1169,P1169)</f>
        <v>2</v>
      </c>
      <c r="R1169" s="25" t="n">
        <f>IF(M1169=0,0,MIN(1,L1169/M1169))</f>
        <v>1</v>
      </c>
      <c r="S1169" s="23" t="n">
        <f>O1169*R1169</f>
        <v>2</v>
      </c>
      <c r="T1169" s="23" t="n">
        <f>MIN(P1169,S1169)</f>
        <v>2</v>
      </c>
      <c r="U1169" s="23" t="n">
        <f>O1169-S1169</f>
        <v>0</v>
      </c>
      <c r="V1169" s="23" t="n">
        <f>MAX(P1169-O1169,0)</f>
        <v>0</v>
      </c>
    </row>
    <row r="1170">
      <c r="A1170" s="19" t="str">
        <v>英国区</v>
      </c>
      <c r="B1170" s="19" t="str">
        <v>伯明翰23号仓</v>
      </c>
      <c r="C1170" s="19" t="str">
        <v>售后组</v>
      </c>
      <c r="D1170" s="21" t="n">
        <v>46185</v>
      </c>
      <c r="E1170" s="19" t="str">
        <v>2026-06</v>
      </c>
      <c r="F1170" s="19" t="str">
        <v>操作员</v>
      </c>
      <c r="G1170" s="19" t="str">
        <v>英国区08:00-16:30 / UK 08:00-16:30</v>
      </c>
      <c r="H1170" s="19" t="str">
        <v>S000331</v>
      </c>
      <c r="I1170" s="19" t="str">
        <v>Employment of London Limited</v>
      </c>
      <c r="J1170" s="23" t="n">
        <v>1</v>
      </c>
      <c r="K1170" s="23" t="n">
        <v>0</v>
      </c>
      <c r="L1170" s="23" t="n">
        <f>J1170+K1170</f>
        <v>1</v>
      </c>
      <c r="M1170" s="23" t="n">
        <v>1</v>
      </c>
      <c r="N1170" s="23" t="n">
        <v>1</v>
      </c>
      <c r="O1170" s="23" t="n">
        <v>1</v>
      </c>
      <c r="P1170" s="23" t="n">
        <v>1</v>
      </c>
      <c r="Q1170" s="23" t="n">
        <f>MIN(O1170,P1170)</f>
        <v>1</v>
      </c>
      <c r="R1170" s="25" t="n">
        <f>IF(M1170=0,0,MIN(1,L1170/M1170))</f>
        <v>1</v>
      </c>
      <c r="S1170" s="23" t="n">
        <f>O1170*R1170</f>
        <v>1</v>
      </c>
      <c r="T1170" s="23" t="n">
        <f>MIN(P1170,S1170)</f>
        <v>1</v>
      </c>
      <c r="U1170" s="23" t="n">
        <f>O1170-S1170</f>
        <v>0</v>
      </c>
      <c r="V1170" s="23" t="n">
        <f>MAX(P1170-O1170,0)</f>
        <v>0</v>
      </c>
    </row>
    <row r="1171">
      <c r="A1171" s="19" t="str">
        <v>英国区</v>
      </c>
      <c r="B1171" s="19" t="str">
        <v>伯明翰23号仓</v>
      </c>
      <c r="C1171" s="19" t="str">
        <v>售后组</v>
      </c>
      <c r="D1171" s="21" t="n">
        <v>46189</v>
      </c>
      <c r="E1171" s="19" t="str">
        <v>2026-06</v>
      </c>
      <c r="F1171" s="19" t="str">
        <v>操作员</v>
      </c>
      <c r="G1171" s="19" t="str">
        <v>英国区09:00-17:30 / UK 09:00-17:30</v>
      </c>
      <c r="H1171" s="19" t="str">
        <v>S000132</v>
      </c>
      <c r="I1171" s="19" t="str">
        <v>HRA Recruitment Services</v>
      </c>
      <c r="J1171" s="23" t="n">
        <v>1</v>
      </c>
      <c r="K1171" s="23" t="n">
        <v>0</v>
      </c>
      <c r="L1171" s="23" t="n">
        <f>J1171+K1171</f>
        <v>1</v>
      </c>
      <c r="M1171" s="23" t="n">
        <v>1</v>
      </c>
      <c r="N1171" s="23" t="n">
        <v>0</v>
      </c>
      <c r="O1171" s="23" t="n">
        <v>1</v>
      </c>
      <c r="P1171" s="23" t="n">
        <v>0</v>
      </c>
      <c r="Q1171" s="23" t="n">
        <f>MIN(O1171,P1171)</f>
        <v>0</v>
      </c>
      <c r="R1171" s="25" t="n">
        <f>IF(M1171=0,0,MIN(1,L1171/M1171))</f>
        <v>1</v>
      </c>
      <c r="S1171" s="23" t="n">
        <f>O1171*R1171</f>
        <v>1</v>
      </c>
      <c r="T1171" s="23" t="n">
        <f>MIN(P1171,S1171)</f>
        <v>0</v>
      </c>
      <c r="U1171" s="23" t="n">
        <f>O1171-S1171</f>
        <v>0</v>
      </c>
      <c r="V1171" s="23" t="n">
        <f>MAX(P1171-O1171,0)</f>
        <v>0</v>
      </c>
    </row>
    <row r="1172">
      <c r="A1172" s="19" t="str">
        <v>英国区</v>
      </c>
      <c r="B1172" s="19" t="str">
        <v>伯明翰23号仓</v>
      </c>
      <c r="C1172" s="19" t="str">
        <v>售后组</v>
      </c>
      <c r="D1172" s="21" t="n">
        <v>46192</v>
      </c>
      <c r="E1172" s="19" t="str">
        <v>2026-06</v>
      </c>
      <c r="F1172" s="19" t="str">
        <v>操作员</v>
      </c>
      <c r="G1172" s="19" t="str">
        <v>英国区09:00-17:30 / UK 09:00-17:30</v>
      </c>
      <c r="H1172" s="19" t="str">
        <v>S000331</v>
      </c>
      <c r="I1172" s="19" t="str">
        <v>Employment of London Limited</v>
      </c>
      <c r="J1172" s="23" t="n">
        <v>1</v>
      </c>
      <c r="K1172" s="23" t="n">
        <v>0</v>
      </c>
      <c r="L1172" s="23" t="n">
        <f>J1172+K1172</f>
        <v>1</v>
      </c>
      <c r="M1172" s="23" t="n">
        <v>1</v>
      </c>
      <c r="N1172" s="23" t="n">
        <v>1</v>
      </c>
      <c r="O1172" s="23" t="n">
        <v>1</v>
      </c>
      <c r="P1172" s="23" t="n">
        <v>1</v>
      </c>
      <c r="Q1172" s="23" t="n">
        <f>MIN(O1172,P1172)</f>
        <v>1</v>
      </c>
      <c r="R1172" s="25" t="n">
        <f>IF(M1172=0,0,MIN(1,L1172/M1172))</f>
        <v>1</v>
      </c>
      <c r="S1172" s="23" t="n">
        <f>O1172*R1172</f>
        <v>1</v>
      </c>
      <c r="T1172" s="23" t="n">
        <f>MIN(P1172,S1172)</f>
        <v>1</v>
      </c>
      <c r="U1172" s="23" t="n">
        <f>O1172-S1172</f>
        <v>0</v>
      </c>
      <c r="V1172" s="23" t="n">
        <f>MAX(P1172-O1172,0)</f>
        <v>0</v>
      </c>
    </row>
    <row r="1173">
      <c r="A1173" s="19" t="str">
        <v>英国区</v>
      </c>
      <c r="B1173" s="19" t="str">
        <v>伯明翰23号仓</v>
      </c>
      <c r="C1173" s="19" t="str">
        <v>售后组</v>
      </c>
      <c r="D1173" s="21" t="n">
        <v>46196</v>
      </c>
      <c r="E1173" s="19" t="str">
        <v>2026-06</v>
      </c>
      <c r="F1173" s="19" t="str">
        <v>操作员</v>
      </c>
      <c r="G1173" s="19" t="str">
        <v>英国区09:00-17:30 / UK 09:00-17:30</v>
      </c>
      <c r="H1173" s="19" t="str">
        <v>S000331</v>
      </c>
      <c r="I1173" s="19" t="str">
        <v>Employment of London Limited</v>
      </c>
      <c r="J1173" s="23" t="n">
        <v>1</v>
      </c>
      <c r="K1173" s="23" t="n">
        <v>0</v>
      </c>
      <c r="L1173" s="23" t="n">
        <f>J1173+K1173</f>
        <v>1</v>
      </c>
      <c r="M1173" s="23" t="n">
        <v>1</v>
      </c>
      <c r="N1173" s="23" t="n">
        <v>1</v>
      </c>
      <c r="O1173" s="23" t="n">
        <v>1</v>
      </c>
      <c r="P1173" s="23" t="n">
        <v>1</v>
      </c>
      <c r="Q1173" s="23" t="n">
        <f>MIN(O1173,P1173)</f>
        <v>1</v>
      </c>
      <c r="R1173" s="25" t="n">
        <f>IF(M1173=0,0,MIN(1,L1173/M1173))</f>
        <v>1</v>
      </c>
      <c r="S1173" s="23" t="n">
        <f>O1173*R1173</f>
        <v>1</v>
      </c>
      <c r="T1173" s="23" t="n">
        <f>MIN(P1173,S1173)</f>
        <v>1</v>
      </c>
      <c r="U1173" s="23" t="n">
        <f>O1173-S1173</f>
        <v>0</v>
      </c>
      <c r="V1173" s="23" t="n">
        <f>MAX(P1173-O1173,0)</f>
        <v>0</v>
      </c>
    </row>
    <row r="1174">
      <c r="A1174" s="19" t="str">
        <v>英国区</v>
      </c>
      <c r="B1174" s="19" t="str">
        <v>伯明翰23号仓</v>
      </c>
      <c r="C1174" s="19" t="str">
        <v>售后组</v>
      </c>
      <c r="D1174" s="21" t="n">
        <v>46197</v>
      </c>
      <c r="E1174" s="19" t="str">
        <v>2026-06</v>
      </c>
      <c r="F1174" s="19" t="str">
        <v>操作员</v>
      </c>
      <c r="G1174" s="19" t="str">
        <v>英国区09:00-17:30 / UK 09:00-17:30</v>
      </c>
      <c r="H1174" s="19" t="str">
        <v>S000331</v>
      </c>
      <c r="I1174" s="19" t="str">
        <v>Employment of London Limited</v>
      </c>
      <c r="J1174" s="23" t="n">
        <v>2</v>
      </c>
      <c r="K1174" s="23" t="n">
        <v>0</v>
      </c>
      <c r="L1174" s="23" t="n">
        <f>J1174+K1174</f>
        <v>2</v>
      </c>
      <c r="M1174" s="23" t="n">
        <v>2</v>
      </c>
      <c r="N1174" s="23" t="n">
        <v>2</v>
      </c>
      <c r="O1174" s="23" t="n">
        <v>2</v>
      </c>
      <c r="P1174" s="23" t="n">
        <v>2</v>
      </c>
      <c r="Q1174" s="23" t="n">
        <f>MIN(O1174,P1174)</f>
        <v>2</v>
      </c>
      <c r="R1174" s="25" t="n">
        <f>IF(M1174=0,0,MIN(1,L1174/M1174))</f>
        <v>1</v>
      </c>
      <c r="S1174" s="23" t="n">
        <f>O1174*R1174</f>
        <v>2</v>
      </c>
      <c r="T1174" s="23" t="n">
        <f>MIN(P1174,S1174)</f>
        <v>2</v>
      </c>
      <c r="U1174" s="23" t="n">
        <f>O1174-S1174</f>
        <v>0</v>
      </c>
      <c r="V1174" s="23" t="n">
        <f>MAX(P1174-O1174,0)</f>
        <v>0</v>
      </c>
    </row>
    <row r="1175">
      <c r="A1175" s="19" t="str">
        <v>英国区</v>
      </c>
      <c r="B1175" s="19" t="str">
        <v>伯明翰23号仓</v>
      </c>
      <c r="C1175" s="19" t="str">
        <v>售后组</v>
      </c>
      <c r="D1175" s="21" t="n">
        <v>46202</v>
      </c>
      <c r="E1175" s="19" t="str">
        <v>2026-06</v>
      </c>
      <c r="F1175" s="19" t="str">
        <v>操作员</v>
      </c>
      <c r="G1175" s="19" t="str">
        <v>英国区08:00-16:30 / UK 08:00-16:30</v>
      </c>
      <c r="H1175" s="19" t="str">
        <v>S000331</v>
      </c>
      <c r="I1175" s="19" t="str">
        <v>Employment of London Limited</v>
      </c>
      <c r="J1175" s="23" t="n">
        <v>1</v>
      </c>
      <c r="K1175" s="23" t="n">
        <v>0</v>
      </c>
      <c r="L1175" s="23" t="n">
        <f>J1175+K1175</f>
        <v>1</v>
      </c>
      <c r="M1175" s="23" t="n">
        <v>1</v>
      </c>
      <c r="N1175" s="23" t="n">
        <v>1</v>
      </c>
      <c r="O1175" s="23" t="n">
        <v>1</v>
      </c>
      <c r="P1175" s="23" t="n">
        <v>1</v>
      </c>
      <c r="Q1175" s="23" t="n">
        <f>MIN(O1175,P1175)</f>
        <v>1</v>
      </c>
      <c r="R1175" s="25" t="n">
        <f>IF(M1175=0,0,MIN(1,L1175/M1175))</f>
        <v>1</v>
      </c>
      <c r="S1175" s="23" t="n">
        <f>O1175*R1175</f>
        <v>1</v>
      </c>
      <c r="T1175" s="23" t="n">
        <f>MIN(P1175,S1175)</f>
        <v>1</v>
      </c>
      <c r="U1175" s="23" t="n">
        <f>O1175-S1175</f>
        <v>0</v>
      </c>
      <c r="V1175" s="23" t="n">
        <f>MAX(P1175-O1175,0)</f>
        <v>0</v>
      </c>
    </row>
    <row r="1176">
      <c r="A1176" s="19" t="str">
        <v>英国区</v>
      </c>
      <c r="B1176" s="19" t="str">
        <v>伯明翰23号仓</v>
      </c>
      <c r="C1176" s="19" t="str">
        <v>拣货组</v>
      </c>
      <c r="D1176" s="21" t="n">
        <v>46133</v>
      </c>
      <c r="E1176" s="19" t="str">
        <v>2026-04</v>
      </c>
      <c r="F1176" s="19" t="str">
        <v>操作员</v>
      </c>
      <c r="G1176" s="19" t="str">
        <v>英国区10:00-18:30 / UK 10:00-18:30</v>
      </c>
      <c r="H1176" s="19" t="str">
        <v>S000007</v>
      </c>
      <c r="I1176" s="19" t="str">
        <v>Kenect</v>
      </c>
      <c r="J1176" s="23" t="n">
        <v>1</v>
      </c>
      <c r="K1176" s="23" t="n">
        <v>0</v>
      </c>
      <c r="L1176" s="23" t="n">
        <f>J1176+K1176</f>
        <v>1</v>
      </c>
      <c r="M1176" s="23" t="n">
        <v>1</v>
      </c>
      <c r="N1176" s="23" t="n">
        <v>1</v>
      </c>
      <c r="O1176" s="23" t="n">
        <v>1</v>
      </c>
      <c r="P1176" s="23" t="n">
        <v>1</v>
      </c>
      <c r="Q1176" s="23" t="n">
        <f>MIN(O1176,P1176)</f>
        <v>1</v>
      </c>
      <c r="R1176" s="25" t="n">
        <f>IF(M1176=0,0,MIN(1,L1176/M1176))</f>
        <v>1</v>
      </c>
      <c r="S1176" s="23" t="n">
        <f>O1176*R1176</f>
        <v>1</v>
      </c>
      <c r="T1176" s="23" t="n">
        <f>MIN(P1176,S1176)</f>
        <v>1</v>
      </c>
      <c r="U1176" s="23" t="n">
        <f>O1176-S1176</f>
        <v>0</v>
      </c>
      <c r="V1176" s="23" t="n">
        <f>MAX(P1176-O1176,0)</f>
        <v>0</v>
      </c>
    </row>
    <row r="1177">
      <c r="A1177" s="19" t="str">
        <v>英国区</v>
      </c>
      <c r="B1177" s="19" t="str">
        <v>伯明翰23号仓</v>
      </c>
      <c r="C1177" s="19" t="str">
        <v>拣货组</v>
      </c>
      <c r="D1177" s="21" t="n">
        <v>46134</v>
      </c>
      <c r="E1177" s="19" t="str">
        <v>2026-04</v>
      </c>
      <c r="F1177" s="19" t="str">
        <v>操作员</v>
      </c>
      <c r="G1177" s="19" t="str">
        <v>英国区10:00-18:30 / UK 10:00-18:30</v>
      </c>
      <c r="H1177" s="19" t="str">
        <v>S000274</v>
      </c>
      <c r="I1177" s="19" t="str">
        <v>Jobsworth Recruitment Solutions Limited</v>
      </c>
      <c r="J1177" s="23" t="n">
        <v>2</v>
      </c>
      <c r="K1177" s="23" t="n">
        <v>0</v>
      </c>
      <c r="L1177" s="23" t="n">
        <f>J1177+K1177</f>
        <v>2</v>
      </c>
      <c r="M1177" s="23" t="n">
        <v>2</v>
      </c>
      <c r="N1177" s="23" t="n">
        <v>2</v>
      </c>
      <c r="O1177" s="23" t="n">
        <v>2</v>
      </c>
      <c r="P1177" s="23" t="n">
        <v>2</v>
      </c>
      <c r="Q1177" s="23" t="n">
        <f>MIN(O1177,P1177)</f>
        <v>2</v>
      </c>
      <c r="R1177" s="25" t="n">
        <f>IF(M1177=0,0,MIN(1,L1177/M1177))</f>
        <v>1</v>
      </c>
      <c r="S1177" s="23" t="n">
        <f>O1177*R1177</f>
        <v>2</v>
      </c>
      <c r="T1177" s="23" t="n">
        <f>MIN(P1177,S1177)</f>
        <v>2</v>
      </c>
      <c r="U1177" s="23" t="n">
        <f>O1177-S1177</f>
        <v>0</v>
      </c>
      <c r="V1177" s="23" t="n">
        <f>MAX(P1177-O1177,0)</f>
        <v>0</v>
      </c>
    </row>
    <row r="1178">
      <c r="A1178" s="19" t="str">
        <v>英国区</v>
      </c>
      <c r="B1178" s="19" t="str">
        <v>伯明翰23号仓</v>
      </c>
      <c r="C1178" s="19" t="str">
        <v>拣货组</v>
      </c>
      <c r="D1178" s="21" t="n">
        <v>46135</v>
      </c>
      <c r="E1178" s="19" t="str">
        <v>2026-04</v>
      </c>
      <c r="F1178" s="19" t="str">
        <v>操作员</v>
      </c>
      <c r="G1178" s="19" t="str">
        <v>英国区10:00-18:30 / UK 10:00-18:30</v>
      </c>
      <c r="H1178" s="19" t="str">
        <v>S000013</v>
      </c>
      <c r="I1178" s="19" t="str">
        <v>FT Recruitment</v>
      </c>
      <c r="J1178" s="23" t="n">
        <v>2</v>
      </c>
      <c r="K1178" s="23" t="n">
        <v>0</v>
      </c>
      <c r="L1178" s="23" t="n">
        <f>J1178+K1178</f>
        <v>2</v>
      </c>
      <c r="M1178" s="23" t="n">
        <v>2</v>
      </c>
      <c r="N1178" s="23" t="n">
        <v>2</v>
      </c>
      <c r="O1178" s="23" t="n">
        <v>2</v>
      </c>
      <c r="P1178" s="23" t="n">
        <v>2</v>
      </c>
      <c r="Q1178" s="23" t="n">
        <f>MIN(O1178,P1178)</f>
        <v>2</v>
      </c>
      <c r="R1178" s="25" t="n">
        <f>IF(M1178=0,0,MIN(1,L1178/M1178))</f>
        <v>1</v>
      </c>
      <c r="S1178" s="23" t="n">
        <f>O1178*R1178</f>
        <v>2</v>
      </c>
      <c r="T1178" s="23" t="n">
        <f>MIN(P1178,S1178)</f>
        <v>2</v>
      </c>
      <c r="U1178" s="23" t="n">
        <f>O1178-S1178</f>
        <v>0</v>
      </c>
      <c r="V1178" s="23" t="n">
        <f>MAX(P1178-O1178,0)</f>
        <v>0</v>
      </c>
    </row>
    <row r="1179">
      <c r="A1179" s="19" t="str">
        <v>英国区</v>
      </c>
      <c r="B1179" s="19" t="str">
        <v>伯明翰23号仓</v>
      </c>
      <c r="C1179" s="19" t="str">
        <v>拣货组</v>
      </c>
      <c r="D1179" s="21" t="n">
        <v>46188</v>
      </c>
      <c r="E1179" s="19" t="str">
        <v>2026-06</v>
      </c>
      <c r="F1179" s="19" t="str">
        <v>操作员</v>
      </c>
      <c r="G1179" s="19" t="str">
        <v>英国区11:00-19:30 / UK 11:00-19:30</v>
      </c>
      <c r="H1179" s="19" t="str">
        <v>S000274</v>
      </c>
      <c r="I1179" s="19" t="str">
        <v>Jobsworth Recruitment Solutions Limited</v>
      </c>
      <c r="J1179" s="23" t="n">
        <v>1</v>
      </c>
      <c r="K1179" s="23" t="n">
        <v>0</v>
      </c>
      <c r="L1179" s="23" t="n">
        <f>J1179+K1179</f>
        <v>1</v>
      </c>
      <c r="M1179" s="23" t="n">
        <v>1</v>
      </c>
      <c r="N1179" s="23" t="n">
        <v>1</v>
      </c>
      <c r="O1179" s="23" t="n">
        <v>1</v>
      </c>
      <c r="P1179" s="23" t="n">
        <v>1</v>
      </c>
      <c r="Q1179" s="23" t="n">
        <f>MIN(O1179,P1179)</f>
        <v>1</v>
      </c>
      <c r="R1179" s="25" t="n">
        <f>IF(M1179=0,0,MIN(1,L1179/M1179))</f>
        <v>1</v>
      </c>
      <c r="S1179" s="23" t="n">
        <f>O1179*R1179</f>
        <v>1</v>
      </c>
      <c r="T1179" s="23" t="n">
        <f>MIN(P1179,S1179)</f>
        <v>1</v>
      </c>
      <c r="U1179" s="23" t="n">
        <f>O1179-S1179</f>
        <v>0</v>
      </c>
      <c r="V1179" s="23" t="n">
        <f>MAX(P1179-O1179,0)</f>
        <v>0</v>
      </c>
    </row>
    <row r="1180">
      <c r="A1180" s="19" t="str">
        <v>英国区</v>
      </c>
      <c r="B1180" s="19" t="str">
        <v>伯明翰23号仓</v>
      </c>
      <c r="C1180" s="19" t="str">
        <v>拣货组</v>
      </c>
      <c r="D1180" s="21" t="n">
        <v>46189</v>
      </c>
      <c r="E1180" s="19" t="str">
        <v>2026-06</v>
      </c>
      <c r="F1180" s="19" t="str">
        <v>操作员</v>
      </c>
      <c r="G1180" s="19" t="str">
        <v>英国区07:00-15:30 / UK 07:00-15:30</v>
      </c>
      <c r="H1180" s="19" t="str">
        <v>S000011</v>
      </c>
      <c r="I1180" s="19" t="str">
        <v>SD4U</v>
      </c>
      <c r="J1180" s="23" t="n">
        <v>1</v>
      </c>
      <c r="K1180" s="23" t="n">
        <v>0</v>
      </c>
      <c r="L1180" s="23" t="n">
        <f>J1180+K1180</f>
        <v>1</v>
      </c>
      <c r="M1180" s="23" t="n">
        <v>1</v>
      </c>
      <c r="N1180" s="23" t="n">
        <v>0</v>
      </c>
      <c r="O1180" s="23" t="n">
        <v>1</v>
      </c>
      <c r="P1180" s="23" t="n">
        <v>0</v>
      </c>
      <c r="Q1180" s="23" t="n">
        <f>MIN(O1180,P1180)</f>
        <v>0</v>
      </c>
      <c r="R1180" s="25" t="n">
        <f>IF(M1180=0,0,MIN(1,L1180/M1180))</f>
        <v>1</v>
      </c>
      <c r="S1180" s="23" t="n">
        <f>O1180*R1180</f>
        <v>1</v>
      </c>
      <c r="T1180" s="23" t="n">
        <f>MIN(P1180,S1180)</f>
        <v>0</v>
      </c>
      <c r="U1180" s="23" t="n">
        <f>O1180-S1180</f>
        <v>0</v>
      </c>
      <c r="V1180" s="23" t="n">
        <f>MAX(P1180-O1180,0)</f>
        <v>0</v>
      </c>
    </row>
    <row r="1181">
      <c r="A1181" s="19" t="str">
        <v>英国区</v>
      </c>
      <c r="B1181" s="19" t="str">
        <v>伯明翰23号仓</v>
      </c>
      <c r="C1181" s="19" t="str">
        <v>拣货组</v>
      </c>
      <c r="D1181" s="21" t="n">
        <v>46190</v>
      </c>
      <c r="E1181" s="19" t="str">
        <v>2026-06</v>
      </c>
      <c r="F1181" s="19" t="str">
        <v>操作员</v>
      </c>
      <c r="G1181" s="19" t="str">
        <v>英国区08:00-16:30 / UK 08:00-16:30</v>
      </c>
      <c r="H1181" s="19" t="str">
        <v>S000331</v>
      </c>
      <c r="I1181" s="19" t="str">
        <v>Employment of London Limited</v>
      </c>
      <c r="J1181" s="23" t="n">
        <v>5</v>
      </c>
      <c r="K1181" s="23" t="n">
        <v>0</v>
      </c>
      <c r="L1181" s="23" t="n">
        <f>J1181+K1181</f>
        <v>5</v>
      </c>
      <c r="M1181" s="23" t="n">
        <v>5</v>
      </c>
      <c r="N1181" s="23" t="n">
        <v>5</v>
      </c>
      <c r="O1181" s="23" t="n">
        <v>5</v>
      </c>
      <c r="P1181" s="23" t="n">
        <v>5</v>
      </c>
      <c r="Q1181" s="23" t="n">
        <f>MIN(O1181,P1181)</f>
        <v>5</v>
      </c>
      <c r="R1181" s="25" t="n">
        <f>IF(M1181=0,0,MIN(1,L1181/M1181))</f>
        <v>1</v>
      </c>
      <c r="S1181" s="23" t="n">
        <f>O1181*R1181</f>
        <v>5</v>
      </c>
      <c r="T1181" s="23" t="n">
        <f>MIN(P1181,S1181)</f>
        <v>5</v>
      </c>
      <c r="U1181" s="23" t="n">
        <f>O1181-S1181</f>
        <v>0</v>
      </c>
      <c r="V1181" s="23" t="n">
        <f>MAX(P1181-O1181,0)</f>
        <v>0</v>
      </c>
    </row>
    <row r="1182">
      <c r="A1182" s="19" t="str">
        <v>英国区</v>
      </c>
      <c r="B1182" s="19" t="str">
        <v>伯明翰23号仓</v>
      </c>
      <c r="C1182" s="19" t="str">
        <v>拣货组</v>
      </c>
      <c r="D1182" s="21" t="n">
        <v>46190</v>
      </c>
      <c r="E1182" s="19" t="str">
        <v>2026-06</v>
      </c>
      <c r="F1182" s="19" t="str">
        <v>操作员</v>
      </c>
      <c r="G1182" s="19" t="str">
        <v>英国区09:00-17:30 / UK 09:00-17:30</v>
      </c>
      <c r="H1182" s="19" t="str">
        <v>S000331</v>
      </c>
      <c r="I1182" s="19" t="str">
        <v>Employment of London Limited</v>
      </c>
      <c r="J1182" s="23" t="n">
        <v>2</v>
      </c>
      <c r="K1182" s="23" t="n">
        <v>0</v>
      </c>
      <c r="L1182" s="23" t="n">
        <f>J1182+K1182</f>
        <v>2</v>
      </c>
      <c r="M1182" s="23" t="n">
        <v>2</v>
      </c>
      <c r="N1182" s="23" t="n">
        <v>2</v>
      </c>
      <c r="O1182" s="23" t="n">
        <v>2</v>
      </c>
      <c r="P1182" s="23" t="n">
        <v>2</v>
      </c>
      <c r="Q1182" s="23" t="n">
        <f>MIN(O1182,P1182)</f>
        <v>2</v>
      </c>
      <c r="R1182" s="25" t="n">
        <f>IF(M1182=0,0,MIN(1,L1182/M1182))</f>
        <v>1</v>
      </c>
      <c r="S1182" s="23" t="n">
        <f>O1182*R1182</f>
        <v>2</v>
      </c>
      <c r="T1182" s="23" t="n">
        <f>MIN(P1182,S1182)</f>
        <v>2</v>
      </c>
      <c r="U1182" s="23" t="n">
        <f>O1182-S1182</f>
        <v>0</v>
      </c>
      <c r="V1182" s="23" t="n">
        <f>MAX(P1182-O1182,0)</f>
        <v>0</v>
      </c>
    </row>
    <row r="1183">
      <c r="A1183" s="19" t="str">
        <v>英国区</v>
      </c>
      <c r="B1183" s="19" t="str">
        <v>伯明翰23号仓</v>
      </c>
      <c r="C1183" s="19" t="str">
        <v>拣货组</v>
      </c>
      <c r="D1183" s="21" t="n">
        <v>46190</v>
      </c>
      <c r="E1183" s="19" t="str">
        <v>2026-06</v>
      </c>
      <c r="F1183" s="19" t="str">
        <v>操作员</v>
      </c>
      <c r="G1183" s="19" t="str">
        <v>英国区10:00-18:30 / UK 10:00-18:30</v>
      </c>
      <c r="H1183" s="19" t="str">
        <v>S000331</v>
      </c>
      <c r="I1183" s="19" t="str">
        <v>Employment of London Limited</v>
      </c>
      <c r="J1183" s="23" t="n">
        <v>1</v>
      </c>
      <c r="K1183" s="23" t="n">
        <v>0</v>
      </c>
      <c r="L1183" s="23" t="n">
        <f>J1183+K1183</f>
        <v>1</v>
      </c>
      <c r="M1183" s="23" t="n">
        <v>1</v>
      </c>
      <c r="N1183" s="23" t="n">
        <v>1</v>
      </c>
      <c r="O1183" s="23" t="n">
        <v>1</v>
      </c>
      <c r="P1183" s="23" t="n">
        <v>1</v>
      </c>
      <c r="Q1183" s="23" t="n">
        <f>MIN(O1183,P1183)</f>
        <v>1</v>
      </c>
      <c r="R1183" s="25" t="n">
        <f>IF(M1183=0,0,MIN(1,L1183/M1183))</f>
        <v>1</v>
      </c>
      <c r="S1183" s="23" t="n">
        <f>O1183*R1183</f>
        <v>1</v>
      </c>
      <c r="T1183" s="23" t="n">
        <f>MIN(P1183,S1183)</f>
        <v>1</v>
      </c>
      <c r="U1183" s="23" t="n">
        <f>O1183-S1183</f>
        <v>0</v>
      </c>
      <c r="V1183" s="23" t="n">
        <f>MAX(P1183-O1183,0)</f>
        <v>0</v>
      </c>
    </row>
    <row r="1184">
      <c r="A1184" s="19" t="str">
        <v>英国区</v>
      </c>
      <c r="B1184" s="19" t="str">
        <v>伯明翰23号仓</v>
      </c>
      <c r="C1184" s="19" t="str">
        <v>拣货组</v>
      </c>
      <c r="D1184" s="21" t="n">
        <v>46190</v>
      </c>
      <c r="E1184" s="19" t="str">
        <v>2026-06</v>
      </c>
      <c r="F1184" s="19" t="str">
        <v>操作员</v>
      </c>
      <c r="G1184" s="19" t="str">
        <v>英国区15:00-00:30 / UK 15:00-00:30</v>
      </c>
      <c r="H1184" s="19" t="str">
        <v>S000331</v>
      </c>
      <c r="I1184" s="19" t="str">
        <v>Employment of London Limited</v>
      </c>
      <c r="J1184" s="23" t="n">
        <v>2</v>
      </c>
      <c r="K1184" s="23" t="n">
        <v>0</v>
      </c>
      <c r="L1184" s="23" t="n">
        <f>J1184+K1184</f>
        <v>2</v>
      </c>
      <c r="M1184" s="23" t="n">
        <v>2</v>
      </c>
      <c r="N1184" s="23" t="n">
        <v>2</v>
      </c>
      <c r="O1184" s="23" t="n">
        <v>2</v>
      </c>
      <c r="P1184" s="23" t="n">
        <v>2</v>
      </c>
      <c r="Q1184" s="23" t="n">
        <f>MIN(O1184,P1184)</f>
        <v>2</v>
      </c>
      <c r="R1184" s="25" t="n">
        <f>IF(M1184=0,0,MIN(1,L1184/M1184))</f>
        <v>1</v>
      </c>
      <c r="S1184" s="23" t="n">
        <f>O1184*R1184</f>
        <v>2</v>
      </c>
      <c r="T1184" s="23" t="n">
        <f>MIN(P1184,S1184)</f>
        <v>2</v>
      </c>
      <c r="U1184" s="23" t="n">
        <f>O1184-S1184</f>
        <v>0</v>
      </c>
      <c r="V1184" s="23" t="n">
        <f>MAX(P1184-O1184,0)</f>
        <v>0</v>
      </c>
    </row>
    <row r="1185">
      <c r="A1185" s="19" t="str">
        <v>英国区</v>
      </c>
      <c r="B1185" s="19" t="str">
        <v>伯明翰23号仓</v>
      </c>
      <c r="C1185" s="19" t="str">
        <v>拣货组</v>
      </c>
      <c r="D1185" s="21" t="n">
        <v>46190</v>
      </c>
      <c r="E1185" s="19" t="str">
        <v>2026-06</v>
      </c>
      <c r="F1185" s="19" t="str">
        <v>操作员</v>
      </c>
      <c r="G1185" s="19" t="str">
        <v>英国区22:00-06:30 / UK 22:00-06:30</v>
      </c>
      <c r="H1185" s="19" t="str">
        <v>S000331</v>
      </c>
      <c r="I1185" s="19" t="str">
        <v>Employment of London Limited</v>
      </c>
      <c r="J1185" s="23" t="n">
        <v>2</v>
      </c>
      <c r="K1185" s="23" t="n">
        <v>0</v>
      </c>
      <c r="L1185" s="23" t="n">
        <f>J1185+K1185</f>
        <v>2</v>
      </c>
      <c r="M1185" s="23" t="n">
        <v>2</v>
      </c>
      <c r="N1185" s="23" t="n">
        <v>2</v>
      </c>
      <c r="O1185" s="23" t="n">
        <v>2</v>
      </c>
      <c r="P1185" s="23" t="n">
        <v>2</v>
      </c>
      <c r="Q1185" s="23" t="n">
        <f>MIN(O1185,P1185)</f>
        <v>2</v>
      </c>
      <c r="R1185" s="25" t="n">
        <f>IF(M1185=0,0,MIN(1,L1185/M1185))</f>
        <v>1</v>
      </c>
      <c r="S1185" s="23" t="n">
        <f>O1185*R1185</f>
        <v>2</v>
      </c>
      <c r="T1185" s="23" t="n">
        <f>MIN(P1185,S1185)</f>
        <v>2</v>
      </c>
      <c r="U1185" s="23" t="n">
        <f>O1185-S1185</f>
        <v>0</v>
      </c>
      <c r="V1185" s="23" t="n">
        <f>MAX(P1185-O1185,0)</f>
        <v>0</v>
      </c>
    </row>
    <row r="1186">
      <c r="A1186" s="19" t="str">
        <v>英国区</v>
      </c>
      <c r="B1186" s="19" t="str">
        <v>伯明翰23号仓</v>
      </c>
      <c r="C1186" s="19" t="str">
        <v>拣货组</v>
      </c>
      <c r="D1186" s="21" t="n">
        <v>46196</v>
      </c>
      <c r="E1186" s="19" t="str">
        <v>2026-06</v>
      </c>
      <c r="F1186" s="19" t="str">
        <v>操作员</v>
      </c>
      <c r="G1186" s="19" t="str">
        <v>英国区09:00-17:30 / UK 09:00-17:30</v>
      </c>
      <c r="H1186" s="19" t="str">
        <v>S000331</v>
      </c>
      <c r="I1186" s="19" t="str">
        <v>Employment of London Limited</v>
      </c>
      <c r="J1186" s="23" t="n">
        <v>2</v>
      </c>
      <c r="K1186" s="23" t="n">
        <v>0</v>
      </c>
      <c r="L1186" s="23" t="n">
        <f>J1186+K1186</f>
        <v>2</v>
      </c>
      <c r="M1186" s="23" t="n">
        <v>2</v>
      </c>
      <c r="N1186" s="23" t="n">
        <v>2</v>
      </c>
      <c r="O1186" s="23" t="n">
        <v>2</v>
      </c>
      <c r="P1186" s="23" t="n">
        <v>2</v>
      </c>
      <c r="Q1186" s="23" t="n">
        <f>MIN(O1186,P1186)</f>
        <v>2</v>
      </c>
      <c r="R1186" s="25" t="n">
        <f>IF(M1186=0,0,MIN(1,L1186/M1186))</f>
        <v>1</v>
      </c>
      <c r="S1186" s="23" t="n">
        <f>O1186*R1186</f>
        <v>2</v>
      </c>
      <c r="T1186" s="23" t="n">
        <f>MIN(P1186,S1186)</f>
        <v>2</v>
      </c>
      <c r="U1186" s="23" t="n">
        <f>O1186-S1186</f>
        <v>0</v>
      </c>
      <c r="V1186" s="23" t="n">
        <f>MAX(P1186-O1186,0)</f>
        <v>0</v>
      </c>
    </row>
    <row r="1187">
      <c r="A1187" s="19" t="str">
        <v>英国区</v>
      </c>
      <c r="B1187" s="19" t="str">
        <v>伯明翰23号仓</v>
      </c>
      <c r="C1187" s="19" t="str">
        <v>拣货组</v>
      </c>
      <c r="D1187" s="21" t="n">
        <v>46197</v>
      </c>
      <c r="E1187" s="19" t="str">
        <v>2026-06</v>
      </c>
      <c r="F1187" s="19" t="str">
        <v>操作员</v>
      </c>
      <c r="G1187" s="19" t="str">
        <v>英国区09:00-17:30 / UK 09:00-17:30</v>
      </c>
      <c r="H1187" s="19" t="str">
        <v>S000331</v>
      </c>
      <c r="I1187" s="19" t="str">
        <v>Employment of London Limited</v>
      </c>
      <c r="J1187" s="23" t="n">
        <v>8</v>
      </c>
      <c r="K1187" s="23" t="n">
        <v>0</v>
      </c>
      <c r="L1187" s="23" t="n">
        <f>J1187+K1187</f>
        <v>8</v>
      </c>
      <c r="M1187" s="23" t="n">
        <v>8</v>
      </c>
      <c r="N1187" s="23" t="n">
        <v>8</v>
      </c>
      <c r="O1187" s="23" t="n">
        <v>8</v>
      </c>
      <c r="P1187" s="23" t="n">
        <v>8</v>
      </c>
      <c r="Q1187" s="23" t="n">
        <f>MIN(O1187,P1187)</f>
        <v>8</v>
      </c>
      <c r="R1187" s="25" t="n">
        <f>IF(M1187=0,0,MIN(1,L1187/M1187))</f>
        <v>1</v>
      </c>
      <c r="S1187" s="23" t="n">
        <f>O1187*R1187</f>
        <v>8</v>
      </c>
      <c r="T1187" s="23" t="n">
        <f>MIN(P1187,S1187)</f>
        <v>8</v>
      </c>
      <c r="U1187" s="23" t="n">
        <f>O1187-S1187</f>
        <v>0</v>
      </c>
      <c r="V1187" s="23" t="n">
        <f>MAX(P1187-O1187,0)</f>
        <v>0</v>
      </c>
    </row>
    <row r="1188">
      <c r="A1188" s="19" t="str">
        <v>英国区</v>
      </c>
      <c r="B1188" s="19" t="str">
        <v>伯明翰23号仓</v>
      </c>
      <c r="C1188" s="19" t="str">
        <v>拣货组</v>
      </c>
      <c r="D1188" s="21" t="n">
        <v>46202</v>
      </c>
      <c r="E1188" s="19" t="str">
        <v>2026-06</v>
      </c>
      <c r="F1188" s="19" t="str">
        <v>操作员</v>
      </c>
      <c r="G1188" s="19" t="str">
        <v>英国区10:00-18:30 / UK 10:00-18:30</v>
      </c>
      <c r="H1188" s="19" t="str">
        <v>S000331</v>
      </c>
      <c r="I1188" s="19" t="str">
        <v>Employment of London Limited</v>
      </c>
      <c r="J1188" s="23" t="n">
        <v>2</v>
      </c>
      <c r="K1188" s="23" t="n">
        <v>0</v>
      </c>
      <c r="L1188" s="23" t="n">
        <f>J1188+K1188</f>
        <v>2</v>
      </c>
      <c r="M1188" s="23" t="n">
        <v>2</v>
      </c>
      <c r="N1188" s="23" t="n">
        <v>2</v>
      </c>
      <c r="O1188" s="23" t="n">
        <v>2</v>
      </c>
      <c r="P1188" s="23" t="n">
        <v>2</v>
      </c>
      <c r="Q1188" s="23" t="n">
        <f>MIN(O1188,P1188)</f>
        <v>2</v>
      </c>
      <c r="R1188" s="25" t="n">
        <f>IF(M1188=0,0,MIN(1,L1188/M1188))</f>
        <v>1</v>
      </c>
      <c r="S1188" s="23" t="n">
        <f>O1188*R1188</f>
        <v>2</v>
      </c>
      <c r="T1188" s="23" t="n">
        <f>MIN(P1188,S1188)</f>
        <v>2</v>
      </c>
      <c r="U1188" s="23" t="n">
        <f>O1188-S1188</f>
        <v>0</v>
      </c>
      <c r="V1188" s="23" t="n">
        <f>MAX(P1188-O1188,0)</f>
        <v>0</v>
      </c>
    </row>
    <row r="1189">
      <c r="A1189" s="19" t="str">
        <v>英国区</v>
      </c>
      <c r="B1189" s="19" t="str">
        <v>伯明翰23号仓</v>
      </c>
      <c r="C1189" s="19" t="str">
        <v>理货组</v>
      </c>
      <c r="D1189" s="21" t="n">
        <v>46114</v>
      </c>
      <c r="E1189" s="19" t="str">
        <v>2026-04</v>
      </c>
      <c r="F1189" s="19" t="str">
        <v>保洁员</v>
      </c>
      <c r="G1189" s="19" t="str">
        <v>英国区11:00-19:30 / UK 11:00-19:30</v>
      </c>
      <c r="H1189" s="19" t="str">
        <v>S000132</v>
      </c>
      <c r="I1189" s="19" t="str">
        <v>HRA Recruitment Services</v>
      </c>
      <c r="J1189" s="23" t="n">
        <v>1</v>
      </c>
      <c r="K1189" s="23" t="n">
        <v>0</v>
      </c>
      <c r="L1189" s="23" t="n">
        <f>J1189+K1189</f>
        <v>1</v>
      </c>
      <c r="M1189" s="23" t="n">
        <v>1</v>
      </c>
      <c r="N1189" s="23" t="n">
        <v>1</v>
      </c>
      <c r="O1189" s="23" t="n">
        <v>1</v>
      </c>
      <c r="P1189" s="23" t="n">
        <v>1</v>
      </c>
      <c r="Q1189" s="23" t="n">
        <f>MIN(O1189,P1189)</f>
        <v>1</v>
      </c>
      <c r="R1189" s="25" t="n">
        <f>IF(M1189=0,0,MIN(1,L1189/M1189))</f>
        <v>1</v>
      </c>
      <c r="S1189" s="23" t="n">
        <f>O1189*R1189</f>
        <v>1</v>
      </c>
      <c r="T1189" s="23" t="n">
        <f>MIN(P1189,S1189)</f>
        <v>1</v>
      </c>
      <c r="U1189" s="23" t="n">
        <f>O1189-S1189</f>
        <v>0</v>
      </c>
      <c r="V1189" s="23" t="n">
        <f>MAX(P1189-O1189,0)</f>
        <v>0</v>
      </c>
    </row>
    <row r="1190">
      <c r="A1190" s="19" t="str">
        <v>英国区</v>
      </c>
      <c r="B1190" s="19" t="str">
        <v>伯明翰23号仓</v>
      </c>
      <c r="C1190" s="19" t="str">
        <v>理货组</v>
      </c>
      <c r="D1190" s="21" t="n">
        <v>46177</v>
      </c>
      <c r="E1190" s="19" t="str">
        <v>2026-06</v>
      </c>
      <c r="F1190" s="19" t="str">
        <v>操作员</v>
      </c>
      <c r="G1190" s="19" t="str">
        <v>英国区15:00-00:30 / UK 15:00-00:30</v>
      </c>
      <c r="H1190" s="19" t="str">
        <v>S000331</v>
      </c>
      <c r="I1190" s="19" t="str">
        <v>Employment of London Limited</v>
      </c>
      <c r="J1190" s="23" t="n">
        <v>2</v>
      </c>
      <c r="K1190" s="23" t="n">
        <v>0</v>
      </c>
      <c r="L1190" s="23" t="n">
        <f>J1190+K1190</f>
        <v>2</v>
      </c>
      <c r="M1190" s="23" t="n">
        <v>2</v>
      </c>
      <c r="N1190" s="23" t="n">
        <v>2</v>
      </c>
      <c r="O1190" s="23" t="n">
        <v>2</v>
      </c>
      <c r="P1190" s="23" t="n">
        <v>2</v>
      </c>
      <c r="Q1190" s="23" t="n">
        <f>MIN(O1190,P1190)</f>
        <v>2</v>
      </c>
      <c r="R1190" s="25" t="n">
        <f>IF(M1190=0,0,MIN(1,L1190/M1190))</f>
        <v>1</v>
      </c>
      <c r="S1190" s="23" t="n">
        <f>O1190*R1190</f>
        <v>2</v>
      </c>
      <c r="T1190" s="23" t="n">
        <f>MIN(P1190,S1190)</f>
        <v>2</v>
      </c>
      <c r="U1190" s="23" t="n">
        <f>O1190-S1190</f>
        <v>0</v>
      </c>
      <c r="V1190" s="23" t="n">
        <f>MAX(P1190-O1190,0)</f>
        <v>0</v>
      </c>
    </row>
    <row r="1191">
      <c r="A1191" s="19" t="str">
        <v>英国区</v>
      </c>
      <c r="B1191" s="19" t="str">
        <v>伯明翰25号仓</v>
      </c>
      <c r="C1191" s="19" t="str">
        <v>入库组</v>
      </c>
      <c r="D1191" s="21" t="n">
        <v>46119</v>
      </c>
      <c r="E1191" s="19" t="str">
        <v>2026-04</v>
      </c>
      <c r="F1191" s="19" t="str">
        <v>操作员</v>
      </c>
      <c r="G1191" s="19" t="str">
        <v>英国区10:00-18:30 / UK 10:00-18:30</v>
      </c>
      <c r="H1191" s="19" t="str">
        <v>S000013</v>
      </c>
      <c r="I1191" s="19" t="str">
        <v>FT Recruitment</v>
      </c>
      <c r="J1191" s="23" t="n">
        <v>3</v>
      </c>
      <c r="K1191" s="23" t="n">
        <v>0</v>
      </c>
      <c r="L1191" s="23" t="n">
        <f>J1191+K1191</f>
        <v>3</v>
      </c>
      <c r="M1191" s="23" t="n">
        <v>3</v>
      </c>
      <c r="N1191" s="23" t="n">
        <v>2</v>
      </c>
      <c r="O1191" s="23" t="n">
        <v>3</v>
      </c>
      <c r="P1191" s="23" t="n">
        <v>2</v>
      </c>
      <c r="Q1191" s="23" t="n">
        <f>MIN(O1191,P1191)</f>
        <v>2</v>
      </c>
      <c r="R1191" s="25" t="n">
        <f>IF(M1191=0,0,MIN(1,L1191/M1191))</f>
        <v>1</v>
      </c>
      <c r="S1191" s="23" t="n">
        <f>O1191*R1191</f>
        <v>3</v>
      </c>
      <c r="T1191" s="23" t="n">
        <f>MIN(P1191,S1191)</f>
        <v>2</v>
      </c>
      <c r="U1191" s="23" t="n">
        <f>O1191-S1191</f>
        <v>0</v>
      </c>
      <c r="V1191" s="23" t="n">
        <f>MAX(P1191-O1191,0)</f>
        <v>0</v>
      </c>
    </row>
    <row r="1192">
      <c r="A1192" s="19" t="str">
        <v>英国区</v>
      </c>
      <c r="B1192" s="19" t="str">
        <v>伯明翰25号仓</v>
      </c>
      <c r="C1192" s="19" t="str">
        <v>入库组</v>
      </c>
      <c r="D1192" s="21" t="n">
        <v>46120</v>
      </c>
      <c r="E1192" s="19" t="str">
        <v>2026-04</v>
      </c>
      <c r="F1192" s="19" t="str">
        <v>操作员</v>
      </c>
      <c r="G1192" s="19" t="str">
        <v>英国区10:00-18:30 / UK 10:00-18:30</v>
      </c>
      <c r="H1192" s="19" t="str">
        <v>S000274</v>
      </c>
      <c r="I1192" s="19" t="str">
        <v>Jobsworth Recruitment Solutions Limited</v>
      </c>
      <c r="J1192" s="23" t="n">
        <v>3</v>
      </c>
      <c r="K1192" s="23" t="n">
        <v>0</v>
      </c>
      <c r="L1192" s="23" t="n">
        <f>J1192+K1192</f>
        <v>3</v>
      </c>
      <c r="M1192" s="23" t="n">
        <v>3</v>
      </c>
      <c r="N1192" s="23" t="n">
        <v>3</v>
      </c>
      <c r="O1192" s="23" t="n">
        <v>3</v>
      </c>
      <c r="P1192" s="23" t="n">
        <v>3</v>
      </c>
      <c r="Q1192" s="23" t="n">
        <f>MIN(O1192,P1192)</f>
        <v>3</v>
      </c>
      <c r="R1192" s="25" t="n">
        <f>IF(M1192=0,0,MIN(1,L1192/M1192))</f>
        <v>1</v>
      </c>
      <c r="S1192" s="23" t="n">
        <f>O1192*R1192</f>
        <v>3</v>
      </c>
      <c r="T1192" s="23" t="n">
        <f>MIN(P1192,S1192)</f>
        <v>3</v>
      </c>
      <c r="U1192" s="23" t="n">
        <f>O1192-S1192</f>
        <v>0</v>
      </c>
      <c r="V1192" s="23" t="n">
        <f>MAX(P1192-O1192,0)</f>
        <v>0</v>
      </c>
    </row>
    <row r="1193">
      <c r="A1193" s="19" t="str">
        <v>英国区</v>
      </c>
      <c r="B1193" s="19" t="str">
        <v>伯明翰25号仓</v>
      </c>
      <c r="C1193" s="19" t="str">
        <v>入库组</v>
      </c>
      <c r="D1193" s="21" t="n">
        <v>46121</v>
      </c>
      <c r="E1193" s="19" t="str">
        <v>2026-04</v>
      </c>
      <c r="F1193" s="19" t="str">
        <v>操作员</v>
      </c>
      <c r="G1193" s="19" t="str">
        <v>英国区10:00-18:30 / UK 10:00-18:30</v>
      </c>
      <c r="H1193" s="19" t="str">
        <v>S000132</v>
      </c>
      <c r="I1193" s="19" t="str">
        <v>HRA Recruitment Services</v>
      </c>
      <c r="J1193" s="23" t="n">
        <v>3</v>
      </c>
      <c r="K1193" s="23" t="n">
        <v>0</v>
      </c>
      <c r="L1193" s="23" t="n">
        <f>J1193+K1193</f>
        <v>3</v>
      </c>
      <c r="M1193" s="23" t="n">
        <v>3</v>
      </c>
      <c r="N1193" s="23" t="n">
        <v>3</v>
      </c>
      <c r="O1193" s="23" t="n">
        <v>3</v>
      </c>
      <c r="P1193" s="23" t="n">
        <v>3</v>
      </c>
      <c r="Q1193" s="23" t="n">
        <f>MIN(O1193,P1193)</f>
        <v>3</v>
      </c>
      <c r="R1193" s="25" t="n">
        <f>IF(M1193=0,0,MIN(1,L1193/M1193))</f>
        <v>1</v>
      </c>
      <c r="S1193" s="23" t="n">
        <f>O1193*R1193</f>
        <v>3</v>
      </c>
      <c r="T1193" s="23" t="n">
        <f>MIN(P1193,S1193)</f>
        <v>3</v>
      </c>
      <c r="U1193" s="23" t="n">
        <f>O1193-S1193</f>
        <v>0</v>
      </c>
      <c r="V1193" s="23" t="n">
        <f>MAX(P1193-O1193,0)</f>
        <v>0</v>
      </c>
    </row>
    <row r="1194">
      <c r="A1194" s="19" t="str">
        <v>英国区</v>
      </c>
      <c r="B1194" s="19" t="str">
        <v>伯明翰25号仓</v>
      </c>
      <c r="C1194" s="19" t="str">
        <v>入库组</v>
      </c>
      <c r="D1194" s="21" t="n">
        <v>46133</v>
      </c>
      <c r="E1194" s="19" t="str">
        <v>2026-04</v>
      </c>
      <c r="F1194" s="19" t="str">
        <v>操作员</v>
      </c>
      <c r="G1194" s="19" t="str">
        <v>英国区08:00-16:30 / UK 08:00-16:30</v>
      </c>
      <c r="H1194" s="19" t="str">
        <v>S000013</v>
      </c>
      <c r="I1194" s="19" t="str">
        <v>FT Recruitment</v>
      </c>
      <c r="J1194" s="23" t="n">
        <v>3</v>
      </c>
      <c r="K1194" s="23" t="n">
        <v>0</v>
      </c>
      <c r="L1194" s="23" t="n">
        <f>J1194+K1194</f>
        <v>3</v>
      </c>
      <c r="M1194" s="23" t="n">
        <v>3</v>
      </c>
      <c r="N1194" s="23" t="n">
        <v>3</v>
      </c>
      <c r="O1194" s="23" t="n">
        <v>3</v>
      </c>
      <c r="P1194" s="23" t="n">
        <v>3</v>
      </c>
      <c r="Q1194" s="23" t="n">
        <f>MIN(O1194,P1194)</f>
        <v>3</v>
      </c>
      <c r="R1194" s="25" t="n">
        <f>IF(M1194=0,0,MIN(1,L1194/M1194))</f>
        <v>1</v>
      </c>
      <c r="S1194" s="23" t="n">
        <f>O1194*R1194</f>
        <v>3</v>
      </c>
      <c r="T1194" s="23" t="n">
        <f>MIN(P1194,S1194)</f>
        <v>3</v>
      </c>
      <c r="U1194" s="23" t="n">
        <f>O1194-S1194</f>
        <v>0</v>
      </c>
      <c r="V1194" s="23" t="n">
        <f>MAX(P1194-O1194,0)</f>
        <v>0</v>
      </c>
    </row>
    <row r="1195">
      <c r="A1195" s="19" t="str">
        <v>英国区</v>
      </c>
      <c r="B1195" s="19" t="str">
        <v>伯明翰25号仓</v>
      </c>
      <c r="C1195" s="19" t="str">
        <v>入库组</v>
      </c>
      <c r="D1195" s="21" t="n">
        <v>46134</v>
      </c>
      <c r="E1195" s="19" t="str">
        <v>2026-04</v>
      </c>
      <c r="F1195" s="19" t="str">
        <v>操作员</v>
      </c>
      <c r="G1195" s="19" t="str">
        <v>英国区08:00-16:30 / UK 08:00-16:30</v>
      </c>
      <c r="H1195" s="19" t="str">
        <v>S000013</v>
      </c>
      <c r="I1195" s="19" t="str">
        <v>FT Recruitment</v>
      </c>
      <c r="J1195" s="23" t="n">
        <v>6</v>
      </c>
      <c r="K1195" s="23" t="n">
        <v>0</v>
      </c>
      <c r="L1195" s="23" t="n">
        <f>J1195+K1195</f>
        <v>6</v>
      </c>
      <c r="M1195" s="23" t="n">
        <v>6</v>
      </c>
      <c r="N1195" s="23" t="n">
        <v>6</v>
      </c>
      <c r="O1195" s="23" t="n">
        <v>3</v>
      </c>
      <c r="P1195" s="23" t="n">
        <v>3</v>
      </c>
      <c r="Q1195" s="23" t="n">
        <f>MIN(O1195,P1195)</f>
        <v>3</v>
      </c>
      <c r="R1195" s="25" t="n">
        <f>IF(M1195=0,0,MIN(1,L1195/M1195))</f>
        <v>1</v>
      </c>
      <c r="S1195" s="23" t="n">
        <f>O1195*R1195</f>
        <v>3</v>
      </c>
      <c r="T1195" s="23" t="n">
        <f>MIN(P1195,S1195)</f>
        <v>3</v>
      </c>
      <c r="U1195" s="23" t="n">
        <f>O1195-S1195</f>
        <v>0</v>
      </c>
      <c r="V1195" s="23" t="n">
        <f>MAX(P1195-O1195,0)</f>
        <v>0</v>
      </c>
    </row>
    <row r="1196">
      <c r="A1196" s="19" t="str">
        <v>英国区</v>
      </c>
      <c r="B1196" s="19" t="str">
        <v>伯明翰25号仓</v>
      </c>
      <c r="C1196" s="19" t="str">
        <v>入库组</v>
      </c>
      <c r="D1196" s="21" t="n">
        <v>46134</v>
      </c>
      <c r="E1196" s="19" t="str">
        <v>2026-04</v>
      </c>
      <c r="F1196" s="19" t="str">
        <v>操作员</v>
      </c>
      <c r="G1196" s="19" t="str">
        <v>英国区08:00-16:30 / UK 08:00-16:30</v>
      </c>
      <c r="H1196" s="19" t="str">
        <v>S000274</v>
      </c>
      <c r="I1196" s="19" t="str">
        <v>Jobsworth Recruitment Solutions Limited</v>
      </c>
      <c r="J1196" s="23" t="n">
        <v>6</v>
      </c>
      <c r="K1196" s="23" t="n">
        <v>0</v>
      </c>
      <c r="L1196" s="23" t="n">
        <f>J1196+K1196</f>
        <v>6</v>
      </c>
      <c r="M1196" s="23" t="n">
        <v>6</v>
      </c>
      <c r="N1196" s="23" t="n">
        <v>6</v>
      </c>
      <c r="O1196" s="23" t="n">
        <v>3</v>
      </c>
      <c r="P1196" s="23" t="n">
        <v>3</v>
      </c>
      <c r="Q1196" s="23" t="n">
        <f>MIN(O1196,P1196)</f>
        <v>3</v>
      </c>
      <c r="R1196" s="25" t="n">
        <f>IF(M1196=0,0,MIN(1,L1196/M1196))</f>
        <v>1</v>
      </c>
      <c r="S1196" s="23" t="n">
        <f>O1196*R1196</f>
        <v>3</v>
      </c>
      <c r="T1196" s="23" t="n">
        <f>MIN(P1196,S1196)</f>
        <v>3</v>
      </c>
      <c r="U1196" s="23" t="n">
        <f>O1196-S1196</f>
        <v>0</v>
      </c>
      <c r="V1196" s="23" t="n">
        <f>MAX(P1196-O1196,0)</f>
        <v>0</v>
      </c>
    </row>
    <row r="1197">
      <c r="A1197" s="19" t="str">
        <v>英国区</v>
      </c>
      <c r="B1197" s="19" t="str">
        <v>伯明翰25号仓</v>
      </c>
      <c r="C1197" s="19" t="str">
        <v>入库组</v>
      </c>
      <c r="D1197" s="21" t="n">
        <v>46135</v>
      </c>
      <c r="E1197" s="19" t="str">
        <v>2026-04</v>
      </c>
      <c r="F1197" s="19" t="str">
        <v>操作员</v>
      </c>
      <c r="G1197" s="19" t="str">
        <v>英国区08:00-16:30 / UK 08:00-16:30</v>
      </c>
      <c r="H1197" s="19" t="str">
        <v>S000289</v>
      </c>
      <c r="I1197" s="19" t="str">
        <v>Staffzilla Limited</v>
      </c>
      <c r="J1197" s="23" t="n">
        <v>6</v>
      </c>
      <c r="K1197" s="23" t="n">
        <v>0</v>
      </c>
      <c r="L1197" s="23" t="n">
        <f>J1197+K1197</f>
        <v>6</v>
      </c>
      <c r="M1197" s="23" t="n">
        <v>3</v>
      </c>
      <c r="N1197" s="23" t="n">
        <v>3</v>
      </c>
      <c r="O1197" s="23" t="n">
        <v>3</v>
      </c>
      <c r="P1197" s="23" t="n">
        <v>3</v>
      </c>
      <c r="Q1197" s="23" t="n">
        <f>MIN(O1197,P1197)</f>
        <v>3</v>
      </c>
      <c r="R1197" s="25" t="n">
        <f>IF(M1197=0,0,MIN(1,L1197/M1197))</f>
        <v>1</v>
      </c>
      <c r="S1197" s="23" t="n">
        <f>O1197*R1197</f>
        <v>3</v>
      </c>
      <c r="T1197" s="23" t="n">
        <f>MIN(P1197,S1197)</f>
        <v>3</v>
      </c>
      <c r="U1197" s="23" t="n">
        <f>O1197-S1197</f>
        <v>0</v>
      </c>
      <c r="V1197" s="23" t="n">
        <f>MAX(P1197-O1197,0)</f>
        <v>0</v>
      </c>
    </row>
    <row r="1198">
      <c r="A1198" s="19" t="str">
        <v>英国区</v>
      </c>
      <c r="B1198" s="19" t="str">
        <v>伯明翰25号仓</v>
      </c>
      <c r="C1198" s="19" t="str">
        <v>入库组</v>
      </c>
      <c r="D1198" s="21" t="n">
        <v>46160</v>
      </c>
      <c r="E1198" s="19" t="str">
        <v>2026-05</v>
      </c>
      <c r="F1198" s="19" t="str">
        <v>操作员</v>
      </c>
      <c r="G1198" s="19" t="str">
        <v>英国区10:00-18:30 / UK 10:00-18:30</v>
      </c>
      <c r="H1198" s="19" t="str">
        <v>S000274</v>
      </c>
      <c r="I1198" s="19" t="str">
        <v>Jobsworth Recruitment Solutions Limited</v>
      </c>
      <c r="J1198" s="23" t="n">
        <v>2</v>
      </c>
      <c r="K1198" s="23" t="n">
        <v>0</v>
      </c>
      <c r="L1198" s="23" t="n">
        <f>J1198+K1198</f>
        <v>2</v>
      </c>
      <c r="M1198" s="23" t="n">
        <v>2</v>
      </c>
      <c r="N1198" s="23" t="n">
        <v>2</v>
      </c>
      <c r="O1198" s="23" t="n">
        <v>2</v>
      </c>
      <c r="P1198" s="23" t="n">
        <v>2</v>
      </c>
      <c r="Q1198" s="23" t="n">
        <f>MIN(O1198,P1198)</f>
        <v>2</v>
      </c>
      <c r="R1198" s="25" t="n">
        <f>IF(M1198=0,0,MIN(1,L1198/M1198))</f>
        <v>1</v>
      </c>
      <c r="S1198" s="23" t="n">
        <f>O1198*R1198</f>
        <v>2</v>
      </c>
      <c r="T1198" s="23" t="n">
        <f>MIN(P1198,S1198)</f>
        <v>2</v>
      </c>
      <c r="U1198" s="23" t="n">
        <f>O1198-S1198</f>
        <v>0</v>
      </c>
      <c r="V1198" s="23" t="n">
        <f>MAX(P1198-O1198,0)</f>
        <v>0</v>
      </c>
    </row>
    <row r="1199">
      <c r="A1199" s="19" t="str">
        <v>英国区</v>
      </c>
      <c r="B1199" s="19" t="str">
        <v>伯明翰25号仓</v>
      </c>
      <c r="C1199" s="19" t="str">
        <v>入库组</v>
      </c>
      <c r="D1199" s="21" t="n">
        <v>46161</v>
      </c>
      <c r="E1199" s="19" t="str">
        <v>2026-05</v>
      </c>
      <c r="F1199" s="19" t="str">
        <v>操作员</v>
      </c>
      <c r="G1199" s="19" t="str">
        <v>英国区10:00-18:30 / UK 10:00-18:30</v>
      </c>
      <c r="H1199" s="19" t="str">
        <v>S000274</v>
      </c>
      <c r="I1199" s="19" t="str">
        <v>Jobsworth Recruitment Solutions Limited</v>
      </c>
      <c r="J1199" s="23" t="n">
        <v>2</v>
      </c>
      <c r="K1199" s="23" t="n">
        <v>0</v>
      </c>
      <c r="L1199" s="23" t="n">
        <f>J1199+K1199</f>
        <v>2</v>
      </c>
      <c r="M1199" s="23" t="n">
        <v>2</v>
      </c>
      <c r="N1199" s="23" t="n">
        <v>2</v>
      </c>
      <c r="O1199" s="23" t="n">
        <v>2</v>
      </c>
      <c r="P1199" s="23" t="n">
        <v>2</v>
      </c>
      <c r="Q1199" s="23" t="n">
        <f>MIN(O1199,P1199)</f>
        <v>2</v>
      </c>
      <c r="R1199" s="25" t="n">
        <f>IF(M1199=0,0,MIN(1,L1199/M1199))</f>
        <v>1</v>
      </c>
      <c r="S1199" s="23" t="n">
        <f>O1199*R1199</f>
        <v>2</v>
      </c>
      <c r="T1199" s="23" t="n">
        <f>MIN(P1199,S1199)</f>
        <v>2</v>
      </c>
      <c r="U1199" s="23" t="n">
        <f>O1199-S1199</f>
        <v>0</v>
      </c>
      <c r="V1199" s="23" t="n">
        <f>MAX(P1199-O1199,0)</f>
        <v>0</v>
      </c>
    </row>
    <row r="1200">
      <c r="A1200" s="19" t="str">
        <v>英国区</v>
      </c>
      <c r="B1200" s="19" t="str">
        <v>伯明翰25号仓</v>
      </c>
      <c r="C1200" s="19" t="str">
        <v>入库组</v>
      </c>
      <c r="D1200" s="21" t="n">
        <v>46162</v>
      </c>
      <c r="E1200" s="19" t="str">
        <v>2026-05</v>
      </c>
      <c r="F1200" s="19" t="str">
        <v>操作员</v>
      </c>
      <c r="G1200" s="19" t="str">
        <v>英国区10:00-18:30 / UK 10:00-18:30</v>
      </c>
      <c r="H1200" s="19" t="str">
        <v>S000013</v>
      </c>
      <c r="I1200" s="19" t="str">
        <v>FT Recruitment</v>
      </c>
      <c r="J1200" s="23" t="n">
        <v>2</v>
      </c>
      <c r="K1200" s="23" t="n">
        <v>0</v>
      </c>
      <c r="L1200" s="23" t="n">
        <f>J1200+K1200</f>
        <v>2</v>
      </c>
      <c r="M1200" s="23" t="n">
        <v>2</v>
      </c>
      <c r="N1200" s="23" t="n">
        <v>1</v>
      </c>
      <c r="O1200" s="23" t="n">
        <v>2</v>
      </c>
      <c r="P1200" s="23" t="n">
        <v>1</v>
      </c>
      <c r="Q1200" s="23" t="n">
        <f>MIN(O1200,P1200)</f>
        <v>1</v>
      </c>
      <c r="R1200" s="25" t="n">
        <f>IF(M1200=0,0,MIN(1,L1200/M1200))</f>
        <v>1</v>
      </c>
      <c r="S1200" s="23" t="n">
        <f>O1200*R1200</f>
        <v>2</v>
      </c>
      <c r="T1200" s="23" t="n">
        <f>MIN(P1200,S1200)</f>
        <v>1</v>
      </c>
      <c r="U1200" s="23" t="n">
        <f>O1200-S1200</f>
        <v>0</v>
      </c>
      <c r="V1200" s="23" t="n">
        <f>MAX(P1200-O1200,0)</f>
        <v>0</v>
      </c>
    </row>
    <row r="1201">
      <c r="A1201" s="19" t="str">
        <v>英国区</v>
      </c>
      <c r="B1201" s="19" t="str">
        <v>伯明翰25号仓</v>
      </c>
      <c r="C1201" s="19" t="str">
        <v>入库组</v>
      </c>
      <c r="D1201" s="21" t="n">
        <v>46163</v>
      </c>
      <c r="E1201" s="19" t="str">
        <v>2026-05</v>
      </c>
      <c r="F1201" s="19" t="str">
        <v>操作员</v>
      </c>
      <c r="G1201" s="19" t="str">
        <v>英国区09:00-17:30 / UK 09:00-17:30</v>
      </c>
      <c r="H1201" s="19" t="str">
        <v>S000132</v>
      </c>
      <c r="I1201" s="19" t="str">
        <v>HRA Recruitment Services</v>
      </c>
      <c r="J1201" s="23" t="n">
        <v>2</v>
      </c>
      <c r="K1201" s="23" t="n">
        <v>0</v>
      </c>
      <c r="L1201" s="23" t="n">
        <f>J1201+K1201</f>
        <v>2</v>
      </c>
      <c r="M1201" s="23" t="n">
        <v>2</v>
      </c>
      <c r="N1201" s="23" t="n">
        <v>2</v>
      </c>
      <c r="O1201" s="23" t="n">
        <v>2</v>
      </c>
      <c r="P1201" s="23" t="n">
        <v>2</v>
      </c>
      <c r="Q1201" s="23" t="n">
        <f>MIN(O1201,P1201)</f>
        <v>2</v>
      </c>
      <c r="R1201" s="25" t="n">
        <f>IF(M1201=0,0,MIN(1,L1201/M1201))</f>
        <v>1</v>
      </c>
      <c r="S1201" s="23" t="n">
        <f>O1201*R1201</f>
        <v>2</v>
      </c>
      <c r="T1201" s="23" t="n">
        <f>MIN(P1201,S1201)</f>
        <v>2</v>
      </c>
      <c r="U1201" s="23" t="n">
        <f>O1201-S1201</f>
        <v>0</v>
      </c>
      <c r="V1201" s="23" t="n">
        <f>MAX(P1201-O1201,0)</f>
        <v>0</v>
      </c>
    </row>
    <row r="1202">
      <c r="A1202" s="19" t="str">
        <v>英国区</v>
      </c>
      <c r="B1202" s="19" t="str">
        <v>伯明翰25号仓</v>
      </c>
      <c r="C1202" s="19" t="str">
        <v>入库组</v>
      </c>
      <c r="D1202" s="21" t="n">
        <v>46163</v>
      </c>
      <c r="E1202" s="19" t="str">
        <v>2026-05</v>
      </c>
      <c r="F1202" s="19" t="str">
        <v>操作员</v>
      </c>
      <c r="G1202" s="19" t="str">
        <v>英国区10:00-18:30 / UK 10:00-18:30</v>
      </c>
      <c r="H1202" s="19" t="str">
        <v>S000132</v>
      </c>
      <c r="I1202" s="19" t="str">
        <v>HRA Recruitment Services</v>
      </c>
      <c r="J1202" s="23" t="n">
        <v>2</v>
      </c>
      <c r="K1202" s="23" t="n">
        <v>0</v>
      </c>
      <c r="L1202" s="23" t="n">
        <f>J1202+K1202</f>
        <v>2</v>
      </c>
      <c r="M1202" s="23" t="n">
        <v>2</v>
      </c>
      <c r="N1202" s="23" t="n">
        <v>2</v>
      </c>
      <c r="O1202" s="23" t="n">
        <v>2</v>
      </c>
      <c r="P1202" s="23" t="n">
        <v>2</v>
      </c>
      <c r="Q1202" s="23" t="n">
        <f>MIN(O1202,P1202)</f>
        <v>2</v>
      </c>
      <c r="R1202" s="25" t="n">
        <f>IF(M1202=0,0,MIN(1,L1202/M1202))</f>
        <v>1</v>
      </c>
      <c r="S1202" s="23" t="n">
        <f>O1202*R1202</f>
        <v>2</v>
      </c>
      <c r="T1202" s="23" t="n">
        <f>MIN(P1202,S1202)</f>
        <v>2</v>
      </c>
      <c r="U1202" s="23" t="n">
        <f>O1202-S1202</f>
        <v>0</v>
      </c>
      <c r="V1202" s="23" t="n">
        <f>MAX(P1202-O1202,0)</f>
        <v>0</v>
      </c>
    </row>
    <row r="1203">
      <c r="A1203" s="19" t="str">
        <v>英国区</v>
      </c>
      <c r="B1203" s="19" t="str">
        <v>伯明翰25号仓</v>
      </c>
      <c r="C1203" s="19" t="str">
        <v>入库组</v>
      </c>
      <c r="D1203" s="21" t="n">
        <v>46174</v>
      </c>
      <c r="E1203" s="19" t="str">
        <v>2026-06</v>
      </c>
      <c r="F1203" s="19" t="str">
        <v>操作员</v>
      </c>
      <c r="G1203" s="19" t="str">
        <v>英国区08:00-16:30 / UK 08:00-16:30</v>
      </c>
      <c r="H1203" s="19" t="str">
        <v>S000013</v>
      </c>
      <c r="I1203" s="19" t="str">
        <v>FT Recruitment</v>
      </c>
      <c r="J1203" s="23" t="n">
        <v>4</v>
      </c>
      <c r="K1203" s="23" t="n">
        <v>0</v>
      </c>
      <c r="L1203" s="23" t="n">
        <f>J1203+K1203</f>
        <v>4</v>
      </c>
      <c r="M1203" s="23" t="n">
        <v>4</v>
      </c>
      <c r="N1203" s="23" t="n">
        <v>4</v>
      </c>
      <c r="O1203" s="23" t="n">
        <v>3</v>
      </c>
      <c r="P1203" s="23" t="n">
        <v>3</v>
      </c>
      <c r="Q1203" s="23" t="n">
        <f>MIN(O1203,P1203)</f>
        <v>3</v>
      </c>
      <c r="R1203" s="25" t="n">
        <f>IF(M1203=0,0,MIN(1,L1203/M1203))</f>
        <v>1</v>
      </c>
      <c r="S1203" s="23" t="n">
        <f>O1203*R1203</f>
        <v>3</v>
      </c>
      <c r="T1203" s="23" t="n">
        <f>MIN(P1203,S1203)</f>
        <v>3</v>
      </c>
      <c r="U1203" s="23" t="n">
        <f>O1203-S1203</f>
        <v>0</v>
      </c>
      <c r="V1203" s="23" t="n">
        <f>MAX(P1203-O1203,0)</f>
        <v>0</v>
      </c>
    </row>
    <row r="1204">
      <c r="A1204" s="19" t="str">
        <v>英国区</v>
      </c>
      <c r="B1204" s="19" t="str">
        <v>伯明翰25号仓</v>
      </c>
      <c r="C1204" s="19" t="str">
        <v>入库组</v>
      </c>
      <c r="D1204" s="21" t="n">
        <v>46174</v>
      </c>
      <c r="E1204" s="19" t="str">
        <v>2026-06</v>
      </c>
      <c r="F1204" s="19" t="str">
        <v>操作员</v>
      </c>
      <c r="G1204" s="19" t="str">
        <v>英国区08:00-16:30 / UK 08:00-16:30</v>
      </c>
      <c r="H1204" s="19" t="str">
        <v>S000274</v>
      </c>
      <c r="I1204" s="19" t="str">
        <v>Jobsworth Recruitment Solutions Limited</v>
      </c>
      <c r="J1204" s="23" t="n">
        <v>4</v>
      </c>
      <c r="K1204" s="23" t="n">
        <v>0</v>
      </c>
      <c r="L1204" s="23" t="n">
        <f>J1204+K1204</f>
        <v>4</v>
      </c>
      <c r="M1204" s="23" t="n">
        <v>4</v>
      </c>
      <c r="N1204" s="23" t="n">
        <v>4</v>
      </c>
      <c r="O1204" s="23" t="n">
        <v>1</v>
      </c>
      <c r="P1204" s="23" t="n">
        <v>1</v>
      </c>
      <c r="Q1204" s="23" t="n">
        <f>MIN(O1204,P1204)</f>
        <v>1</v>
      </c>
      <c r="R1204" s="25" t="n">
        <f>IF(M1204=0,0,MIN(1,L1204/M1204))</f>
        <v>1</v>
      </c>
      <c r="S1204" s="23" t="n">
        <f>O1204*R1204</f>
        <v>1</v>
      </c>
      <c r="T1204" s="23" t="n">
        <f>MIN(P1204,S1204)</f>
        <v>1</v>
      </c>
      <c r="U1204" s="23" t="n">
        <f>O1204-S1204</f>
        <v>0</v>
      </c>
      <c r="V1204" s="23" t="n">
        <f>MAX(P1204-O1204,0)</f>
        <v>0</v>
      </c>
    </row>
    <row r="1205">
      <c r="A1205" s="19" t="str">
        <v>英国区</v>
      </c>
      <c r="B1205" s="19" t="str">
        <v>伯明翰25号仓</v>
      </c>
      <c r="C1205" s="19" t="str">
        <v>入库组</v>
      </c>
      <c r="D1205" s="21" t="n">
        <v>46175</v>
      </c>
      <c r="E1205" s="19" t="str">
        <v>2026-06</v>
      </c>
      <c r="F1205" s="19" t="str">
        <v>操作员</v>
      </c>
      <c r="G1205" s="19" t="str">
        <v>英国区08:00-16:30 / UK 08:00-16:30</v>
      </c>
      <c r="H1205" s="19" t="str">
        <v>S000007</v>
      </c>
      <c r="I1205" s="19" t="str">
        <v>Kenect</v>
      </c>
      <c r="J1205" s="23" t="n">
        <v>5</v>
      </c>
      <c r="K1205" s="23" t="n">
        <v>0</v>
      </c>
      <c r="L1205" s="23" t="n">
        <f>J1205+K1205</f>
        <v>5</v>
      </c>
      <c r="M1205" s="23" t="n">
        <v>5</v>
      </c>
      <c r="N1205" s="23" t="n">
        <v>5</v>
      </c>
      <c r="O1205" s="23" t="n">
        <v>2</v>
      </c>
      <c r="P1205" s="23" t="n">
        <v>2</v>
      </c>
      <c r="Q1205" s="23" t="n">
        <f>MIN(O1205,P1205)</f>
        <v>2</v>
      </c>
      <c r="R1205" s="25" t="n">
        <f>IF(M1205=0,0,MIN(1,L1205/M1205))</f>
        <v>1</v>
      </c>
      <c r="S1205" s="23" t="n">
        <f>O1205*R1205</f>
        <v>2</v>
      </c>
      <c r="T1205" s="23" t="n">
        <f>MIN(P1205,S1205)</f>
        <v>2</v>
      </c>
      <c r="U1205" s="23" t="n">
        <f>O1205-S1205</f>
        <v>0</v>
      </c>
      <c r="V1205" s="23" t="n">
        <f>MAX(P1205-O1205,0)</f>
        <v>0</v>
      </c>
    </row>
    <row r="1206">
      <c r="A1206" s="19" t="str">
        <v>英国区</v>
      </c>
      <c r="B1206" s="19" t="str">
        <v>伯明翰25号仓</v>
      </c>
      <c r="C1206" s="19" t="str">
        <v>入库组</v>
      </c>
      <c r="D1206" s="21" t="n">
        <v>46175</v>
      </c>
      <c r="E1206" s="19" t="str">
        <v>2026-06</v>
      </c>
      <c r="F1206" s="19" t="str">
        <v>操作员</v>
      </c>
      <c r="G1206" s="19" t="str">
        <v>英国区08:00-16:30 / UK 08:00-16:30</v>
      </c>
      <c r="H1206" s="19" t="str">
        <v>S000132</v>
      </c>
      <c r="I1206" s="19" t="str">
        <v>HRA Recruitment Services</v>
      </c>
      <c r="J1206" s="23" t="n">
        <v>5</v>
      </c>
      <c r="K1206" s="23" t="n">
        <v>0</v>
      </c>
      <c r="L1206" s="23" t="n">
        <f>J1206+K1206</f>
        <v>5</v>
      </c>
      <c r="M1206" s="23" t="n">
        <v>5</v>
      </c>
      <c r="N1206" s="23" t="n">
        <v>5</v>
      </c>
      <c r="O1206" s="23" t="n">
        <v>3</v>
      </c>
      <c r="P1206" s="23" t="n">
        <v>3</v>
      </c>
      <c r="Q1206" s="23" t="n">
        <f>MIN(O1206,P1206)</f>
        <v>3</v>
      </c>
      <c r="R1206" s="25" t="n">
        <f>IF(M1206=0,0,MIN(1,L1206/M1206))</f>
        <v>1</v>
      </c>
      <c r="S1206" s="23" t="n">
        <f>O1206*R1206</f>
        <v>3</v>
      </c>
      <c r="T1206" s="23" t="n">
        <f>MIN(P1206,S1206)</f>
        <v>3</v>
      </c>
      <c r="U1206" s="23" t="n">
        <f>O1206-S1206</f>
        <v>0</v>
      </c>
      <c r="V1206" s="23" t="n">
        <f>MAX(P1206-O1206,0)</f>
        <v>0</v>
      </c>
    </row>
    <row r="1207">
      <c r="A1207" s="19" t="str">
        <v>英国区</v>
      </c>
      <c r="B1207" s="19" t="str">
        <v>伯明翰25号仓</v>
      </c>
      <c r="C1207" s="19" t="str">
        <v>入库组</v>
      </c>
      <c r="D1207" s="21" t="n">
        <v>46176</v>
      </c>
      <c r="E1207" s="19" t="str">
        <v>2026-06</v>
      </c>
      <c r="F1207" s="19" t="str">
        <v>叉车司机</v>
      </c>
      <c r="G1207" s="19" t="str">
        <v>英国区10:00-18:30 / UK 10:00-18:30</v>
      </c>
      <c r="H1207" s="19" t="str">
        <v>S000274</v>
      </c>
      <c r="I1207" s="19" t="str">
        <v>Jobsworth Recruitment Solutions Limited</v>
      </c>
      <c r="J1207" s="23" t="n">
        <v>3</v>
      </c>
      <c r="K1207" s="23" t="n">
        <v>0</v>
      </c>
      <c r="L1207" s="23" t="n">
        <f>J1207+K1207</f>
        <v>3</v>
      </c>
      <c r="M1207" s="23" t="n">
        <v>3</v>
      </c>
      <c r="N1207" s="23" t="n">
        <v>3</v>
      </c>
      <c r="O1207" s="23" t="n">
        <v>3</v>
      </c>
      <c r="P1207" s="23" t="n">
        <v>3</v>
      </c>
      <c r="Q1207" s="23" t="n">
        <f>MIN(O1207,P1207)</f>
        <v>3</v>
      </c>
      <c r="R1207" s="25" t="n">
        <f>IF(M1207=0,0,MIN(1,L1207/M1207))</f>
        <v>1</v>
      </c>
      <c r="S1207" s="23" t="n">
        <f>O1207*R1207</f>
        <v>3</v>
      </c>
      <c r="T1207" s="23" t="n">
        <f>MIN(P1207,S1207)</f>
        <v>3</v>
      </c>
      <c r="U1207" s="23" t="n">
        <f>O1207-S1207</f>
        <v>0</v>
      </c>
      <c r="V1207" s="23" t="n">
        <f>MAX(P1207-O1207,0)</f>
        <v>0</v>
      </c>
    </row>
    <row r="1208">
      <c r="A1208" s="19" t="str">
        <v>英国区</v>
      </c>
      <c r="B1208" s="19" t="str">
        <v>伯明翰25号仓</v>
      </c>
      <c r="C1208" s="19" t="str">
        <v>入库组</v>
      </c>
      <c r="D1208" s="21" t="n">
        <v>46177</v>
      </c>
      <c r="E1208" s="19" t="str">
        <v>2026-06</v>
      </c>
      <c r="F1208" s="19" t="str">
        <v>叉车司机</v>
      </c>
      <c r="G1208" s="19" t="str">
        <v>英国区10:00-18:30 / UK 10:00-18:30</v>
      </c>
      <c r="H1208" s="19" t="str">
        <v>S000132</v>
      </c>
      <c r="I1208" s="19" t="str">
        <v>HRA Recruitment Services</v>
      </c>
      <c r="J1208" s="23" t="n">
        <v>4</v>
      </c>
      <c r="K1208" s="23" t="n">
        <v>0</v>
      </c>
      <c r="L1208" s="23" t="n">
        <f>J1208+K1208</f>
        <v>4</v>
      </c>
      <c r="M1208" s="23" t="n">
        <v>4</v>
      </c>
      <c r="N1208" s="23" t="n">
        <v>2</v>
      </c>
      <c r="O1208" s="23" t="n">
        <v>3</v>
      </c>
      <c r="P1208" s="23" t="n">
        <v>1</v>
      </c>
      <c r="Q1208" s="23" t="n">
        <f>MIN(O1208,P1208)</f>
        <v>1</v>
      </c>
      <c r="R1208" s="25" t="n">
        <f>IF(M1208=0,0,MIN(1,L1208/M1208))</f>
        <v>1</v>
      </c>
      <c r="S1208" s="23" t="n">
        <f>O1208*R1208</f>
        <v>3</v>
      </c>
      <c r="T1208" s="23" t="n">
        <f>MIN(P1208,S1208)</f>
        <v>1</v>
      </c>
      <c r="U1208" s="23" t="n">
        <f>O1208-S1208</f>
        <v>0</v>
      </c>
      <c r="V1208" s="23" t="n">
        <f>MAX(P1208-O1208,0)</f>
        <v>0</v>
      </c>
    </row>
    <row r="1209">
      <c r="A1209" s="19" t="str">
        <v>英国区</v>
      </c>
      <c r="B1209" s="19" t="str">
        <v>伯明翰25号仓</v>
      </c>
      <c r="C1209" s="19" t="str">
        <v>入库组</v>
      </c>
      <c r="D1209" s="21" t="n">
        <v>46177</v>
      </c>
      <c r="E1209" s="19" t="str">
        <v>2026-06</v>
      </c>
      <c r="F1209" s="19" t="str">
        <v>叉车司机</v>
      </c>
      <c r="G1209" s="19" t="str">
        <v>英国区10:00-18:30 / UK 10:00-18:30</v>
      </c>
      <c r="H1209" s="19" t="str">
        <v>S000274</v>
      </c>
      <c r="I1209" s="19" t="str">
        <v>Jobsworth Recruitment Solutions Limited</v>
      </c>
      <c r="J1209" s="23" t="n">
        <v>4</v>
      </c>
      <c r="K1209" s="23" t="n">
        <v>0</v>
      </c>
      <c r="L1209" s="23" t="n">
        <f>J1209+K1209</f>
        <v>4</v>
      </c>
      <c r="M1209" s="23" t="n">
        <v>4</v>
      </c>
      <c r="N1209" s="23" t="n">
        <v>2</v>
      </c>
      <c r="O1209" s="23" t="n">
        <v>1</v>
      </c>
      <c r="P1209" s="23" t="n">
        <v>1</v>
      </c>
      <c r="Q1209" s="23" t="n">
        <f>MIN(O1209,P1209)</f>
        <v>1</v>
      </c>
      <c r="R1209" s="25" t="n">
        <f>IF(M1209=0,0,MIN(1,L1209/M1209))</f>
        <v>1</v>
      </c>
      <c r="S1209" s="23" t="n">
        <f>O1209*R1209</f>
        <v>1</v>
      </c>
      <c r="T1209" s="23" t="n">
        <f>MIN(P1209,S1209)</f>
        <v>1</v>
      </c>
      <c r="U1209" s="23" t="n">
        <f>O1209-S1209</f>
        <v>0</v>
      </c>
      <c r="V1209" s="23" t="n">
        <f>MAX(P1209-O1209,0)</f>
        <v>0</v>
      </c>
    </row>
    <row r="1210">
      <c r="A1210" s="19" t="str">
        <v>英国区</v>
      </c>
      <c r="B1210" s="19" t="str">
        <v>伯明翰25号仓</v>
      </c>
      <c r="C1210" s="19" t="str">
        <v>入库组</v>
      </c>
      <c r="D1210" s="21" t="n">
        <v>46178</v>
      </c>
      <c r="E1210" s="19" t="str">
        <v>2026-06</v>
      </c>
      <c r="F1210" s="19" t="str">
        <v>操作员</v>
      </c>
      <c r="G1210" s="19" t="str">
        <v>英国区08:00-16:30 / UK 08:00-16:30</v>
      </c>
      <c r="H1210" s="19" t="str">
        <v>S000274</v>
      </c>
      <c r="I1210" s="19" t="str">
        <v>Jobsworth Recruitment Solutions Limited</v>
      </c>
      <c r="J1210" s="23" t="n">
        <v>3</v>
      </c>
      <c r="K1210" s="23" t="n">
        <v>0</v>
      </c>
      <c r="L1210" s="23" t="n">
        <f>J1210+K1210</f>
        <v>3</v>
      </c>
      <c r="M1210" s="23" t="n">
        <v>3</v>
      </c>
      <c r="N1210" s="23" t="n">
        <v>3</v>
      </c>
      <c r="O1210" s="23" t="n">
        <v>3</v>
      </c>
      <c r="P1210" s="23" t="n">
        <v>3</v>
      </c>
      <c r="Q1210" s="23" t="n">
        <f>MIN(O1210,P1210)</f>
        <v>3</v>
      </c>
      <c r="R1210" s="25" t="n">
        <f>IF(M1210=0,0,MIN(1,L1210/M1210))</f>
        <v>1</v>
      </c>
      <c r="S1210" s="23" t="n">
        <f>O1210*R1210</f>
        <v>3</v>
      </c>
      <c r="T1210" s="23" t="n">
        <f>MIN(P1210,S1210)</f>
        <v>3</v>
      </c>
      <c r="U1210" s="23" t="n">
        <f>O1210-S1210</f>
        <v>0</v>
      </c>
      <c r="V1210" s="23" t="n">
        <f>MAX(P1210-O1210,0)</f>
        <v>0</v>
      </c>
    </row>
    <row r="1211">
      <c r="A1211" s="19" t="str">
        <v>英国区</v>
      </c>
      <c r="B1211" s="19" t="str">
        <v>伯明翰25号仓</v>
      </c>
      <c r="C1211" s="19" t="str">
        <v>入库组</v>
      </c>
      <c r="D1211" s="21" t="n">
        <v>46203</v>
      </c>
      <c r="E1211" s="19" t="str">
        <v>2026-06</v>
      </c>
      <c r="F1211" s="19" t="str">
        <v>叉车司机</v>
      </c>
      <c r="G1211" s="19" t="str">
        <v>英国区07:00-15:30 / UK 07:00-15:30</v>
      </c>
      <c r="H1211" s="19" t="str">
        <v>S000007</v>
      </c>
      <c r="I1211" s="19" t="str">
        <v>Kenect</v>
      </c>
      <c r="J1211" s="23" t="n">
        <v>5</v>
      </c>
      <c r="K1211" s="23" t="n">
        <v>0</v>
      </c>
      <c r="L1211" s="23" t="n">
        <f>J1211+K1211</f>
        <v>5</v>
      </c>
      <c r="M1211" s="23" t="n">
        <v>5</v>
      </c>
      <c r="N1211" s="23" t="n">
        <v>1</v>
      </c>
      <c r="O1211" s="23" t="n">
        <v>2</v>
      </c>
      <c r="P1211" s="23" t="n">
        <v>0</v>
      </c>
      <c r="Q1211" s="23" t="n">
        <f>MIN(O1211,P1211)</f>
        <v>0</v>
      </c>
      <c r="R1211" s="25" t="n">
        <f>IF(M1211=0,0,MIN(1,L1211/M1211))</f>
        <v>1</v>
      </c>
      <c r="S1211" s="23" t="n">
        <f>O1211*R1211</f>
        <v>2</v>
      </c>
      <c r="T1211" s="23" t="n">
        <f>MIN(P1211,S1211)</f>
        <v>0</v>
      </c>
      <c r="U1211" s="23" t="n">
        <f>O1211-S1211</f>
        <v>0</v>
      </c>
      <c r="V1211" s="23" t="n">
        <f>MAX(P1211-O1211,0)</f>
        <v>0</v>
      </c>
    </row>
    <row r="1212">
      <c r="A1212" s="19" t="str">
        <v>英国区</v>
      </c>
      <c r="B1212" s="19" t="str">
        <v>伯明翰25号仓</v>
      </c>
      <c r="C1212" s="19" t="str">
        <v>入库组</v>
      </c>
      <c r="D1212" s="21" t="n">
        <v>46203</v>
      </c>
      <c r="E1212" s="19" t="str">
        <v>2026-06</v>
      </c>
      <c r="F1212" s="19" t="str">
        <v>叉车司机</v>
      </c>
      <c r="G1212" s="19" t="str">
        <v>英国区07:00-15:30 / UK 07:00-15:30</v>
      </c>
      <c r="H1212" s="19" t="str">
        <v>S000013</v>
      </c>
      <c r="I1212" s="19" t="str">
        <v>FT Recruitment</v>
      </c>
      <c r="J1212" s="23" t="n">
        <v>5</v>
      </c>
      <c r="K1212" s="23" t="n">
        <v>0</v>
      </c>
      <c r="L1212" s="23" t="n">
        <f>J1212+K1212</f>
        <v>5</v>
      </c>
      <c r="M1212" s="23" t="n">
        <v>5</v>
      </c>
      <c r="N1212" s="23" t="n">
        <v>1</v>
      </c>
      <c r="O1212" s="23" t="n">
        <v>2</v>
      </c>
      <c r="P1212" s="23" t="n">
        <v>0</v>
      </c>
      <c r="Q1212" s="23" t="n">
        <f>MIN(O1212,P1212)</f>
        <v>0</v>
      </c>
      <c r="R1212" s="25" t="n">
        <f>IF(M1212=0,0,MIN(1,L1212/M1212))</f>
        <v>1</v>
      </c>
      <c r="S1212" s="23" t="n">
        <f>O1212*R1212</f>
        <v>2</v>
      </c>
      <c r="T1212" s="23" t="n">
        <f>MIN(P1212,S1212)</f>
        <v>0</v>
      </c>
      <c r="U1212" s="23" t="n">
        <f>O1212-S1212</f>
        <v>0</v>
      </c>
      <c r="V1212" s="23" t="n">
        <f>MAX(P1212-O1212,0)</f>
        <v>0</v>
      </c>
    </row>
    <row r="1213">
      <c r="A1213" s="19" t="str">
        <v>英国区</v>
      </c>
      <c r="B1213" s="19" t="str">
        <v>伯明翰25号仓</v>
      </c>
      <c r="C1213" s="19" t="str">
        <v>入库组</v>
      </c>
      <c r="D1213" s="21" t="n">
        <v>46203</v>
      </c>
      <c r="E1213" s="19" t="str">
        <v>2026-06</v>
      </c>
      <c r="F1213" s="19" t="str">
        <v>叉车司机</v>
      </c>
      <c r="G1213" s="19" t="str">
        <v>英国区07:00-15:30 / UK 07:00-15:30</v>
      </c>
      <c r="H1213" s="19" t="str">
        <v>S000274</v>
      </c>
      <c r="I1213" s="19" t="str">
        <v>Jobsworth Recruitment Solutions Limited</v>
      </c>
      <c r="J1213" s="23" t="n">
        <v>5</v>
      </c>
      <c r="K1213" s="23" t="n">
        <v>0</v>
      </c>
      <c r="L1213" s="23" t="n">
        <f>J1213+K1213</f>
        <v>5</v>
      </c>
      <c r="M1213" s="23" t="n">
        <v>5</v>
      </c>
      <c r="N1213" s="23" t="n">
        <v>1</v>
      </c>
      <c r="O1213" s="23" t="n">
        <v>1</v>
      </c>
      <c r="P1213" s="23" t="n">
        <v>1</v>
      </c>
      <c r="Q1213" s="23" t="n">
        <f>MIN(O1213,P1213)</f>
        <v>1</v>
      </c>
      <c r="R1213" s="25" t="n">
        <f>IF(M1213=0,0,MIN(1,L1213/M1213))</f>
        <v>1</v>
      </c>
      <c r="S1213" s="23" t="n">
        <f>O1213*R1213</f>
        <v>1</v>
      </c>
      <c r="T1213" s="23" t="n">
        <f>MIN(P1213,S1213)</f>
        <v>1</v>
      </c>
      <c r="U1213" s="23" t="n">
        <f>O1213-S1213</f>
        <v>0</v>
      </c>
      <c r="V1213" s="23" t="n">
        <f>MAX(P1213-O1213,0)</f>
        <v>0</v>
      </c>
    </row>
    <row r="1214">
      <c r="A1214" s="19" t="str">
        <v>英国区</v>
      </c>
      <c r="B1214" s="19" t="str">
        <v>伯明翰25号仓</v>
      </c>
      <c r="C1214" s="19" t="str">
        <v>入库组</v>
      </c>
      <c r="D1214" s="21" t="n">
        <v>46203</v>
      </c>
      <c r="E1214" s="19" t="str">
        <v>2026-06</v>
      </c>
      <c r="F1214" s="19" t="str">
        <v>操作员</v>
      </c>
      <c r="G1214" s="19" t="str">
        <v>英国灵活（跨天） / UK FLEX (CROSS-DAY)</v>
      </c>
      <c r="H1214" s="19" t="str">
        <v>S000274</v>
      </c>
      <c r="I1214" s="19" t="str">
        <v>Jobsworth Recruitment Solutions Limited</v>
      </c>
      <c r="J1214" s="23" t="n">
        <v>1</v>
      </c>
      <c r="K1214" s="23" t="n">
        <v>0</v>
      </c>
      <c r="L1214" s="23" t="n">
        <f>J1214+K1214</f>
        <v>1</v>
      </c>
      <c r="M1214" s="23" t="n">
        <v>1</v>
      </c>
      <c r="N1214" s="23" t="n">
        <v>1</v>
      </c>
      <c r="O1214" s="23" t="n">
        <v>1</v>
      </c>
      <c r="P1214" s="23" t="n">
        <v>1</v>
      </c>
      <c r="Q1214" s="23" t="n">
        <f>MIN(O1214,P1214)</f>
        <v>1</v>
      </c>
      <c r="R1214" s="25" t="n">
        <f>IF(M1214=0,0,MIN(1,L1214/M1214))</f>
        <v>1</v>
      </c>
      <c r="S1214" s="23" t="n">
        <f>O1214*R1214</f>
        <v>1</v>
      </c>
      <c r="T1214" s="23" t="n">
        <f>MIN(P1214,S1214)</f>
        <v>1</v>
      </c>
      <c r="U1214" s="23" t="n">
        <f>O1214-S1214</f>
        <v>0</v>
      </c>
      <c r="V1214" s="23" t="n">
        <f>MAX(P1214-O1214,0)</f>
        <v>0</v>
      </c>
    </row>
    <row r="1215">
      <c r="A1215" s="19" t="str">
        <v>英国区</v>
      </c>
      <c r="B1215" s="19" t="str">
        <v>伯明翰25号仓</v>
      </c>
      <c r="C1215" s="19" t="str">
        <v>包装组</v>
      </c>
      <c r="D1215" s="21" t="n">
        <v>46126</v>
      </c>
      <c r="E1215" s="19" t="str">
        <v>2026-04</v>
      </c>
      <c r="F1215" s="19" t="str">
        <v>操作员</v>
      </c>
      <c r="G1215" s="19" t="str">
        <v>英国区10:00-18:30 / UK 10:00-18:30</v>
      </c>
      <c r="H1215" s="19" t="str">
        <v>S000274</v>
      </c>
      <c r="I1215" s="19" t="str">
        <v>Jobsworth Recruitment Solutions Limited</v>
      </c>
      <c r="J1215" s="23" t="n">
        <v>1</v>
      </c>
      <c r="K1215" s="23" t="n">
        <v>0</v>
      </c>
      <c r="L1215" s="23" t="n">
        <f>J1215+K1215</f>
        <v>1</v>
      </c>
      <c r="M1215" s="23" t="n">
        <v>1</v>
      </c>
      <c r="N1215" s="23" t="n">
        <v>1</v>
      </c>
      <c r="O1215" s="23" t="n">
        <v>1</v>
      </c>
      <c r="P1215" s="23" t="n">
        <v>1</v>
      </c>
      <c r="Q1215" s="23" t="n">
        <f>MIN(O1215,P1215)</f>
        <v>1</v>
      </c>
      <c r="R1215" s="25" t="n">
        <f>IF(M1215=0,0,MIN(1,L1215/M1215))</f>
        <v>1</v>
      </c>
      <c r="S1215" s="23" t="n">
        <f>O1215*R1215</f>
        <v>1</v>
      </c>
      <c r="T1215" s="23" t="n">
        <f>MIN(P1215,S1215)</f>
        <v>1</v>
      </c>
      <c r="U1215" s="23" t="n">
        <f>O1215-S1215</f>
        <v>0</v>
      </c>
      <c r="V1215" s="23" t="n">
        <f>MAX(P1215-O1215,0)</f>
        <v>0</v>
      </c>
    </row>
    <row r="1216">
      <c r="A1216" s="19" t="str">
        <v>英国区</v>
      </c>
      <c r="B1216" s="19" t="str">
        <v>伯明翰25号仓</v>
      </c>
      <c r="C1216" s="19" t="str">
        <v>包装组</v>
      </c>
      <c r="D1216" s="21" t="n">
        <v>46129</v>
      </c>
      <c r="E1216" s="19" t="str">
        <v>2026-04</v>
      </c>
      <c r="F1216" s="19" t="str">
        <v>操作员</v>
      </c>
      <c r="G1216" s="19" t="str">
        <v>英国区10:00-18:30 / UK 10:00-18:30</v>
      </c>
      <c r="H1216" s="19" t="str">
        <v>S000274</v>
      </c>
      <c r="I1216" s="19" t="str">
        <v>Jobsworth Recruitment Solutions Limited</v>
      </c>
      <c r="J1216" s="23" t="n">
        <v>1</v>
      </c>
      <c r="K1216" s="23" t="n">
        <v>0</v>
      </c>
      <c r="L1216" s="23" t="n">
        <f>J1216+K1216</f>
        <v>1</v>
      </c>
      <c r="M1216" s="23" t="n">
        <v>1</v>
      </c>
      <c r="N1216" s="23" t="n">
        <v>1</v>
      </c>
      <c r="O1216" s="23" t="n">
        <v>1</v>
      </c>
      <c r="P1216" s="23" t="n">
        <v>1</v>
      </c>
      <c r="Q1216" s="23" t="n">
        <f>MIN(O1216,P1216)</f>
        <v>1</v>
      </c>
      <c r="R1216" s="25" t="n">
        <f>IF(M1216=0,0,MIN(1,L1216/M1216))</f>
        <v>1</v>
      </c>
      <c r="S1216" s="23" t="n">
        <f>O1216*R1216</f>
        <v>1</v>
      </c>
      <c r="T1216" s="23" t="n">
        <f>MIN(P1216,S1216)</f>
        <v>1</v>
      </c>
      <c r="U1216" s="23" t="n">
        <f>O1216-S1216</f>
        <v>0</v>
      </c>
      <c r="V1216" s="23" t="n">
        <f>MAX(P1216-O1216,0)</f>
        <v>0</v>
      </c>
    </row>
    <row r="1217">
      <c r="A1217" s="19" t="str">
        <v>英国区</v>
      </c>
      <c r="B1217" s="19" t="str">
        <v>伯明翰25号仓</v>
      </c>
      <c r="C1217" s="19" t="str">
        <v>包装组</v>
      </c>
      <c r="D1217" s="21" t="n">
        <v>46133</v>
      </c>
      <c r="E1217" s="19" t="str">
        <v>2026-04</v>
      </c>
      <c r="F1217" s="19" t="str">
        <v>操作员</v>
      </c>
      <c r="G1217" s="19" t="str">
        <v>英国区11:00-19:30 / UK 11:00-19:30</v>
      </c>
      <c r="H1217" s="19" t="str">
        <v>S000013</v>
      </c>
      <c r="I1217" s="19" t="str">
        <v>FT Recruitment</v>
      </c>
      <c r="J1217" s="23" t="n">
        <v>3</v>
      </c>
      <c r="K1217" s="23" t="n">
        <v>0</v>
      </c>
      <c r="L1217" s="23" t="n">
        <f>J1217+K1217</f>
        <v>3</v>
      </c>
      <c r="M1217" s="23" t="n">
        <v>3</v>
      </c>
      <c r="N1217" s="23" t="n">
        <v>3</v>
      </c>
      <c r="O1217" s="23" t="n">
        <v>3</v>
      </c>
      <c r="P1217" s="23" t="n">
        <v>3</v>
      </c>
      <c r="Q1217" s="23" t="n">
        <f>MIN(O1217,P1217)</f>
        <v>3</v>
      </c>
      <c r="R1217" s="25" t="n">
        <f>IF(M1217=0,0,MIN(1,L1217/M1217))</f>
        <v>1</v>
      </c>
      <c r="S1217" s="23" t="n">
        <f>O1217*R1217</f>
        <v>3</v>
      </c>
      <c r="T1217" s="23" t="n">
        <f>MIN(P1217,S1217)</f>
        <v>3</v>
      </c>
      <c r="U1217" s="23" t="n">
        <f>O1217-S1217</f>
        <v>0</v>
      </c>
      <c r="V1217" s="23" t="n">
        <f>MAX(P1217-O1217,0)</f>
        <v>0</v>
      </c>
    </row>
    <row r="1218">
      <c r="A1218" s="19" t="str">
        <v>英国区</v>
      </c>
      <c r="B1218" s="19" t="str">
        <v>伯明翰25号仓</v>
      </c>
      <c r="C1218" s="19" t="str">
        <v>包装组</v>
      </c>
      <c r="D1218" s="21" t="n">
        <v>46134</v>
      </c>
      <c r="E1218" s="19" t="str">
        <v>2026-04</v>
      </c>
      <c r="F1218" s="19" t="str">
        <v>操作员</v>
      </c>
      <c r="G1218" s="19" t="str">
        <v>英国区10:00-18:30 / UK 10:00-18:30</v>
      </c>
      <c r="H1218" s="19" t="str">
        <v>S000013</v>
      </c>
      <c r="I1218" s="19" t="str">
        <v>FT Recruitment</v>
      </c>
      <c r="J1218" s="23" t="n">
        <v>5</v>
      </c>
      <c r="K1218" s="23" t="n">
        <v>0</v>
      </c>
      <c r="L1218" s="23" t="n">
        <f>J1218+K1218</f>
        <v>5</v>
      </c>
      <c r="M1218" s="23" t="n">
        <v>5</v>
      </c>
      <c r="N1218" s="23" t="n">
        <v>4</v>
      </c>
      <c r="O1218" s="23" t="n">
        <v>5</v>
      </c>
      <c r="P1218" s="23" t="n">
        <v>4</v>
      </c>
      <c r="Q1218" s="23" t="n">
        <f>MIN(O1218,P1218)</f>
        <v>4</v>
      </c>
      <c r="R1218" s="25" t="n">
        <f>IF(M1218=0,0,MIN(1,L1218/M1218))</f>
        <v>1</v>
      </c>
      <c r="S1218" s="23" t="n">
        <f>O1218*R1218</f>
        <v>5</v>
      </c>
      <c r="T1218" s="23" t="n">
        <f>MIN(P1218,S1218)</f>
        <v>4</v>
      </c>
      <c r="U1218" s="23" t="n">
        <f>O1218-S1218</f>
        <v>0</v>
      </c>
      <c r="V1218" s="23" t="n">
        <f>MAX(P1218-O1218,0)</f>
        <v>0</v>
      </c>
    </row>
    <row r="1219">
      <c r="A1219" s="19" t="str">
        <v>英国区</v>
      </c>
      <c r="B1219" s="19" t="str">
        <v>伯明翰25号仓</v>
      </c>
      <c r="C1219" s="19" t="str">
        <v>包装组</v>
      </c>
      <c r="D1219" s="21" t="n">
        <v>46134</v>
      </c>
      <c r="E1219" s="19" t="str">
        <v>2026-04</v>
      </c>
      <c r="F1219" s="19" t="str">
        <v>操作员</v>
      </c>
      <c r="G1219" s="19" t="str">
        <v>英国区11:00-19:30 / UK 11:00-19:30</v>
      </c>
      <c r="H1219" s="19" t="str">
        <v>S000274</v>
      </c>
      <c r="I1219" s="19" t="str">
        <v>Jobsworth Recruitment Solutions Limited</v>
      </c>
      <c r="J1219" s="23" t="n">
        <v>3</v>
      </c>
      <c r="K1219" s="23" t="n">
        <v>0</v>
      </c>
      <c r="L1219" s="23" t="n">
        <f>J1219+K1219</f>
        <v>3</v>
      </c>
      <c r="M1219" s="23" t="n">
        <v>3</v>
      </c>
      <c r="N1219" s="23" t="n">
        <v>3</v>
      </c>
      <c r="O1219" s="23" t="n">
        <v>3</v>
      </c>
      <c r="P1219" s="23" t="n">
        <v>3</v>
      </c>
      <c r="Q1219" s="23" t="n">
        <f>MIN(O1219,P1219)</f>
        <v>3</v>
      </c>
      <c r="R1219" s="25" t="n">
        <f>IF(M1219=0,0,MIN(1,L1219/M1219))</f>
        <v>1</v>
      </c>
      <c r="S1219" s="23" t="n">
        <f>O1219*R1219</f>
        <v>3</v>
      </c>
      <c r="T1219" s="23" t="n">
        <f>MIN(P1219,S1219)</f>
        <v>3</v>
      </c>
      <c r="U1219" s="23" t="n">
        <f>O1219-S1219</f>
        <v>0</v>
      </c>
      <c r="V1219" s="23" t="n">
        <f>MAX(P1219-O1219,0)</f>
        <v>0</v>
      </c>
    </row>
    <row r="1220">
      <c r="A1220" s="19" t="str">
        <v>英国区</v>
      </c>
      <c r="B1220" s="19" t="str">
        <v>伯明翰25号仓</v>
      </c>
      <c r="C1220" s="19" t="str">
        <v>包装组</v>
      </c>
      <c r="D1220" s="21" t="n">
        <v>46135</v>
      </c>
      <c r="E1220" s="19" t="str">
        <v>2026-04</v>
      </c>
      <c r="F1220" s="19" t="str">
        <v>操作员</v>
      </c>
      <c r="G1220" s="19" t="str">
        <v>英国区10:00-18:30 / UK 10:00-18:30</v>
      </c>
      <c r="H1220" s="19" t="str">
        <v>S000274</v>
      </c>
      <c r="I1220" s="19" t="str">
        <v>Jobsworth Recruitment Solutions Limited</v>
      </c>
      <c r="J1220" s="23" t="n">
        <v>5</v>
      </c>
      <c r="K1220" s="23" t="n">
        <v>0</v>
      </c>
      <c r="L1220" s="23" t="n">
        <f>J1220+K1220</f>
        <v>5</v>
      </c>
      <c r="M1220" s="23" t="n">
        <v>5</v>
      </c>
      <c r="N1220" s="23" t="n">
        <v>5</v>
      </c>
      <c r="O1220" s="23" t="n">
        <v>5</v>
      </c>
      <c r="P1220" s="23" t="n">
        <v>5</v>
      </c>
      <c r="Q1220" s="23" t="n">
        <f>MIN(O1220,P1220)</f>
        <v>5</v>
      </c>
      <c r="R1220" s="25" t="n">
        <f>IF(M1220=0,0,MIN(1,L1220/M1220))</f>
        <v>1</v>
      </c>
      <c r="S1220" s="23" t="n">
        <f>O1220*R1220</f>
        <v>5</v>
      </c>
      <c r="T1220" s="23" t="n">
        <f>MIN(P1220,S1220)</f>
        <v>5</v>
      </c>
      <c r="U1220" s="23" t="n">
        <f>O1220-S1220</f>
        <v>0</v>
      </c>
      <c r="V1220" s="23" t="n">
        <f>MAX(P1220-O1220,0)</f>
        <v>0</v>
      </c>
    </row>
    <row r="1221">
      <c r="A1221" s="19" t="str">
        <v>英国区</v>
      </c>
      <c r="B1221" s="19" t="str">
        <v>伯明翰25号仓</v>
      </c>
      <c r="C1221" s="19" t="str">
        <v>包装组</v>
      </c>
      <c r="D1221" s="21" t="n">
        <v>46135</v>
      </c>
      <c r="E1221" s="19" t="str">
        <v>2026-04</v>
      </c>
      <c r="F1221" s="19" t="str">
        <v>操作员</v>
      </c>
      <c r="G1221" s="19" t="str">
        <v>英国区11:00-19:30 / UK 11:00-19:30</v>
      </c>
      <c r="H1221" s="19" t="str">
        <v>S000289</v>
      </c>
      <c r="I1221" s="19" t="str">
        <v>Staffzilla Limited</v>
      </c>
      <c r="J1221" s="23" t="n">
        <v>3</v>
      </c>
      <c r="K1221" s="23" t="n">
        <v>0</v>
      </c>
      <c r="L1221" s="23" t="n">
        <f>J1221+K1221</f>
        <v>3</v>
      </c>
      <c r="M1221" s="23" t="n">
        <v>3</v>
      </c>
      <c r="N1221" s="23" t="n">
        <v>3</v>
      </c>
      <c r="O1221" s="23" t="n">
        <v>3</v>
      </c>
      <c r="P1221" s="23" t="n">
        <v>3</v>
      </c>
      <c r="Q1221" s="23" t="n">
        <f>MIN(O1221,P1221)</f>
        <v>3</v>
      </c>
      <c r="R1221" s="25" t="n">
        <f>IF(M1221=0,0,MIN(1,L1221/M1221))</f>
        <v>1</v>
      </c>
      <c r="S1221" s="23" t="n">
        <f>O1221*R1221</f>
        <v>3</v>
      </c>
      <c r="T1221" s="23" t="n">
        <f>MIN(P1221,S1221)</f>
        <v>3</v>
      </c>
      <c r="U1221" s="23" t="n">
        <f>O1221-S1221</f>
        <v>0</v>
      </c>
      <c r="V1221" s="23" t="n">
        <f>MAX(P1221-O1221,0)</f>
        <v>0</v>
      </c>
    </row>
    <row r="1222">
      <c r="A1222" s="19" t="str">
        <v>英国区</v>
      </c>
      <c r="B1222" s="19" t="str">
        <v>伯明翰25号仓</v>
      </c>
      <c r="C1222" s="19" t="str">
        <v>包装组</v>
      </c>
      <c r="D1222" s="21" t="n">
        <v>46136</v>
      </c>
      <c r="E1222" s="19" t="str">
        <v>2026-04</v>
      </c>
      <c r="F1222" s="19" t="str">
        <v>操作员</v>
      </c>
      <c r="G1222" s="19" t="str">
        <v>英国区10:00-18:30 / UK 10:00-18:30</v>
      </c>
      <c r="H1222" s="19" t="str">
        <v>S000132</v>
      </c>
      <c r="I1222" s="19" t="str">
        <v>HRA Recruitment Services</v>
      </c>
      <c r="J1222" s="23" t="n">
        <v>5</v>
      </c>
      <c r="K1222" s="23" t="n">
        <v>0</v>
      </c>
      <c r="L1222" s="23" t="n">
        <f>J1222+K1222</f>
        <v>5</v>
      </c>
      <c r="M1222" s="23" t="n">
        <v>5</v>
      </c>
      <c r="N1222" s="23" t="n">
        <v>5</v>
      </c>
      <c r="O1222" s="23" t="n">
        <v>5</v>
      </c>
      <c r="P1222" s="23" t="n">
        <v>5</v>
      </c>
      <c r="Q1222" s="23" t="n">
        <f>MIN(O1222,P1222)</f>
        <v>5</v>
      </c>
      <c r="R1222" s="25" t="n">
        <f>IF(M1222=0,0,MIN(1,L1222/M1222))</f>
        <v>1</v>
      </c>
      <c r="S1222" s="23" t="n">
        <f>O1222*R1222</f>
        <v>5</v>
      </c>
      <c r="T1222" s="23" t="n">
        <f>MIN(P1222,S1222)</f>
        <v>5</v>
      </c>
      <c r="U1222" s="23" t="n">
        <f>O1222-S1222</f>
        <v>0</v>
      </c>
      <c r="V1222" s="23" t="n">
        <f>MAX(P1222-O1222,0)</f>
        <v>0</v>
      </c>
    </row>
    <row r="1223">
      <c r="A1223" s="19" t="str">
        <v>英国区</v>
      </c>
      <c r="B1223" s="19" t="str">
        <v>伯明翰25号仓</v>
      </c>
      <c r="C1223" s="19" t="str">
        <v>包装组</v>
      </c>
      <c r="D1223" s="21" t="n">
        <v>46136</v>
      </c>
      <c r="E1223" s="19" t="str">
        <v>2026-04</v>
      </c>
      <c r="F1223" s="19" t="str">
        <v>操作员</v>
      </c>
      <c r="G1223" s="19" t="str">
        <v>英国区11:00-19:30 / UK 11:00-19:30</v>
      </c>
      <c r="H1223" s="19" t="str">
        <v>S000132</v>
      </c>
      <c r="I1223" s="19" t="str">
        <v>HRA Recruitment Services</v>
      </c>
      <c r="J1223" s="23" t="n">
        <v>3</v>
      </c>
      <c r="K1223" s="23" t="n">
        <v>0</v>
      </c>
      <c r="L1223" s="23" t="n">
        <f>J1223+K1223</f>
        <v>3</v>
      </c>
      <c r="M1223" s="23" t="n">
        <v>3</v>
      </c>
      <c r="N1223" s="23" t="n">
        <v>3</v>
      </c>
      <c r="O1223" s="23" t="n">
        <v>3</v>
      </c>
      <c r="P1223" s="23" t="n">
        <v>3</v>
      </c>
      <c r="Q1223" s="23" t="n">
        <f>MIN(O1223,P1223)</f>
        <v>3</v>
      </c>
      <c r="R1223" s="25" t="n">
        <f>IF(M1223=0,0,MIN(1,L1223/M1223))</f>
        <v>1</v>
      </c>
      <c r="S1223" s="23" t="n">
        <f>O1223*R1223</f>
        <v>3</v>
      </c>
      <c r="T1223" s="23" t="n">
        <f>MIN(P1223,S1223)</f>
        <v>3</v>
      </c>
      <c r="U1223" s="23" t="n">
        <f>O1223-S1223</f>
        <v>0</v>
      </c>
      <c r="V1223" s="23" t="n">
        <f>MAX(P1223-O1223,0)</f>
        <v>0</v>
      </c>
    </row>
    <row r="1224">
      <c r="A1224" s="19" t="str">
        <v>英国区</v>
      </c>
      <c r="B1224" s="19" t="str">
        <v>伯明翰25号仓</v>
      </c>
      <c r="C1224" s="19" t="str">
        <v>包装组</v>
      </c>
      <c r="D1224" s="21" t="n">
        <v>46148</v>
      </c>
      <c r="E1224" s="19" t="str">
        <v>2026-05</v>
      </c>
      <c r="F1224" s="19" t="str">
        <v>操作员</v>
      </c>
      <c r="G1224" s="19" t="str">
        <v>英国区11:00-19:30 / UK 11:00-19:30</v>
      </c>
      <c r="H1224" s="19" t="str">
        <v>S000274</v>
      </c>
      <c r="I1224" s="19" t="str">
        <v>Jobsworth Recruitment Solutions Limited</v>
      </c>
      <c r="J1224" s="23" t="n">
        <v>1</v>
      </c>
      <c r="K1224" s="23" t="n">
        <v>0</v>
      </c>
      <c r="L1224" s="23" t="n">
        <f>J1224+K1224</f>
        <v>1</v>
      </c>
      <c r="M1224" s="23" t="n">
        <v>1</v>
      </c>
      <c r="N1224" s="23" t="n">
        <v>1</v>
      </c>
      <c r="O1224" s="23" t="n">
        <v>1</v>
      </c>
      <c r="P1224" s="23" t="n">
        <v>1</v>
      </c>
      <c r="Q1224" s="23" t="n">
        <f>MIN(O1224,P1224)</f>
        <v>1</v>
      </c>
      <c r="R1224" s="25" t="n">
        <f>IF(M1224=0,0,MIN(1,L1224/M1224))</f>
        <v>1</v>
      </c>
      <c r="S1224" s="23" t="n">
        <f>O1224*R1224</f>
        <v>1</v>
      </c>
      <c r="T1224" s="23" t="n">
        <f>MIN(P1224,S1224)</f>
        <v>1</v>
      </c>
      <c r="U1224" s="23" t="n">
        <f>O1224-S1224</f>
        <v>0</v>
      </c>
      <c r="V1224" s="23" t="n">
        <f>MAX(P1224-O1224,0)</f>
        <v>0</v>
      </c>
    </row>
    <row r="1225">
      <c r="A1225" s="19" t="str">
        <v>英国区</v>
      </c>
      <c r="B1225" s="19" t="str">
        <v>伯明翰25号仓</v>
      </c>
      <c r="C1225" s="19" t="str">
        <v>包装组</v>
      </c>
      <c r="D1225" s="21" t="n">
        <v>46161</v>
      </c>
      <c r="E1225" s="19" t="str">
        <v>2026-05</v>
      </c>
      <c r="F1225" s="19" t="str">
        <v>操作员</v>
      </c>
      <c r="G1225" s="19" t="str">
        <v>英国区11:00-19:30 / UK 11:00-19:30</v>
      </c>
      <c r="H1225" s="19" t="str">
        <v>S000013</v>
      </c>
      <c r="I1225" s="19" t="str">
        <v>FT Recruitment</v>
      </c>
      <c r="J1225" s="23" t="n">
        <v>3</v>
      </c>
      <c r="K1225" s="23" t="n">
        <v>0</v>
      </c>
      <c r="L1225" s="23" t="n">
        <f>J1225+K1225</f>
        <v>3</v>
      </c>
      <c r="M1225" s="23" t="n">
        <v>3</v>
      </c>
      <c r="N1225" s="23" t="n">
        <v>3</v>
      </c>
      <c r="O1225" s="23" t="n">
        <v>3</v>
      </c>
      <c r="P1225" s="23" t="n">
        <v>3</v>
      </c>
      <c r="Q1225" s="23" t="n">
        <f>MIN(O1225,P1225)</f>
        <v>3</v>
      </c>
      <c r="R1225" s="25" t="n">
        <f>IF(M1225=0,0,MIN(1,L1225/M1225))</f>
        <v>1</v>
      </c>
      <c r="S1225" s="23" t="n">
        <f>O1225*R1225</f>
        <v>3</v>
      </c>
      <c r="T1225" s="23" t="n">
        <f>MIN(P1225,S1225)</f>
        <v>3</v>
      </c>
      <c r="U1225" s="23" t="n">
        <f>O1225-S1225</f>
        <v>0</v>
      </c>
      <c r="V1225" s="23" t="n">
        <f>MAX(P1225-O1225,0)</f>
        <v>0</v>
      </c>
    </row>
    <row r="1226">
      <c r="A1226" s="19" t="str">
        <v>英国区</v>
      </c>
      <c r="B1226" s="19" t="str">
        <v>伯明翰25号仓</v>
      </c>
      <c r="C1226" s="19" t="str">
        <v>包装组</v>
      </c>
      <c r="D1226" s="21" t="n">
        <v>46163</v>
      </c>
      <c r="E1226" s="19" t="str">
        <v>2026-05</v>
      </c>
      <c r="F1226" s="19" t="str">
        <v>操作员</v>
      </c>
      <c r="G1226" s="19" t="str">
        <v>英国区11:00-19:30 / UK 11:00-19:30</v>
      </c>
      <c r="H1226" s="19" t="str">
        <v>S000013</v>
      </c>
      <c r="I1226" s="19" t="str">
        <v>FT Recruitment</v>
      </c>
      <c r="J1226" s="23" t="n">
        <v>3</v>
      </c>
      <c r="K1226" s="23" t="n">
        <v>0</v>
      </c>
      <c r="L1226" s="23" t="n">
        <f>J1226+K1226</f>
        <v>3</v>
      </c>
      <c r="M1226" s="23" t="n">
        <v>3</v>
      </c>
      <c r="N1226" s="23" t="n">
        <v>3</v>
      </c>
      <c r="O1226" s="23" t="n">
        <v>3</v>
      </c>
      <c r="P1226" s="23" t="n">
        <v>3</v>
      </c>
      <c r="Q1226" s="23" t="n">
        <f>MIN(O1226,P1226)</f>
        <v>3</v>
      </c>
      <c r="R1226" s="25" t="n">
        <f>IF(M1226=0,0,MIN(1,L1226/M1226))</f>
        <v>1</v>
      </c>
      <c r="S1226" s="23" t="n">
        <f>O1226*R1226</f>
        <v>3</v>
      </c>
      <c r="T1226" s="23" t="n">
        <f>MIN(P1226,S1226)</f>
        <v>3</v>
      </c>
      <c r="U1226" s="23" t="n">
        <f>O1226-S1226</f>
        <v>0</v>
      </c>
      <c r="V1226" s="23" t="n">
        <f>MAX(P1226-O1226,0)</f>
        <v>0</v>
      </c>
    </row>
    <row r="1227">
      <c r="A1227" s="19" t="str">
        <v>英国区</v>
      </c>
      <c r="B1227" s="19" t="str">
        <v>伯明翰25号仓</v>
      </c>
      <c r="C1227" s="19" t="str">
        <v>包装组</v>
      </c>
      <c r="D1227" s="21" t="n">
        <v>46164</v>
      </c>
      <c r="E1227" s="19" t="str">
        <v>2026-05</v>
      </c>
      <c r="F1227" s="19" t="str">
        <v>操作员</v>
      </c>
      <c r="G1227" s="19" t="str">
        <v>英国区11:00-19:30 / UK 11:00-19:30</v>
      </c>
      <c r="H1227" s="19" t="str">
        <v>S000013</v>
      </c>
      <c r="I1227" s="19" t="str">
        <v>FT Recruitment</v>
      </c>
      <c r="J1227" s="23" t="n">
        <v>1</v>
      </c>
      <c r="K1227" s="23" t="n">
        <v>0</v>
      </c>
      <c r="L1227" s="23" t="n">
        <f>J1227+K1227</f>
        <v>1</v>
      </c>
      <c r="M1227" s="23" t="n">
        <v>1</v>
      </c>
      <c r="N1227" s="23" t="n">
        <v>0</v>
      </c>
      <c r="O1227" s="23" t="n">
        <v>1</v>
      </c>
      <c r="P1227" s="23" t="n">
        <v>0</v>
      </c>
      <c r="Q1227" s="23" t="n">
        <f>MIN(O1227,P1227)</f>
        <v>0</v>
      </c>
      <c r="R1227" s="25" t="n">
        <f>IF(M1227=0,0,MIN(1,L1227/M1227))</f>
        <v>1</v>
      </c>
      <c r="S1227" s="23" t="n">
        <f>O1227*R1227</f>
        <v>1</v>
      </c>
      <c r="T1227" s="23" t="n">
        <f>MIN(P1227,S1227)</f>
        <v>0</v>
      </c>
      <c r="U1227" s="23" t="n">
        <f>O1227-S1227</f>
        <v>0</v>
      </c>
      <c r="V1227" s="23" t="n">
        <f>MAX(P1227-O1227,0)</f>
        <v>0</v>
      </c>
    </row>
    <row r="1228">
      <c r="A1228" s="19" t="str">
        <v>英国区</v>
      </c>
      <c r="B1228" s="19" t="str">
        <v>伯明翰25号仓</v>
      </c>
      <c r="C1228" s="19" t="str">
        <v>包装组</v>
      </c>
      <c r="D1228" s="21" t="n">
        <v>46169</v>
      </c>
      <c r="E1228" s="19" t="str">
        <v>2026-05</v>
      </c>
      <c r="F1228" s="19" t="str">
        <v>操作员</v>
      </c>
      <c r="G1228" s="19" t="str">
        <v>英国区11:00-19:30 / UK 11:00-19:30</v>
      </c>
      <c r="H1228" s="19" t="str">
        <v>S000013</v>
      </c>
      <c r="I1228" s="19" t="str">
        <v>FT Recruitment</v>
      </c>
      <c r="J1228" s="23" t="n">
        <v>3</v>
      </c>
      <c r="K1228" s="23" t="n">
        <v>0</v>
      </c>
      <c r="L1228" s="23" t="n">
        <f>J1228+K1228</f>
        <v>3</v>
      </c>
      <c r="M1228" s="23" t="n">
        <v>3</v>
      </c>
      <c r="N1228" s="23" t="n">
        <v>3</v>
      </c>
      <c r="O1228" s="23" t="n">
        <v>3</v>
      </c>
      <c r="P1228" s="23" t="n">
        <v>3</v>
      </c>
      <c r="Q1228" s="23" t="n">
        <f>MIN(O1228,P1228)</f>
        <v>3</v>
      </c>
      <c r="R1228" s="25" t="n">
        <f>IF(M1228=0,0,MIN(1,L1228/M1228))</f>
        <v>1</v>
      </c>
      <c r="S1228" s="23" t="n">
        <f>O1228*R1228</f>
        <v>3</v>
      </c>
      <c r="T1228" s="23" t="n">
        <f>MIN(P1228,S1228)</f>
        <v>3</v>
      </c>
      <c r="U1228" s="23" t="n">
        <f>O1228-S1228</f>
        <v>0</v>
      </c>
      <c r="V1228" s="23" t="n">
        <f>MAX(P1228-O1228,0)</f>
        <v>0</v>
      </c>
    </row>
    <row r="1229">
      <c r="A1229" s="19" t="str">
        <v>英国区</v>
      </c>
      <c r="B1229" s="19" t="str">
        <v>伯明翰25号仓</v>
      </c>
      <c r="C1229" s="19" t="str">
        <v>包装组</v>
      </c>
      <c r="D1229" s="21" t="n">
        <v>46170</v>
      </c>
      <c r="E1229" s="19" t="str">
        <v>2026-05</v>
      </c>
      <c r="F1229" s="19" t="str">
        <v>操作员</v>
      </c>
      <c r="G1229" s="19" t="str">
        <v>英国区11:00-19:30 / UK 11:00-19:30</v>
      </c>
      <c r="H1229" s="19" t="str">
        <v>S000274</v>
      </c>
      <c r="I1229" s="19" t="str">
        <v>Jobsworth Recruitment Solutions Limited</v>
      </c>
      <c r="J1229" s="23" t="n">
        <v>3</v>
      </c>
      <c r="K1229" s="23" t="n">
        <v>0</v>
      </c>
      <c r="L1229" s="23" t="n">
        <f>J1229+K1229</f>
        <v>3</v>
      </c>
      <c r="M1229" s="23" t="n">
        <v>3</v>
      </c>
      <c r="N1229" s="23" t="n">
        <v>3</v>
      </c>
      <c r="O1229" s="23" t="n">
        <v>3</v>
      </c>
      <c r="P1229" s="23" t="n">
        <v>3</v>
      </c>
      <c r="Q1229" s="23" t="n">
        <f>MIN(O1229,P1229)</f>
        <v>3</v>
      </c>
      <c r="R1229" s="25" t="n">
        <f>IF(M1229=0,0,MIN(1,L1229/M1229))</f>
        <v>1</v>
      </c>
      <c r="S1229" s="23" t="n">
        <f>O1229*R1229</f>
        <v>3</v>
      </c>
      <c r="T1229" s="23" t="n">
        <f>MIN(P1229,S1229)</f>
        <v>3</v>
      </c>
      <c r="U1229" s="23" t="n">
        <f>O1229-S1229</f>
        <v>0</v>
      </c>
      <c r="V1229" s="23" t="n">
        <f>MAX(P1229-O1229,0)</f>
        <v>0</v>
      </c>
    </row>
    <row r="1230">
      <c r="A1230" s="19" t="str">
        <v>英国区</v>
      </c>
      <c r="B1230" s="19" t="str">
        <v>伯明翰25号仓</v>
      </c>
      <c r="C1230" s="19" t="str">
        <v>包装组</v>
      </c>
      <c r="D1230" s="21" t="n">
        <v>46171</v>
      </c>
      <c r="E1230" s="19" t="str">
        <v>2026-05</v>
      </c>
      <c r="F1230" s="19" t="str">
        <v>操作员</v>
      </c>
      <c r="G1230" s="19" t="str">
        <v>英国区07:00-15:30 / UK 07:00-15:30</v>
      </c>
      <c r="H1230" s="19" t="str">
        <v>S000274</v>
      </c>
      <c r="I1230" s="19" t="str">
        <v>Jobsworth Recruitment Solutions Limited</v>
      </c>
      <c r="J1230" s="23" t="n">
        <v>5</v>
      </c>
      <c r="K1230" s="23" t="n">
        <v>0</v>
      </c>
      <c r="L1230" s="23" t="n">
        <f>J1230+K1230</f>
        <v>5</v>
      </c>
      <c r="M1230" s="23" t="n">
        <v>5</v>
      </c>
      <c r="N1230" s="23" t="n">
        <v>5</v>
      </c>
      <c r="O1230" s="23" t="n">
        <v>5</v>
      </c>
      <c r="P1230" s="23" t="n">
        <v>5</v>
      </c>
      <c r="Q1230" s="23" t="n">
        <f>MIN(O1230,P1230)</f>
        <v>5</v>
      </c>
      <c r="R1230" s="25" t="n">
        <f>IF(M1230=0,0,MIN(1,L1230/M1230))</f>
        <v>1</v>
      </c>
      <c r="S1230" s="23" t="n">
        <f>O1230*R1230</f>
        <v>5</v>
      </c>
      <c r="T1230" s="23" t="n">
        <f>MIN(P1230,S1230)</f>
        <v>5</v>
      </c>
      <c r="U1230" s="23" t="n">
        <f>O1230-S1230</f>
        <v>0</v>
      </c>
      <c r="V1230" s="23" t="n">
        <f>MAX(P1230-O1230,0)</f>
        <v>0</v>
      </c>
    </row>
    <row r="1231">
      <c r="A1231" s="19" t="str">
        <v>英国区</v>
      </c>
      <c r="B1231" s="19" t="str">
        <v>伯明翰25号仓</v>
      </c>
      <c r="C1231" s="19" t="str">
        <v>包装组</v>
      </c>
      <c r="D1231" s="21" t="n">
        <v>46172</v>
      </c>
      <c r="E1231" s="19" t="str">
        <v>2026-05</v>
      </c>
      <c r="F1231" s="19" t="str">
        <v>操作员</v>
      </c>
      <c r="G1231" s="19" t="str">
        <v>英国区10:00-18:30 / UK 10:00-18:30</v>
      </c>
      <c r="H1231" s="19" t="str">
        <v>S000132</v>
      </c>
      <c r="I1231" s="19" t="str">
        <v>HRA Recruitment Services</v>
      </c>
      <c r="J1231" s="23" t="n">
        <v>3</v>
      </c>
      <c r="K1231" s="23" t="n">
        <v>0</v>
      </c>
      <c r="L1231" s="23" t="n">
        <f>J1231+K1231</f>
        <v>3</v>
      </c>
      <c r="M1231" s="23" t="n">
        <v>3</v>
      </c>
      <c r="N1231" s="23" t="n">
        <v>1</v>
      </c>
      <c r="O1231" s="23" t="n">
        <v>3</v>
      </c>
      <c r="P1231" s="23" t="n">
        <v>1</v>
      </c>
      <c r="Q1231" s="23" t="n">
        <f>MIN(O1231,P1231)</f>
        <v>1</v>
      </c>
      <c r="R1231" s="25" t="n">
        <f>IF(M1231=0,0,MIN(1,L1231/M1231))</f>
        <v>1</v>
      </c>
      <c r="S1231" s="23" t="n">
        <f>O1231*R1231</f>
        <v>3</v>
      </c>
      <c r="T1231" s="23" t="n">
        <f>MIN(P1231,S1231)</f>
        <v>1</v>
      </c>
      <c r="U1231" s="23" t="n">
        <f>O1231-S1231</f>
        <v>0</v>
      </c>
      <c r="V1231" s="23" t="n">
        <f>MAX(P1231-O1231,0)</f>
        <v>0</v>
      </c>
    </row>
    <row r="1232">
      <c r="A1232" s="19" t="str">
        <v>英国区</v>
      </c>
      <c r="B1232" s="19" t="str">
        <v>伯明翰25号仓</v>
      </c>
      <c r="C1232" s="19" t="str">
        <v>包装组</v>
      </c>
      <c r="D1232" s="21" t="n">
        <v>46177</v>
      </c>
      <c r="E1232" s="19" t="str">
        <v>2026-06</v>
      </c>
      <c r="F1232" s="19" t="str">
        <v>操作员</v>
      </c>
      <c r="G1232" s="19" t="str">
        <v>英国区11:00-19:30 / UK 11:00-19:30</v>
      </c>
      <c r="H1232" s="19" t="str">
        <v>S000013</v>
      </c>
      <c r="I1232" s="19" t="str">
        <v>FT Recruitment</v>
      </c>
      <c r="J1232" s="23" t="n">
        <v>2</v>
      </c>
      <c r="K1232" s="23" t="n">
        <v>0</v>
      </c>
      <c r="L1232" s="23" t="n">
        <f>J1232+K1232</f>
        <v>2</v>
      </c>
      <c r="M1232" s="23" t="n">
        <v>2</v>
      </c>
      <c r="N1232" s="23" t="n">
        <v>2</v>
      </c>
      <c r="O1232" s="23" t="n">
        <v>2</v>
      </c>
      <c r="P1232" s="23" t="n">
        <v>2</v>
      </c>
      <c r="Q1232" s="23" t="n">
        <f>MIN(O1232,P1232)</f>
        <v>2</v>
      </c>
      <c r="R1232" s="25" t="n">
        <f>IF(M1232=0,0,MIN(1,L1232/M1232))</f>
        <v>1</v>
      </c>
      <c r="S1232" s="23" t="n">
        <f>O1232*R1232</f>
        <v>2</v>
      </c>
      <c r="T1232" s="23" t="n">
        <f>MIN(P1232,S1232)</f>
        <v>2</v>
      </c>
      <c r="U1232" s="23" t="n">
        <f>O1232-S1232</f>
        <v>0</v>
      </c>
      <c r="V1232" s="23" t="n">
        <f>MAX(P1232-O1232,0)</f>
        <v>0</v>
      </c>
    </row>
    <row r="1233">
      <c r="A1233" s="19" t="str">
        <v>英国区</v>
      </c>
      <c r="B1233" s="19" t="str">
        <v>伯明翰25号仓</v>
      </c>
      <c r="C1233" s="19" t="str">
        <v>包装组</v>
      </c>
      <c r="D1233" s="21" t="n">
        <v>46203</v>
      </c>
      <c r="E1233" s="19" t="str">
        <v>2026-06</v>
      </c>
      <c r="F1233" s="19" t="str">
        <v>操作员</v>
      </c>
      <c r="G1233" s="19" t="str">
        <v>英国区11:00-19:30 / UK 11:00-19:30</v>
      </c>
      <c r="H1233" s="19" t="str">
        <v>S000274</v>
      </c>
      <c r="I1233" s="19" t="str">
        <v>Jobsworth Recruitment Solutions Limited</v>
      </c>
      <c r="J1233" s="23" t="n">
        <v>2</v>
      </c>
      <c r="K1233" s="23" t="n">
        <v>0</v>
      </c>
      <c r="L1233" s="23" t="n">
        <f>J1233+K1233</f>
        <v>2</v>
      </c>
      <c r="M1233" s="23" t="n">
        <v>2</v>
      </c>
      <c r="N1233" s="23" t="n">
        <v>2</v>
      </c>
      <c r="O1233" s="23" t="n">
        <v>2</v>
      </c>
      <c r="P1233" s="23" t="n">
        <v>2</v>
      </c>
      <c r="Q1233" s="23" t="n">
        <f>MIN(O1233,P1233)</f>
        <v>2</v>
      </c>
      <c r="R1233" s="25" t="n">
        <f>IF(M1233=0,0,MIN(1,L1233/M1233))</f>
        <v>1</v>
      </c>
      <c r="S1233" s="23" t="n">
        <f>O1233*R1233</f>
        <v>2</v>
      </c>
      <c r="T1233" s="23" t="n">
        <f>MIN(P1233,S1233)</f>
        <v>2</v>
      </c>
      <c r="U1233" s="23" t="n">
        <f>O1233-S1233</f>
        <v>0</v>
      </c>
      <c r="V1233" s="23" t="n">
        <f>MAX(P1233-O1233,0)</f>
        <v>0</v>
      </c>
    </row>
    <row r="1234">
      <c r="A1234" s="19" t="str">
        <v>英国区</v>
      </c>
      <c r="B1234" s="19" t="str">
        <v>伯明翰25号仓</v>
      </c>
      <c r="C1234" s="19" t="str">
        <v>拣货组</v>
      </c>
      <c r="D1234" s="21" t="n">
        <v>46128</v>
      </c>
      <c r="E1234" s="19" t="str">
        <v>2026-04</v>
      </c>
      <c r="F1234" s="19" t="str">
        <v>操作员</v>
      </c>
      <c r="G1234" s="19" t="str">
        <v>英国区11:00-19:30 / UK 11:00-19:30</v>
      </c>
      <c r="H1234" s="19" t="str">
        <v>S000274</v>
      </c>
      <c r="I1234" s="19" t="str">
        <v>Jobsworth Recruitment Solutions Limited</v>
      </c>
      <c r="J1234" s="23" t="n">
        <v>1</v>
      </c>
      <c r="K1234" s="23" t="n">
        <v>0</v>
      </c>
      <c r="L1234" s="23" t="n">
        <f>J1234+K1234</f>
        <v>1</v>
      </c>
      <c r="M1234" s="23" t="n">
        <v>1</v>
      </c>
      <c r="N1234" s="23" t="n">
        <v>1</v>
      </c>
      <c r="O1234" s="23" t="n">
        <v>1</v>
      </c>
      <c r="P1234" s="23" t="n">
        <v>1</v>
      </c>
      <c r="Q1234" s="23" t="n">
        <f>MIN(O1234,P1234)</f>
        <v>1</v>
      </c>
      <c r="R1234" s="25" t="n">
        <f>IF(M1234=0,0,MIN(1,L1234/M1234))</f>
        <v>1</v>
      </c>
      <c r="S1234" s="23" t="n">
        <f>O1234*R1234</f>
        <v>1</v>
      </c>
      <c r="T1234" s="23" t="n">
        <f>MIN(P1234,S1234)</f>
        <v>1</v>
      </c>
      <c r="U1234" s="23" t="n">
        <f>O1234-S1234</f>
        <v>0</v>
      </c>
      <c r="V1234" s="23" t="n">
        <f>MAX(P1234-O1234,0)</f>
        <v>0</v>
      </c>
    </row>
    <row r="1235">
      <c r="A1235" s="19" t="str">
        <v>英国区</v>
      </c>
      <c r="B1235" s="19" t="str">
        <v>伯明翰25号仓</v>
      </c>
      <c r="C1235" s="19" t="str">
        <v>拣货组</v>
      </c>
      <c r="D1235" s="21" t="n">
        <v>46140</v>
      </c>
      <c r="E1235" s="19" t="str">
        <v>2026-04</v>
      </c>
      <c r="F1235" s="19" t="str">
        <v>操作员</v>
      </c>
      <c r="G1235" s="19" t="str">
        <v>英国区05:00-13:30 / UK 05:00-13:30</v>
      </c>
      <c r="H1235" s="19" t="str">
        <v>S000132</v>
      </c>
      <c r="I1235" s="19" t="str">
        <v>HRA Recruitment Services</v>
      </c>
      <c r="J1235" s="23" t="n">
        <v>1</v>
      </c>
      <c r="K1235" s="23" t="n">
        <v>0</v>
      </c>
      <c r="L1235" s="23" t="n">
        <f>J1235+K1235</f>
        <v>1</v>
      </c>
      <c r="M1235" s="23" t="n">
        <v>1</v>
      </c>
      <c r="N1235" s="23" t="n">
        <v>0</v>
      </c>
      <c r="O1235" s="23" t="n">
        <v>1</v>
      </c>
      <c r="P1235" s="23" t="n">
        <v>0</v>
      </c>
      <c r="Q1235" s="23" t="n">
        <f>MIN(O1235,P1235)</f>
        <v>0</v>
      </c>
      <c r="R1235" s="25" t="n">
        <f>IF(M1235=0,0,MIN(1,L1235/M1235))</f>
        <v>1</v>
      </c>
      <c r="S1235" s="23" t="n">
        <f>O1235*R1235</f>
        <v>1</v>
      </c>
      <c r="T1235" s="23" t="n">
        <f>MIN(P1235,S1235)</f>
        <v>0</v>
      </c>
      <c r="U1235" s="23" t="n">
        <f>O1235-S1235</f>
        <v>0</v>
      </c>
      <c r="V1235" s="23" t="n">
        <f>MAX(P1235-O1235,0)</f>
        <v>0</v>
      </c>
    </row>
    <row r="1236">
      <c r="A1236" s="19" t="str">
        <v>英国区</v>
      </c>
      <c r="B1236" s="19" t="str">
        <v>伯明翰25号仓</v>
      </c>
      <c r="C1236" s="19" t="str">
        <v>拣货组</v>
      </c>
      <c r="D1236" s="21" t="n">
        <v>46140</v>
      </c>
      <c r="E1236" s="19" t="str">
        <v>2026-04</v>
      </c>
      <c r="F1236" s="19" t="str">
        <v>操作员</v>
      </c>
      <c r="G1236" s="19" t="str">
        <v>英国区10:00-18:30 / UK 10:00-18:30</v>
      </c>
      <c r="H1236" s="19" t="str">
        <v>S000132</v>
      </c>
      <c r="I1236" s="19" t="str">
        <v>HRA Recruitment Services</v>
      </c>
      <c r="J1236" s="23" t="n">
        <v>3</v>
      </c>
      <c r="K1236" s="23" t="n">
        <v>0</v>
      </c>
      <c r="L1236" s="23" t="n">
        <f>J1236+K1236</f>
        <v>3</v>
      </c>
      <c r="M1236" s="23" t="n">
        <v>3</v>
      </c>
      <c r="N1236" s="23" t="n">
        <v>3</v>
      </c>
      <c r="O1236" s="23" t="n">
        <v>3</v>
      </c>
      <c r="P1236" s="23" t="n">
        <v>3</v>
      </c>
      <c r="Q1236" s="23" t="n">
        <f>MIN(O1236,P1236)</f>
        <v>3</v>
      </c>
      <c r="R1236" s="25" t="n">
        <f>IF(M1236=0,0,MIN(1,L1236/M1236))</f>
        <v>1</v>
      </c>
      <c r="S1236" s="23" t="n">
        <f>O1236*R1236</f>
        <v>3</v>
      </c>
      <c r="T1236" s="23" t="n">
        <f>MIN(P1236,S1236)</f>
        <v>3</v>
      </c>
      <c r="U1236" s="23" t="n">
        <f>O1236-S1236</f>
        <v>0</v>
      </c>
      <c r="V1236" s="23" t="n">
        <f>MAX(P1236-O1236,0)</f>
        <v>0</v>
      </c>
    </row>
    <row r="1237">
      <c r="A1237" s="19" t="str">
        <v>英国区</v>
      </c>
      <c r="B1237" s="19" t="str">
        <v>伯明翰25号仓</v>
      </c>
      <c r="C1237" s="19" t="str">
        <v>拣货组</v>
      </c>
      <c r="D1237" s="21" t="n">
        <v>46141</v>
      </c>
      <c r="E1237" s="19" t="str">
        <v>2026-04</v>
      </c>
      <c r="F1237" s="19" t="str">
        <v>操作员</v>
      </c>
      <c r="G1237" s="19" t="str">
        <v>英国区10:00-18:30 / UK 10:00-18:30</v>
      </c>
      <c r="H1237" s="19" t="str">
        <v>S000274</v>
      </c>
      <c r="I1237" s="19" t="str">
        <v>Jobsworth Recruitment Solutions Limited</v>
      </c>
      <c r="J1237" s="23" t="n">
        <v>3</v>
      </c>
      <c r="K1237" s="23" t="n">
        <v>0</v>
      </c>
      <c r="L1237" s="23" t="n">
        <f>J1237+K1237</f>
        <v>3</v>
      </c>
      <c r="M1237" s="23" t="n">
        <v>3</v>
      </c>
      <c r="N1237" s="23" t="n">
        <v>3</v>
      </c>
      <c r="O1237" s="23" t="n">
        <v>3</v>
      </c>
      <c r="P1237" s="23" t="n">
        <v>3</v>
      </c>
      <c r="Q1237" s="23" t="n">
        <f>MIN(O1237,P1237)</f>
        <v>3</v>
      </c>
      <c r="R1237" s="25" t="n">
        <f>IF(M1237=0,0,MIN(1,L1237/M1237))</f>
        <v>1</v>
      </c>
      <c r="S1237" s="23" t="n">
        <f>O1237*R1237</f>
        <v>3</v>
      </c>
      <c r="T1237" s="23" t="n">
        <f>MIN(P1237,S1237)</f>
        <v>3</v>
      </c>
      <c r="U1237" s="23" t="n">
        <f>O1237-S1237</f>
        <v>0</v>
      </c>
      <c r="V1237" s="23" t="n">
        <f>MAX(P1237-O1237,0)</f>
        <v>0</v>
      </c>
    </row>
    <row r="1238">
      <c r="A1238" s="19" t="str">
        <v>英国区</v>
      </c>
      <c r="B1238" s="19" t="str">
        <v>伯明翰25号仓</v>
      </c>
      <c r="C1238" s="19" t="str">
        <v>拣货组</v>
      </c>
      <c r="D1238" s="21" t="n">
        <v>46142</v>
      </c>
      <c r="E1238" s="19" t="str">
        <v>2026-04</v>
      </c>
      <c r="F1238" s="19" t="str">
        <v>操作员</v>
      </c>
      <c r="G1238" s="19" t="str">
        <v>英国区10:00-18:30 / UK 10:00-18:30</v>
      </c>
      <c r="H1238" s="19" t="str">
        <v>S000013</v>
      </c>
      <c r="I1238" s="19" t="str">
        <v>FT Recruitment</v>
      </c>
      <c r="J1238" s="23" t="n">
        <v>3</v>
      </c>
      <c r="K1238" s="23" t="n">
        <v>0</v>
      </c>
      <c r="L1238" s="23" t="n">
        <f>J1238+K1238</f>
        <v>3</v>
      </c>
      <c r="M1238" s="23" t="n">
        <v>3</v>
      </c>
      <c r="N1238" s="23" t="n">
        <v>3</v>
      </c>
      <c r="O1238" s="23" t="n">
        <v>3</v>
      </c>
      <c r="P1238" s="23" t="n">
        <v>3</v>
      </c>
      <c r="Q1238" s="23" t="n">
        <f>MIN(O1238,P1238)</f>
        <v>3</v>
      </c>
      <c r="R1238" s="25" t="n">
        <f>IF(M1238=0,0,MIN(1,L1238/M1238))</f>
        <v>1</v>
      </c>
      <c r="S1238" s="23" t="n">
        <f>O1238*R1238</f>
        <v>3</v>
      </c>
      <c r="T1238" s="23" t="n">
        <f>MIN(P1238,S1238)</f>
        <v>3</v>
      </c>
      <c r="U1238" s="23" t="n">
        <f>O1238-S1238</f>
        <v>0</v>
      </c>
      <c r="V1238" s="23" t="n">
        <f>MAX(P1238-O1238,0)</f>
        <v>0</v>
      </c>
    </row>
    <row r="1239">
      <c r="A1239" s="19" t="str">
        <v>英国区</v>
      </c>
      <c r="B1239" s="19" t="str">
        <v>伯明翰25号仓</v>
      </c>
      <c r="C1239" s="19" t="str">
        <v>拣货组</v>
      </c>
      <c r="D1239" s="21" t="n">
        <v>46143</v>
      </c>
      <c r="E1239" s="19" t="str">
        <v>2026-05</v>
      </c>
      <c r="F1239" s="19" t="str">
        <v>操作员</v>
      </c>
      <c r="G1239" s="19" t="str">
        <v>英国区10:00-18:30 / UK 10:00-18:30</v>
      </c>
      <c r="H1239" s="19" t="str">
        <v>S000013</v>
      </c>
      <c r="I1239" s="19" t="str">
        <v>FT Recruitment</v>
      </c>
      <c r="J1239" s="23" t="n">
        <v>3</v>
      </c>
      <c r="K1239" s="23" t="n">
        <v>0</v>
      </c>
      <c r="L1239" s="23" t="n">
        <f>J1239+K1239</f>
        <v>3</v>
      </c>
      <c r="M1239" s="23" t="n">
        <v>3</v>
      </c>
      <c r="N1239" s="23" t="n">
        <v>3</v>
      </c>
      <c r="O1239" s="23" t="n">
        <v>3</v>
      </c>
      <c r="P1239" s="23" t="n">
        <v>3</v>
      </c>
      <c r="Q1239" s="23" t="n">
        <f>MIN(O1239,P1239)</f>
        <v>3</v>
      </c>
      <c r="R1239" s="25" t="n">
        <f>IF(M1239=0,0,MIN(1,L1239/M1239))</f>
        <v>1</v>
      </c>
      <c r="S1239" s="23" t="n">
        <f>O1239*R1239</f>
        <v>3</v>
      </c>
      <c r="T1239" s="23" t="n">
        <f>MIN(P1239,S1239)</f>
        <v>3</v>
      </c>
      <c r="U1239" s="23" t="n">
        <f>O1239-S1239</f>
        <v>0</v>
      </c>
      <c r="V1239" s="23" t="n">
        <f>MAX(P1239-O1239,0)</f>
        <v>0</v>
      </c>
    </row>
    <row r="1240">
      <c r="A1240" s="19" t="str">
        <v>英国区</v>
      </c>
      <c r="B1240" s="19" t="str">
        <v>伯明翰25号仓</v>
      </c>
      <c r="C1240" s="19" t="str">
        <v>拣货组</v>
      </c>
      <c r="D1240" s="21" t="n">
        <v>46148</v>
      </c>
      <c r="E1240" s="19" t="str">
        <v>2026-05</v>
      </c>
      <c r="F1240" s="19" t="str">
        <v>操作员</v>
      </c>
      <c r="G1240" s="19" t="str">
        <v>英国区10:00-18:30 / UK 10:00-18:30</v>
      </c>
      <c r="H1240" s="19" t="str">
        <v>S000132</v>
      </c>
      <c r="I1240" s="19" t="str">
        <v>HRA Recruitment Services</v>
      </c>
      <c r="J1240" s="23" t="n">
        <v>3</v>
      </c>
      <c r="K1240" s="23" t="n">
        <v>0</v>
      </c>
      <c r="L1240" s="23" t="n">
        <f>J1240+K1240</f>
        <v>3</v>
      </c>
      <c r="M1240" s="23" t="n">
        <v>3</v>
      </c>
      <c r="N1240" s="23" t="n">
        <v>3</v>
      </c>
      <c r="O1240" s="23" t="n">
        <v>3</v>
      </c>
      <c r="P1240" s="23" t="n">
        <v>3</v>
      </c>
      <c r="Q1240" s="23" t="n">
        <f>MIN(O1240,P1240)</f>
        <v>3</v>
      </c>
      <c r="R1240" s="25" t="n">
        <f>IF(M1240=0,0,MIN(1,L1240/M1240))</f>
        <v>1</v>
      </c>
      <c r="S1240" s="23" t="n">
        <f>O1240*R1240</f>
        <v>3</v>
      </c>
      <c r="T1240" s="23" t="n">
        <f>MIN(P1240,S1240)</f>
        <v>3</v>
      </c>
      <c r="U1240" s="23" t="n">
        <f>O1240-S1240</f>
        <v>0</v>
      </c>
      <c r="V1240" s="23" t="n">
        <f>MAX(P1240-O1240,0)</f>
        <v>0</v>
      </c>
    </row>
    <row r="1241">
      <c r="A1241" s="19" t="str">
        <v>英国区</v>
      </c>
      <c r="B1241" s="19" t="str">
        <v>伯明翰25号仓</v>
      </c>
      <c r="C1241" s="19" t="str">
        <v>拣货组</v>
      </c>
      <c r="D1241" s="21" t="n">
        <v>46149</v>
      </c>
      <c r="E1241" s="19" t="str">
        <v>2026-05</v>
      </c>
      <c r="F1241" s="19" t="str">
        <v>操作员</v>
      </c>
      <c r="G1241" s="19" t="str">
        <v>英国区10:00-18:30 / UK 10:00-18:30</v>
      </c>
      <c r="H1241" s="19" t="str">
        <v>S000274</v>
      </c>
      <c r="I1241" s="19" t="str">
        <v>Jobsworth Recruitment Solutions Limited</v>
      </c>
      <c r="J1241" s="23" t="n">
        <v>3</v>
      </c>
      <c r="K1241" s="23" t="n">
        <v>0</v>
      </c>
      <c r="L1241" s="23" t="n">
        <f>J1241+K1241</f>
        <v>3</v>
      </c>
      <c r="M1241" s="23" t="n">
        <v>3</v>
      </c>
      <c r="N1241" s="23" t="n">
        <v>3</v>
      </c>
      <c r="O1241" s="23" t="n">
        <v>3</v>
      </c>
      <c r="P1241" s="23" t="n">
        <v>3</v>
      </c>
      <c r="Q1241" s="23" t="n">
        <f>MIN(O1241,P1241)</f>
        <v>3</v>
      </c>
      <c r="R1241" s="25" t="n">
        <f>IF(M1241=0,0,MIN(1,L1241/M1241))</f>
        <v>1</v>
      </c>
      <c r="S1241" s="23" t="n">
        <f>O1241*R1241</f>
        <v>3</v>
      </c>
      <c r="T1241" s="23" t="n">
        <f>MIN(P1241,S1241)</f>
        <v>3</v>
      </c>
      <c r="U1241" s="23" t="n">
        <f>O1241-S1241</f>
        <v>0</v>
      </c>
      <c r="V1241" s="23" t="n">
        <f>MAX(P1241-O1241,0)</f>
        <v>0</v>
      </c>
    </row>
    <row r="1242">
      <c r="A1242" s="19" t="str">
        <v>英国区</v>
      </c>
      <c r="B1242" s="19" t="str">
        <v>伯明翰25号仓</v>
      </c>
      <c r="C1242" s="19" t="str">
        <v>拣货组</v>
      </c>
      <c r="D1242" s="21" t="n">
        <v>46150</v>
      </c>
      <c r="E1242" s="19" t="str">
        <v>2026-05</v>
      </c>
      <c r="F1242" s="19" t="str">
        <v>操作员</v>
      </c>
      <c r="G1242" s="19" t="str">
        <v>英国区10:00-18:30 / UK 10:00-18:30</v>
      </c>
      <c r="H1242" s="19" t="str">
        <v>S000013</v>
      </c>
      <c r="I1242" s="19" t="str">
        <v>FT Recruitment</v>
      </c>
      <c r="J1242" s="23" t="n">
        <v>3</v>
      </c>
      <c r="K1242" s="23" t="n">
        <v>0</v>
      </c>
      <c r="L1242" s="23" t="n">
        <f>J1242+K1242</f>
        <v>3</v>
      </c>
      <c r="M1242" s="23" t="n">
        <v>3</v>
      </c>
      <c r="N1242" s="23" t="n">
        <v>3</v>
      </c>
      <c r="O1242" s="23" t="n">
        <v>3</v>
      </c>
      <c r="P1242" s="23" t="n">
        <v>3</v>
      </c>
      <c r="Q1242" s="23" t="n">
        <f>MIN(O1242,P1242)</f>
        <v>3</v>
      </c>
      <c r="R1242" s="25" t="n">
        <f>IF(M1242=0,0,MIN(1,L1242/M1242))</f>
        <v>1</v>
      </c>
      <c r="S1242" s="23" t="n">
        <f>O1242*R1242</f>
        <v>3</v>
      </c>
      <c r="T1242" s="23" t="n">
        <f>MIN(P1242,S1242)</f>
        <v>3</v>
      </c>
      <c r="U1242" s="23" t="n">
        <f>O1242-S1242</f>
        <v>0</v>
      </c>
      <c r="V1242" s="23" t="n">
        <f>MAX(P1242-O1242,0)</f>
        <v>0</v>
      </c>
    </row>
    <row r="1243">
      <c r="A1243" s="19" t="str">
        <v>英国区</v>
      </c>
      <c r="B1243" s="19" t="str">
        <v>伯明翰25号仓</v>
      </c>
      <c r="C1243" s="19" t="str">
        <v>拣货组</v>
      </c>
      <c r="D1243" s="21" t="n">
        <v>46154</v>
      </c>
      <c r="E1243" s="19" t="str">
        <v>2026-05</v>
      </c>
      <c r="F1243" s="19" t="str">
        <v>操作员</v>
      </c>
      <c r="G1243" s="19" t="str">
        <v>英国区11:00-19:30 / UK 11:00-19:30</v>
      </c>
      <c r="H1243" s="19" t="str">
        <v>S000274</v>
      </c>
      <c r="I1243" s="19" t="str">
        <v>Jobsworth Recruitment Solutions Limited</v>
      </c>
      <c r="J1243" s="23" t="n">
        <v>3</v>
      </c>
      <c r="K1243" s="23" t="n">
        <v>0</v>
      </c>
      <c r="L1243" s="23" t="n">
        <f>J1243+K1243</f>
        <v>3</v>
      </c>
      <c r="M1243" s="23" t="n">
        <v>3</v>
      </c>
      <c r="N1243" s="23" t="n">
        <v>3</v>
      </c>
      <c r="O1243" s="23" t="n">
        <v>3</v>
      </c>
      <c r="P1243" s="23" t="n">
        <v>3</v>
      </c>
      <c r="Q1243" s="23" t="n">
        <f>MIN(O1243,P1243)</f>
        <v>3</v>
      </c>
      <c r="R1243" s="25" t="n">
        <f>IF(M1243=0,0,MIN(1,L1243/M1243))</f>
        <v>1</v>
      </c>
      <c r="S1243" s="23" t="n">
        <f>O1243*R1243</f>
        <v>3</v>
      </c>
      <c r="T1243" s="23" t="n">
        <f>MIN(P1243,S1243)</f>
        <v>3</v>
      </c>
      <c r="U1243" s="23" t="n">
        <f>O1243-S1243</f>
        <v>0</v>
      </c>
      <c r="V1243" s="23" t="n">
        <f>MAX(P1243-O1243,0)</f>
        <v>0</v>
      </c>
    </row>
    <row r="1244">
      <c r="A1244" s="19" t="str">
        <v>英国区</v>
      </c>
      <c r="B1244" s="19" t="str">
        <v>伯明翰25号仓</v>
      </c>
      <c r="C1244" s="19" t="str">
        <v>拣货组</v>
      </c>
      <c r="D1244" s="21" t="n">
        <v>46155</v>
      </c>
      <c r="E1244" s="19" t="str">
        <v>2026-05</v>
      </c>
      <c r="F1244" s="19" t="str">
        <v>操作员</v>
      </c>
      <c r="G1244" s="19" t="str">
        <v>英国区11:00-19:30 / UK 11:00-19:30</v>
      </c>
      <c r="H1244" s="19" t="str">
        <v>S000274</v>
      </c>
      <c r="I1244" s="19" t="str">
        <v>Jobsworth Recruitment Solutions Limited</v>
      </c>
      <c r="J1244" s="23" t="n">
        <v>3</v>
      </c>
      <c r="K1244" s="23" t="n">
        <v>0</v>
      </c>
      <c r="L1244" s="23" t="n">
        <f>J1244+K1244</f>
        <v>3</v>
      </c>
      <c r="M1244" s="23" t="n">
        <v>3</v>
      </c>
      <c r="N1244" s="23" t="n">
        <v>3</v>
      </c>
      <c r="O1244" s="23" t="n">
        <v>3</v>
      </c>
      <c r="P1244" s="23" t="n">
        <v>3</v>
      </c>
      <c r="Q1244" s="23" t="n">
        <f>MIN(O1244,P1244)</f>
        <v>3</v>
      </c>
      <c r="R1244" s="25" t="n">
        <f>IF(M1244=0,0,MIN(1,L1244/M1244))</f>
        <v>1</v>
      </c>
      <c r="S1244" s="23" t="n">
        <f>O1244*R1244</f>
        <v>3</v>
      </c>
      <c r="T1244" s="23" t="n">
        <f>MIN(P1244,S1244)</f>
        <v>3</v>
      </c>
      <c r="U1244" s="23" t="n">
        <f>O1244-S1244</f>
        <v>0</v>
      </c>
      <c r="V1244" s="23" t="n">
        <f>MAX(P1244-O1244,0)</f>
        <v>0</v>
      </c>
    </row>
    <row r="1245">
      <c r="A1245" s="19" t="str">
        <v>英国区</v>
      </c>
      <c r="B1245" s="19" t="str">
        <v>伯明翰25号仓</v>
      </c>
      <c r="C1245" s="19" t="str">
        <v>拣货组</v>
      </c>
      <c r="D1245" s="21" t="n">
        <v>46156</v>
      </c>
      <c r="E1245" s="19" t="str">
        <v>2026-05</v>
      </c>
      <c r="F1245" s="19" t="str">
        <v>操作员</v>
      </c>
      <c r="G1245" s="19" t="str">
        <v>英国区11:00-19:30 / UK 11:00-19:30</v>
      </c>
      <c r="H1245" s="19" t="str">
        <v>S000274</v>
      </c>
      <c r="I1245" s="19" t="str">
        <v>Jobsworth Recruitment Solutions Limited</v>
      </c>
      <c r="J1245" s="23" t="n">
        <v>3</v>
      </c>
      <c r="K1245" s="23" t="n">
        <v>0</v>
      </c>
      <c r="L1245" s="23" t="n">
        <f>J1245+K1245</f>
        <v>3</v>
      </c>
      <c r="M1245" s="23" t="n">
        <v>3</v>
      </c>
      <c r="N1245" s="23" t="n">
        <v>3</v>
      </c>
      <c r="O1245" s="23" t="n">
        <v>3</v>
      </c>
      <c r="P1245" s="23" t="n">
        <v>3</v>
      </c>
      <c r="Q1245" s="23" t="n">
        <f>MIN(O1245,P1245)</f>
        <v>3</v>
      </c>
      <c r="R1245" s="25" t="n">
        <f>IF(M1245=0,0,MIN(1,L1245/M1245))</f>
        <v>1</v>
      </c>
      <c r="S1245" s="23" t="n">
        <f>O1245*R1245</f>
        <v>3</v>
      </c>
      <c r="T1245" s="23" t="n">
        <f>MIN(P1245,S1245)</f>
        <v>3</v>
      </c>
      <c r="U1245" s="23" t="n">
        <f>O1245-S1245</f>
        <v>0</v>
      </c>
      <c r="V1245" s="23" t="n">
        <f>MAX(P1245-O1245,0)</f>
        <v>0</v>
      </c>
    </row>
    <row r="1246">
      <c r="A1246" s="19" t="str">
        <v>英国区</v>
      </c>
      <c r="B1246" s="19" t="str">
        <v>伯明翰25号仓</v>
      </c>
      <c r="C1246" s="19" t="str">
        <v>拣货组</v>
      </c>
      <c r="D1246" s="21" t="n">
        <v>46157</v>
      </c>
      <c r="E1246" s="19" t="str">
        <v>2026-05</v>
      </c>
      <c r="F1246" s="19" t="str">
        <v>操作员</v>
      </c>
      <c r="G1246" s="19" t="str">
        <v>英国区11:00-19:30 / UK 11:00-19:30</v>
      </c>
      <c r="H1246" s="19" t="str">
        <v>S000274</v>
      </c>
      <c r="I1246" s="19" t="str">
        <v>Jobsworth Recruitment Solutions Limited</v>
      </c>
      <c r="J1246" s="23" t="n">
        <v>3</v>
      </c>
      <c r="K1246" s="23" t="n">
        <v>0</v>
      </c>
      <c r="L1246" s="23" t="n">
        <f>J1246+K1246</f>
        <v>3</v>
      </c>
      <c r="M1246" s="23" t="n">
        <v>3</v>
      </c>
      <c r="N1246" s="23" t="n">
        <v>3</v>
      </c>
      <c r="O1246" s="23" t="n">
        <v>3</v>
      </c>
      <c r="P1246" s="23" t="n">
        <v>3</v>
      </c>
      <c r="Q1246" s="23" t="n">
        <f>MIN(O1246,P1246)</f>
        <v>3</v>
      </c>
      <c r="R1246" s="25" t="n">
        <f>IF(M1246=0,0,MIN(1,L1246/M1246))</f>
        <v>1</v>
      </c>
      <c r="S1246" s="23" t="n">
        <f>O1246*R1246</f>
        <v>3</v>
      </c>
      <c r="T1246" s="23" t="n">
        <f>MIN(P1246,S1246)</f>
        <v>3</v>
      </c>
      <c r="U1246" s="23" t="n">
        <f>O1246-S1246</f>
        <v>0</v>
      </c>
      <c r="V1246" s="23" t="n">
        <f>MAX(P1246-O1246,0)</f>
        <v>0</v>
      </c>
    </row>
    <row r="1247">
      <c r="A1247" s="19" t="str">
        <v>英国区</v>
      </c>
      <c r="B1247" s="19" t="str">
        <v>伯明翰25号仓</v>
      </c>
      <c r="C1247" s="19" t="str">
        <v>拣货组</v>
      </c>
      <c r="D1247" s="21" t="n">
        <v>46171</v>
      </c>
      <c r="E1247" s="19" t="str">
        <v>2026-05</v>
      </c>
      <c r="F1247" s="19" t="str">
        <v>操作员</v>
      </c>
      <c r="G1247" s="19" t="str">
        <v>英国区11:00-19:30 / UK 11:00-19:30</v>
      </c>
      <c r="H1247" s="19" t="str">
        <v>S000132</v>
      </c>
      <c r="I1247" s="19" t="str">
        <v>HRA Recruitment Services</v>
      </c>
      <c r="J1247" s="23" t="n">
        <v>5</v>
      </c>
      <c r="K1247" s="23" t="n">
        <v>0</v>
      </c>
      <c r="L1247" s="23" t="n">
        <f>J1247+K1247</f>
        <v>5</v>
      </c>
      <c r="M1247" s="23" t="n">
        <v>5</v>
      </c>
      <c r="N1247" s="23" t="n">
        <v>5</v>
      </c>
      <c r="O1247" s="23" t="n">
        <v>5</v>
      </c>
      <c r="P1247" s="23" t="n">
        <v>5</v>
      </c>
      <c r="Q1247" s="23" t="n">
        <f>MIN(O1247,P1247)</f>
        <v>5</v>
      </c>
      <c r="R1247" s="25" t="n">
        <f>IF(M1247=0,0,MIN(1,L1247/M1247))</f>
        <v>1</v>
      </c>
      <c r="S1247" s="23" t="n">
        <f>O1247*R1247</f>
        <v>5</v>
      </c>
      <c r="T1247" s="23" t="n">
        <f>MIN(P1247,S1247)</f>
        <v>5</v>
      </c>
      <c r="U1247" s="23" t="n">
        <f>O1247-S1247</f>
        <v>0</v>
      </c>
      <c r="V1247" s="23" t="n">
        <f>MAX(P1247-O1247,0)</f>
        <v>0</v>
      </c>
    </row>
    <row r="1248">
      <c r="A1248" s="19" t="str">
        <v>英国区</v>
      </c>
      <c r="B1248" s="19" t="str">
        <v>伯明翰25号仓</v>
      </c>
      <c r="C1248" s="19" t="str">
        <v>拣货组</v>
      </c>
      <c r="D1248" s="21" t="n">
        <v>46175</v>
      </c>
      <c r="E1248" s="19" t="str">
        <v>2026-06</v>
      </c>
      <c r="F1248" s="19" t="str">
        <v>操作员</v>
      </c>
      <c r="G1248" s="19" t="str">
        <v>英国区09:00-17:30 / UK 09:00-17:30</v>
      </c>
      <c r="H1248" s="19" t="str">
        <v>S000132</v>
      </c>
      <c r="I1248" s="19" t="str">
        <v>HRA Recruitment Services</v>
      </c>
      <c r="J1248" s="23" t="n">
        <v>3</v>
      </c>
      <c r="K1248" s="23" t="n">
        <v>0</v>
      </c>
      <c r="L1248" s="23" t="n">
        <f>J1248+K1248</f>
        <v>3</v>
      </c>
      <c r="M1248" s="23" t="n">
        <v>3</v>
      </c>
      <c r="N1248" s="23" t="n">
        <v>2</v>
      </c>
      <c r="O1248" s="23" t="n">
        <v>3</v>
      </c>
      <c r="P1248" s="23" t="n">
        <v>2</v>
      </c>
      <c r="Q1248" s="23" t="n">
        <f>MIN(O1248,P1248)</f>
        <v>2</v>
      </c>
      <c r="R1248" s="25" t="n">
        <f>IF(M1248=0,0,MIN(1,L1248/M1248))</f>
        <v>1</v>
      </c>
      <c r="S1248" s="23" t="n">
        <f>O1248*R1248</f>
        <v>3</v>
      </c>
      <c r="T1248" s="23" t="n">
        <f>MIN(P1248,S1248)</f>
        <v>2</v>
      </c>
      <c r="U1248" s="23" t="n">
        <f>O1248-S1248</f>
        <v>0</v>
      </c>
      <c r="V1248" s="23" t="n">
        <f>MAX(P1248-O1248,0)</f>
        <v>0</v>
      </c>
    </row>
    <row r="1249">
      <c r="A1249" s="19" t="str">
        <v>英国区</v>
      </c>
      <c r="B1249" s="19" t="str">
        <v>伯明翰25号仓</v>
      </c>
      <c r="C1249" s="19" t="str">
        <v>拣货组</v>
      </c>
      <c r="D1249" s="21" t="n">
        <v>46176</v>
      </c>
      <c r="E1249" s="19" t="str">
        <v>2026-06</v>
      </c>
      <c r="F1249" s="19" t="str">
        <v>操作员</v>
      </c>
      <c r="G1249" s="19" t="str">
        <v>英国区09:00-17:30 / UK 09:00-17:30</v>
      </c>
      <c r="H1249" s="19" t="str">
        <v>S000274</v>
      </c>
      <c r="I1249" s="19" t="str">
        <v>Jobsworth Recruitment Solutions Limited</v>
      </c>
      <c r="J1249" s="23" t="n">
        <v>3</v>
      </c>
      <c r="K1249" s="23" t="n">
        <v>0</v>
      </c>
      <c r="L1249" s="23" t="n">
        <f>J1249+K1249</f>
        <v>3</v>
      </c>
      <c r="M1249" s="23" t="n">
        <v>3</v>
      </c>
      <c r="N1249" s="23" t="n">
        <v>3</v>
      </c>
      <c r="O1249" s="23" t="n">
        <v>3</v>
      </c>
      <c r="P1249" s="23" t="n">
        <v>3</v>
      </c>
      <c r="Q1249" s="23" t="n">
        <f>MIN(O1249,P1249)</f>
        <v>3</v>
      </c>
      <c r="R1249" s="25" t="n">
        <f>IF(M1249=0,0,MIN(1,L1249/M1249))</f>
        <v>1</v>
      </c>
      <c r="S1249" s="23" t="n">
        <f>O1249*R1249</f>
        <v>3</v>
      </c>
      <c r="T1249" s="23" t="n">
        <f>MIN(P1249,S1249)</f>
        <v>3</v>
      </c>
      <c r="U1249" s="23" t="n">
        <f>O1249-S1249</f>
        <v>0</v>
      </c>
      <c r="V1249" s="23" t="n">
        <f>MAX(P1249-O1249,0)</f>
        <v>0</v>
      </c>
    </row>
    <row r="1250">
      <c r="A1250" s="19" t="str">
        <v>英国区</v>
      </c>
      <c r="B1250" s="19" t="str">
        <v>伯明翰25号仓</v>
      </c>
      <c r="C1250" s="19" t="str">
        <v>拣货组</v>
      </c>
      <c r="D1250" s="21" t="n">
        <v>46176</v>
      </c>
      <c r="E1250" s="19" t="str">
        <v>2026-06</v>
      </c>
      <c r="F1250" s="19" t="str">
        <v>操作员</v>
      </c>
      <c r="G1250" s="19" t="str">
        <v>英国区11:00-19:30 / UK 11:00-19:30</v>
      </c>
      <c r="H1250" s="19" t="str">
        <v>S000274</v>
      </c>
      <c r="I1250" s="19" t="str">
        <v>Jobsworth Recruitment Solutions Limited</v>
      </c>
      <c r="J1250" s="23" t="n">
        <v>8</v>
      </c>
      <c r="K1250" s="23" t="n">
        <v>0</v>
      </c>
      <c r="L1250" s="23" t="n">
        <f>J1250+K1250</f>
        <v>8</v>
      </c>
      <c r="M1250" s="23" t="n">
        <v>8</v>
      </c>
      <c r="N1250" s="23" t="n">
        <v>5</v>
      </c>
      <c r="O1250" s="23" t="n">
        <v>8</v>
      </c>
      <c r="P1250" s="23" t="n">
        <v>5</v>
      </c>
      <c r="Q1250" s="23" t="n">
        <f>MIN(O1250,P1250)</f>
        <v>5</v>
      </c>
      <c r="R1250" s="25" t="n">
        <f>IF(M1250=0,0,MIN(1,L1250/M1250))</f>
        <v>1</v>
      </c>
      <c r="S1250" s="23" t="n">
        <f>O1250*R1250</f>
        <v>8</v>
      </c>
      <c r="T1250" s="23" t="n">
        <f>MIN(P1250,S1250)</f>
        <v>5</v>
      </c>
      <c r="U1250" s="23" t="n">
        <f>O1250-S1250</f>
        <v>0</v>
      </c>
      <c r="V1250" s="23" t="n">
        <f>MAX(P1250-O1250,0)</f>
        <v>0</v>
      </c>
    </row>
    <row r="1251">
      <c r="A1251" s="19" t="str">
        <v>英国区</v>
      </c>
      <c r="B1251" s="19" t="str">
        <v>伯明翰25号仓</v>
      </c>
      <c r="C1251" s="19" t="str">
        <v>拣货组</v>
      </c>
      <c r="D1251" s="21" t="n">
        <v>46177</v>
      </c>
      <c r="E1251" s="19" t="str">
        <v>2026-06</v>
      </c>
      <c r="F1251" s="19" t="str">
        <v>操作员</v>
      </c>
      <c r="G1251" s="19" t="str">
        <v>英国区09:00-17:30 / UK 09:00-17:30</v>
      </c>
      <c r="H1251" s="19" t="str">
        <v>S000013</v>
      </c>
      <c r="I1251" s="19" t="str">
        <v>FT Recruitment</v>
      </c>
      <c r="J1251" s="23" t="n">
        <v>3</v>
      </c>
      <c r="K1251" s="23" t="n">
        <v>0</v>
      </c>
      <c r="L1251" s="23" t="n">
        <f>J1251+K1251</f>
        <v>3</v>
      </c>
      <c r="M1251" s="23" t="n">
        <v>3</v>
      </c>
      <c r="N1251" s="23" t="n">
        <v>3</v>
      </c>
      <c r="O1251" s="23" t="n">
        <v>3</v>
      </c>
      <c r="P1251" s="23" t="n">
        <v>3</v>
      </c>
      <c r="Q1251" s="23" t="n">
        <f>MIN(O1251,P1251)</f>
        <v>3</v>
      </c>
      <c r="R1251" s="25" t="n">
        <f>IF(M1251=0,0,MIN(1,L1251/M1251))</f>
        <v>1</v>
      </c>
      <c r="S1251" s="23" t="n">
        <f>O1251*R1251</f>
        <v>3</v>
      </c>
      <c r="T1251" s="23" t="n">
        <f>MIN(P1251,S1251)</f>
        <v>3</v>
      </c>
      <c r="U1251" s="23" t="n">
        <f>O1251-S1251</f>
        <v>0</v>
      </c>
      <c r="V1251" s="23" t="n">
        <f>MAX(P1251-O1251,0)</f>
        <v>0</v>
      </c>
    </row>
    <row r="1252">
      <c r="A1252" s="19" t="str">
        <v>英国区</v>
      </c>
      <c r="B1252" s="19" t="str">
        <v>伯明翰25号仓</v>
      </c>
      <c r="C1252" s="19" t="str">
        <v>拣货组</v>
      </c>
      <c r="D1252" s="21" t="n">
        <v>46178</v>
      </c>
      <c r="E1252" s="19" t="str">
        <v>2026-06</v>
      </c>
      <c r="F1252" s="19" t="str">
        <v>操作员</v>
      </c>
      <c r="G1252" s="19" t="str">
        <v>英国区09:00-17:30 / UK 09:00-17:30</v>
      </c>
      <c r="H1252" s="19" t="str">
        <v>S000007</v>
      </c>
      <c r="I1252" s="19" t="str">
        <v>Kenect</v>
      </c>
      <c r="J1252" s="23" t="n">
        <v>3</v>
      </c>
      <c r="K1252" s="23" t="n">
        <v>0</v>
      </c>
      <c r="L1252" s="23" t="n">
        <f>J1252+K1252</f>
        <v>3</v>
      </c>
      <c r="M1252" s="23" t="n">
        <v>3</v>
      </c>
      <c r="N1252" s="23" t="n">
        <v>2</v>
      </c>
      <c r="O1252" s="23" t="n">
        <v>3</v>
      </c>
      <c r="P1252" s="23" t="n">
        <v>2</v>
      </c>
      <c r="Q1252" s="23" t="n">
        <f>MIN(O1252,P1252)</f>
        <v>2</v>
      </c>
      <c r="R1252" s="25" t="n">
        <f>IF(M1252=0,0,MIN(1,L1252/M1252))</f>
        <v>1</v>
      </c>
      <c r="S1252" s="23" t="n">
        <f>O1252*R1252</f>
        <v>3</v>
      </c>
      <c r="T1252" s="23" t="n">
        <f>MIN(P1252,S1252)</f>
        <v>2</v>
      </c>
      <c r="U1252" s="23" t="n">
        <f>O1252-S1252</f>
        <v>0</v>
      </c>
      <c r="V1252" s="23" t="n">
        <f>MAX(P1252-O1252,0)</f>
        <v>0</v>
      </c>
    </row>
    <row r="1253">
      <c r="A1253" s="19" t="str">
        <v>英国区</v>
      </c>
      <c r="B1253" s="19" t="str">
        <v>伯明翰25号仓</v>
      </c>
      <c r="C1253" s="19" t="str">
        <v>拣货组</v>
      </c>
      <c r="D1253" s="21" t="n">
        <v>46178</v>
      </c>
      <c r="E1253" s="19" t="str">
        <v>2026-06</v>
      </c>
      <c r="F1253" s="19" t="str">
        <v>操作员</v>
      </c>
      <c r="G1253" s="19" t="str">
        <v>英国区11:00-19:30 / UK 11:00-19:30</v>
      </c>
      <c r="H1253" s="19" t="str">
        <v>S000274</v>
      </c>
      <c r="I1253" s="19" t="str">
        <v>Jobsworth Recruitment Solutions Limited</v>
      </c>
      <c r="J1253" s="23" t="n">
        <v>4</v>
      </c>
      <c r="K1253" s="23" t="n">
        <v>0</v>
      </c>
      <c r="L1253" s="23" t="n">
        <f>J1253+K1253</f>
        <v>4</v>
      </c>
      <c r="M1253" s="23" t="n">
        <v>4</v>
      </c>
      <c r="N1253" s="23" t="n">
        <v>4</v>
      </c>
      <c r="O1253" s="23" t="n">
        <v>4</v>
      </c>
      <c r="P1253" s="23" t="n">
        <v>4</v>
      </c>
      <c r="Q1253" s="23" t="n">
        <f>MIN(O1253,P1253)</f>
        <v>4</v>
      </c>
      <c r="R1253" s="25" t="n">
        <f>IF(M1253=0,0,MIN(1,L1253/M1253))</f>
        <v>1</v>
      </c>
      <c r="S1253" s="23" t="n">
        <f>O1253*R1253</f>
        <v>4</v>
      </c>
      <c r="T1253" s="23" t="n">
        <f>MIN(P1253,S1253)</f>
        <v>4</v>
      </c>
      <c r="U1253" s="23" t="n">
        <f>O1253-S1253</f>
        <v>0</v>
      </c>
      <c r="V1253" s="23" t="n">
        <f>MAX(P1253-O1253,0)</f>
        <v>0</v>
      </c>
    </row>
    <row r="1254">
      <c r="A1254" s="19" t="str">
        <v>英国区</v>
      </c>
      <c r="B1254" s="19" t="str">
        <v>伯明翰25号仓</v>
      </c>
      <c r="C1254" s="19" t="str">
        <v>拣货组</v>
      </c>
      <c r="D1254" s="21" t="n">
        <v>46182</v>
      </c>
      <c r="E1254" s="19" t="str">
        <v>2026-06</v>
      </c>
      <c r="F1254" s="19" t="str">
        <v>操作员</v>
      </c>
      <c r="G1254" s="19" t="str">
        <v>英国区11:00-19:30 / UK 11:00-19:30</v>
      </c>
      <c r="H1254" s="19" t="str">
        <v>S000132</v>
      </c>
      <c r="I1254" s="19" t="str">
        <v>HRA Recruitment Services</v>
      </c>
      <c r="J1254" s="23" t="n">
        <v>6</v>
      </c>
      <c r="K1254" s="23" t="n">
        <v>0</v>
      </c>
      <c r="L1254" s="23" t="n">
        <f>J1254+K1254</f>
        <v>6</v>
      </c>
      <c r="M1254" s="23" t="n">
        <v>6</v>
      </c>
      <c r="N1254" s="23" t="n">
        <v>6</v>
      </c>
      <c r="O1254" s="23" t="n">
        <v>3</v>
      </c>
      <c r="P1254" s="23" t="n">
        <v>3</v>
      </c>
      <c r="Q1254" s="23" t="n">
        <f>MIN(O1254,P1254)</f>
        <v>3</v>
      </c>
      <c r="R1254" s="25" t="n">
        <f>IF(M1254=0,0,MIN(1,L1254/M1254))</f>
        <v>1</v>
      </c>
      <c r="S1254" s="23" t="n">
        <f>O1254*R1254</f>
        <v>3</v>
      </c>
      <c r="T1254" s="23" t="n">
        <f>MIN(P1254,S1254)</f>
        <v>3</v>
      </c>
      <c r="U1254" s="23" t="n">
        <f>O1254-S1254</f>
        <v>0</v>
      </c>
      <c r="V1254" s="23" t="n">
        <f>MAX(P1254-O1254,0)</f>
        <v>0</v>
      </c>
    </row>
    <row r="1255">
      <c r="A1255" s="19" t="str">
        <v>英国区</v>
      </c>
      <c r="B1255" s="19" t="str">
        <v>伯明翰25号仓</v>
      </c>
      <c r="C1255" s="19" t="str">
        <v>拣货组</v>
      </c>
      <c r="D1255" s="21" t="n">
        <v>46182</v>
      </c>
      <c r="E1255" s="19" t="str">
        <v>2026-06</v>
      </c>
      <c r="F1255" s="19" t="str">
        <v>操作员</v>
      </c>
      <c r="G1255" s="19" t="str">
        <v>英国区11:00-19:30 / UK 11:00-19:30</v>
      </c>
      <c r="H1255" s="19" t="str">
        <v>S000274</v>
      </c>
      <c r="I1255" s="19" t="str">
        <v>Jobsworth Recruitment Solutions Limited</v>
      </c>
      <c r="J1255" s="23" t="n">
        <v>6</v>
      </c>
      <c r="K1255" s="23" t="n">
        <v>0</v>
      </c>
      <c r="L1255" s="23" t="n">
        <f>J1255+K1255</f>
        <v>6</v>
      </c>
      <c r="M1255" s="23" t="n">
        <v>6</v>
      </c>
      <c r="N1255" s="23" t="n">
        <v>6</v>
      </c>
      <c r="O1255" s="23" t="n">
        <v>3</v>
      </c>
      <c r="P1255" s="23" t="n">
        <v>3</v>
      </c>
      <c r="Q1255" s="23" t="n">
        <f>MIN(O1255,P1255)</f>
        <v>3</v>
      </c>
      <c r="R1255" s="25" t="n">
        <f>IF(M1255=0,0,MIN(1,L1255/M1255))</f>
        <v>1</v>
      </c>
      <c r="S1255" s="23" t="n">
        <f>O1255*R1255</f>
        <v>3</v>
      </c>
      <c r="T1255" s="23" t="n">
        <f>MIN(P1255,S1255)</f>
        <v>3</v>
      </c>
      <c r="U1255" s="23" t="n">
        <f>O1255-S1255</f>
        <v>0</v>
      </c>
      <c r="V1255" s="23" t="n">
        <f>MAX(P1255-O1255,0)</f>
        <v>0</v>
      </c>
    </row>
    <row r="1256">
      <c r="A1256" s="19" t="str">
        <v>英国区</v>
      </c>
      <c r="B1256" s="19" t="str">
        <v>伯明翰25号仓</v>
      </c>
      <c r="C1256" s="19" t="str">
        <v>拣货组</v>
      </c>
      <c r="D1256" s="21" t="n">
        <v>46183</v>
      </c>
      <c r="E1256" s="19" t="str">
        <v>2026-06</v>
      </c>
      <c r="F1256" s="19" t="str">
        <v>操作员</v>
      </c>
      <c r="G1256" s="19" t="str">
        <v>英国区11:00-19:30 / UK 11:00-19:30</v>
      </c>
      <c r="H1256" s="19" t="str">
        <v>S000132</v>
      </c>
      <c r="I1256" s="19" t="str">
        <v>HRA Recruitment Services</v>
      </c>
      <c r="J1256" s="23" t="n">
        <v>6</v>
      </c>
      <c r="K1256" s="23" t="n">
        <v>0</v>
      </c>
      <c r="L1256" s="23" t="n">
        <f>J1256+K1256</f>
        <v>6</v>
      </c>
      <c r="M1256" s="23" t="n">
        <v>6</v>
      </c>
      <c r="N1256" s="23" t="n">
        <v>6</v>
      </c>
      <c r="O1256" s="23" t="n">
        <v>3</v>
      </c>
      <c r="P1256" s="23" t="n">
        <v>3</v>
      </c>
      <c r="Q1256" s="23" t="n">
        <f>MIN(O1256,P1256)</f>
        <v>3</v>
      </c>
      <c r="R1256" s="25" t="n">
        <f>IF(M1256=0,0,MIN(1,L1256/M1256))</f>
        <v>1</v>
      </c>
      <c r="S1256" s="23" t="n">
        <f>O1256*R1256</f>
        <v>3</v>
      </c>
      <c r="T1256" s="23" t="n">
        <f>MIN(P1256,S1256)</f>
        <v>3</v>
      </c>
      <c r="U1256" s="23" t="n">
        <f>O1256-S1256</f>
        <v>0</v>
      </c>
      <c r="V1256" s="23" t="n">
        <f>MAX(P1256-O1256,0)</f>
        <v>0</v>
      </c>
    </row>
    <row r="1257">
      <c r="A1257" s="19" t="str">
        <v>英国区</v>
      </c>
      <c r="B1257" s="19" t="str">
        <v>伯明翰25号仓</v>
      </c>
      <c r="C1257" s="19" t="str">
        <v>拣货组</v>
      </c>
      <c r="D1257" s="21" t="n">
        <v>46183</v>
      </c>
      <c r="E1257" s="19" t="str">
        <v>2026-06</v>
      </c>
      <c r="F1257" s="19" t="str">
        <v>操作员</v>
      </c>
      <c r="G1257" s="19" t="str">
        <v>英国区11:00-19:30 / UK 11:00-19:30</v>
      </c>
      <c r="H1257" s="19" t="str">
        <v>S000274</v>
      </c>
      <c r="I1257" s="19" t="str">
        <v>Jobsworth Recruitment Solutions Limited</v>
      </c>
      <c r="J1257" s="23" t="n">
        <v>6</v>
      </c>
      <c r="K1257" s="23" t="n">
        <v>0</v>
      </c>
      <c r="L1257" s="23" t="n">
        <f>J1257+K1257</f>
        <v>6</v>
      </c>
      <c r="M1257" s="23" t="n">
        <v>6</v>
      </c>
      <c r="N1257" s="23" t="n">
        <v>6</v>
      </c>
      <c r="O1257" s="23" t="n">
        <v>3</v>
      </c>
      <c r="P1257" s="23" t="n">
        <v>3</v>
      </c>
      <c r="Q1257" s="23" t="n">
        <f>MIN(O1257,P1257)</f>
        <v>3</v>
      </c>
      <c r="R1257" s="25" t="n">
        <f>IF(M1257=0,0,MIN(1,L1257/M1257))</f>
        <v>1</v>
      </c>
      <c r="S1257" s="23" t="n">
        <f>O1257*R1257</f>
        <v>3</v>
      </c>
      <c r="T1257" s="23" t="n">
        <f>MIN(P1257,S1257)</f>
        <v>3</v>
      </c>
      <c r="U1257" s="23" t="n">
        <f>O1257-S1257</f>
        <v>0</v>
      </c>
      <c r="V1257" s="23" t="n">
        <f>MAX(P1257-O1257,0)</f>
        <v>0</v>
      </c>
    </row>
    <row r="1258">
      <c r="A1258" s="19" t="str">
        <v>英国区</v>
      </c>
      <c r="B1258" s="19" t="str">
        <v>伯明翰25号仓</v>
      </c>
      <c r="C1258" s="19" t="str">
        <v>拣货组</v>
      </c>
      <c r="D1258" s="21" t="n">
        <v>46184</v>
      </c>
      <c r="E1258" s="19" t="str">
        <v>2026-06</v>
      </c>
      <c r="F1258" s="19" t="str">
        <v>操作员</v>
      </c>
      <c r="G1258" s="19" t="str">
        <v>英国区11:00-19:30 / UK 11:00-19:30</v>
      </c>
      <c r="H1258" s="19" t="str">
        <v>S000013</v>
      </c>
      <c r="I1258" s="19" t="str">
        <v>FT Recruitment</v>
      </c>
      <c r="J1258" s="23" t="n">
        <v>5</v>
      </c>
      <c r="K1258" s="23" t="n">
        <v>0</v>
      </c>
      <c r="L1258" s="23" t="n">
        <f>J1258+K1258</f>
        <v>5</v>
      </c>
      <c r="M1258" s="23" t="n">
        <v>5</v>
      </c>
      <c r="N1258" s="23" t="n">
        <v>4</v>
      </c>
      <c r="O1258" s="23" t="n">
        <v>5</v>
      </c>
      <c r="P1258" s="23" t="n">
        <v>4</v>
      </c>
      <c r="Q1258" s="23" t="n">
        <f>MIN(O1258,P1258)</f>
        <v>4</v>
      </c>
      <c r="R1258" s="25" t="n">
        <f>IF(M1258=0,0,MIN(1,L1258/M1258))</f>
        <v>1</v>
      </c>
      <c r="S1258" s="23" t="n">
        <f>O1258*R1258</f>
        <v>5</v>
      </c>
      <c r="T1258" s="23" t="n">
        <f>MIN(P1258,S1258)</f>
        <v>4</v>
      </c>
      <c r="U1258" s="23" t="n">
        <f>O1258-S1258</f>
        <v>0</v>
      </c>
      <c r="V1258" s="23" t="n">
        <f>MAX(P1258-O1258,0)</f>
        <v>0</v>
      </c>
    </row>
    <row r="1259">
      <c r="A1259" s="19" t="str">
        <v>英国区</v>
      </c>
      <c r="B1259" s="19" t="str">
        <v>伯明翰25号仓</v>
      </c>
      <c r="C1259" s="19" t="str">
        <v>拣货组</v>
      </c>
      <c r="D1259" s="21" t="n">
        <v>46185</v>
      </c>
      <c r="E1259" s="19" t="str">
        <v>2026-06</v>
      </c>
      <c r="F1259" s="19" t="str">
        <v>操作员</v>
      </c>
      <c r="G1259" s="19" t="str">
        <v>英国区11:00-19:30 / UK 11:00-19:30</v>
      </c>
      <c r="H1259" s="19" t="str">
        <v>S000007</v>
      </c>
      <c r="I1259" s="19" t="str">
        <v>Kenect</v>
      </c>
      <c r="J1259" s="23" t="n">
        <v>5</v>
      </c>
      <c r="K1259" s="23" t="n">
        <v>0</v>
      </c>
      <c r="L1259" s="23" t="n">
        <f>J1259+K1259</f>
        <v>5</v>
      </c>
      <c r="M1259" s="23" t="n">
        <v>5</v>
      </c>
      <c r="N1259" s="23" t="n">
        <v>5</v>
      </c>
      <c r="O1259" s="23" t="n">
        <v>5</v>
      </c>
      <c r="P1259" s="23" t="n">
        <v>5</v>
      </c>
      <c r="Q1259" s="23" t="n">
        <f>MIN(O1259,P1259)</f>
        <v>5</v>
      </c>
      <c r="R1259" s="25" t="n">
        <f>IF(M1259=0,0,MIN(1,L1259/M1259))</f>
        <v>1</v>
      </c>
      <c r="S1259" s="23" t="n">
        <f>O1259*R1259</f>
        <v>5</v>
      </c>
      <c r="T1259" s="23" t="n">
        <f>MIN(P1259,S1259)</f>
        <v>5</v>
      </c>
      <c r="U1259" s="23" t="n">
        <f>O1259-S1259</f>
        <v>0</v>
      </c>
      <c r="V1259" s="23" t="n">
        <f>MAX(P1259-O1259,0)</f>
        <v>0</v>
      </c>
    </row>
    <row r="1260">
      <c r="A1260" s="19" t="str">
        <v>英国区</v>
      </c>
      <c r="B1260" s="19" t="str">
        <v>伯明翰26号仓</v>
      </c>
      <c r="C1260" s="19" t="str">
        <v>入库组</v>
      </c>
      <c r="D1260" s="21" t="n">
        <v>46161</v>
      </c>
      <c r="E1260" s="19" t="str">
        <v>2026-05</v>
      </c>
      <c r="F1260" s="19" t="str">
        <v>操作员</v>
      </c>
      <c r="G1260" s="19" t="str">
        <v>英国区07:00-15:30 / UK 07:00-15:30</v>
      </c>
      <c r="H1260" s="19" t="str">
        <v>S000274</v>
      </c>
      <c r="I1260" s="19" t="str">
        <v>Jobsworth Recruitment Solutions Limited</v>
      </c>
      <c r="J1260" s="23" t="n">
        <v>1</v>
      </c>
      <c r="K1260" s="23" t="n">
        <v>0</v>
      </c>
      <c r="L1260" s="23" t="n">
        <f>J1260+K1260</f>
        <v>1</v>
      </c>
      <c r="M1260" s="23" t="n">
        <v>1</v>
      </c>
      <c r="N1260" s="23" t="n">
        <v>1</v>
      </c>
      <c r="O1260" s="23" t="n">
        <v>1</v>
      </c>
      <c r="P1260" s="23" t="n">
        <v>1</v>
      </c>
      <c r="Q1260" s="23" t="n">
        <f>MIN(O1260,P1260)</f>
        <v>1</v>
      </c>
      <c r="R1260" s="25" t="n">
        <f>IF(M1260=0,0,MIN(1,L1260/M1260))</f>
        <v>1</v>
      </c>
      <c r="S1260" s="23" t="n">
        <f>O1260*R1260</f>
        <v>1</v>
      </c>
      <c r="T1260" s="23" t="n">
        <f>MIN(P1260,S1260)</f>
        <v>1</v>
      </c>
      <c r="U1260" s="23" t="n">
        <f>O1260-S1260</f>
        <v>0</v>
      </c>
      <c r="V1260" s="23" t="n">
        <f>MAX(P1260-O1260,0)</f>
        <v>0</v>
      </c>
    </row>
    <row r="1261">
      <c r="A1261" s="19" t="str">
        <v>英国区</v>
      </c>
      <c r="B1261" s="19" t="str">
        <v>伯明翰26号仓</v>
      </c>
      <c r="C1261" s="19" t="str">
        <v>入库组</v>
      </c>
      <c r="D1261" s="21" t="n">
        <v>46164</v>
      </c>
      <c r="E1261" s="19" t="str">
        <v>2026-05</v>
      </c>
      <c r="F1261" s="19" t="str">
        <v>操作员</v>
      </c>
      <c r="G1261" s="19" t="str">
        <v>英国区07:00-15:30 / UK 07:00-15:30</v>
      </c>
      <c r="H1261" s="19" t="str">
        <v>S000274</v>
      </c>
      <c r="I1261" s="19" t="str">
        <v>Jobsworth Recruitment Solutions Limited</v>
      </c>
      <c r="J1261" s="23" t="n">
        <v>2</v>
      </c>
      <c r="K1261" s="23" t="n">
        <v>0</v>
      </c>
      <c r="L1261" s="23" t="n">
        <f>J1261+K1261</f>
        <v>2</v>
      </c>
      <c r="M1261" s="23" t="n">
        <v>2</v>
      </c>
      <c r="N1261" s="23" t="n">
        <v>2</v>
      </c>
      <c r="O1261" s="23" t="n">
        <v>2</v>
      </c>
      <c r="P1261" s="23" t="n">
        <v>2</v>
      </c>
      <c r="Q1261" s="23" t="n">
        <f>MIN(O1261,P1261)</f>
        <v>2</v>
      </c>
      <c r="R1261" s="25" t="n">
        <f>IF(M1261=0,0,MIN(1,L1261/M1261))</f>
        <v>1</v>
      </c>
      <c r="S1261" s="23" t="n">
        <f>O1261*R1261</f>
        <v>2</v>
      </c>
      <c r="T1261" s="23" t="n">
        <f>MIN(P1261,S1261)</f>
        <v>2</v>
      </c>
      <c r="U1261" s="23" t="n">
        <f>O1261-S1261</f>
        <v>0</v>
      </c>
      <c r="V1261" s="23" t="n">
        <f>MAX(P1261-O1261,0)</f>
        <v>0</v>
      </c>
    </row>
    <row r="1262">
      <c r="A1262" s="19" t="str">
        <v>英国区</v>
      </c>
      <c r="B1262" s="19" t="str">
        <v>伯明翰26号仓</v>
      </c>
      <c r="C1262" s="19" t="str">
        <v>入库组</v>
      </c>
      <c r="D1262" s="21" t="n">
        <v>46168</v>
      </c>
      <c r="E1262" s="19" t="str">
        <v>2026-05</v>
      </c>
      <c r="F1262" s="19" t="str">
        <v>操作员</v>
      </c>
      <c r="G1262" s="19" t="str">
        <v>英国区09:00-17:30 / UK 09:00-17:30</v>
      </c>
      <c r="H1262" s="19" t="str">
        <v>S000274</v>
      </c>
      <c r="I1262" s="19" t="str">
        <v>Jobsworth Recruitment Solutions Limited</v>
      </c>
      <c r="J1262" s="23" t="n">
        <v>4</v>
      </c>
      <c r="K1262" s="23" t="n">
        <v>0</v>
      </c>
      <c r="L1262" s="23" t="n">
        <f>J1262+K1262</f>
        <v>4</v>
      </c>
      <c r="M1262" s="23" t="n">
        <v>4</v>
      </c>
      <c r="N1262" s="23" t="n">
        <v>4</v>
      </c>
      <c r="O1262" s="23" t="n">
        <v>4</v>
      </c>
      <c r="P1262" s="23" t="n">
        <v>4</v>
      </c>
      <c r="Q1262" s="23" t="n">
        <f>MIN(O1262,P1262)</f>
        <v>4</v>
      </c>
      <c r="R1262" s="25" t="n">
        <f>IF(M1262=0,0,MIN(1,L1262/M1262))</f>
        <v>1</v>
      </c>
      <c r="S1262" s="23" t="n">
        <f>O1262*R1262</f>
        <v>4</v>
      </c>
      <c r="T1262" s="23" t="n">
        <f>MIN(P1262,S1262)</f>
        <v>4</v>
      </c>
      <c r="U1262" s="23" t="n">
        <f>O1262-S1262</f>
        <v>0</v>
      </c>
      <c r="V1262" s="23" t="n">
        <f>MAX(P1262-O1262,0)</f>
        <v>0</v>
      </c>
    </row>
    <row r="1263">
      <c r="A1263" s="19" t="str">
        <v>英国区</v>
      </c>
      <c r="B1263" s="19" t="str">
        <v>伯明翰26号仓</v>
      </c>
      <c r="C1263" s="19" t="str">
        <v>入库组</v>
      </c>
      <c r="D1263" s="21" t="n">
        <v>46170</v>
      </c>
      <c r="E1263" s="19" t="str">
        <v>2026-05</v>
      </c>
      <c r="F1263" s="19" t="str">
        <v>操作员</v>
      </c>
      <c r="G1263" s="19" t="str">
        <v>英国区09:00-17:30 / UK 09:00-17:30</v>
      </c>
      <c r="H1263" s="19" t="str">
        <v>S000007</v>
      </c>
      <c r="I1263" s="19" t="str">
        <v>Kenect</v>
      </c>
      <c r="J1263" s="23" t="n">
        <v>2</v>
      </c>
      <c r="K1263" s="23" t="n">
        <v>0</v>
      </c>
      <c r="L1263" s="23" t="n">
        <f>J1263+K1263</f>
        <v>2</v>
      </c>
      <c r="M1263" s="23" t="n">
        <v>2</v>
      </c>
      <c r="N1263" s="23" t="n">
        <v>2</v>
      </c>
      <c r="O1263" s="23" t="n">
        <v>1</v>
      </c>
      <c r="P1263" s="23" t="n">
        <v>1</v>
      </c>
      <c r="Q1263" s="23" t="n">
        <f>MIN(O1263,P1263)</f>
        <v>1</v>
      </c>
      <c r="R1263" s="25" t="n">
        <f>IF(M1263=0,0,MIN(1,L1263/M1263))</f>
        <v>1</v>
      </c>
      <c r="S1263" s="23" t="n">
        <f>O1263*R1263</f>
        <v>1</v>
      </c>
      <c r="T1263" s="23" t="n">
        <f>MIN(P1263,S1263)</f>
        <v>1</v>
      </c>
      <c r="U1263" s="23" t="n">
        <f>O1263-S1263</f>
        <v>0</v>
      </c>
      <c r="V1263" s="23" t="n">
        <f>MAX(P1263-O1263,0)</f>
        <v>0</v>
      </c>
    </row>
    <row r="1264">
      <c r="A1264" s="19" t="str">
        <v>英国区</v>
      </c>
      <c r="B1264" s="19" t="str">
        <v>伯明翰26号仓</v>
      </c>
      <c r="C1264" s="19" t="str">
        <v>入库组</v>
      </c>
      <c r="D1264" s="21" t="n">
        <v>46170</v>
      </c>
      <c r="E1264" s="19" t="str">
        <v>2026-05</v>
      </c>
      <c r="F1264" s="19" t="str">
        <v>操作员</v>
      </c>
      <c r="G1264" s="19" t="str">
        <v>英国区09:00-17:30 / UK 09:00-17:30</v>
      </c>
      <c r="H1264" s="19" t="str">
        <v>S000274</v>
      </c>
      <c r="I1264" s="19" t="str">
        <v>Jobsworth Recruitment Solutions Limited</v>
      </c>
      <c r="J1264" s="23" t="n">
        <v>2</v>
      </c>
      <c r="K1264" s="23" t="n">
        <v>0</v>
      </c>
      <c r="L1264" s="23" t="n">
        <f>J1264+K1264</f>
        <v>2</v>
      </c>
      <c r="M1264" s="23" t="n">
        <v>2</v>
      </c>
      <c r="N1264" s="23" t="n">
        <v>2</v>
      </c>
      <c r="O1264" s="23" t="n">
        <v>1</v>
      </c>
      <c r="P1264" s="23" t="n">
        <v>1</v>
      </c>
      <c r="Q1264" s="23" t="n">
        <f>MIN(O1264,P1264)</f>
        <v>1</v>
      </c>
      <c r="R1264" s="25" t="n">
        <f>IF(M1264=0,0,MIN(1,L1264/M1264))</f>
        <v>1</v>
      </c>
      <c r="S1264" s="23" t="n">
        <f>O1264*R1264</f>
        <v>1</v>
      </c>
      <c r="T1264" s="23" t="n">
        <f>MIN(P1264,S1264)</f>
        <v>1</v>
      </c>
      <c r="U1264" s="23" t="n">
        <f>O1264-S1264</f>
        <v>0</v>
      </c>
      <c r="V1264" s="23" t="n">
        <f>MAX(P1264-O1264,0)</f>
        <v>0</v>
      </c>
    </row>
    <row r="1265">
      <c r="A1265" s="19" t="str">
        <v>英国区</v>
      </c>
      <c r="B1265" s="19" t="str">
        <v>伯明翰26号仓</v>
      </c>
      <c r="C1265" s="19" t="str">
        <v>入库组</v>
      </c>
      <c r="D1265" s="21" t="n">
        <v>46171</v>
      </c>
      <c r="E1265" s="19" t="str">
        <v>2026-05</v>
      </c>
      <c r="F1265" s="19" t="str">
        <v>操作员</v>
      </c>
      <c r="G1265" s="19" t="str">
        <v>英国区07:00-15:30 / UK 07:00-15:30</v>
      </c>
      <c r="H1265" s="19" t="str">
        <v>S000007</v>
      </c>
      <c r="I1265" s="19" t="str">
        <v>Kenect</v>
      </c>
      <c r="J1265" s="23" t="n">
        <v>3</v>
      </c>
      <c r="K1265" s="23" t="n">
        <v>0</v>
      </c>
      <c r="L1265" s="23" t="n">
        <f>J1265+K1265</f>
        <v>3</v>
      </c>
      <c r="M1265" s="23" t="n">
        <v>3</v>
      </c>
      <c r="N1265" s="23" t="n">
        <v>3</v>
      </c>
      <c r="O1265" s="23" t="n">
        <v>1</v>
      </c>
      <c r="P1265" s="23" t="n">
        <v>1</v>
      </c>
      <c r="Q1265" s="23" t="n">
        <f>MIN(O1265,P1265)</f>
        <v>1</v>
      </c>
      <c r="R1265" s="25" t="n">
        <f>IF(M1265=0,0,MIN(1,L1265/M1265))</f>
        <v>1</v>
      </c>
      <c r="S1265" s="23" t="n">
        <f>O1265*R1265</f>
        <v>1</v>
      </c>
      <c r="T1265" s="23" t="n">
        <f>MIN(P1265,S1265)</f>
        <v>1</v>
      </c>
      <c r="U1265" s="23" t="n">
        <f>O1265-S1265</f>
        <v>0</v>
      </c>
      <c r="V1265" s="23" t="n">
        <f>MAX(P1265-O1265,0)</f>
        <v>0</v>
      </c>
    </row>
    <row r="1266">
      <c r="A1266" s="19" t="str">
        <v>英国区</v>
      </c>
      <c r="B1266" s="19" t="str">
        <v>伯明翰26号仓</v>
      </c>
      <c r="C1266" s="19" t="str">
        <v>入库组</v>
      </c>
      <c r="D1266" s="21" t="n">
        <v>46171</v>
      </c>
      <c r="E1266" s="19" t="str">
        <v>2026-05</v>
      </c>
      <c r="F1266" s="19" t="str">
        <v>操作员</v>
      </c>
      <c r="G1266" s="19" t="str">
        <v>英国区07:00-15:30 / UK 07:00-15:30</v>
      </c>
      <c r="H1266" s="19" t="str">
        <v>S000274</v>
      </c>
      <c r="I1266" s="19" t="str">
        <v>Jobsworth Recruitment Solutions Limited</v>
      </c>
      <c r="J1266" s="23" t="n">
        <v>3</v>
      </c>
      <c r="K1266" s="23" t="n">
        <v>0</v>
      </c>
      <c r="L1266" s="23" t="n">
        <f>J1266+K1266</f>
        <v>3</v>
      </c>
      <c r="M1266" s="23" t="n">
        <v>3</v>
      </c>
      <c r="N1266" s="23" t="n">
        <v>3</v>
      </c>
      <c r="O1266" s="23" t="n">
        <v>2</v>
      </c>
      <c r="P1266" s="23" t="n">
        <v>2</v>
      </c>
      <c r="Q1266" s="23" t="n">
        <f>MIN(O1266,P1266)</f>
        <v>2</v>
      </c>
      <c r="R1266" s="25" t="n">
        <f>IF(M1266=0,0,MIN(1,L1266/M1266))</f>
        <v>1</v>
      </c>
      <c r="S1266" s="23" t="n">
        <f>O1266*R1266</f>
        <v>2</v>
      </c>
      <c r="T1266" s="23" t="n">
        <f>MIN(P1266,S1266)</f>
        <v>2</v>
      </c>
      <c r="U1266" s="23" t="n">
        <f>O1266-S1266</f>
        <v>0</v>
      </c>
      <c r="V1266" s="23" t="n">
        <f>MAX(P1266-O1266,0)</f>
        <v>0</v>
      </c>
    </row>
    <row r="1267">
      <c r="A1267" s="19" t="str">
        <v>英国区</v>
      </c>
      <c r="B1267" s="19" t="str">
        <v>伯明翰26号仓</v>
      </c>
      <c r="C1267" s="19" t="str">
        <v>入库组</v>
      </c>
      <c r="D1267" s="21" t="n">
        <v>46176</v>
      </c>
      <c r="E1267" s="19" t="str">
        <v>2026-06</v>
      </c>
      <c r="F1267" s="19" t="str">
        <v>操作员</v>
      </c>
      <c r="G1267" s="19" t="str">
        <v>英国区09:00-17:30 / UK 09:00-17:30</v>
      </c>
      <c r="H1267" s="19" t="str">
        <v>S000013</v>
      </c>
      <c r="I1267" s="19" t="str">
        <v>FT Recruitment</v>
      </c>
      <c r="J1267" s="23" t="n">
        <v>3</v>
      </c>
      <c r="K1267" s="23" t="n">
        <v>0</v>
      </c>
      <c r="L1267" s="23" t="n">
        <f>J1267+K1267</f>
        <v>3</v>
      </c>
      <c r="M1267" s="23" t="n">
        <v>3</v>
      </c>
      <c r="N1267" s="23" t="n">
        <v>2</v>
      </c>
      <c r="O1267" s="23" t="n">
        <v>1</v>
      </c>
      <c r="P1267" s="23" t="n">
        <v>0</v>
      </c>
      <c r="Q1267" s="23" t="n">
        <f>MIN(O1267,P1267)</f>
        <v>0</v>
      </c>
      <c r="R1267" s="25" t="n">
        <f>IF(M1267=0,0,MIN(1,L1267/M1267))</f>
        <v>1</v>
      </c>
      <c r="S1267" s="23" t="n">
        <f>O1267*R1267</f>
        <v>1</v>
      </c>
      <c r="T1267" s="23" t="n">
        <f>MIN(P1267,S1267)</f>
        <v>0</v>
      </c>
      <c r="U1267" s="23" t="n">
        <f>O1267-S1267</f>
        <v>0</v>
      </c>
      <c r="V1267" s="23" t="n">
        <f>MAX(P1267-O1267,0)</f>
        <v>0</v>
      </c>
    </row>
    <row r="1268">
      <c r="A1268" s="19" t="str">
        <v>英国区</v>
      </c>
      <c r="B1268" s="19" t="str">
        <v>伯明翰26号仓</v>
      </c>
      <c r="C1268" s="19" t="str">
        <v>入库组</v>
      </c>
      <c r="D1268" s="21" t="n">
        <v>46176</v>
      </c>
      <c r="E1268" s="19" t="str">
        <v>2026-06</v>
      </c>
      <c r="F1268" s="19" t="str">
        <v>操作员</v>
      </c>
      <c r="G1268" s="19" t="str">
        <v>英国区09:00-17:30 / UK 09:00-17:30</v>
      </c>
      <c r="H1268" s="19" t="str">
        <v>S000274</v>
      </c>
      <c r="I1268" s="19" t="str">
        <v>Jobsworth Recruitment Solutions Limited</v>
      </c>
      <c r="J1268" s="23" t="n">
        <v>3</v>
      </c>
      <c r="K1268" s="23" t="n">
        <v>0</v>
      </c>
      <c r="L1268" s="23" t="n">
        <f>J1268+K1268</f>
        <v>3</v>
      </c>
      <c r="M1268" s="23" t="n">
        <v>3</v>
      </c>
      <c r="N1268" s="23" t="n">
        <v>2</v>
      </c>
      <c r="O1268" s="23" t="n">
        <v>2</v>
      </c>
      <c r="P1268" s="23" t="n">
        <v>2</v>
      </c>
      <c r="Q1268" s="23" t="n">
        <f>MIN(O1268,P1268)</f>
        <v>2</v>
      </c>
      <c r="R1268" s="25" t="n">
        <f>IF(M1268=0,0,MIN(1,L1268/M1268))</f>
        <v>1</v>
      </c>
      <c r="S1268" s="23" t="n">
        <f>O1268*R1268</f>
        <v>2</v>
      </c>
      <c r="T1268" s="23" t="n">
        <f>MIN(P1268,S1268)</f>
        <v>2</v>
      </c>
      <c r="U1268" s="23" t="n">
        <f>O1268-S1268</f>
        <v>0</v>
      </c>
      <c r="V1268" s="23" t="n">
        <f>MAX(P1268-O1268,0)</f>
        <v>0</v>
      </c>
    </row>
    <row r="1269">
      <c r="A1269" s="19" t="str">
        <v>英国区</v>
      </c>
      <c r="B1269" s="19" t="str">
        <v>伯明翰26号仓</v>
      </c>
      <c r="C1269" s="19" t="str">
        <v>入库组</v>
      </c>
      <c r="D1269" s="21" t="n">
        <v>46176</v>
      </c>
      <c r="E1269" s="19" t="str">
        <v>2026-06</v>
      </c>
      <c r="F1269" s="19" t="str">
        <v>操作员</v>
      </c>
      <c r="G1269" s="19" t="str">
        <v>英国区10:00-18:30 / UK 10:00-18:30</v>
      </c>
      <c r="H1269" s="19" t="str">
        <v>S000007</v>
      </c>
      <c r="I1269" s="19" t="str">
        <v>Kenect</v>
      </c>
      <c r="J1269" s="23" t="n">
        <v>10</v>
      </c>
      <c r="K1269" s="23" t="n">
        <v>0</v>
      </c>
      <c r="L1269" s="23" t="n">
        <f>J1269+K1269</f>
        <v>10</v>
      </c>
      <c r="M1269" s="23" t="n">
        <v>10</v>
      </c>
      <c r="N1269" s="23" t="n">
        <v>9</v>
      </c>
      <c r="O1269" s="23" t="n">
        <v>6</v>
      </c>
      <c r="P1269" s="23" t="n">
        <v>6</v>
      </c>
      <c r="Q1269" s="23" t="n">
        <f>MIN(O1269,P1269)</f>
        <v>6</v>
      </c>
      <c r="R1269" s="25" t="n">
        <f>IF(M1269=0,0,MIN(1,L1269/M1269))</f>
        <v>1</v>
      </c>
      <c r="S1269" s="23" t="n">
        <f>O1269*R1269</f>
        <v>6</v>
      </c>
      <c r="T1269" s="23" t="n">
        <f>MIN(P1269,S1269)</f>
        <v>6</v>
      </c>
      <c r="U1269" s="23" t="n">
        <f>O1269-S1269</f>
        <v>0</v>
      </c>
      <c r="V1269" s="23" t="n">
        <f>MAX(P1269-O1269,0)</f>
        <v>0</v>
      </c>
    </row>
    <row r="1270">
      <c r="A1270" s="19" t="str">
        <v>英国区</v>
      </c>
      <c r="B1270" s="19" t="str">
        <v>伯明翰26号仓</v>
      </c>
      <c r="C1270" s="19" t="str">
        <v>入库组</v>
      </c>
      <c r="D1270" s="21" t="n">
        <v>46176</v>
      </c>
      <c r="E1270" s="19" t="str">
        <v>2026-06</v>
      </c>
      <c r="F1270" s="19" t="str">
        <v>操作员</v>
      </c>
      <c r="G1270" s="19" t="str">
        <v>英国区10:00-18:30 / UK 10:00-18:30</v>
      </c>
      <c r="H1270" s="19" t="str">
        <v>S000013</v>
      </c>
      <c r="I1270" s="19" t="str">
        <v>FT Recruitment</v>
      </c>
      <c r="J1270" s="23" t="n">
        <v>10</v>
      </c>
      <c r="K1270" s="23" t="n">
        <v>0</v>
      </c>
      <c r="L1270" s="23" t="n">
        <f>J1270+K1270</f>
        <v>10</v>
      </c>
      <c r="M1270" s="23" t="n">
        <v>10</v>
      </c>
      <c r="N1270" s="23" t="n">
        <v>9</v>
      </c>
      <c r="O1270" s="23" t="n">
        <v>1</v>
      </c>
      <c r="P1270" s="23" t="n">
        <v>0</v>
      </c>
      <c r="Q1270" s="23" t="n">
        <f>MIN(O1270,P1270)</f>
        <v>0</v>
      </c>
      <c r="R1270" s="25" t="n">
        <f>IF(M1270=0,0,MIN(1,L1270/M1270))</f>
        <v>1</v>
      </c>
      <c r="S1270" s="23" t="n">
        <f>O1270*R1270</f>
        <v>1</v>
      </c>
      <c r="T1270" s="23" t="n">
        <f>MIN(P1270,S1270)</f>
        <v>0</v>
      </c>
      <c r="U1270" s="23" t="n">
        <f>O1270-S1270</f>
        <v>0</v>
      </c>
      <c r="V1270" s="23" t="n">
        <f>MAX(P1270-O1270,0)</f>
        <v>0</v>
      </c>
    </row>
    <row r="1271">
      <c r="A1271" s="19" t="str">
        <v>英国区</v>
      </c>
      <c r="B1271" s="19" t="str">
        <v>伯明翰26号仓</v>
      </c>
      <c r="C1271" s="19" t="str">
        <v>入库组</v>
      </c>
      <c r="D1271" s="21" t="n">
        <v>46176</v>
      </c>
      <c r="E1271" s="19" t="str">
        <v>2026-06</v>
      </c>
      <c r="F1271" s="19" t="str">
        <v>操作员</v>
      </c>
      <c r="G1271" s="19" t="str">
        <v>英国区10:00-18:30 / UK 10:00-18:30</v>
      </c>
      <c r="H1271" s="19" t="str">
        <v>S000274</v>
      </c>
      <c r="I1271" s="19" t="str">
        <v>Jobsworth Recruitment Solutions Limited</v>
      </c>
      <c r="J1271" s="23" t="n">
        <v>10</v>
      </c>
      <c r="K1271" s="23" t="n">
        <v>0</v>
      </c>
      <c r="L1271" s="23" t="n">
        <f>J1271+K1271</f>
        <v>10</v>
      </c>
      <c r="M1271" s="23" t="n">
        <v>10</v>
      </c>
      <c r="N1271" s="23" t="n">
        <v>9</v>
      </c>
      <c r="O1271" s="23" t="n">
        <v>3</v>
      </c>
      <c r="P1271" s="23" t="n">
        <v>3</v>
      </c>
      <c r="Q1271" s="23" t="n">
        <f>MIN(O1271,P1271)</f>
        <v>3</v>
      </c>
      <c r="R1271" s="25" t="n">
        <f>IF(M1271=0,0,MIN(1,L1271/M1271))</f>
        <v>1</v>
      </c>
      <c r="S1271" s="23" t="n">
        <f>O1271*R1271</f>
        <v>3</v>
      </c>
      <c r="T1271" s="23" t="n">
        <f>MIN(P1271,S1271)</f>
        <v>3</v>
      </c>
      <c r="U1271" s="23" t="n">
        <f>O1271-S1271</f>
        <v>0</v>
      </c>
      <c r="V1271" s="23" t="n">
        <f>MAX(P1271-O1271,0)</f>
        <v>0</v>
      </c>
    </row>
    <row r="1272">
      <c r="A1272" s="19" t="str">
        <v>英国区</v>
      </c>
      <c r="B1272" s="19" t="str">
        <v>伯明翰26号仓</v>
      </c>
      <c r="C1272" s="19" t="str">
        <v>入库组</v>
      </c>
      <c r="D1272" s="21" t="n">
        <v>46177</v>
      </c>
      <c r="E1272" s="19" t="str">
        <v>2026-06</v>
      </c>
      <c r="F1272" s="19" t="str">
        <v>操作员</v>
      </c>
      <c r="G1272" s="19" t="str">
        <v>英国区07:00-15:30 / UK 07:00-15:30</v>
      </c>
      <c r="H1272" s="19" t="str">
        <v>S000013</v>
      </c>
      <c r="I1272" s="19" t="str">
        <v>FT Recruitment</v>
      </c>
      <c r="J1272" s="23" t="n">
        <v>10</v>
      </c>
      <c r="K1272" s="23" t="n">
        <v>0</v>
      </c>
      <c r="L1272" s="23" t="n">
        <f>J1272+K1272</f>
        <v>10</v>
      </c>
      <c r="M1272" s="23" t="n">
        <v>10</v>
      </c>
      <c r="N1272" s="23" t="n">
        <v>10</v>
      </c>
      <c r="O1272" s="23" t="n">
        <v>2</v>
      </c>
      <c r="P1272" s="23" t="n">
        <v>2</v>
      </c>
      <c r="Q1272" s="23" t="n">
        <f>MIN(O1272,P1272)</f>
        <v>2</v>
      </c>
      <c r="R1272" s="25" t="n">
        <f>IF(M1272=0,0,MIN(1,L1272/M1272))</f>
        <v>1</v>
      </c>
      <c r="S1272" s="23" t="n">
        <f>O1272*R1272</f>
        <v>2</v>
      </c>
      <c r="T1272" s="23" t="n">
        <f>MIN(P1272,S1272)</f>
        <v>2</v>
      </c>
      <c r="U1272" s="23" t="n">
        <f>O1272-S1272</f>
        <v>0</v>
      </c>
      <c r="V1272" s="23" t="n">
        <f>MAX(P1272-O1272,0)</f>
        <v>0</v>
      </c>
    </row>
    <row r="1273">
      <c r="A1273" s="19" t="str">
        <v>英国区</v>
      </c>
      <c r="B1273" s="19" t="str">
        <v>伯明翰26号仓</v>
      </c>
      <c r="C1273" s="19" t="str">
        <v>入库组</v>
      </c>
      <c r="D1273" s="21" t="n">
        <v>46177</v>
      </c>
      <c r="E1273" s="19" t="str">
        <v>2026-06</v>
      </c>
      <c r="F1273" s="19" t="str">
        <v>操作员</v>
      </c>
      <c r="G1273" s="19" t="str">
        <v>英国区07:00-15:30 / UK 07:00-15:30</v>
      </c>
      <c r="H1273" s="19" t="str">
        <v>S000274</v>
      </c>
      <c r="I1273" s="19" t="str">
        <v>Jobsworth Recruitment Solutions Limited</v>
      </c>
      <c r="J1273" s="23" t="n">
        <v>10</v>
      </c>
      <c r="K1273" s="23" t="n">
        <v>0</v>
      </c>
      <c r="L1273" s="23" t="n">
        <f>J1273+K1273</f>
        <v>10</v>
      </c>
      <c r="M1273" s="23" t="n">
        <v>10</v>
      </c>
      <c r="N1273" s="23" t="n">
        <v>10</v>
      </c>
      <c r="O1273" s="23" t="n">
        <v>8</v>
      </c>
      <c r="P1273" s="23" t="n">
        <v>8</v>
      </c>
      <c r="Q1273" s="23" t="n">
        <f>MIN(O1273,P1273)</f>
        <v>8</v>
      </c>
      <c r="R1273" s="25" t="n">
        <f>IF(M1273=0,0,MIN(1,L1273/M1273))</f>
        <v>1</v>
      </c>
      <c r="S1273" s="23" t="n">
        <f>O1273*R1273</f>
        <v>8</v>
      </c>
      <c r="T1273" s="23" t="n">
        <f>MIN(P1273,S1273)</f>
        <v>8</v>
      </c>
      <c r="U1273" s="23" t="n">
        <f>O1273-S1273</f>
        <v>0</v>
      </c>
      <c r="V1273" s="23" t="n">
        <f>MAX(P1273-O1273,0)</f>
        <v>0</v>
      </c>
    </row>
    <row r="1274">
      <c r="A1274" s="19" t="str">
        <v>英国区</v>
      </c>
      <c r="B1274" s="19" t="str">
        <v>伯明翰26号仓</v>
      </c>
      <c r="C1274" s="19" t="str">
        <v>入库组</v>
      </c>
      <c r="D1274" s="21" t="n">
        <v>46178</v>
      </c>
      <c r="E1274" s="19" t="str">
        <v>2026-06</v>
      </c>
      <c r="F1274" s="19" t="str">
        <v>操作员</v>
      </c>
      <c r="G1274" s="19" t="str">
        <v>英国区07:00-15:30 / UK 07:00-15:30</v>
      </c>
      <c r="H1274" s="19" t="str">
        <v>S000007</v>
      </c>
      <c r="I1274" s="19" t="str">
        <v>Kenect</v>
      </c>
      <c r="J1274" s="23" t="n">
        <v>2</v>
      </c>
      <c r="K1274" s="23" t="n">
        <v>0</v>
      </c>
      <c r="L1274" s="23" t="n">
        <f>J1274+K1274</f>
        <v>2</v>
      </c>
      <c r="M1274" s="23" t="n">
        <v>2</v>
      </c>
      <c r="N1274" s="23" t="n">
        <v>2</v>
      </c>
      <c r="O1274" s="23" t="n">
        <v>1</v>
      </c>
      <c r="P1274" s="23" t="n">
        <v>1</v>
      </c>
      <c r="Q1274" s="23" t="n">
        <f>MIN(O1274,P1274)</f>
        <v>1</v>
      </c>
      <c r="R1274" s="25" t="n">
        <f>IF(M1274=0,0,MIN(1,L1274/M1274))</f>
        <v>1</v>
      </c>
      <c r="S1274" s="23" t="n">
        <f>O1274*R1274</f>
        <v>1</v>
      </c>
      <c r="T1274" s="23" t="n">
        <f>MIN(P1274,S1274)</f>
        <v>1</v>
      </c>
      <c r="U1274" s="23" t="n">
        <f>O1274-S1274</f>
        <v>0</v>
      </c>
      <c r="V1274" s="23" t="n">
        <f>MAX(P1274-O1274,0)</f>
        <v>0</v>
      </c>
    </row>
    <row r="1275">
      <c r="A1275" s="19" t="str">
        <v>英国区</v>
      </c>
      <c r="B1275" s="19" t="str">
        <v>伯明翰26号仓</v>
      </c>
      <c r="C1275" s="19" t="str">
        <v>入库组</v>
      </c>
      <c r="D1275" s="21" t="n">
        <v>46178</v>
      </c>
      <c r="E1275" s="19" t="str">
        <v>2026-06</v>
      </c>
      <c r="F1275" s="19" t="str">
        <v>操作员</v>
      </c>
      <c r="G1275" s="19" t="str">
        <v>英国区07:00-15:30 / UK 07:00-15:30</v>
      </c>
      <c r="H1275" s="19" t="str">
        <v>S000274</v>
      </c>
      <c r="I1275" s="19" t="str">
        <v>Jobsworth Recruitment Solutions Limited</v>
      </c>
      <c r="J1275" s="23" t="n">
        <v>2</v>
      </c>
      <c r="K1275" s="23" t="n">
        <v>0</v>
      </c>
      <c r="L1275" s="23" t="n">
        <f>J1275+K1275</f>
        <v>2</v>
      </c>
      <c r="M1275" s="23" t="n">
        <v>2</v>
      </c>
      <c r="N1275" s="23" t="n">
        <v>2</v>
      </c>
      <c r="O1275" s="23" t="n">
        <v>1</v>
      </c>
      <c r="P1275" s="23" t="n">
        <v>1</v>
      </c>
      <c r="Q1275" s="23" t="n">
        <f>MIN(O1275,P1275)</f>
        <v>1</v>
      </c>
      <c r="R1275" s="25" t="n">
        <f>IF(M1275=0,0,MIN(1,L1275/M1275))</f>
        <v>1</v>
      </c>
      <c r="S1275" s="23" t="n">
        <f>O1275*R1275</f>
        <v>1</v>
      </c>
      <c r="T1275" s="23" t="n">
        <f>MIN(P1275,S1275)</f>
        <v>1</v>
      </c>
      <c r="U1275" s="23" t="n">
        <f>O1275-S1275</f>
        <v>0</v>
      </c>
      <c r="V1275" s="23" t="n">
        <f>MAX(P1275-O1275,0)</f>
        <v>0</v>
      </c>
    </row>
    <row r="1276">
      <c r="A1276" s="19" t="str">
        <v>英国区</v>
      </c>
      <c r="B1276" s="19" t="str">
        <v>伯明翰26号仓</v>
      </c>
      <c r="C1276" s="19" t="str">
        <v>入库组</v>
      </c>
      <c r="D1276" s="21" t="n">
        <v>46178</v>
      </c>
      <c r="E1276" s="19" t="str">
        <v>2026-06</v>
      </c>
      <c r="F1276" s="19" t="str">
        <v>操作员</v>
      </c>
      <c r="G1276" s="19" t="str">
        <v>英国区09:00-17:30 / UK 09:00-17:30</v>
      </c>
      <c r="H1276" s="19" t="str">
        <v>S000007</v>
      </c>
      <c r="I1276" s="19" t="str">
        <v>Kenect</v>
      </c>
      <c r="J1276" s="23" t="n">
        <v>1</v>
      </c>
      <c r="K1276" s="23" t="n">
        <v>0</v>
      </c>
      <c r="L1276" s="23" t="n">
        <f>J1276+K1276</f>
        <v>1</v>
      </c>
      <c r="M1276" s="23" t="n">
        <v>1</v>
      </c>
      <c r="N1276" s="23" t="n">
        <v>1</v>
      </c>
      <c r="O1276" s="23" t="n">
        <v>1</v>
      </c>
      <c r="P1276" s="23" t="n">
        <v>1</v>
      </c>
      <c r="Q1276" s="23" t="n">
        <f>MIN(O1276,P1276)</f>
        <v>1</v>
      </c>
      <c r="R1276" s="25" t="n">
        <f>IF(M1276=0,0,MIN(1,L1276/M1276))</f>
        <v>1</v>
      </c>
      <c r="S1276" s="23" t="n">
        <f>O1276*R1276</f>
        <v>1</v>
      </c>
      <c r="T1276" s="23" t="n">
        <f>MIN(P1276,S1276)</f>
        <v>1</v>
      </c>
      <c r="U1276" s="23" t="n">
        <f>O1276-S1276</f>
        <v>0</v>
      </c>
      <c r="V1276" s="23" t="n">
        <f>MAX(P1276-O1276,0)</f>
        <v>0</v>
      </c>
    </row>
    <row r="1277">
      <c r="A1277" s="19" t="str">
        <v>英国区</v>
      </c>
      <c r="B1277" s="19" t="str">
        <v>伯明翰26号仓</v>
      </c>
      <c r="C1277" s="19" t="str">
        <v>入库组</v>
      </c>
      <c r="D1277" s="21" t="n">
        <v>46178</v>
      </c>
      <c r="E1277" s="19" t="str">
        <v>2026-06</v>
      </c>
      <c r="F1277" s="19" t="str">
        <v>操作员</v>
      </c>
      <c r="G1277" s="19" t="str">
        <v>英国区10:00-18:30 / UK 10:00-18:30</v>
      </c>
      <c r="H1277" s="19" t="str">
        <v>S000274</v>
      </c>
      <c r="I1277" s="19" t="str">
        <v>Jobsworth Recruitment Solutions Limited</v>
      </c>
      <c r="J1277" s="23" t="n">
        <v>2</v>
      </c>
      <c r="K1277" s="23" t="n">
        <v>0</v>
      </c>
      <c r="L1277" s="23" t="n">
        <f>J1277+K1277</f>
        <v>2</v>
      </c>
      <c r="M1277" s="23" t="n">
        <v>2</v>
      </c>
      <c r="N1277" s="23" t="n">
        <v>2</v>
      </c>
      <c r="O1277" s="23" t="n">
        <v>2</v>
      </c>
      <c r="P1277" s="23" t="n">
        <v>2</v>
      </c>
      <c r="Q1277" s="23" t="n">
        <f>MIN(O1277,P1277)</f>
        <v>2</v>
      </c>
      <c r="R1277" s="25" t="n">
        <f>IF(M1277=0,0,MIN(1,L1277/M1277))</f>
        <v>1</v>
      </c>
      <c r="S1277" s="23" t="n">
        <f>O1277*R1277</f>
        <v>2</v>
      </c>
      <c r="T1277" s="23" t="n">
        <f>MIN(P1277,S1277)</f>
        <v>2</v>
      </c>
      <c r="U1277" s="23" t="n">
        <f>O1277-S1277</f>
        <v>0</v>
      </c>
      <c r="V1277" s="23" t="n">
        <f>MAX(P1277-O1277,0)</f>
        <v>0</v>
      </c>
    </row>
    <row r="1278">
      <c r="A1278" s="19" t="str">
        <v>英国区</v>
      </c>
      <c r="B1278" s="19" t="str">
        <v>伯明翰26号仓</v>
      </c>
      <c r="C1278" s="19" t="str">
        <v>入库组</v>
      </c>
      <c r="D1278" s="21" t="n">
        <v>46181</v>
      </c>
      <c r="E1278" s="19" t="str">
        <v>2026-06</v>
      </c>
      <c r="F1278" s="19" t="str">
        <v>操作员</v>
      </c>
      <c r="G1278" s="19" t="str">
        <v>英国区07:00-15:30 / UK 07:00-15:30</v>
      </c>
      <c r="H1278" s="19" t="str">
        <v>S000013</v>
      </c>
      <c r="I1278" s="19" t="str">
        <v>FT Recruitment</v>
      </c>
      <c r="J1278" s="23" t="n">
        <v>3</v>
      </c>
      <c r="K1278" s="23" t="n">
        <v>0</v>
      </c>
      <c r="L1278" s="23" t="n">
        <f>J1278+K1278</f>
        <v>3</v>
      </c>
      <c r="M1278" s="23" t="n">
        <v>3</v>
      </c>
      <c r="N1278" s="23" t="n">
        <v>3</v>
      </c>
      <c r="O1278" s="23" t="n">
        <v>2</v>
      </c>
      <c r="P1278" s="23" t="n">
        <v>2</v>
      </c>
      <c r="Q1278" s="23" t="n">
        <f>MIN(O1278,P1278)</f>
        <v>2</v>
      </c>
      <c r="R1278" s="25" t="n">
        <f>IF(M1278=0,0,MIN(1,L1278/M1278))</f>
        <v>1</v>
      </c>
      <c r="S1278" s="23" t="n">
        <f>O1278*R1278</f>
        <v>2</v>
      </c>
      <c r="T1278" s="23" t="n">
        <f>MIN(P1278,S1278)</f>
        <v>2</v>
      </c>
      <c r="U1278" s="23" t="n">
        <f>O1278-S1278</f>
        <v>0</v>
      </c>
      <c r="V1278" s="23" t="n">
        <f>MAX(P1278-O1278,0)</f>
        <v>0</v>
      </c>
    </row>
    <row r="1279">
      <c r="A1279" s="19" t="str">
        <v>英国区</v>
      </c>
      <c r="B1279" s="19" t="str">
        <v>伯明翰26号仓</v>
      </c>
      <c r="C1279" s="19" t="str">
        <v>入库组</v>
      </c>
      <c r="D1279" s="21" t="n">
        <v>46181</v>
      </c>
      <c r="E1279" s="19" t="str">
        <v>2026-06</v>
      </c>
      <c r="F1279" s="19" t="str">
        <v>操作员</v>
      </c>
      <c r="G1279" s="19" t="str">
        <v>英国区07:00-15:30 / UK 07:00-15:30</v>
      </c>
      <c r="H1279" s="19" t="str">
        <v>S000274</v>
      </c>
      <c r="I1279" s="19" t="str">
        <v>Jobsworth Recruitment Solutions Limited</v>
      </c>
      <c r="J1279" s="23" t="n">
        <v>3</v>
      </c>
      <c r="K1279" s="23" t="n">
        <v>0</v>
      </c>
      <c r="L1279" s="23" t="n">
        <f>J1279+K1279</f>
        <v>3</v>
      </c>
      <c r="M1279" s="23" t="n">
        <v>3</v>
      </c>
      <c r="N1279" s="23" t="n">
        <v>3</v>
      </c>
      <c r="O1279" s="23" t="n">
        <v>1</v>
      </c>
      <c r="P1279" s="23" t="n">
        <v>1</v>
      </c>
      <c r="Q1279" s="23" t="n">
        <f>MIN(O1279,P1279)</f>
        <v>1</v>
      </c>
      <c r="R1279" s="25" t="n">
        <f>IF(M1279=0,0,MIN(1,L1279/M1279))</f>
        <v>1</v>
      </c>
      <c r="S1279" s="23" t="n">
        <f>O1279*R1279</f>
        <v>1</v>
      </c>
      <c r="T1279" s="23" t="n">
        <f>MIN(P1279,S1279)</f>
        <v>1</v>
      </c>
      <c r="U1279" s="23" t="n">
        <f>O1279-S1279</f>
        <v>0</v>
      </c>
      <c r="V1279" s="23" t="n">
        <f>MAX(P1279-O1279,0)</f>
        <v>0</v>
      </c>
    </row>
    <row r="1280">
      <c r="A1280" s="19" t="str">
        <v>英国区</v>
      </c>
      <c r="B1280" s="19" t="str">
        <v>伯明翰26号仓</v>
      </c>
      <c r="C1280" s="19" t="str">
        <v>入库组</v>
      </c>
      <c r="D1280" s="21" t="n">
        <v>46181</v>
      </c>
      <c r="E1280" s="19" t="str">
        <v>2026-06</v>
      </c>
      <c r="F1280" s="19" t="str">
        <v>操作员</v>
      </c>
      <c r="G1280" s="19" t="str">
        <v>英国区10:00-18:30 / UK 10:00-18:30</v>
      </c>
      <c r="H1280" s="19" t="str">
        <v>S000013</v>
      </c>
      <c r="I1280" s="19" t="str">
        <v>FT Recruitment</v>
      </c>
      <c r="J1280" s="23" t="n">
        <v>1</v>
      </c>
      <c r="K1280" s="23" t="n">
        <v>0</v>
      </c>
      <c r="L1280" s="23" t="n">
        <f>J1280+K1280</f>
        <v>1</v>
      </c>
      <c r="M1280" s="23" t="n">
        <v>1</v>
      </c>
      <c r="N1280" s="23" t="n">
        <v>1</v>
      </c>
      <c r="O1280" s="23" t="n">
        <v>1</v>
      </c>
      <c r="P1280" s="23" t="n">
        <v>1</v>
      </c>
      <c r="Q1280" s="23" t="n">
        <f>MIN(O1280,P1280)</f>
        <v>1</v>
      </c>
      <c r="R1280" s="25" t="n">
        <f>IF(M1280=0,0,MIN(1,L1280/M1280))</f>
        <v>1</v>
      </c>
      <c r="S1280" s="23" t="n">
        <f>O1280*R1280</f>
        <v>1</v>
      </c>
      <c r="T1280" s="23" t="n">
        <f>MIN(P1280,S1280)</f>
        <v>1</v>
      </c>
      <c r="U1280" s="23" t="n">
        <f>O1280-S1280</f>
        <v>0</v>
      </c>
      <c r="V1280" s="23" t="n">
        <f>MAX(P1280-O1280,0)</f>
        <v>0</v>
      </c>
    </row>
    <row r="1281">
      <c r="A1281" s="19" t="str">
        <v>英国区</v>
      </c>
      <c r="B1281" s="19" t="str">
        <v>伯明翰26号仓</v>
      </c>
      <c r="C1281" s="19" t="str">
        <v>入库组</v>
      </c>
      <c r="D1281" s="21" t="n">
        <v>46182</v>
      </c>
      <c r="E1281" s="19" t="str">
        <v>2026-06</v>
      </c>
      <c r="F1281" s="19" t="str">
        <v>操作员</v>
      </c>
      <c r="G1281" s="19" t="str">
        <v>英国区09:00-17:30 / UK 09:00-17:30</v>
      </c>
      <c r="H1281" s="19" t="str">
        <v>S000007</v>
      </c>
      <c r="I1281" s="19" t="str">
        <v>Kenect</v>
      </c>
      <c r="J1281" s="23" t="n">
        <v>6</v>
      </c>
      <c r="K1281" s="23" t="n">
        <v>0</v>
      </c>
      <c r="L1281" s="23" t="n">
        <f>J1281+K1281</f>
        <v>6</v>
      </c>
      <c r="M1281" s="23" t="n">
        <v>6</v>
      </c>
      <c r="N1281" s="23" t="n">
        <v>6</v>
      </c>
      <c r="O1281" s="23" t="n">
        <v>2</v>
      </c>
      <c r="P1281" s="23" t="n">
        <v>2</v>
      </c>
      <c r="Q1281" s="23" t="n">
        <f>MIN(O1281,P1281)</f>
        <v>2</v>
      </c>
      <c r="R1281" s="25" t="n">
        <f>IF(M1281=0,0,MIN(1,L1281/M1281))</f>
        <v>1</v>
      </c>
      <c r="S1281" s="23" t="n">
        <f>O1281*R1281</f>
        <v>2</v>
      </c>
      <c r="T1281" s="23" t="n">
        <f>MIN(P1281,S1281)</f>
        <v>2</v>
      </c>
      <c r="U1281" s="23" t="n">
        <f>O1281-S1281</f>
        <v>0</v>
      </c>
      <c r="V1281" s="23" t="n">
        <f>MAX(P1281-O1281,0)</f>
        <v>0</v>
      </c>
    </row>
    <row r="1282">
      <c r="A1282" s="19" t="str">
        <v>英国区</v>
      </c>
      <c r="B1282" s="19" t="str">
        <v>伯明翰26号仓</v>
      </c>
      <c r="C1282" s="19" t="str">
        <v>入库组</v>
      </c>
      <c r="D1282" s="21" t="n">
        <v>46182</v>
      </c>
      <c r="E1282" s="19" t="str">
        <v>2026-06</v>
      </c>
      <c r="F1282" s="19" t="str">
        <v>操作员</v>
      </c>
      <c r="G1282" s="19" t="str">
        <v>英国区09:00-17:30 / UK 09:00-17:30</v>
      </c>
      <c r="H1282" s="19" t="str">
        <v>S000013</v>
      </c>
      <c r="I1282" s="19" t="str">
        <v>FT Recruitment</v>
      </c>
      <c r="J1282" s="23" t="n">
        <v>6</v>
      </c>
      <c r="K1282" s="23" t="n">
        <v>0</v>
      </c>
      <c r="L1282" s="23" t="n">
        <f>J1282+K1282</f>
        <v>6</v>
      </c>
      <c r="M1282" s="23" t="n">
        <v>6</v>
      </c>
      <c r="N1282" s="23" t="n">
        <v>6</v>
      </c>
      <c r="O1282" s="23" t="n">
        <v>2</v>
      </c>
      <c r="P1282" s="23" t="n">
        <v>2</v>
      </c>
      <c r="Q1282" s="23" t="n">
        <f>MIN(O1282,P1282)</f>
        <v>2</v>
      </c>
      <c r="R1282" s="25" t="n">
        <f>IF(M1282=0,0,MIN(1,L1282/M1282))</f>
        <v>1</v>
      </c>
      <c r="S1282" s="23" t="n">
        <f>O1282*R1282</f>
        <v>2</v>
      </c>
      <c r="T1282" s="23" t="n">
        <f>MIN(P1282,S1282)</f>
        <v>2</v>
      </c>
      <c r="U1282" s="23" t="n">
        <f>O1282-S1282</f>
        <v>0</v>
      </c>
      <c r="V1282" s="23" t="n">
        <f>MAX(P1282-O1282,0)</f>
        <v>0</v>
      </c>
    </row>
    <row r="1283">
      <c r="A1283" s="19" t="str">
        <v>英国区</v>
      </c>
      <c r="B1283" s="19" t="str">
        <v>伯明翰26号仓</v>
      </c>
      <c r="C1283" s="19" t="str">
        <v>入库组</v>
      </c>
      <c r="D1283" s="21" t="n">
        <v>46182</v>
      </c>
      <c r="E1283" s="19" t="str">
        <v>2026-06</v>
      </c>
      <c r="F1283" s="19" t="str">
        <v>操作员</v>
      </c>
      <c r="G1283" s="19" t="str">
        <v>英国区09:00-17:30 / UK 09:00-17:30</v>
      </c>
      <c r="H1283" s="19" t="str">
        <v>S000274</v>
      </c>
      <c r="I1283" s="19" t="str">
        <v>Jobsworth Recruitment Solutions Limited</v>
      </c>
      <c r="J1283" s="23" t="n">
        <v>6</v>
      </c>
      <c r="K1283" s="23" t="n">
        <v>0</v>
      </c>
      <c r="L1283" s="23" t="n">
        <f>J1283+K1283</f>
        <v>6</v>
      </c>
      <c r="M1283" s="23" t="n">
        <v>6</v>
      </c>
      <c r="N1283" s="23" t="n">
        <v>6</v>
      </c>
      <c r="O1283" s="23" t="n">
        <v>2</v>
      </c>
      <c r="P1283" s="23" t="n">
        <v>2</v>
      </c>
      <c r="Q1283" s="23" t="n">
        <f>MIN(O1283,P1283)</f>
        <v>2</v>
      </c>
      <c r="R1283" s="25" t="n">
        <f>IF(M1283=0,0,MIN(1,L1283/M1283))</f>
        <v>1</v>
      </c>
      <c r="S1283" s="23" t="n">
        <f>O1283*R1283</f>
        <v>2</v>
      </c>
      <c r="T1283" s="23" t="n">
        <f>MIN(P1283,S1283)</f>
        <v>2</v>
      </c>
      <c r="U1283" s="23" t="n">
        <f>O1283-S1283</f>
        <v>0</v>
      </c>
      <c r="V1283" s="23" t="n">
        <f>MAX(P1283-O1283,0)</f>
        <v>0</v>
      </c>
    </row>
    <row r="1284">
      <c r="A1284" s="19" t="str">
        <v>英国区</v>
      </c>
      <c r="B1284" s="19" t="str">
        <v>伯明翰26号仓</v>
      </c>
      <c r="C1284" s="19" t="str">
        <v>入库组</v>
      </c>
      <c r="D1284" s="21" t="n">
        <v>46183</v>
      </c>
      <c r="E1284" s="19" t="str">
        <v>2026-06</v>
      </c>
      <c r="F1284" s="19" t="str">
        <v>操作员</v>
      </c>
      <c r="G1284" s="19" t="str">
        <v>英国区10:00-18:30 / UK 10:00-18:30</v>
      </c>
      <c r="H1284" s="19" t="str">
        <v>S000007</v>
      </c>
      <c r="I1284" s="19" t="str">
        <v>Kenect</v>
      </c>
      <c r="J1284" s="23" t="n">
        <v>5</v>
      </c>
      <c r="K1284" s="23" t="n">
        <v>0</v>
      </c>
      <c r="L1284" s="23" t="n">
        <f>J1284+K1284</f>
        <v>5</v>
      </c>
      <c r="M1284" s="23" t="n">
        <v>5</v>
      </c>
      <c r="N1284" s="23" t="n">
        <v>5</v>
      </c>
      <c r="O1284" s="23" t="n">
        <v>3</v>
      </c>
      <c r="P1284" s="23" t="n">
        <v>3</v>
      </c>
      <c r="Q1284" s="23" t="n">
        <f>MIN(O1284,P1284)</f>
        <v>3</v>
      </c>
      <c r="R1284" s="25" t="n">
        <f>IF(M1284=0,0,MIN(1,L1284/M1284))</f>
        <v>1</v>
      </c>
      <c r="S1284" s="23" t="n">
        <f>O1284*R1284</f>
        <v>3</v>
      </c>
      <c r="T1284" s="23" t="n">
        <f>MIN(P1284,S1284)</f>
        <v>3</v>
      </c>
      <c r="U1284" s="23" t="n">
        <f>O1284-S1284</f>
        <v>0</v>
      </c>
      <c r="V1284" s="23" t="n">
        <f>MAX(P1284-O1284,0)</f>
        <v>0</v>
      </c>
    </row>
    <row r="1285">
      <c r="A1285" s="19" t="str">
        <v>英国区</v>
      </c>
      <c r="B1285" s="19" t="str">
        <v>伯明翰26号仓</v>
      </c>
      <c r="C1285" s="19" t="str">
        <v>入库组</v>
      </c>
      <c r="D1285" s="21" t="n">
        <v>46183</v>
      </c>
      <c r="E1285" s="19" t="str">
        <v>2026-06</v>
      </c>
      <c r="F1285" s="19" t="str">
        <v>操作员</v>
      </c>
      <c r="G1285" s="19" t="str">
        <v>英国区10:00-18:30 / UK 10:00-18:30</v>
      </c>
      <c r="H1285" s="19" t="str">
        <v>S000013</v>
      </c>
      <c r="I1285" s="19" t="str">
        <v>FT Recruitment</v>
      </c>
      <c r="J1285" s="23" t="n">
        <v>5</v>
      </c>
      <c r="K1285" s="23" t="n">
        <v>0</v>
      </c>
      <c r="L1285" s="23" t="n">
        <f>J1285+K1285</f>
        <v>5</v>
      </c>
      <c r="M1285" s="23" t="n">
        <v>5</v>
      </c>
      <c r="N1285" s="23" t="n">
        <v>5</v>
      </c>
      <c r="O1285" s="23" t="n">
        <v>2</v>
      </c>
      <c r="P1285" s="23" t="n">
        <v>2</v>
      </c>
      <c r="Q1285" s="23" t="n">
        <f>MIN(O1285,P1285)</f>
        <v>2</v>
      </c>
      <c r="R1285" s="25" t="n">
        <f>IF(M1285=0,0,MIN(1,L1285/M1285))</f>
        <v>1</v>
      </c>
      <c r="S1285" s="23" t="n">
        <f>O1285*R1285</f>
        <v>2</v>
      </c>
      <c r="T1285" s="23" t="n">
        <f>MIN(P1285,S1285)</f>
        <v>2</v>
      </c>
      <c r="U1285" s="23" t="n">
        <f>O1285-S1285</f>
        <v>0</v>
      </c>
      <c r="V1285" s="23" t="n">
        <f>MAX(P1285-O1285,0)</f>
        <v>0</v>
      </c>
    </row>
    <row r="1286">
      <c r="A1286" s="19" t="str">
        <v>英国区</v>
      </c>
      <c r="B1286" s="19" t="str">
        <v>伯明翰26号仓</v>
      </c>
      <c r="C1286" s="19" t="str">
        <v>入库组</v>
      </c>
      <c r="D1286" s="21" t="n">
        <v>46184</v>
      </c>
      <c r="E1286" s="19" t="str">
        <v>2026-06</v>
      </c>
      <c r="F1286" s="19" t="str">
        <v>操作员</v>
      </c>
      <c r="G1286" s="19" t="str">
        <v>英国区07:00-15:30 / UK 07:00-15:30</v>
      </c>
      <c r="H1286" s="19" t="str">
        <v>S000013</v>
      </c>
      <c r="I1286" s="19" t="str">
        <v>FT Recruitment</v>
      </c>
      <c r="J1286" s="23" t="n">
        <v>2</v>
      </c>
      <c r="K1286" s="23" t="n">
        <v>0</v>
      </c>
      <c r="L1286" s="23" t="n">
        <f>J1286+K1286</f>
        <v>2</v>
      </c>
      <c r="M1286" s="23" t="n">
        <v>2</v>
      </c>
      <c r="N1286" s="23" t="n">
        <v>2</v>
      </c>
      <c r="O1286" s="23" t="n">
        <v>2</v>
      </c>
      <c r="P1286" s="23" t="n">
        <v>2</v>
      </c>
      <c r="Q1286" s="23" t="n">
        <f>MIN(O1286,P1286)</f>
        <v>2</v>
      </c>
      <c r="R1286" s="25" t="n">
        <f>IF(M1286=0,0,MIN(1,L1286/M1286))</f>
        <v>1</v>
      </c>
      <c r="S1286" s="23" t="n">
        <f>O1286*R1286</f>
        <v>2</v>
      </c>
      <c r="T1286" s="23" t="n">
        <f>MIN(P1286,S1286)</f>
        <v>2</v>
      </c>
      <c r="U1286" s="23" t="n">
        <f>O1286-S1286</f>
        <v>0</v>
      </c>
      <c r="V1286" s="23" t="n">
        <f>MAX(P1286-O1286,0)</f>
        <v>0</v>
      </c>
    </row>
    <row r="1287">
      <c r="A1287" s="19" t="str">
        <v>英国区</v>
      </c>
      <c r="B1287" s="19" t="str">
        <v>伯明翰26号仓</v>
      </c>
      <c r="C1287" s="19" t="str">
        <v>入库组</v>
      </c>
      <c r="D1287" s="21" t="n">
        <v>46184</v>
      </c>
      <c r="E1287" s="19" t="str">
        <v>2026-06</v>
      </c>
      <c r="F1287" s="19" t="str">
        <v>操作员</v>
      </c>
      <c r="G1287" s="19" t="str">
        <v>英国区10:00-18:30 / UK 10:00-18:30</v>
      </c>
      <c r="H1287" s="19" t="str">
        <v>S000274</v>
      </c>
      <c r="I1287" s="19" t="str">
        <v>Jobsworth Recruitment Solutions Limited</v>
      </c>
      <c r="J1287" s="23" t="n">
        <v>3</v>
      </c>
      <c r="K1287" s="23" t="n">
        <v>0</v>
      </c>
      <c r="L1287" s="23" t="n">
        <f>J1287+K1287</f>
        <v>3</v>
      </c>
      <c r="M1287" s="23" t="n">
        <v>3</v>
      </c>
      <c r="N1287" s="23" t="n">
        <v>3</v>
      </c>
      <c r="O1287" s="23" t="n">
        <v>3</v>
      </c>
      <c r="P1287" s="23" t="n">
        <v>3</v>
      </c>
      <c r="Q1287" s="23" t="n">
        <f>MIN(O1287,P1287)</f>
        <v>3</v>
      </c>
      <c r="R1287" s="25" t="n">
        <f>IF(M1287=0,0,MIN(1,L1287/M1287))</f>
        <v>1</v>
      </c>
      <c r="S1287" s="23" t="n">
        <f>O1287*R1287</f>
        <v>3</v>
      </c>
      <c r="T1287" s="23" t="n">
        <f>MIN(P1287,S1287)</f>
        <v>3</v>
      </c>
      <c r="U1287" s="23" t="n">
        <f>O1287-S1287</f>
        <v>0</v>
      </c>
      <c r="V1287" s="23" t="n">
        <f>MAX(P1287-O1287,0)</f>
        <v>0</v>
      </c>
    </row>
    <row r="1288">
      <c r="A1288" s="19" t="str">
        <v>英国区</v>
      </c>
      <c r="B1288" s="19" t="str">
        <v>伯明翰26号仓</v>
      </c>
      <c r="C1288" s="19" t="str">
        <v>入库组</v>
      </c>
      <c r="D1288" s="21" t="n">
        <v>46189</v>
      </c>
      <c r="E1288" s="19" t="str">
        <v>2026-06</v>
      </c>
      <c r="F1288" s="19" t="str">
        <v>操作员</v>
      </c>
      <c r="G1288" s="19" t="str">
        <v>英国区10:00-18:30 / UK 10:00-18:30</v>
      </c>
      <c r="H1288" s="19" t="str">
        <v>S000132</v>
      </c>
      <c r="I1288" s="19" t="str">
        <v>HRA Recruitment Services</v>
      </c>
      <c r="J1288" s="23" t="n">
        <v>1</v>
      </c>
      <c r="K1288" s="23" t="n">
        <v>0</v>
      </c>
      <c r="L1288" s="23" t="n">
        <f>J1288+K1288</f>
        <v>1</v>
      </c>
      <c r="M1288" s="23" t="n">
        <v>1</v>
      </c>
      <c r="N1288" s="23" t="n">
        <v>1</v>
      </c>
      <c r="O1288" s="23" t="n">
        <v>1</v>
      </c>
      <c r="P1288" s="23" t="n">
        <v>1</v>
      </c>
      <c r="Q1288" s="23" t="n">
        <f>MIN(O1288,P1288)</f>
        <v>1</v>
      </c>
      <c r="R1288" s="25" t="n">
        <f>IF(M1288=0,0,MIN(1,L1288/M1288))</f>
        <v>1</v>
      </c>
      <c r="S1288" s="23" t="n">
        <f>O1288*R1288</f>
        <v>1</v>
      </c>
      <c r="T1288" s="23" t="n">
        <f>MIN(P1288,S1288)</f>
        <v>1</v>
      </c>
      <c r="U1288" s="23" t="n">
        <f>O1288-S1288</f>
        <v>0</v>
      </c>
      <c r="V1288" s="23" t="n">
        <f>MAX(P1288-O1288,0)</f>
        <v>0</v>
      </c>
    </row>
    <row r="1289">
      <c r="A1289" s="19" t="str">
        <v>英国区</v>
      </c>
      <c r="B1289" s="19" t="str">
        <v>伯明翰26号仓</v>
      </c>
      <c r="C1289" s="19" t="str">
        <v>入库组</v>
      </c>
      <c r="D1289" s="21" t="n">
        <v>46191</v>
      </c>
      <c r="E1289" s="19" t="str">
        <v>2026-06</v>
      </c>
      <c r="F1289" s="19" t="str">
        <v>操作员</v>
      </c>
      <c r="G1289" s="19" t="str">
        <v>英国区07:00-15:30 / UK 07:00-15:30</v>
      </c>
      <c r="H1289" s="19" t="str">
        <v>S000274</v>
      </c>
      <c r="I1289" s="19" t="str">
        <v>Jobsworth Recruitment Solutions Limited</v>
      </c>
      <c r="J1289" s="23" t="n">
        <v>1</v>
      </c>
      <c r="K1289" s="23" t="n">
        <v>0</v>
      </c>
      <c r="L1289" s="23" t="n">
        <f>J1289+K1289</f>
        <v>1</v>
      </c>
      <c r="M1289" s="23" t="n">
        <v>1</v>
      </c>
      <c r="N1289" s="23" t="n">
        <v>1</v>
      </c>
      <c r="O1289" s="23" t="n">
        <v>1</v>
      </c>
      <c r="P1289" s="23" t="n">
        <v>1</v>
      </c>
      <c r="Q1289" s="23" t="n">
        <f>MIN(O1289,P1289)</f>
        <v>1</v>
      </c>
      <c r="R1289" s="25" t="n">
        <f>IF(M1289=0,0,MIN(1,L1289/M1289))</f>
        <v>1</v>
      </c>
      <c r="S1289" s="23" t="n">
        <f>O1289*R1289</f>
        <v>1</v>
      </c>
      <c r="T1289" s="23" t="n">
        <f>MIN(P1289,S1289)</f>
        <v>1</v>
      </c>
      <c r="U1289" s="23" t="n">
        <f>O1289-S1289</f>
        <v>0</v>
      </c>
      <c r="V1289" s="23" t="n">
        <f>MAX(P1289-O1289,0)</f>
        <v>0</v>
      </c>
    </row>
    <row r="1290">
      <c r="A1290" s="19" t="str">
        <v>英国区</v>
      </c>
      <c r="B1290" s="19" t="str">
        <v>伯明翰26号仓</v>
      </c>
      <c r="C1290" s="19" t="str">
        <v>入库组</v>
      </c>
      <c r="D1290" s="21" t="n">
        <v>46192</v>
      </c>
      <c r="E1290" s="19" t="str">
        <v>2026-06</v>
      </c>
      <c r="F1290" s="19" t="str">
        <v>操作员</v>
      </c>
      <c r="G1290" s="19" t="str">
        <v>英国区07:00-15:30 / UK 07:00-15:30</v>
      </c>
      <c r="H1290" s="19" t="str">
        <v>S000007</v>
      </c>
      <c r="I1290" s="19" t="str">
        <v>Kenect</v>
      </c>
      <c r="J1290" s="23" t="n">
        <v>3</v>
      </c>
      <c r="K1290" s="23" t="n">
        <v>0</v>
      </c>
      <c r="L1290" s="23" t="n">
        <f>J1290+K1290</f>
        <v>3</v>
      </c>
      <c r="M1290" s="23" t="n">
        <v>3</v>
      </c>
      <c r="N1290" s="23" t="n">
        <v>3</v>
      </c>
      <c r="O1290" s="23" t="n">
        <v>1</v>
      </c>
      <c r="P1290" s="23" t="n">
        <v>1</v>
      </c>
      <c r="Q1290" s="23" t="n">
        <f>MIN(O1290,P1290)</f>
        <v>1</v>
      </c>
      <c r="R1290" s="25" t="n">
        <f>IF(M1290=0,0,MIN(1,L1290/M1290))</f>
        <v>1</v>
      </c>
      <c r="S1290" s="23" t="n">
        <f>O1290*R1290</f>
        <v>1</v>
      </c>
      <c r="T1290" s="23" t="n">
        <f>MIN(P1290,S1290)</f>
        <v>1</v>
      </c>
      <c r="U1290" s="23" t="n">
        <f>O1290-S1290</f>
        <v>0</v>
      </c>
      <c r="V1290" s="23" t="n">
        <f>MAX(P1290-O1290,0)</f>
        <v>0</v>
      </c>
    </row>
    <row r="1291">
      <c r="A1291" s="19" t="str">
        <v>英国区</v>
      </c>
      <c r="B1291" s="19" t="str">
        <v>伯明翰26号仓</v>
      </c>
      <c r="C1291" s="19" t="str">
        <v>入库组</v>
      </c>
      <c r="D1291" s="21" t="n">
        <v>46192</v>
      </c>
      <c r="E1291" s="19" t="str">
        <v>2026-06</v>
      </c>
      <c r="F1291" s="19" t="str">
        <v>操作员</v>
      </c>
      <c r="G1291" s="19" t="str">
        <v>英国区07:00-15:30 / UK 07:00-15:30</v>
      </c>
      <c r="H1291" s="19" t="str">
        <v>S000011</v>
      </c>
      <c r="I1291" s="19" t="str">
        <v>SD4U</v>
      </c>
      <c r="J1291" s="23" t="n">
        <v>3</v>
      </c>
      <c r="K1291" s="23" t="n">
        <v>0</v>
      </c>
      <c r="L1291" s="23" t="n">
        <f>J1291+K1291</f>
        <v>3</v>
      </c>
      <c r="M1291" s="23" t="n">
        <v>3</v>
      </c>
      <c r="N1291" s="23" t="n">
        <v>3</v>
      </c>
      <c r="O1291" s="23" t="n">
        <v>2</v>
      </c>
      <c r="P1291" s="23" t="n">
        <v>2</v>
      </c>
      <c r="Q1291" s="23" t="n">
        <f>MIN(O1291,P1291)</f>
        <v>2</v>
      </c>
      <c r="R1291" s="25" t="n">
        <f>IF(M1291=0,0,MIN(1,L1291/M1291))</f>
        <v>1</v>
      </c>
      <c r="S1291" s="23" t="n">
        <f>O1291*R1291</f>
        <v>2</v>
      </c>
      <c r="T1291" s="23" t="n">
        <f>MIN(P1291,S1291)</f>
        <v>2</v>
      </c>
      <c r="U1291" s="23" t="n">
        <f>O1291-S1291</f>
        <v>0</v>
      </c>
      <c r="V1291" s="23" t="n">
        <f>MAX(P1291-O1291,0)</f>
        <v>0</v>
      </c>
    </row>
    <row r="1292">
      <c r="A1292" s="19" t="str">
        <v>英国区</v>
      </c>
      <c r="B1292" s="19" t="str">
        <v>伯明翰26号仓</v>
      </c>
      <c r="C1292" s="19" t="str">
        <v>入库组</v>
      </c>
      <c r="D1292" s="21" t="n">
        <v>46192</v>
      </c>
      <c r="E1292" s="19" t="str">
        <v>2026-06</v>
      </c>
      <c r="F1292" s="19" t="str">
        <v>操作员</v>
      </c>
      <c r="G1292" s="19" t="str">
        <v>英国区10:00-18:30 / UK 10:00-18:30</v>
      </c>
      <c r="H1292" s="19" t="str">
        <v>S000007</v>
      </c>
      <c r="I1292" s="19" t="str">
        <v>Kenect</v>
      </c>
      <c r="J1292" s="23" t="n">
        <v>3</v>
      </c>
      <c r="K1292" s="23" t="n">
        <v>0</v>
      </c>
      <c r="L1292" s="23" t="n">
        <f>J1292+K1292</f>
        <v>3</v>
      </c>
      <c r="M1292" s="23" t="n">
        <v>3</v>
      </c>
      <c r="N1292" s="23" t="n">
        <v>3</v>
      </c>
      <c r="O1292" s="23" t="n">
        <v>1</v>
      </c>
      <c r="P1292" s="23" t="n">
        <v>1</v>
      </c>
      <c r="Q1292" s="23" t="n">
        <f>MIN(O1292,P1292)</f>
        <v>1</v>
      </c>
      <c r="R1292" s="25" t="n">
        <f>IF(M1292=0,0,MIN(1,L1292/M1292))</f>
        <v>1</v>
      </c>
      <c r="S1292" s="23" t="n">
        <f>O1292*R1292</f>
        <v>1</v>
      </c>
      <c r="T1292" s="23" t="n">
        <f>MIN(P1292,S1292)</f>
        <v>1</v>
      </c>
      <c r="U1292" s="23" t="n">
        <f>O1292-S1292</f>
        <v>0</v>
      </c>
      <c r="V1292" s="23" t="n">
        <f>MAX(P1292-O1292,0)</f>
        <v>0</v>
      </c>
    </row>
    <row r="1293">
      <c r="A1293" s="19" t="str">
        <v>英国区</v>
      </c>
      <c r="B1293" s="19" t="str">
        <v>伯明翰26号仓</v>
      </c>
      <c r="C1293" s="19" t="str">
        <v>入库组</v>
      </c>
      <c r="D1293" s="21" t="n">
        <v>46192</v>
      </c>
      <c r="E1293" s="19" t="str">
        <v>2026-06</v>
      </c>
      <c r="F1293" s="19" t="str">
        <v>操作员</v>
      </c>
      <c r="G1293" s="19" t="str">
        <v>英国区10:00-18:30 / UK 10:00-18:30</v>
      </c>
      <c r="H1293" s="19" t="str">
        <v>S000011</v>
      </c>
      <c r="I1293" s="19" t="str">
        <v>SD4U</v>
      </c>
      <c r="J1293" s="23" t="n">
        <v>3</v>
      </c>
      <c r="K1293" s="23" t="n">
        <v>0</v>
      </c>
      <c r="L1293" s="23" t="n">
        <f>J1293+K1293</f>
        <v>3</v>
      </c>
      <c r="M1293" s="23" t="n">
        <v>3</v>
      </c>
      <c r="N1293" s="23" t="n">
        <v>3</v>
      </c>
      <c r="O1293" s="23" t="n">
        <v>2</v>
      </c>
      <c r="P1293" s="23" t="n">
        <v>2</v>
      </c>
      <c r="Q1293" s="23" t="n">
        <f>MIN(O1293,P1293)</f>
        <v>2</v>
      </c>
      <c r="R1293" s="25" t="n">
        <f>IF(M1293=0,0,MIN(1,L1293/M1293))</f>
        <v>1</v>
      </c>
      <c r="S1293" s="23" t="n">
        <f>O1293*R1293</f>
        <v>2</v>
      </c>
      <c r="T1293" s="23" t="n">
        <f>MIN(P1293,S1293)</f>
        <v>2</v>
      </c>
      <c r="U1293" s="23" t="n">
        <f>O1293-S1293</f>
        <v>0</v>
      </c>
      <c r="V1293" s="23" t="n">
        <f>MAX(P1293-O1293,0)</f>
        <v>0</v>
      </c>
    </row>
    <row r="1294">
      <c r="A1294" s="19" t="str">
        <v>英国区</v>
      </c>
      <c r="B1294" s="19" t="str">
        <v>伯明翰26号仓</v>
      </c>
      <c r="C1294" s="19" t="str">
        <v>入库组</v>
      </c>
      <c r="D1294" s="21" t="n">
        <v>46199</v>
      </c>
      <c r="E1294" s="19" t="str">
        <v>2026-06</v>
      </c>
      <c r="F1294" s="19" t="str">
        <v>操作员</v>
      </c>
      <c r="G1294" s="19" t="str">
        <v>英国区10:00-18:30 / UK 10:00-18:30</v>
      </c>
      <c r="H1294" s="19" t="str">
        <v>S000132</v>
      </c>
      <c r="I1294" s="19" t="str">
        <v>HRA Recruitment Services</v>
      </c>
      <c r="J1294" s="23" t="n">
        <v>3</v>
      </c>
      <c r="K1294" s="23" t="n">
        <v>0</v>
      </c>
      <c r="L1294" s="23" t="n">
        <f>J1294+K1294</f>
        <v>3</v>
      </c>
      <c r="M1294" s="23" t="n">
        <v>3</v>
      </c>
      <c r="N1294" s="23" t="n">
        <v>3</v>
      </c>
      <c r="O1294" s="23" t="n">
        <v>3</v>
      </c>
      <c r="P1294" s="23" t="n">
        <v>3</v>
      </c>
      <c r="Q1294" s="23" t="n">
        <f>MIN(O1294,P1294)</f>
        <v>3</v>
      </c>
      <c r="R1294" s="25" t="n">
        <f>IF(M1294=0,0,MIN(1,L1294/M1294))</f>
        <v>1</v>
      </c>
      <c r="S1294" s="23" t="n">
        <f>O1294*R1294</f>
        <v>3</v>
      </c>
      <c r="T1294" s="23" t="n">
        <f>MIN(P1294,S1294)</f>
        <v>3</v>
      </c>
      <c r="U1294" s="23" t="n">
        <f>O1294-S1294</f>
        <v>0</v>
      </c>
      <c r="V1294" s="23" t="n">
        <f>MAX(P1294-O1294,0)</f>
        <v>0</v>
      </c>
    </row>
    <row r="1295">
      <c r="A1295" s="19" t="str">
        <v>英国区</v>
      </c>
      <c r="B1295" s="19" t="str">
        <v>伯明翰26号仓</v>
      </c>
      <c r="C1295" s="19" t="str">
        <v>入库组</v>
      </c>
      <c r="D1295" s="21" t="n">
        <v>46202</v>
      </c>
      <c r="E1295" s="19" t="str">
        <v>2026-06</v>
      </c>
      <c r="F1295" s="19" t="str">
        <v>操作员</v>
      </c>
      <c r="G1295" s="19" t="str">
        <v>英国区07:00-15:30 / UK 07:00-15:30</v>
      </c>
      <c r="H1295" s="19" t="str">
        <v>S000274</v>
      </c>
      <c r="I1295" s="19" t="str">
        <v>Jobsworth Recruitment Solutions Limited</v>
      </c>
      <c r="J1295" s="23" t="n">
        <v>2</v>
      </c>
      <c r="K1295" s="23" t="n">
        <v>0</v>
      </c>
      <c r="L1295" s="23" t="n">
        <f>J1295+K1295</f>
        <v>2</v>
      </c>
      <c r="M1295" s="23" t="n">
        <v>2</v>
      </c>
      <c r="N1295" s="23" t="n">
        <v>2</v>
      </c>
      <c r="O1295" s="23" t="n">
        <v>2</v>
      </c>
      <c r="P1295" s="23" t="n">
        <v>2</v>
      </c>
      <c r="Q1295" s="23" t="n">
        <f>MIN(O1295,P1295)</f>
        <v>2</v>
      </c>
      <c r="R1295" s="25" t="n">
        <f>IF(M1295=0,0,MIN(1,L1295/M1295))</f>
        <v>1</v>
      </c>
      <c r="S1295" s="23" t="n">
        <f>O1295*R1295</f>
        <v>2</v>
      </c>
      <c r="T1295" s="23" t="n">
        <f>MIN(P1295,S1295)</f>
        <v>2</v>
      </c>
      <c r="U1295" s="23" t="n">
        <f>O1295-S1295</f>
        <v>0</v>
      </c>
      <c r="V1295" s="23" t="n">
        <f>MAX(P1295-O1295,0)</f>
        <v>0</v>
      </c>
    </row>
    <row r="1296">
      <c r="A1296" s="19" t="str">
        <v>英国区</v>
      </c>
      <c r="B1296" s="19" t="str">
        <v>伯明翰26号仓</v>
      </c>
      <c r="C1296" s="19" t="str">
        <v>拣货组</v>
      </c>
      <c r="D1296" s="21" t="n">
        <v>46183</v>
      </c>
      <c r="E1296" s="19" t="str">
        <v>2026-06</v>
      </c>
      <c r="F1296" s="19" t="str">
        <v>操作员</v>
      </c>
      <c r="G1296" s="19" t="str">
        <v>英国区09:00-17:30 / UK 09:00-17:30</v>
      </c>
      <c r="H1296" s="19" t="str">
        <v>S000013</v>
      </c>
      <c r="I1296" s="19" t="str">
        <v>FT Recruitment</v>
      </c>
      <c r="J1296" s="23" t="n">
        <v>2</v>
      </c>
      <c r="K1296" s="23" t="n">
        <v>0</v>
      </c>
      <c r="L1296" s="23" t="n">
        <f>J1296+K1296</f>
        <v>2</v>
      </c>
      <c r="M1296" s="23" t="n">
        <v>2</v>
      </c>
      <c r="N1296" s="23" t="n">
        <v>0</v>
      </c>
      <c r="O1296" s="23" t="n">
        <v>2</v>
      </c>
      <c r="P1296" s="23" t="n">
        <v>0</v>
      </c>
      <c r="Q1296" s="23" t="n">
        <f>MIN(O1296,P1296)</f>
        <v>0</v>
      </c>
      <c r="R1296" s="25" t="n">
        <f>IF(M1296=0,0,MIN(1,L1296/M1296))</f>
        <v>1</v>
      </c>
      <c r="S1296" s="23" t="n">
        <f>O1296*R1296</f>
        <v>2</v>
      </c>
      <c r="T1296" s="23" t="n">
        <f>MIN(P1296,S1296)</f>
        <v>0</v>
      </c>
      <c r="U1296" s="23" t="n">
        <f>O1296-S1296</f>
        <v>0</v>
      </c>
      <c r="V1296" s="23" t="n">
        <f>MAX(P1296-O1296,0)</f>
        <v>0</v>
      </c>
    </row>
    <row r="1297">
      <c r="A1297" s="19" t="str">
        <v>英国区</v>
      </c>
      <c r="B1297" s="19" t="str">
        <v>伯明翰26号仓</v>
      </c>
      <c r="C1297" s="19" t="str">
        <v>拣货组</v>
      </c>
      <c r="D1297" s="21" t="n">
        <v>46184</v>
      </c>
      <c r="E1297" s="19" t="str">
        <v>2026-06</v>
      </c>
      <c r="F1297" s="19" t="str">
        <v>操作员</v>
      </c>
      <c r="G1297" s="19" t="str">
        <v>英国区09:00-17:30 / UK 09:00-17:30</v>
      </c>
      <c r="H1297" s="19" t="str">
        <v>S000132</v>
      </c>
      <c r="I1297" s="19" t="str">
        <v>HRA Recruitment Services</v>
      </c>
      <c r="J1297" s="23" t="n">
        <v>1</v>
      </c>
      <c r="K1297" s="23" t="n">
        <v>0</v>
      </c>
      <c r="L1297" s="23" t="n">
        <f>J1297+K1297</f>
        <v>1</v>
      </c>
      <c r="M1297" s="23" t="n">
        <v>1</v>
      </c>
      <c r="N1297" s="23" t="n">
        <v>1</v>
      </c>
      <c r="O1297" s="23" t="n">
        <v>1</v>
      </c>
      <c r="P1297" s="23" t="n">
        <v>1</v>
      </c>
      <c r="Q1297" s="23" t="n">
        <f>MIN(O1297,P1297)</f>
        <v>1</v>
      </c>
      <c r="R1297" s="25" t="n">
        <f>IF(M1297=0,0,MIN(1,L1297/M1297))</f>
        <v>1</v>
      </c>
      <c r="S1297" s="23" t="n">
        <f>O1297*R1297</f>
        <v>1</v>
      </c>
      <c r="T1297" s="23" t="n">
        <f>MIN(P1297,S1297)</f>
        <v>1</v>
      </c>
      <c r="U1297" s="23" t="n">
        <f>O1297-S1297</f>
        <v>0</v>
      </c>
      <c r="V1297" s="23" t="n">
        <f>MAX(P1297-O1297,0)</f>
        <v>0</v>
      </c>
    </row>
    <row r="1298">
      <c r="A1298" s="19" t="str">
        <v>英国区</v>
      </c>
      <c r="B1298" s="19" t="str">
        <v>伯明翰26号仓</v>
      </c>
      <c r="C1298" s="19" t="str">
        <v>拣货组</v>
      </c>
      <c r="D1298" s="21" t="n">
        <v>46184</v>
      </c>
      <c r="E1298" s="19" t="str">
        <v>2026-06</v>
      </c>
      <c r="F1298" s="19" t="str">
        <v>操作员</v>
      </c>
      <c r="G1298" s="19" t="str">
        <v>英国区10:00-18:30 / UK 10:00-18:30</v>
      </c>
      <c r="H1298" s="19" t="str">
        <v>S000013</v>
      </c>
      <c r="I1298" s="19" t="str">
        <v>FT Recruitment</v>
      </c>
      <c r="J1298" s="23" t="n">
        <v>3</v>
      </c>
      <c r="K1298" s="23" t="n">
        <v>0</v>
      </c>
      <c r="L1298" s="23" t="n">
        <f>J1298+K1298</f>
        <v>3</v>
      </c>
      <c r="M1298" s="23" t="n">
        <v>3</v>
      </c>
      <c r="N1298" s="23" t="n">
        <v>2</v>
      </c>
      <c r="O1298" s="23" t="n">
        <v>2</v>
      </c>
      <c r="P1298" s="23" t="n">
        <v>2</v>
      </c>
      <c r="Q1298" s="23" t="n">
        <f>MIN(O1298,P1298)</f>
        <v>2</v>
      </c>
      <c r="R1298" s="25" t="n">
        <f>IF(M1298=0,0,MIN(1,L1298/M1298))</f>
        <v>1</v>
      </c>
      <c r="S1298" s="23" t="n">
        <f>O1298*R1298</f>
        <v>2</v>
      </c>
      <c r="T1298" s="23" t="n">
        <f>MIN(P1298,S1298)</f>
        <v>2</v>
      </c>
      <c r="U1298" s="23" t="n">
        <f>O1298-S1298</f>
        <v>0</v>
      </c>
      <c r="V1298" s="23" t="n">
        <f>MAX(P1298-O1298,0)</f>
        <v>0</v>
      </c>
    </row>
    <row r="1299">
      <c r="A1299" s="19" t="str">
        <v>英国区</v>
      </c>
      <c r="B1299" s="19" t="str">
        <v>伯明翰26号仓</v>
      </c>
      <c r="C1299" s="19" t="str">
        <v>拣货组</v>
      </c>
      <c r="D1299" s="21" t="n">
        <v>46184</v>
      </c>
      <c r="E1299" s="19" t="str">
        <v>2026-06</v>
      </c>
      <c r="F1299" s="19" t="str">
        <v>操作员</v>
      </c>
      <c r="G1299" s="19" t="str">
        <v>英国区10:00-18:30 / UK 10:00-18:30</v>
      </c>
      <c r="H1299" s="19" t="str">
        <v>S000274</v>
      </c>
      <c r="I1299" s="19" t="str">
        <v>Jobsworth Recruitment Solutions Limited</v>
      </c>
      <c r="J1299" s="23" t="n">
        <v>3</v>
      </c>
      <c r="K1299" s="23" t="n">
        <v>0</v>
      </c>
      <c r="L1299" s="23" t="n">
        <f>J1299+K1299</f>
        <v>3</v>
      </c>
      <c r="M1299" s="23" t="n">
        <v>3</v>
      </c>
      <c r="N1299" s="23" t="n">
        <v>2</v>
      </c>
      <c r="O1299" s="23" t="n">
        <v>1</v>
      </c>
      <c r="P1299" s="23" t="n">
        <v>0</v>
      </c>
      <c r="Q1299" s="23" t="n">
        <f>MIN(O1299,P1299)</f>
        <v>0</v>
      </c>
      <c r="R1299" s="25" t="n">
        <f>IF(M1299=0,0,MIN(1,L1299/M1299))</f>
        <v>1</v>
      </c>
      <c r="S1299" s="23" t="n">
        <f>O1299*R1299</f>
        <v>1</v>
      </c>
      <c r="T1299" s="23" t="n">
        <f>MIN(P1299,S1299)</f>
        <v>0</v>
      </c>
      <c r="U1299" s="23" t="n">
        <f>O1299-S1299</f>
        <v>0</v>
      </c>
      <c r="V1299" s="23" t="n">
        <f>MAX(P1299-O1299,0)</f>
        <v>0</v>
      </c>
    </row>
    <row r="1300">
      <c r="A1300" s="19" t="str">
        <v>英国区</v>
      </c>
      <c r="B1300" s="19" t="str">
        <v>伯明翰26号仓</v>
      </c>
      <c r="C1300" s="19" t="str">
        <v>拣货组</v>
      </c>
      <c r="D1300" s="21" t="n">
        <v>46185</v>
      </c>
      <c r="E1300" s="19" t="str">
        <v>2026-06</v>
      </c>
      <c r="F1300" s="19" t="str">
        <v>操作员</v>
      </c>
      <c r="G1300" s="19" t="str">
        <v>英国区10:00-18:30 / UK 10:00-18:30</v>
      </c>
      <c r="H1300" s="19" t="str">
        <v>S000007</v>
      </c>
      <c r="I1300" s="19" t="str">
        <v>Kenect</v>
      </c>
      <c r="J1300" s="23" t="n">
        <v>3</v>
      </c>
      <c r="K1300" s="23" t="n">
        <v>0</v>
      </c>
      <c r="L1300" s="23" t="n">
        <f>J1300+K1300</f>
        <v>3</v>
      </c>
      <c r="M1300" s="23" t="n">
        <v>3</v>
      </c>
      <c r="N1300" s="23" t="n">
        <v>3</v>
      </c>
      <c r="O1300" s="23" t="n">
        <v>1</v>
      </c>
      <c r="P1300" s="23" t="n">
        <v>1</v>
      </c>
      <c r="Q1300" s="23" t="n">
        <f>MIN(O1300,P1300)</f>
        <v>1</v>
      </c>
      <c r="R1300" s="25" t="n">
        <f>IF(M1300=0,0,MIN(1,L1300/M1300))</f>
        <v>1</v>
      </c>
      <c r="S1300" s="23" t="n">
        <f>O1300*R1300</f>
        <v>1</v>
      </c>
      <c r="T1300" s="23" t="n">
        <f>MIN(P1300,S1300)</f>
        <v>1</v>
      </c>
      <c r="U1300" s="23" t="n">
        <f>O1300-S1300</f>
        <v>0</v>
      </c>
      <c r="V1300" s="23" t="n">
        <f>MAX(P1300-O1300,0)</f>
        <v>0</v>
      </c>
    </row>
    <row r="1301">
      <c r="A1301" s="19" t="str">
        <v>英国区</v>
      </c>
      <c r="B1301" s="19" t="str">
        <v>伯明翰26号仓</v>
      </c>
      <c r="C1301" s="19" t="str">
        <v>拣货组</v>
      </c>
      <c r="D1301" s="21" t="n">
        <v>46185</v>
      </c>
      <c r="E1301" s="19" t="str">
        <v>2026-06</v>
      </c>
      <c r="F1301" s="19" t="str">
        <v>操作员</v>
      </c>
      <c r="G1301" s="19" t="str">
        <v>英国区10:00-18:30 / UK 10:00-18:30</v>
      </c>
      <c r="H1301" s="19" t="str">
        <v>S000274</v>
      </c>
      <c r="I1301" s="19" t="str">
        <v>Jobsworth Recruitment Solutions Limited</v>
      </c>
      <c r="J1301" s="23" t="n">
        <v>3</v>
      </c>
      <c r="K1301" s="23" t="n">
        <v>0</v>
      </c>
      <c r="L1301" s="23" t="n">
        <f>J1301+K1301</f>
        <v>3</v>
      </c>
      <c r="M1301" s="23" t="n">
        <v>3</v>
      </c>
      <c r="N1301" s="23" t="n">
        <v>3</v>
      </c>
      <c r="O1301" s="23" t="n">
        <v>2</v>
      </c>
      <c r="P1301" s="23" t="n">
        <v>2</v>
      </c>
      <c r="Q1301" s="23" t="n">
        <f>MIN(O1301,P1301)</f>
        <v>2</v>
      </c>
      <c r="R1301" s="25" t="n">
        <f>IF(M1301=0,0,MIN(1,L1301/M1301))</f>
        <v>1</v>
      </c>
      <c r="S1301" s="23" t="n">
        <f>O1301*R1301</f>
        <v>2</v>
      </c>
      <c r="T1301" s="23" t="n">
        <f>MIN(P1301,S1301)</f>
        <v>2</v>
      </c>
      <c r="U1301" s="23" t="n">
        <f>O1301-S1301</f>
        <v>0</v>
      </c>
      <c r="V1301" s="23" t="n">
        <f>MAX(P1301-O1301,0)</f>
        <v>0</v>
      </c>
    </row>
    <row r="1302">
      <c r="A1302" s="19" t="str">
        <v>英国区</v>
      </c>
      <c r="B1302" s="19" t="str">
        <v>伯明翰26号仓</v>
      </c>
      <c r="C1302" s="19" t="str">
        <v>拣货组</v>
      </c>
      <c r="D1302" s="21" t="n">
        <v>46190</v>
      </c>
      <c r="E1302" s="19" t="str">
        <v>2026-06</v>
      </c>
      <c r="F1302" s="19" t="str">
        <v>操作员</v>
      </c>
      <c r="G1302" s="19" t="str">
        <v>英国区09:00-17:30 / UK 09:00-17:30</v>
      </c>
      <c r="H1302" s="19" t="str">
        <v>S000013</v>
      </c>
      <c r="I1302" s="19" t="str">
        <v>FT Recruitment</v>
      </c>
      <c r="J1302" s="23" t="n">
        <v>1</v>
      </c>
      <c r="K1302" s="23" t="n">
        <v>0</v>
      </c>
      <c r="L1302" s="23" t="n">
        <f>J1302+K1302</f>
        <v>1</v>
      </c>
      <c r="M1302" s="23" t="n">
        <v>1</v>
      </c>
      <c r="N1302" s="23" t="n">
        <v>1</v>
      </c>
      <c r="O1302" s="23" t="n">
        <v>1</v>
      </c>
      <c r="P1302" s="23" t="n">
        <v>1</v>
      </c>
      <c r="Q1302" s="23" t="n">
        <f>MIN(O1302,P1302)</f>
        <v>1</v>
      </c>
      <c r="R1302" s="25" t="n">
        <f>IF(M1302=0,0,MIN(1,L1302/M1302))</f>
        <v>1</v>
      </c>
      <c r="S1302" s="23" t="n">
        <f>O1302*R1302</f>
        <v>1</v>
      </c>
      <c r="T1302" s="23" t="n">
        <f>MIN(P1302,S1302)</f>
        <v>1</v>
      </c>
      <c r="U1302" s="23" t="n">
        <f>O1302-S1302</f>
        <v>0</v>
      </c>
      <c r="V1302" s="23" t="n">
        <f>MAX(P1302-O1302,0)</f>
        <v>0</v>
      </c>
    </row>
    <row r="1303">
      <c r="A1303" s="19" t="str">
        <v>英国区</v>
      </c>
      <c r="B1303" s="19" t="str">
        <v>伯明翰26号仓</v>
      </c>
      <c r="C1303" s="19" t="str">
        <v>拣货组</v>
      </c>
      <c r="D1303" s="21" t="n">
        <v>46195</v>
      </c>
      <c r="E1303" s="19" t="str">
        <v>2026-06</v>
      </c>
      <c r="F1303" s="19" t="str">
        <v>操作员</v>
      </c>
      <c r="G1303" s="19" t="str">
        <v>英国区10:00-18:30 / UK 10:00-18:30</v>
      </c>
      <c r="H1303" s="19" t="str">
        <v>S000274</v>
      </c>
      <c r="I1303" s="19" t="str">
        <v>Jobsworth Recruitment Solutions Limited</v>
      </c>
      <c r="J1303" s="23" t="n">
        <v>2</v>
      </c>
      <c r="K1303" s="23" t="n">
        <v>0</v>
      </c>
      <c r="L1303" s="23" t="n">
        <f>J1303+K1303</f>
        <v>2</v>
      </c>
      <c r="M1303" s="23" t="n">
        <v>2</v>
      </c>
      <c r="N1303" s="23" t="n">
        <v>2</v>
      </c>
      <c r="O1303" s="23" t="n">
        <v>2</v>
      </c>
      <c r="P1303" s="23" t="n">
        <v>2</v>
      </c>
      <c r="Q1303" s="23" t="n">
        <f>MIN(O1303,P1303)</f>
        <v>2</v>
      </c>
      <c r="R1303" s="25" t="n">
        <f>IF(M1303=0,0,MIN(1,L1303/M1303))</f>
        <v>1</v>
      </c>
      <c r="S1303" s="23" t="n">
        <f>O1303*R1303</f>
        <v>2</v>
      </c>
      <c r="T1303" s="23" t="n">
        <f>MIN(P1303,S1303)</f>
        <v>2</v>
      </c>
      <c r="U1303" s="23" t="n">
        <f>O1303-S1303</f>
        <v>0</v>
      </c>
      <c r="V1303" s="23" t="n">
        <f>MAX(P1303-O1303,0)</f>
        <v>0</v>
      </c>
    </row>
    <row r="1304">
      <c r="A1304" s="19" t="str">
        <v>英国区</v>
      </c>
      <c r="B1304" s="19" t="str">
        <v>伯明翰26号仓</v>
      </c>
      <c r="C1304" s="19" t="str">
        <v>拣货组</v>
      </c>
      <c r="D1304" s="21" t="n">
        <v>46196</v>
      </c>
      <c r="E1304" s="19" t="str">
        <v>2026-06</v>
      </c>
      <c r="F1304" s="19" t="str">
        <v>操作员</v>
      </c>
      <c r="G1304" s="19" t="str">
        <v>英国区10:00-18:30 / UK 10:00-18:30</v>
      </c>
      <c r="H1304" s="19" t="str">
        <v>S000274</v>
      </c>
      <c r="I1304" s="19" t="str">
        <v>Jobsworth Recruitment Solutions Limited</v>
      </c>
      <c r="J1304" s="23" t="n">
        <v>1</v>
      </c>
      <c r="K1304" s="23" t="n">
        <v>0</v>
      </c>
      <c r="L1304" s="23" t="n">
        <f>J1304+K1304</f>
        <v>1</v>
      </c>
      <c r="M1304" s="23" t="n">
        <v>1</v>
      </c>
      <c r="N1304" s="23" t="n">
        <v>1</v>
      </c>
      <c r="O1304" s="23" t="n">
        <v>1</v>
      </c>
      <c r="P1304" s="23" t="n">
        <v>1</v>
      </c>
      <c r="Q1304" s="23" t="n">
        <f>MIN(O1304,P1304)</f>
        <v>1</v>
      </c>
      <c r="R1304" s="25" t="n">
        <f>IF(M1304=0,0,MIN(1,L1304/M1304))</f>
        <v>1</v>
      </c>
      <c r="S1304" s="23" t="n">
        <f>O1304*R1304</f>
        <v>1</v>
      </c>
      <c r="T1304" s="23" t="n">
        <f>MIN(P1304,S1304)</f>
        <v>1</v>
      </c>
      <c r="U1304" s="23" t="n">
        <f>O1304-S1304</f>
        <v>0</v>
      </c>
      <c r="V1304" s="23" t="n">
        <f>MAX(P1304-O1304,0)</f>
        <v>0</v>
      </c>
    </row>
    <row r="1305">
      <c r="A1305" s="19" t="str">
        <v>英国区</v>
      </c>
      <c r="B1305" s="19" t="str">
        <v>伯明翰26号仓</v>
      </c>
      <c r="C1305" s="19" t="str">
        <v>拣货组</v>
      </c>
      <c r="D1305" s="21" t="n">
        <v>46198</v>
      </c>
      <c r="E1305" s="19" t="str">
        <v>2026-06</v>
      </c>
      <c r="F1305" s="19" t="str">
        <v>操作员</v>
      </c>
      <c r="G1305" s="19" t="str">
        <v>英国区10:00-18:30 / UK 10:00-18:30</v>
      </c>
      <c r="H1305" s="19" t="str">
        <v>S000007</v>
      </c>
      <c r="I1305" s="19" t="str">
        <v>Kenect</v>
      </c>
      <c r="J1305" s="23" t="n">
        <v>3</v>
      </c>
      <c r="K1305" s="23" t="n">
        <v>0</v>
      </c>
      <c r="L1305" s="23" t="n">
        <f>J1305+K1305</f>
        <v>3</v>
      </c>
      <c r="M1305" s="23" t="n">
        <v>3</v>
      </c>
      <c r="N1305" s="23" t="n">
        <v>3</v>
      </c>
      <c r="O1305" s="23" t="n">
        <v>3</v>
      </c>
      <c r="P1305" s="23" t="n">
        <v>3</v>
      </c>
      <c r="Q1305" s="23" t="n">
        <f>MIN(O1305,P1305)</f>
        <v>3</v>
      </c>
      <c r="R1305" s="25" t="n">
        <f>IF(M1305=0,0,MIN(1,L1305/M1305))</f>
        <v>1</v>
      </c>
      <c r="S1305" s="23" t="n">
        <f>O1305*R1305</f>
        <v>3</v>
      </c>
      <c r="T1305" s="23" t="n">
        <f>MIN(P1305,S1305)</f>
        <v>3</v>
      </c>
      <c r="U1305" s="23" t="n">
        <f>O1305-S1305</f>
        <v>0</v>
      </c>
      <c r="V1305" s="23" t="n">
        <f>MAX(P1305-O1305,0)</f>
        <v>0</v>
      </c>
    </row>
    <row r="1306">
      <c r="A1306" s="19" t="str">
        <v>英国区</v>
      </c>
      <c r="B1306" s="19" t="str">
        <v>伯明翰26号仓</v>
      </c>
      <c r="C1306" s="19" t="str">
        <v>拣货组</v>
      </c>
      <c r="D1306" s="21" t="n">
        <v>46199</v>
      </c>
      <c r="E1306" s="19" t="str">
        <v>2026-06</v>
      </c>
      <c r="F1306" s="19" t="str">
        <v>操作员</v>
      </c>
      <c r="G1306" s="19" t="str">
        <v>英国区10:00-18:30 / UK 10:00-18:30</v>
      </c>
      <c r="H1306" s="19" t="str">
        <v>S000274</v>
      </c>
      <c r="I1306" s="19" t="str">
        <v>Jobsworth Recruitment Solutions Limited</v>
      </c>
      <c r="J1306" s="23" t="n">
        <v>3</v>
      </c>
      <c r="K1306" s="23" t="n">
        <v>0</v>
      </c>
      <c r="L1306" s="23" t="n">
        <f>J1306+K1306</f>
        <v>3</v>
      </c>
      <c r="M1306" s="23" t="n">
        <v>3</v>
      </c>
      <c r="N1306" s="23" t="n">
        <v>3</v>
      </c>
      <c r="O1306" s="23" t="n">
        <v>3</v>
      </c>
      <c r="P1306" s="23" t="n">
        <v>3</v>
      </c>
      <c r="Q1306" s="23" t="n">
        <f>MIN(O1306,P1306)</f>
        <v>3</v>
      </c>
      <c r="R1306" s="25" t="n">
        <f>IF(M1306=0,0,MIN(1,L1306/M1306))</f>
        <v>1</v>
      </c>
      <c r="S1306" s="23" t="n">
        <f>O1306*R1306</f>
        <v>3</v>
      </c>
      <c r="T1306" s="23" t="n">
        <f>MIN(P1306,S1306)</f>
        <v>3</v>
      </c>
      <c r="U1306" s="23" t="n">
        <f>O1306-S1306</f>
        <v>0</v>
      </c>
      <c r="V1306" s="23" t="n">
        <f>MAX(P1306-O1306,0)</f>
        <v>0</v>
      </c>
    </row>
    <row r="1307">
      <c r="A1307" s="19" t="str">
        <v>英国区</v>
      </c>
      <c r="B1307" s="19" t="str">
        <v>伯明翰26号仓</v>
      </c>
      <c r="C1307" s="19" t="str">
        <v>拣货组</v>
      </c>
      <c r="D1307" s="21" t="n">
        <v>46202</v>
      </c>
      <c r="E1307" s="19" t="str">
        <v>2026-06</v>
      </c>
      <c r="F1307" s="19" t="str">
        <v>操作员</v>
      </c>
      <c r="G1307" s="19" t="str">
        <v>英国区09:00-17:30 / UK 09:00-17:30</v>
      </c>
      <c r="H1307" s="19" t="str">
        <v>S000274</v>
      </c>
      <c r="I1307" s="19" t="str">
        <v>Jobsworth Recruitment Solutions Limited</v>
      </c>
      <c r="J1307" s="23" t="n">
        <v>3</v>
      </c>
      <c r="K1307" s="23" t="n">
        <v>0</v>
      </c>
      <c r="L1307" s="23" t="n">
        <f>J1307+K1307</f>
        <v>3</v>
      </c>
      <c r="M1307" s="23" t="n">
        <v>3</v>
      </c>
      <c r="N1307" s="23" t="n">
        <v>3</v>
      </c>
      <c r="O1307" s="23" t="n">
        <v>3</v>
      </c>
      <c r="P1307" s="23" t="n">
        <v>3</v>
      </c>
      <c r="Q1307" s="23" t="n">
        <f>MIN(O1307,P1307)</f>
        <v>3</v>
      </c>
      <c r="R1307" s="25" t="n">
        <f>IF(M1307=0,0,MIN(1,L1307/M1307))</f>
        <v>1</v>
      </c>
      <c r="S1307" s="23" t="n">
        <f>O1307*R1307</f>
        <v>3</v>
      </c>
      <c r="T1307" s="23" t="n">
        <f>MIN(P1307,S1307)</f>
        <v>3</v>
      </c>
      <c r="U1307" s="23" t="n">
        <f>O1307-S1307</f>
        <v>0</v>
      </c>
      <c r="V1307" s="23" t="n">
        <f>MAX(P1307-O1307,0)</f>
        <v>0</v>
      </c>
    </row>
    <row r="1308">
      <c r="A1308" s="19" t="str">
        <v>英国区</v>
      </c>
      <c r="B1308" s="19" t="str">
        <v>伯明翰26号仓</v>
      </c>
      <c r="C1308" s="19" t="str">
        <v>拣货组</v>
      </c>
      <c r="D1308" s="21" t="n">
        <v>46203</v>
      </c>
      <c r="E1308" s="19" t="str">
        <v>2026-06</v>
      </c>
      <c r="F1308" s="19" t="str">
        <v>操作员</v>
      </c>
      <c r="G1308" s="19" t="str">
        <v>英国区10:00-18:30 / UK 10:00-18:30</v>
      </c>
      <c r="H1308" s="19" t="str">
        <v>S000007</v>
      </c>
      <c r="I1308" s="19" t="str">
        <v>Kenect</v>
      </c>
      <c r="J1308" s="23" t="n">
        <v>1</v>
      </c>
      <c r="K1308" s="23" t="n">
        <v>0</v>
      </c>
      <c r="L1308" s="23" t="n">
        <f>J1308+K1308</f>
        <v>1</v>
      </c>
      <c r="M1308" s="23" t="n">
        <v>1</v>
      </c>
      <c r="N1308" s="23" t="n">
        <v>1</v>
      </c>
      <c r="O1308" s="23" t="n">
        <v>1</v>
      </c>
      <c r="P1308" s="23" t="n">
        <v>1</v>
      </c>
      <c r="Q1308" s="23" t="n">
        <f>MIN(O1308,P1308)</f>
        <v>1</v>
      </c>
      <c r="R1308" s="25" t="n">
        <f>IF(M1308=0,0,MIN(1,L1308/M1308))</f>
        <v>1</v>
      </c>
      <c r="S1308" s="23" t="n">
        <f>O1308*R1308</f>
        <v>1</v>
      </c>
      <c r="T1308" s="23" t="n">
        <f>MIN(P1308,S1308)</f>
        <v>1</v>
      </c>
      <c r="U1308" s="23" t="n">
        <f>O1308-S1308</f>
        <v>0</v>
      </c>
      <c r="V1308" s="23" t="n">
        <f>MAX(P1308-O1308,0)</f>
        <v>0</v>
      </c>
    </row>
    <row r="1309">
      <c r="A1309" s="19" t="str">
        <v>英国区</v>
      </c>
      <c r="B1309" s="19" t="str">
        <v>伯明翰26号仓</v>
      </c>
      <c r="C1309" s="19" t="str">
        <v>理货组</v>
      </c>
      <c r="D1309" s="21" t="n">
        <v>46198</v>
      </c>
      <c r="E1309" s="19" t="str">
        <v>2026-06</v>
      </c>
      <c r="F1309" s="19" t="str">
        <v>操作员</v>
      </c>
      <c r="G1309" s="19" t="str">
        <v>英国区10:00-18:30 / UK 10:00-18:30</v>
      </c>
      <c r="H1309" s="19" t="str">
        <v>S000274</v>
      </c>
      <c r="I1309" s="19" t="str">
        <v>Jobsworth Recruitment Solutions Limited</v>
      </c>
      <c r="J1309" s="23" t="n">
        <v>5</v>
      </c>
      <c r="K1309" s="23" t="n">
        <v>0</v>
      </c>
      <c r="L1309" s="23" t="n">
        <f>J1309+K1309</f>
        <v>5</v>
      </c>
      <c r="M1309" s="23" t="n">
        <v>5</v>
      </c>
      <c r="N1309" s="23" t="n">
        <v>5</v>
      </c>
      <c r="O1309" s="23" t="n">
        <v>5</v>
      </c>
      <c r="P1309" s="23" t="n">
        <v>5</v>
      </c>
      <c r="Q1309" s="23" t="n">
        <f>MIN(O1309,P1309)</f>
        <v>5</v>
      </c>
      <c r="R1309" s="25" t="n">
        <f>IF(M1309=0,0,MIN(1,L1309/M1309))</f>
        <v>1</v>
      </c>
      <c r="S1309" s="23" t="n">
        <f>O1309*R1309</f>
        <v>5</v>
      </c>
      <c r="T1309" s="23" t="n">
        <f>MIN(P1309,S1309)</f>
        <v>5</v>
      </c>
      <c r="U1309" s="23" t="n">
        <f>O1309-S1309</f>
        <v>0</v>
      </c>
      <c r="V1309" s="23" t="n">
        <f>MAX(P1309-O1309,0)</f>
        <v>0</v>
      </c>
    </row>
    <row r="1310">
      <c r="A1310" s="19" t="str">
        <v>英国区</v>
      </c>
      <c r="B1310" s="19" t="str">
        <v>伯明翰2号仓</v>
      </c>
      <c r="C1310" s="19" t="str">
        <v>交运组</v>
      </c>
      <c r="D1310" s="21" t="n">
        <v>46126</v>
      </c>
      <c r="E1310" s="19" t="str">
        <v>2026-04</v>
      </c>
      <c r="F1310" s="19" t="str">
        <v>操作员</v>
      </c>
      <c r="G1310" s="19" t="str">
        <v>英国灵活（6小时扣午休） / UK FLEX (6-HR LUNCH BREAK DEDUCTED)</v>
      </c>
      <c r="H1310" s="19" t="str">
        <v>S000289</v>
      </c>
      <c r="I1310" s="19" t="str">
        <v>Staffzilla Limited</v>
      </c>
      <c r="J1310" s="23" t="n">
        <v>3</v>
      </c>
      <c r="K1310" s="23" t="n">
        <v>0</v>
      </c>
      <c r="L1310" s="23" t="n">
        <f>J1310+K1310</f>
        <v>3</v>
      </c>
      <c r="M1310" s="23" t="n">
        <v>3</v>
      </c>
      <c r="N1310" s="23" t="n">
        <v>3</v>
      </c>
      <c r="O1310" s="23" t="n">
        <v>3</v>
      </c>
      <c r="P1310" s="23" t="n">
        <v>3</v>
      </c>
      <c r="Q1310" s="23" t="n">
        <f>MIN(O1310,P1310)</f>
        <v>3</v>
      </c>
      <c r="R1310" s="25" t="n">
        <f>IF(M1310=0,0,MIN(1,L1310/M1310))</f>
        <v>1</v>
      </c>
      <c r="S1310" s="23" t="n">
        <f>O1310*R1310</f>
        <v>3</v>
      </c>
      <c r="T1310" s="23" t="n">
        <f>MIN(P1310,S1310)</f>
        <v>3</v>
      </c>
      <c r="U1310" s="23" t="n">
        <f>O1310-S1310</f>
        <v>0</v>
      </c>
      <c r="V1310" s="23" t="n">
        <f>MAX(P1310-O1310,0)</f>
        <v>0</v>
      </c>
    </row>
    <row r="1311">
      <c r="A1311" s="19" t="str">
        <v>英国区</v>
      </c>
      <c r="B1311" s="19" t="str">
        <v>伯明翰2号仓</v>
      </c>
      <c r="C1311" s="19" t="str">
        <v>交运组</v>
      </c>
      <c r="D1311" s="21" t="n">
        <v>46136</v>
      </c>
      <c r="E1311" s="19" t="str">
        <v>2026-04</v>
      </c>
      <c r="F1311" s="19" t="str">
        <v>操作员</v>
      </c>
      <c r="G1311" s="19" t="str">
        <v>英国灵活（6小时扣午休） / UK FLEX (6-HR LUNCH BREAK DEDUCTED)</v>
      </c>
      <c r="H1311" s="19" t="str">
        <v>S000011</v>
      </c>
      <c r="I1311" s="19" t="str">
        <v>SD4U</v>
      </c>
      <c r="J1311" s="23" t="n">
        <v>2</v>
      </c>
      <c r="K1311" s="23" t="n">
        <v>0</v>
      </c>
      <c r="L1311" s="23" t="n">
        <f>J1311+K1311</f>
        <v>2</v>
      </c>
      <c r="M1311" s="23" t="n">
        <v>2</v>
      </c>
      <c r="N1311" s="23" t="n">
        <v>2</v>
      </c>
      <c r="O1311" s="23" t="n">
        <v>2</v>
      </c>
      <c r="P1311" s="23" t="n">
        <v>2</v>
      </c>
      <c r="Q1311" s="23" t="n">
        <f>MIN(O1311,P1311)</f>
        <v>2</v>
      </c>
      <c r="R1311" s="25" t="n">
        <f>IF(M1311=0,0,MIN(1,L1311/M1311))</f>
        <v>1</v>
      </c>
      <c r="S1311" s="23" t="n">
        <f>O1311*R1311</f>
        <v>2</v>
      </c>
      <c r="T1311" s="23" t="n">
        <f>MIN(P1311,S1311)</f>
        <v>2</v>
      </c>
      <c r="U1311" s="23" t="n">
        <f>O1311-S1311</f>
        <v>0</v>
      </c>
      <c r="V1311" s="23" t="n">
        <f>MAX(P1311-O1311,0)</f>
        <v>0</v>
      </c>
    </row>
    <row r="1312">
      <c r="A1312" s="19" t="str">
        <v>英国区</v>
      </c>
      <c r="B1312" s="19" t="str">
        <v>伯明翰2号仓</v>
      </c>
      <c r="C1312" s="19" t="str">
        <v>交运组</v>
      </c>
      <c r="D1312" s="21" t="n">
        <v>46174</v>
      </c>
      <c r="E1312" s="19" t="str">
        <v>2026-06</v>
      </c>
      <c r="F1312" s="19" t="str">
        <v>操作员</v>
      </c>
      <c r="G1312" s="19" t="str">
        <v>英国区11:00-19:30 / UK 11:00-19:30</v>
      </c>
      <c r="H1312" s="19" t="str">
        <v>S000274</v>
      </c>
      <c r="I1312" s="19" t="str">
        <v>Jobsworth Recruitment Solutions Limited</v>
      </c>
      <c r="J1312" s="23" t="n">
        <v>2</v>
      </c>
      <c r="K1312" s="23" t="n">
        <v>0</v>
      </c>
      <c r="L1312" s="23" t="n">
        <f>J1312+K1312</f>
        <v>2</v>
      </c>
      <c r="M1312" s="23" t="n">
        <v>2</v>
      </c>
      <c r="N1312" s="23" t="n">
        <v>2</v>
      </c>
      <c r="O1312" s="23" t="n">
        <v>2</v>
      </c>
      <c r="P1312" s="23" t="n">
        <v>2</v>
      </c>
      <c r="Q1312" s="23" t="n">
        <f>MIN(O1312,P1312)</f>
        <v>2</v>
      </c>
      <c r="R1312" s="25" t="n">
        <f>IF(M1312=0,0,MIN(1,L1312/M1312))</f>
        <v>1</v>
      </c>
      <c r="S1312" s="23" t="n">
        <f>O1312*R1312</f>
        <v>2</v>
      </c>
      <c r="T1312" s="23" t="n">
        <f>MIN(P1312,S1312)</f>
        <v>2</v>
      </c>
      <c r="U1312" s="23" t="n">
        <f>O1312-S1312</f>
        <v>0</v>
      </c>
      <c r="V1312" s="23" t="n">
        <f>MAX(P1312-O1312,0)</f>
        <v>0</v>
      </c>
    </row>
    <row r="1313">
      <c r="A1313" s="19" t="str">
        <v>英国区</v>
      </c>
      <c r="B1313" s="19" t="str">
        <v>伯明翰2号仓</v>
      </c>
      <c r="C1313" s="19" t="str">
        <v>交运组</v>
      </c>
      <c r="D1313" s="21" t="n">
        <v>46197</v>
      </c>
      <c r="E1313" s="19" t="str">
        <v>2026-06</v>
      </c>
      <c r="F1313" s="19" t="str">
        <v>操作员</v>
      </c>
      <c r="G1313" s="19" t="str">
        <v>英国灵活（6小时扣午休） / UK FLEX (6-HR LUNCH BREAK DEDUCTED)</v>
      </c>
      <c r="H1313" s="19" t="str">
        <v>S000331</v>
      </c>
      <c r="I1313" s="19" t="str">
        <v>Employment of London Limited</v>
      </c>
      <c r="J1313" s="23" t="n">
        <v>2</v>
      </c>
      <c r="K1313" s="23" t="n">
        <v>0</v>
      </c>
      <c r="L1313" s="23" t="n">
        <f>J1313+K1313</f>
        <v>2</v>
      </c>
      <c r="M1313" s="23" t="n">
        <v>2</v>
      </c>
      <c r="N1313" s="23" t="n">
        <v>2</v>
      </c>
      <c r="O1313" s="23" t="n">
        <v>2</v>
      </c>
      <c r="P1313" s="23" t="n">
        <v>2</v>
      </c>
      <c r="Q1313" s="23" t="n">
        <f>MIN(O1313,P1313)</f>
        <v>2</v>
      </c>
      <c r="R1313" s="25" t="n">
        <f>IF(M1313=0,0,MIN(1,L1313/M1313))</f>
        <v>1</v>
      </c>
      <c r="S1313" s="23" t="n">
        <f>O1313*R1313</f>
        <v>2</v>
      </c>
      <c r="T1313" s="23" t="n">
        <f>MIN(P1313,S1313)</f>
        <v>2</v>
      </c>
      <c r="U1313" s="23" t="n">
        <f>O1313-S1313</f>
        <v>0</v>
      </c>
      <c r="V1313" s="23" t="n">
        <f>MAX(P1313-O1313,0)</f>
        <v>0</v>
      </c>
    </row>
    <row r="1314">
      <c r="A1314" s="19" t="str">
        <v>英国区</v>
      </c>
      <c r="B1314" s="19" t="str">
        <v>伯明翰2号仓</v>
      </c>
      <c r="C1314" s="19" t="str">
        <v>交运组</v>
      </c>
      <c r="D1314" s="21" t="n">
        <v>46198</v>
      </c>
      <c r="E1314" s="19" t="str">
        <v>2026-06</v>
      </c>
      <c r="F1314" s="19" t="str">
        <v>操作员</v>
      </c>
      <c r="G1314" s="19" t="str">
        <v>英国灵活（6小时扣午休） / UK FLEX (6-HR LUNCH BREAK DEDUCTED)</v>
      </c>
      <c r="H1314" s="19" t="str">
        <v>S000331</v>
      </c>
      <c r="I1314" s="19" t="str">
        <v>Employment of London Limited</v>
      </c>
      <c r="J1314" s="23" t="n">
        <v>2</v>
      </c>
      <c r="K1314" s="23" t="n">
        <v>0</v>
      </c>
      <c r="L1314" s="23" t="n">
        <f>J1314+K1314</f>
        <v>2</v>
      </c>
      <c r="M1314" s="23" t="n">
        <v>2</v>
      </c>
      <c r="N1314" s="23" t="n">
        <v>2</v>
      </c>
      <c r="O1314" s="23" t="n">
        <v>2</v>
      </c>
      <c r="P1314" s="23" t="n">
        <v>2</v>
      </c>
      <c r="Q1314" s="23" t="n">
        <f>MIN(O1314,P1314)</f>
        <v>2</v>
      </c>
      <c r="R1314" s="25" t="n">
        <f>IF(M1314=0,0,MIN(1,L1314/M1314))</f>
        <v>1</v>
      </c>
      <c r="S1314" s="23" t="n">
        <f>O1314*R1314</f>
        <v>2</v>
      </c>
      <c r="T1314" s="23" t="n">
        <f>MIN(P1314,S1314)</f>
        <v>2</v>
      </c>
      <c r="U1314" s="23" t="n">
        <f>O1314-S1314</f>
        <v>0</v>
      </c>
      <c r="V1314" s="23" t="n">
        <f>MAX(P1314-O1314,0)</f>
        <v>0</v>
      </c>
    </row>
    <row r="1315">
      <c r="A1315" s="19" t="str">
        <v>英国区</v>
      </c>
      <c r="B1315" s="19" t="str">
        <v>伯明翰2号仓</v>
      </c>
      <c r="C1315" s="19" t="str">
        <v>交运组</v>
      </c>
      <c r="D1315" s="21" t="n">
        <v>46199</v>
      </c>
      <c r="E1315" s="19" t="str">
        <v>2026-06</v>
      </c>
      <c r="F1315" s="19" t="str">
        <v>操作员</v>
      </c>
      <c r="G1315" s="19" t="str">
        <v>英国灵活（6小时扣午休） / UK FLEX (6-HR LUNCH BREAK DEDUCTED)</v>
      </c>
      <c r="H1315" s="19" t="str">
        <v>S000331</v>
      </c>
      <c r="I1315" s="19" t="str">
        <v>Employment of London Limited</v>
      </c>
      <c r="J1315" s="23" t="n">
        <v>2</v>
      </c>
      <c r="K1315" s="23" t="n">
        <v>0</v>
      </c>
      <c r="L1315" s="23" t="n">
        <f>J1315+K1315</f>
        <v>2</v>
      </c>
      <c r="M1315" s="23" t="n">
        <v>2</v>
      </c>
      <c r="N1315" s="23" t="n">
        <v>2</v>
      </c>
      <c r="O1315" s="23" t="n">
        <v>2</v>
      </c>
      <c r="P1315" s="23" t="n">
        <v>2</v>
      </c>
      <c r="Q1315" s="23" t="n">
        <f>MIN(O1315,P1315)</f>
        <v>2</v>
      </c>
      <c r="R1315" s="25" t="n">
        <f>IF(M1315=0,0,MIN(1,L1315/M1315))</f>
        <v>1</v>
      </c>
      <c r="S1315" s="23" t="n">
        <f>O1315*R1315</f>
        <v>2</v>
      </c>
      <c r="T1315" s="23" t="n">
        <f>MIN(P1315,S1315)</f>
        <v>2</v>
      </c>
      <c r="U1315" s="23" t="n">
        <f>O1315-S1315</f>
        <v>0</v>
      </c>
      <c r="V1315" s="23" t="n">
        <f>MAX(P1315-O1315,0)</f>
        <v>0</v>
      </c>
    </row>
    <row r="1316">
      <c r="A1316" s="19" t="str">
        <v>英国区</v>
      </c>
      <c r="B1316" s="19" t="str">
        <v>伯明翰2号仓</v>
      </c>
      <c r="C1316" s="19" t="str">
        <v>入库组</v>
      </c>
      <c r="D1316" s="21" t="n">
        <v>46113</v>
      </c>
      <c r="E1316" s="19" t="str">
        <v>2026-04</v>
      </c>
      <c r="F1316" s="19" t="str">
        <v>操作员</v>
      </c>
      <c r="G1316" s="19" t="str">
        <v>英国区07:00-15:30 / UK 07:00-15:30</v>
      </c>
      <c r="H1316" s="19" t="str">
        <v>S000132</v>
      </c>
      <c r="I1316" s="19" t="str">
        <v>HRA Recruitment Services</v>
      </c>
      <c r="J1316" s="23" t="n">
        <v>10</v>
      </c>
      <c r="K1316" s="23" t="n">
        <v>0</v>
      </c>
      <c r="L1316" s="23" t="n">
        <f>J1316+K1316</f>
        <v>10</v>
      </c>
      <c r="M1316" s="23" t="n">
        <v>10</v>
      </c>
      <c r="N1316" s="23" t="n">
        <v>10</v>
      </c>
      <c r="O1316" s="23" t="n">
        <v>10</v>
      </c>
      <c r="P1316" s="23" t="n">
        <v>10</v>
      </c>
      <c r="Q1316" s="23" t="n">
        <f>MIN(O1316,P1316)</f>
        <v>10</v>
      </c>
      <c r="R1316" s="25" t="n">
        <f>IF(M1316=0,0,MIN(1,L1316/M1316))</f>
        <v>1</v>
      </c>
      <c r="S1316" s="23" t="n">
        <f>O1316*R1316</f>
        <v>10</v>
      </c>
      <c r="T1316" s="23" t="n">
        <f>MIN(P1316,S1316)</f>
        <v>10</v>
      </c>
      <c r="U1316" s="23" t="n">
        <f>O1316-S1316</f>
        <v>0</v>
      </c>
      <c r="V1316" s="23" t="n">
        <f>MAX(P1316-O1316,0)</f>
        <v>0</v>
      </c>
    </row>
    <row r="1317">
      <c r="A1317" s="19" t="str">
        <v>英国区</v>
      </c>
      <c r="B1317" s="19" t="str">
        <v>伯明翰2号仓</v>
      </c>
      <c r="C1317" s="19" t="str">
        <v>入库组</v>
      </c>
      <c r="D1317" s="21" t="n">
        <v>46113</v>
      </c>
      <c r="E1317" s="19" t="str">
        <v>2026-04</v>
      </c>
      <c r="F1317" s="19" t="str">
        <v>操作员</v>
      </c>
      <c r="G1317" s="19" t="str">
        <v>英国区09:00-17:30 / UK 09:00-17:30</v>
      </c>
      <c r="H1317" s="19" t="str">
        <v>S000007</v>
      </c>
      <c r="I1317" s="19" t="str">
        <v>Kenect</v>
      </c>
      <c r="J1317" s="23" t="n">
        <v>10</v>
      </c>
      <c r="K1317" s="23" t="n">
        <v>0</v>
      </c>
      <c r="L1317" s="23" t="n">
        <f>J1317+K1317</f>
        <v>10</v>
      </c>
      <c r="M1317" s="23" t="n">
        <v>10</v>
      </c>
      <c r="N1317" s="23" t="n">
        <v>10</v>
      </c>
      <c r="O1317" s="23" t="n">
        <v>5</v>
      </c>
      <c r="P1317" s="23" t="n">
        <v>5</v>
      </c>
      <c r="Q1317" s="23" t="n">
        <f>MIN(O1317,P1317)</f>
        <v>5</v>
      </c>
      <c r="R1317" s="25" t="n">
        <f>IF(M1317=0,0,MIN(1,L1317/M1317))</f>
        <v>1</v>
      </c>
      <c r="S1317" s="23" t="n">
        <f>O1317*R1317</f>
        <v>5</v>
      </c>
      <c r="T1317" s="23" t="n">
        <f>MIN(P1317,S1317)</f>
        <v>5</v>
      </c>
      <c r="U1317" s="23" t="n">
        <f>O1317-S1317</f>
        <v>0</v>
      </c>
      <c r="V1317" s="23" t="n">
        <f>MAX(P1317-O1317,0)</f>
        <v>0</v>
      </c>
    </row>
    <row r="1318">
      <c r="A1318" s="19" t="str">
        <v>英国区</v>
      </c>
      <c r="B1318" s="19" t="str">
        <v>伯明翰2号仓</v>
      </c>
      <c r="C1318" s="19" t="str">
        <v>入库组</v>
      </c>
      <c r="D1318" s="21" t="n">
        <v>46113</v>
      </c>
      <c r="E1318" s="19" t="str">
        <v>2026-04</v>
      </c>
      <c r="F1318" s="19" t="str">
        <v>操作员</v>
      </c>
      <c r="G1318" s="19" t="str">
        <v>英国区09:00-17:30 / UK 09:00-17:30</v>
      </c>
      <c r="H1318" s="19" t="str">
        <v>S000274</v>
      </c>
      <c r="I1318" s="19" t="str">
        <v>Jobsworth Recruitment Solutions Limited</v>
      </c>
      <c r="J1318" s="23" t="n">
        <v>10</v>
      </c>
      <c r="K1318" s="23" t="n">
        <v>0</v>
      </c>
      <c r="L1318" s="23" t="n">
        <f>J1318+K1318</f>
        <v>10</v>
      </c>
      <c r="M1318" s="23" t="n">
        <v>10</v>
      </c>
      <c r="N1318" s="23" t="n">
        <v>10</v>
      </c>
      <c r="O1318" s="23" t="n">
        <v>5</v>
      </c>
      <c r="P1318" s="23" t="n">
        <v>5</v>
      </c>
      <c r="Q1318" s="23" t="n">
        <f>MIN(O1318,P1318)</f>
        <v>5</v>
      </c>
      <c r="R1318" s="25" t="n">
        <f>IF(M1318=0,0,MIN(1,L1318/M1318))</f>
        <v>1</v>
      </c>
      <c r="S1318" s="23" t="n">
        <f>O1318*R1318</f>
        <v>5</v>
      </c>
      <c r="T1318" s="23" t="n">
        <f>MIN(P1318,S1318)</f>
        <v>5</v>
      </c>
      <c r="U1318" s="23" t="n">
        <f>O1318-S1318</f>
        <v>0</v>
      </c>
      <c r="V1318" s="23" t="n">
        <f>MAX(P1318-O1318,0)</f>
        <v>0</v>
      </c>
    </row>
    <row r="1319">
      <c r="A1319" s="19" t="str">
        <v>英国区</v>
      </c>
      <c r="B1319" s="19" t="str">
        <v>伯明翰2号仓</v>
      </c>
      <c r="C1319" s="19" t="str">
        <v>入库组</v>
      </c>
      <c r="D1319" s="21" t="n">
        <v>46113</v>
      </c>
      <c r="E1319" s="19" t="str">
        <v>2026-04</v>
      </c>
      <c r="F1319" s="19" t="str">
        <v>操作员</v>
      </c>
      <c r="G1319" s="19" t="str">
        <v>英国区11:00-19:30 / UK 11:00-19:30</v>
      </c>
      <c r="H1319" s="19" t="str">
        <v>S000289</v>
      </c>
      <c r="I1319" s="19" t="str">
        <v>Staffzilla Limited</v>
      </c>
      <c r="J1319" s="23" t="n">
        <v>5</v>
      </c>
      <c r="K1319" s="23" t="n">
        <v>0</v>
      </c>
      <c r="L1319" s="23" t="n">
        <f>J1319+K1319</f>
        <v>5</v>
      </c>
      <c r="M1319" s="23" t="n">
        <v>5</v>
      </c>
      <c r="N1319" s="23" t="n">
        <v>5</v>
      </c>
      <c r="O1319" s="23" t="n">
        <v>5</v>
      </c>
      <c r="P1319" s="23" t="n">
        <v>5</v>
      </c>
      <c r="Q1319" s="23" t="n">
        <f>MIN(O1319,P1319)</f>
        <v>5</v>
      </c>
      <c r="R1319" s="25" t="n">
        <f>IF(M1319=0,0,MIN(1,L1319/M1319))</f>
        <v>1</v>
      </c>
      <c r="S1319" s="23" t="n">
        <f>O1319*R1319</f>
        <v>5</v>
      </c>
      <c r="T1319" s="23" t="n">
        <f>MIN(P1319,S1319)</f>
        <v>5</v>
      </c>
      <c r="U1319" s="23" t="n">
        <f>O1319-S1319</f>
        <v>0</v>
      </c>
      <c r="V1319" s="23" t="n">
        <f>MAX(P1319-O1319,0)</f>
        <v>0</v>
      </c>
    </row>
    <row r="1320">
      <c r="A1320" s="19" t="str">
        <v>英国区</v>
      </c>
      <c r="B1320" s="19" t="str">
        <v>伯明翰2号仓</v>
      </c>
      <c r="C1320" s="19" t="str">
        <v>入库组</v>
      </c>
      <c r="D1320" s="21" t="n">
        <v>46114</v>
      </c>
      <c r="E1320" s="19" t="str">
        <v>2026-04</v>
      </c>
      <c r="F1320" s="19" t="str">
        <v>操作员</v>
      </c>
      <c r="G1320" s="19" t="str">
        <v>英国区07:00-15:30 / UK 07:00-15:30</v>
      </c>
      <c r="H1320" s="19" t="str">
        <v>S000011</v>
      </c>
      <c r="I1320" s="19" t="str">
        <v>SD4U</v>
      </c>
      <c r="J1320" s="23" t="n">
        <v>10</v>
      </c>
      <c r="K1320" s="23" t="n">
        <v>0</v>
      </c>
      <c r="L1320" s="23" t="n">
        <f>J1320+K1320</f>
        <v>10</v>
      </c>
      <c r="M1320" s="23" t="n">
        <v>10</v>
      </c>
      <c r="N1320" s="23" t="n">
        <v>10</v>
      </c>
      <c r="O1320" s="23" t="n">
        <v>5</v>
      </c>
      <c r="P1320" s="23" t="n">
        <v>5</v>
      </c>
      <c r="Q1320" s="23" t="n">
        <f>MIN(O1320,P1320)</f>
        <v>5</v>
      </c>
      <c r="R1320" s="25" t="n">
        <f>IF(M1320=0,0,MIN(1,L1320/M1320))</f>
        <v>1</v>
      </c>
      <c r="S1320" s="23" t="n">
        <f>O1320*R1320</f>
        <v>5</v>
      </c>
      <c r="T1320" s="23" t="n">
        <f>MIN(P1320,S1320)</f>
        <v>5</v>
      </c>
      <c r="U1320" s="23" t="n">
        <f>O1320-S1320</f>
        <v>0</v>
      </c>
      <c r="V1320" s="23" t="n">
        <f>MAX(P1320-O1320,0)</f>
        <v>0</v>
      </c>
    </row>
    <row r="1321">
      <c r="A1321" s="19" t="str">
        <v>英国区</v>
      </c>
      <c r="B1321" s="19" t="str">
        <v>伯明翰2号仓</v>
      </c>
      <c r="C1321" s="19" t="str">
        <v>入库组</v>
      </c>
      <c r="D1321" s="21" t="n">
        <v>46114</v>
      </c>
      <c r="E1321" s="19" t="str">
        <v>2026-04</v>
      </c>
      <c r="F1321" s="19" t="str">
        <v>操作员</v>
      </c>
      <c r="G1321" s="19" t="str">
        <v>英国区07:00-15:30 / UK 07:00-15:30</v>
      </c>
      <c r="H1321" s="19" t="str">
        <v>S000132</v>
      </c>
      <c r="I1321" s="19" t="str">
        <v>HRA Recruitment Services</v>
      </c>
      <c r="J1321" s="23" t="n">
        <v>10</v>
      </c>
      <c r="K1321" s="23" t="n">
        <v>0</v>
      </c>
      <c r="L1321" s="23" t="n">
        <f>J1321+K1321</f>
        <v>10</v>
      </c>
      <c r="M1321" s="23" t="n">
        <v>10</v>
      </c>
      <c r="N1321" s="23" t="n">
        <v>10</v>
      </c>
      <c r="O1321" s="23" t="n">
        <v>5</v>
      </c>
      <c r="P1321" s="23" t="n">
        <v>5</v>
      </c>
      <c r="Q1321" s="23" t="n">
        <f>MIN(O1321,P1321)</f>
        <v>5</v>
      </c>
      <c r="R1321" s="25" t="n">
        <f>IF(M1321=0,0,MIN(1,L1321/M1321))</f>
        <v>1</v>
      </c>
      <c r="S1321" s="23" t="n">
        <f>O1321*R1321</f>
        <v>5</v>
      </c>
      <c r="T1321" s="23" t="n">
        <f>MIN(P1321,S1321)</f>
        <v>5</v>
      </c>
      <c r="U1321" s="23" t="n">
        <f>O1321-S1321</f>
        <v>0</v>
      </c>
      <c r="V1321" s="23" t="n">
        <f>MAX(P1321-O1321,0)</f>
        <v>0</v>
      </c>
    </row>
    <row r="1322">
      <c r="A1322" s="19" t="str">
        <v>英国区</v>
      </c>
      <c r="B1322" s="19" t="str">
        <v>伯明翰2号仓</v>
      </c>
      <c r="C1322" s="19" t="str">
        <v>入库组</v>
      </c>
      <c r="D1322" s="21" t="n">
        <v>46120</v>
      </c>
      <c r="E1322" s="19" t="str">
        <v>2026-04</v>
      </c>
      <c r="F1322" s="19" t="str">
        <v>操作员</v>
      </c>
      <c r="G1322" s="19" t="str">
        <v>英国区07:00-15:30 / UK 07:00-15:30</v>
      </c>
      <c r="H1322" s="19" t="str">
        <v>S000011</v>
      </c>
      <c r="I1322" s="19" t="str">
        <v>SD4U</v>
      </c>
      <c r="J1322" s="23" t="n">
        <v>5</v>
      </c>
      <c r="K1322" s="23" t="n">
        <v>0</v>
      </c>
      <c r="L1322" s="23" t="n">
        <f>J1322+K1322</f>
        <v>5</v>
      </c>
      <c r="M1322" s="23" t="n">
        <v>5</v>
      </c>
      <c r="N1322" s="23" t="n">
        <v>5</v>
      </c>
      <c r="O1322" s="23" t="n">
        <v>5</v>
      </c>
      <c r="P1322" s="23" t="n">
        <v>5</v>
      </c>
      <c r="Q1322" s="23" t="n">
        <f>MIN(O1322,P1322)</f>
        <v>5</v>
      </c>
      <c r="R1322" s="25" t="n">
        <f>IF(M1322=0,0,MIN(1,L1322/M1322))</f>
        <v>1</v>
      </c>
      <c r="S1322" s="23" t="n">
        <f>O1322*R1322</f>
        <v>5</v>
      </c>
      <c r="T1322" s="23" t="n">
        <f>MIN(P1322,S1322)</f>
        <v>5</v>
      </c>
      <c r="U1322" s="23" t="n">
        <f>O1322-S1322</f>
        <v>0</v>
      </c>
      <c r="V1322" s="23" t="n">
        <f>MAX(P1322-O1322,0)</f>
        <v>0</v>
      </c>
    </row>
    <row r="1323">
      <c r="A1323" s="19" t="str">
        <v>英国区</v>
      </c>
      <c r="B1323" s="19" t="str">
        <v>伯明翰2号仓</v>
      </c>
      <c r="C1323" s="19" t="str">
        <v>入库组</v>
      </c>
      <c r="D1323" s="21" t="n">
        <v>46120</v>
      </c>
      <c r="E1323" s="19" t="str">
        <v>2026-04</v>
      </c>
      <c r="F1323" s="19" t="str">
        <v>操作员</v>
      </c>
      <c r="G1323" s="19" t="str">
        <v>英国区11:00-19:30 / UK 11:00-19:30</v>
      </c>
      <c r="H1323" s="19" t="str">
        <v>S000132</v>
      </c>
      <c r="I1323" s="19" t="str">
        <v>HRA Recruitment Services</v>
      </c>
      <c r="J1323" s="23" t="n">
        <v>10</v>
      </c>
      <c r="K1323" s="23" t="n">
        <v>0</v>
      </c>
      <c r="L1323" s="23" t="n">
        <f>J1323+K1323</f>
        <v>10</v>
      </c>
      <c r="M1323" s="23" t="n">
        <v>10</v>
      </c>
      <c r="N1323" s="23" t="n">
        <v>10</v>
      </c>
      <c r="O1323" s="23" t="n">
        <v>10</v>
      </c>
      <c r="P1323" s="23" t="n">
        <v>10</v>
      </c>
      <c r="Q1323" s="23" t="n">
        <f>MIN(O1323,P1323)</f>
        <v>10</v>
      </c>
      <c r="R1323" s="25" t="n">
        <f>IF(M1323=0,0,MIN(1,L1323/M1323))</f>
        <v>1</v>
      </c>
      <c r="S1323" s="23" t="n">
        <f>O1323*R1323</f>
        <v>10</v>
      </c>
      <c r="T1323" s="23" t="n">
        <f>MIN(P1323,S1323)</f>
        <v>10</v>
      </c>
      <c r="U1323" s="23" t="n">
        <f>O1323-S1323</f>
        <v>0</v>
      </c>
      <c r="V1323" s="23" t="n">
        <f>MAX(P1323-O1323,0)</f>
        <v>0</v>
      </c>
    </row>
    <row r="1324">
      <c r="A1324" s="19" t="str">
        <v>英国区</v>
      </c>
      <c r="B1324" s="19" t="str">
        <v>伯明翰2号仓</v>
      </c>
      <c r="C1324" s="19" t="str">
        <v>入库组</v>
      </c>
      <c r="D1324" s="21" t="n">
        <v>46122</v>
      </c>
      <c r="E1324" s="19" t="str">
        <v>2026-04</v>
      </c>
      <c r="F1324" s="19" t="str">
        <v>操作员</v>
      </c>
      <c r="G1324" s="19" t="str">
        <v>英国区07:00-15:30 / UK 07:00-15:30</v>
      </c>
      <c r="H1324" s="19" t="str">
        <v>S000011</v>
      </c>
      <c r="I1324" s="19" t="str">
        <v>SD4U</v>
      </c>
      <c r="J1324" s="23" t="n">
        <v>10</v>
      </c>
      <c r="K1324" s="23" t="n">
        <v>0</v>
      </c>
      <c r="L1324" s="23" t="n">
        <f>J1324+K1324</f>
        <v>10</v>
      </c>
      <c r="M1324" s="23" t="n">
        <v>10</v>
      </c>
      <c r="N1324" s="23" t="n">
        <v>6</v>
      </c>
      <c r="O1324" s="23" t="n">
        <v>5</v>
      </c>
      <c r="P1324" s="23" t="n">
        <v>1</v>
      </c>
      <c r="Q1324" s="23" t="n">
        <f>MIN(O1324,P1324)</f>
        <v>1</v>
      </c>
      <c r="R1324" s="25" t="n">
        <f>IF(M1324=0,0,MIN(1,L1324/M1324))</f>
        <v>1</v>
      </c>
      <c r="S1324" s="23" t="n">
        <f>O1324*R1324</f>
        <v>5</v>
      </c>
      <c r="T1324" s="23" t="n">
        <f>MIN(P1324,S1324)</f>
        <v>1</v>
      </c>
      <c r="U1324" s="23" t="n">
        <f>O1324-S1324</f>
        <v>0</v>
      </c>
      <c r="V1324" s="23" t="n">
        <f>MAX(P1324-O1324,0)</f>
        <v>0</v>
      </c>
    </row>
    <row r="1325">
      <c r="A1325" s="19" t="str">
        <v>英国区</v>
      </c>
      <c r="B1325" s="19" t="str">
        <v>伯明翰2号仓</v>
      </c>
      <c r="C1325" s="19" t="str">
        <v>入库组</v>
      </c>
      <c r="D1325" s="21" t="n">
        <v>46122</v>
      </c>
      <c r="E1325" s="19" t="str">
        <v>2026-04</v>
      </c>
      <c r="F1325" s="19" t="str">
        <v>操作员</v>
      </c>
      <c r="G1325" s="19" t="str">
        <v>英国区07:00-15:30 / UK 07:00-15:30</v>
      </c>
      <c r="H1325" s="19" t="str">
        <v>S000274</v>
      </c>
      <c r="I1325" s="19" t="str">
        <v>Jobsworth Recruitment Solutions Limited</v>
      </c>
      <c r="J1325" s="23" t="n">
        <v>10</v>
      </c>
      <c r="K1325" s="23" t="n">
        <v>0</v>
      </c>
      <c r="L1325" s="23" t="n">
        <f>J1325+K1325</f>
        <v>10</v>
      </c>
      <c r="M1325" s="23" t="n">
        <v>10</v>
      </c>
      <c r="N1325" s="23" t="n">
        <v>6</v>
      </c>
      <c r="O1325" s="23" t="n">
        <v>5</v>
      </c>
      <c r="P1325" s="23" t="n">
        <v>5</v>
      </c>
      <c r="Q1325" s="23" t="n">
        <f>MIN(O1325,P1325)</f>
        <v>5</v>
      </c>
      <c r="R1325" s="25" t="n">
        <f>IF(M1325=0,0,MIN(1,L1325/M1325))</f>
        <v>1</v>
      </c>
      <c r="S1325" s="23" t="n">
        <f>O1325*R1325</f>
        <v>5</v>
      </c>
      <c r="T1325" s="23" t="n">
        <f>MIN(P1325,S1325)</f>
        <v>5</v>
      </c>
      <c r="U1325" s="23" t="n">
        <f>O1325-S1325</f>
        <v>0</v>
      </c>
      <c r="V1325" s="23" t="n">
        <f>MAX(P1325-O1325,0)</f>
        <v>0</v>
      </c>
    </row>
    <row r="1326">
      <c r="A1326" s="19" t="str">
        <v>英国区</v>
      </c>
      <c r="B1326" s="19" t="str">
        <v>伯明翰2号仓</v>
      </c>
      <c r="C1326" s="19" t="str">
        <v>入库组</v>
      </c>
      <c r="D1326" s="21" t="n">
        <v>46122</v>
      </c>
      <c r="E1326" s="19" t="str">
        <v>2026-04</v>
      </c>
      <c r="F1326" s="19" t="str">
        <v>操作员</v>
      </c>
      <c r="G1326" s="19" t="str">
        <v>英国区09:00-17:30 / UK 09:00-17:30</v>
      </c>
      <c r="H1326" s="19" t="str">
        <v>S000013</v>
      </c>
      <c r="I1326" s="19" t="str">
        <v>FT Recruitment</v>
      </c>
      <c r="J1326" s="23" t="n">
        <v>20</v>
      </c>
      <c r="K1326" s="23" t="n">
        <v>0</v>
      </c>
      <c r="L1326" s="23" t="n">
        <f>J1326+K1326</f>
        <v>20</v>
      </c>
      <c r="M1326" s="23" t="n">
        <v>20</v>
      </c>
      <c r="N1326" s="23" t="n">
        <v>14</v>
      </c>
      <c r="O1326" s="23" t="n">
        <v>10</v>
      </c>
      <c r="P1326" s="23" t="n">
        <v>7</v>
      </c>
      <c r="Q1326" s="23" t="n">
        <f>MIN(O1326,P1326)</f>
        <v>7</v>
      </c>
      <c r="R1326" s="25" t="n">
        <f>IF(M1326=0,0,MIN(1,L1326/M1326))</f>
        <v>1</v>
      </c>
      <c r="S1326" s="23" t="n">
        <f>O1326*R1326</f>
        <v>10</v>
      </c>
      <c r="T1326" s="23" t="n">
        <f>MIN(P1326,S1326)</f>
        <v>7</v>
      </c>
      <c r="U1326" s="23" t="n">
        <f>O1326-S1326</f>
        <v>0</v>
      </c>
      <c r="V1326" s="23" t="n">
        <f>MAX(P1326-O1326,0)</f>
        <v>0</v>
      </c>
    </row>
    <row r="1327">
      <c r="A1327" s="19" t="str">
        <v>英国区</v>
      </c>
      <c r="B1327" s="19" t="str">
        <v>伯明翰2号仓</v>
      </c>
      <c r="C1327" s="19" t="str">
        <v>入库组</v>
      </c>
      <c r="D1327" s="21" t="n">
        <v>46122</v>
      </c>
      <c r="E1327" s="19" t="str">
        <v>2026-04</v>
      </c>
      <c r="F1327" s="19" t="str">
        <v>操作员</v>
      </c>
      <c r="G1327" s="19" t="str">
        <v>英国区09:00-17:30 / UK 09:00-17:30</v>
      </c>
      <c r="H1327" s="19" t="str">
        <v>S000289</v>
      </c>
      <c r="I1327" s="19" t="str">
        <v>Staffzilla Limited</v>
      </c>
      <c r="J1327" s="23" t="n">
        <v>20</v>
      </c>
      <c r="K1327" s="23" t="n">
        <v>0</v>
      </c>
      <c r="L1327" s="23" t="n">
        <f>J1327+K1327</f>
        <v>20</v>
      </c>
      <c r="M1327" s="23" t="n">
        <v>20</v>
      </c>
      <c r="N1327" s="23" t="n">
        <v>14</v>
      </c>
      <c r="O1327" s="23" t="n">
        <v>10</v>
      </c>
      <c r="P1327" s="23" t="n">
        <v>7</v>
      </c>
      <c r="Q1327" s="23" t="n">
        <f>MIN(O1327,P1327)</f>
        <v>7</v>
      </c>
      <c r="R1327" s="25" t="n">
        <f>IF(M1327=0,0,MIN(1,L1327/M1327))</f>
        <v>1</v>
      </c>
      <c r="S1327" s="23" t="n">
        <f>O1327*R1327</f>
        <v>10</v>
      </c>
      <c r="T1327" s="23" t="n">
        <f>MIN(P1327,S1327)</f>
        <v>7</v>
      </c>
      <c r="U1327" s="23" t="n">
        <f>O1327-S1327</f>
        <v>0</v>
      </c>
      <c r="V1327" s="23" t="n">
        <f>MAX(P1327-O1327,0)</f>
        <v>0</v>
      </c>
    </row>
    <row r="1328">
      <c r="A1328" s="19" t="str">
        <v>英国区</v>
      </c>
      <c r="B1328" s="19" t="str">
        <v>伯明翰2号仓</v>
      </c>
      <c r="C1328" s="19" t="str">
        <v>入库组</v>
      </c>
      <c r="D1328" s="21" t="n">
        <v>46125</v>
      </c>
      <c r="E1328" s="19" t="str">
        <v>2026-04</v>
      </c>
      <c r="F1328" s="19" t="str">
        <v>操作员</v>
      </c>
      <c r="G1328" s="19" t="str">
        <v>英国区07:00-15:30 / UK 07:00-15:30</v>
      </c>
      <c r="H1328" s="19" t="str">
        <v>S000013</v>
      </c>
      <c r="I1328" s="19" t="str">
        <v>FT Recruitment</v>
      </c>
      <c r="J1328" s="23" t="n">
        <v>5</v>
      </c>
      <c r="K1328" s="23" t="n">
        <v>0</v>
      </c>
      <c r="L1328" s="23" t="n">
        <f>J1328+K1328</f>
        <v>5</v>
      </c>
      <c r="M1328" s="23" t="n">
        <v>5</v>
      </c>
      <c r="N1328" s="23" t="n">
        <v>5</v>
      </c>
      <c r="O1328" s="23" t="n">
        <v>5</v>
      </c>
      <c r="P1328" s="23" t="n">
        <v>5</v>
      </c>
      <c r="Q1328" s="23" t="n">
        <f>MIN(O1328,P1328)</f>
        <v>5</v>
      </c>
      <c r="R1328" s="25" t="n">
        <f>IF(M1328=0,0,MIN(1,L1328/M1328))</f>
        <v>1</v>
      </c>
      <c r="S1328" s="23" t="n">
        <f>O1328*R1328</f>
        <v>5</v>
      </c>
      <c r="T1328" s="23" t="n">
        <f>MIN(P1328,S1328)</f>
        <v>5</v>
      </c>
      <c r="U1328" s="23" t="n">
        <f>O1328-S1328</f>
        <v>0</v>
      </c>
      <c r="V1328" s="23" t="n">
        <f>MAX(P1328-O1328,0)</f>
        <v>0</v>
      </c>
    </row>
    <row r="1329">
      <c r="A1329" s="19" t="str">
        <v>英国区</v>
      </c>
      <c r="B1329" s="19" t="str">
        <v>伯明翰2号仓</v>
      </c>
      <c r="C1329" s="19" t="str">
        <v>入库组</v>
      </c>
      <c r="D1329" s="21" t="n">
        <v>46126</v>
      </c>
      <c r="E1329" s="19" t="str">
        <v>2026-04</v>
      </c>
      <c r="F1329" s="19" t="str">
        <v>操作员</v>
      </c>
      <c r="G1329" s="19" t="str">
        <v>英国区09:00-17:30 / UK 09:00-17:30</v>
      </c>
      <c r="H1329" s="19" t="str">
        <v>S000007</v>
      </c>
      <c r="I1329" s="19" t="str">
        <v>Kenect</v>
      </c>
      <c r="J1329" s="23" t="n">
        <v>3</v>
      </c>
      <c r="K1329" s="23" t="n">
        <v>0</v>
      </c>
      <c r="L1329" s="23" t="n">
        <f>J1329+K1329</f>
        <v>3</v>
      </c>
      <c r="M1329" s="23" t="n">
        <v>3</v>
      </c>
      <c r="N1329" s="23" t="n">
        <v>3</v>
      </c>
      <c r="O1329" s="23" t="n">
        <v>3</v>
      </c>
      <c r="P1329" s="23" t="n">
        <v>3</v>
      </c>
      <c r="Q1329" s="23" t="n">
        <f>MIN(O1329,P1329)</f>
        <v>3</v>
      </c>
      <c r="R1329" s="25" t="n">
        <f>IF(M1329=0,0,MIN(1,L1329/M1329))</f>
        <v>1</v>
      </c>
      <c r="S1329" s="23" t="n">
        <f>O1329*R1329</f>
        <v>3</v>
      </c>
      <c r="T1329" s="23" t="n">
        <f>MIN(P1329,S1329)</f>
        <v>3</v>
      </c>
      <c r="U1329" s="23" t="n">
        <f>O1329-S1329</f>
        <v>0</v>
      </c>
      <c r="V1329" s="23" t="n">
        <f>MAX(P1329-O1329,0)</f>
        <v>0</v>
      </c>
    </row>
    <row r="1330">
      <c r="A1330" s="19" t="str">
        <v>英国区</v>
      </c>
      <c r="B1330" s="19" t="str">
        <v>伯明翰2号仓</v>
      </c>
      <c r="C1330" s="19" t="str">
        <v>入库组</v>
      </c>
      <c r="D1330" s="21" t="n">
        <v>46143</v>
      </c>
      <c r="E1330" s="19" t="str">
        <v>2026-05</v>
      </c>
      <c r="F1330" s="19" t="str">
        <v>操作员</v>
      </c>
      <c r="G1330" s="19" t="str">
        <v>英国区07:00-15:30 / UK 07:00-15:30</v>
      </c>
      <c r="H1330" s="19" t="str">
        <v>S000132</v>
      </c>
      <c r="I1330" s="19" t="str">
        <v>HRA Recruitment Services</v>
      </c>
      <c r="J1330" s="23" t="n">
        <v>6</v>
      </c>
      <c r="K1330" s="23" t="n">
        <v>0</v>
      </c>
      <c r="L1330" s="23" t="n">
        <f>J1330+K1330</f>
        <v>6</v>
      </c>
      <c r="M1330" s="23" t="n">
        <v>6</v>
      </c>
      <c r="N1330" s="23" t="n">
        <v>6</v>
      </c>
      <c r="O1330" s="23" t="n">
        <v>2</v>
      </c>
      <c r="P1330" s="23" t="n">
        <v>2</v>
      </c>
      <c r="Q1330" s="23" t="n">
        <f>MIN(O1330,P1330)</f>
        <v>2</v>
      </c>
      <c r="R1330" s="25" t="n">
        <f>IF(M1330=0,0,MIN(1,L1330/M1330))</f>
        <v>1</v>
      </c>
      <c r="S1330" s="23" t="n">
        <f>O1330*R1330</f>
        <v>2</v>
      </c>
      <c r="T1330" s="23" t="n">
        <f>MIN(P1330,S1330)</f>
        <v>2</v>
      </c>
      <c r="U1330" s="23" t="n">
        <f>O1330-S1330</f>
        <v>0</v>
      </c>
      <c r="V1330" s="23" t="n">
        <f>MAX(P1330-O1330,0)</f>
        <v>0</v>
      </c>
    </row>
    <row r="1331">
      <c r="A1331" s="19" t="str">
        <v>英国区</v>
      </c>
      <c r="B1331" s="19" t="str">
        <v>伯明翰2号仓</v>
      </c>
      <c r="C1331" s="19" t="str">
        <v>入库组</v>
      </c>
      <c r="D1331" s="21" t="n">
        <v>46143</v>
      </c>
      <c r="E1331" s="19" t="str">
        <v>2026-05</v>
      </c>
      <c r="F1331" s="19" t="str">
        <v>操作员</v>
      </c>
      <c r="G1331" s="19" t="str">
        <v>英国区07:00-15:30 / UK 07:00-15:30</v>
      </c>
      <c r="H1331" s="19" t="str">
        <v>S000289</v>
      </c>
      <c r="I1331" s="19" t="str">
        <v>Staffzilla Limited</v>
      </c>
      <c r="J1331" s="23" t="n">
        <v>6</v>
      </c>
      <c r="K1331" s="23" t="n">
        <v>0</v>
      </c>
      <c r="L1331" s="23" t="n">
        <f>J1331+K1331</f>
        <v>6</v>
      </c>
      <c r="M1331" s="23" t="n">
        <v>6</v>
      </c>
      <c r="N1331" s="23" t="n">
        <v>6</v>
      </c>
      <c r="O1331" s="23" t="n">
        <v>4</v>
      </c>
      <c r="P1331" s="23" t="n">
        <v>4</v>
      </c>
      <c r="Q1331" s="23" t="n">
        <f>MIN(O1331,P1331)</f>
        <v>4</v>
      </c>
      <c r="R1331" s="25" t="n">
        <f>IF(M1331=0,0,MIN(1,L1331/M1331))</f>
        <v>1</v>
      </c>
      <c r="S1331" s="23" t="n">
        <f>O1331*R1331</f>
        <v>4</v>
      </c>
      <c r="T1331" s="23" t="n">
        <f>MIN(P1331,S1331)</f>
        <v>4</v>
      </c>
      <c r="U1331" s="23" t="n">
        <f>O1331-S1331</f>
        <v>0</v>
      </c>
      <c r="V1331" s="23" t="n">
        <f>MAX(P1331-O1331,0)</f>
        <v>0</v>
      </c>
    </row>
    <row r="1332">
      <c r="A1332" s="19" t="str">
        <v>英国区</v>
      </c>
      <c r="B1332" s="19" t="str">
        <v>伯明翰2号仓</v>
      </c>
      <c r="C1332" s="19" t="str">
        <v>入库组</v>
      </c>
      <c r="D1332" s="21" t="n">
        <v>46156</v>
      </c>
      <c r="E1332" s="19" t="str">
        <v>2026-05</v>
      </c>
      <c r="F1332" s="19" t="str">
        <v>操作员</v>
      </c>
      <c r="G1332" s="19" t="str">
        <v>英国区07:00-15:30 / UK 07:00-15:30</v>
      </c>
      <c r="H1332" s="19" t="str">
        <v>S000289</v>
      </c>
      <c r="I1332" s="19" t="str">
        <v>Staffzilla Limited</v>
      </c>
      <c r="J1332" s="23" t="n">
        <v>1</v>
      </c>
      <c r="K1332" s="23" t="n">
        <v>0</v>
      </c>
      <c r="L1332" s="23" t="n">
        <f>J1332+K1332</f>
        <v>1</v>
      </c>
      <c r="M1332" s="23" t="n">
        <v>1</v>
      </c>
      <c r="N1332" s="23" t="n">
        <v>1</v>
      </c>
      <c r="O1332" s="23" t="n">
        <v>1</v>
      </c>
      <c r="P1332" s="23" t="n">
        <v>1</v>
      </c>
      <c r="Q1332" s="23" t="n">
        <f>MIN(O1332,P1332)</f>
        <v>1</v>
      </c>
      <c r="R1332" s="25" t="n">
        <f>IF(M1332=0,0,MIN(1,L1332/M1332))</f>
        <v>1</v>
      </c>
      <c r="S1332" s="23" t="n">
        <f>O1332*R1332</f>
        <v>1</v>
      </c>
      <c r="T1332" s="23" t="n">
        <f>MIN(P1332,S1332)</f>
        <v>1</v>
      </c>
      <c r="U1332" s="23" t="n">
        <f>O1332-S1332</f>
        <v>0</v>
      </c>
      <c r="V1332" s="23" t="n">
        <f>MAX(P1332-O1332,0)</f>
        <v>0</v>
      </c>
    </row>
    <row r="1333">
      <c r="A1333" s="19" t="str">
        <v>英国区</v>
      </c>
      <c r="B1333" s="19" t="str">
        <v>伯明翰2号仓</v>
      </c>
      <c r="C1333" s="19" t="str">
        <v>入库组</v>
      </c>
      <c r="D1333" s="21" t="n">
        <v>46156</v>
      </c>
      <c r="E1333" s="19" t="str">
        <v>2026-05</v>
      </c>
      <c r="F1333" s="19" t="str">
        <v>操作员</v>
      </c>
      <c r="G1333" s="19" t="str">
        <v>英国区09:00-17:30 / UK 09:00-17:30</v>
      </c>
      <c r="H1333" s="19" t="str">
        <v>S000011</v>
      </c>
      <c r="I1333" s="19" t="str">
        <v>SD4U</v>
      </c>
      <c r="J1333" s="23" t="n">
        <v>10</v>
      </c>
      <c r="K1333" s="23" t="n">
        <v>0</v>
      </c>
      <c r="L1333" s="23" t="n">
        <f>J1333+K1333</f>
        <v>10</v>
      </c>
      <c r="M1333" s="23" t="n">
        <v>10</v>
      </c>
      <c r="N1333" s="23" t="n">
        <v>10</v>
      </c>
      <c r="O1333" s="23" t="n">
        <v>5</v>
      </c>
      <c r="P1333" s="23" t="n">
        <v>5</v>
      </c>
      <c r="Q1333" s="23" t="n">
        <f>MIN(O1333,P1333)</f>
        <v>5</v>
      </c>
      <c r="R1333" s="25" t="n">
        <f>IF(M1333=0,0,MIN(1,L1333/M1333))</f>
        <v>1</v>
      </c>
      <c r="S1333" s="23" t="n">
        <f>O1333*R1333</f>
        <v>5</v>
      </c>
      <c r="T1333" s="23" t="n">
        <f>MIN(P1333,S1333)</f>
        <v>5</v>
      </c>
      <c r="U1333" s="23" t="n">
        <f>O1333-S1333</f>
        <v>0</v>
      </c>
      <c r="V1333" s="23" t="n">
        <f>MAX(P1333-O1333,0)</f>
        <v>0</v>
      </c>
    </row>
    <row r="1334">
      <c r="A1334" s="19" t="str">
        <v>英国区</v>
      </c>
      <c r="B1334" s="19" t="str">
        <v>伯明翰2号仓</v>
      </c>
      <c r="C1334" s="19" t="str">
        <v>入库组</v>
      </c>
      <c r="D1334" s="21" t="n">
        <v>46156</v>
      </c>
      <c r="E1334" s="19" t="str">
        <v>2026-05</v>
      </c>
      <c r="F1334" s="19" t="str">
        <v>操作员</v>
      </c>
      <c r="G1334" s="19" t="str">
        <v>英国区09:00-17:30 / UK 09:00-17:30</v>
      </c>
      <c r="H1334" s="19" t="str">
        <v>S000132</v>
      </c>
      <c r="I1334" s="19" t="str">
        <v>HRA Recruitment Services</v>
      </c>
      <c r="J1334" s="23" t="n">
        <v>10</v>
      </c>
      <c r="K1334" s="23" t="n">
        <v>0</v>
      </c>
      <c r="L1334" s="23" t="n">
        <f>J1334+K1334</f>
        <v>10</v>
      </c>
      <c r="M1334" s="23" t="n">
        <v>10</v>
      </c>
      <c r="N1334" s="23" t="n">
        <v>10</v>
      </c>
      <c r="O1334" s="23" t="n">
        <v>5</v>
      </c>
      <c r="P1334" s="23" t="n">
        <v>5</v>
      </c>
      <c r="Q1334" s="23" t="n">
        <f>MIN(O1334,P1334)</f>
        <v>5</v>
      </c>
      <c r="R1334" s="25" t="n">
        <f>IF(M1334=0,0,MIN(1,L1334/M1334))</f>
        <v>1</v>
      </c>
      <c r="S1334" s="23" t="n">
        <f>O1334*R1334</f>
        <v>5</v>
      </c>
      <c r="T1334" s="23" t="n">
        <f>MIN(P1334,S1334)</f>
        <v>5</v>
      </c>
      <c r="U1334" s="23" t="n">
        <f>O1334-S1334</f>
        <v>0</v>
      </c>
      <c r="V1334" s="23" t="n">
        <f>MAX(P1334-O1334,0)</f>
        <v>0</v>
      </c>
    </row>
    <row r="1335">
      <c r="A1335" s="19" t="str">
        <v>英国区</v>
      </c>
      <c r="B1335" s="19" t="str">
        <v>伯明翰2号仓</v>
      </c>
      <c r="C1335" s="19" t="str">
        <v>入库组</v>
      </c>
      <c r="D1335" s="21" t="n">
        <v>46157</v>
      </c>
      <c r="E1335" s="19" t="str">
        <v>2026-05</v>
      </c>
      <c r="F1335" s="19" t="str">
        <v>操作员</v>
      </c>
      <c r="G1335" s="19" t="str">
        <v>英国区09:00-17:30 / UK 09:00-17:30</v>
      </c>
      <c r="H1335" s="19" t="str">
        <v>S000011</v>
      </c>
      <c r="I1335" s="19" t="str">
        <v>SD4U</v>
      </c>
      <c r="J1335" s="23" t="n">
        <v>3</v>
      </c>
      <c r="K1335" s="23" t="n">
        <v>0</v>
      </c>
      <c r="L1335" s="23" t="n">
        <f>J1335+K1335</f>
        <v>3</v>
      </c>
      <c r="M1335" s="23" t="n">
        <v>3</v>
      </c>
      <c r="N1335" s="23" t="n">
        <v>0</v>
      </c>
      <c r="O1335" s="23" t="n">
        <v>1</v>
      </c>
      <c r="P1335" s="23" t="n">
        <v>0</v>
      </c>
      <c r="Q1335" s="23" t="n">
        <f>MIN(O1335,P1335)</f>
        <v>0</v>
      </c>
      <c r="R1335" s="25" t="n">
        <f>IF(M1335=0,0,MIN(1,L1335/M1335))</f>
        <v>1</v>
      </c>
      <c r="S1335" s="23" t="n">
        <f>O1335*R1335</f>
        <v>1</v>
      </c>
      <c r="T1335" s="23" t="n">
        <f>MIN(P1335,S1335)</f>
        <v>0</v>
      </c>
      <c r="U1335" s="23" t="n">
        <f>O1335-S1335</f>
        <v>0</v>
      </c>
      <c r="V1335" s="23" t="n">
        <f>MAX(P1335-O1335,0)</f>
        <v>0</v>
      </c>
    </row>
    <row r="1336">
      <c r="A1336" s="19" t="str">
        <v>英国区</v>
      </c>
      <c r="B1336" s="19" t="str">
        <v>伯明翰2号仓</v>
      </c>
      <c r="C1336" s="19" t="str">
        <v>入库组</v>
      </c>
      <c r="D1336" s="21" t="n">
        <v>46157</v>
      </c>
      <c r="E1336" s="19" t="str">
        <v>2026-05</v>
      </c>
      <c r="F1336" s="19" t="str">
        <v>操作员</v>
      </c>
      <c r="G1336" s="19" t="str">
        <v>英国区09:00-17:30 / UK 09:00-17:30</v>
      </c>
      <c r="H1336" s="19" t="str">
        <v>S000132</v>
      </c>
      <c r="I1336" s="19" t="str">
        <v>HRA Recruitment Services</v>
      </c>
      <c r="J1336" s="23" t="n">
        <v>3</v>
      </c>
      <c r="K1336" s="23" t="n">
        <v>0</v>
      </c>
      <c r="L1336" s="23" t="n">
        <f>J1336+K1336</f>
        <v>3</v>
      </c>
      <c r="M1336" s="23" t="n">
        <v>3</v>
      </c>
      <c r="N1336" s="23" t="n">
        <v>0</v>
      </c>
      <c r="O1336" s="23" t="n">
        <v>2</v>
      </c>
      <c r="P1336" s="23" t="n">
        <v>0</v>
      </c>
      <c r="Q1336" s="23" t="n">
        <f>MIN(O1336,P1336)</f>
        <v>0</v>
      </c>
      <c r="R1336" s="25" t="n">
        <f>IF(M1336=0,0,MIN(1,L1336/M1336))</f>
        <v>1</v>
      </c>
      <c r="S1336" s="23" t="n">
        <f>O1336*R1336</f>
        <v>2</v>
      </c>
      <c r="T1336" s="23" t="n">
        <f>MIN(P1336,S1336)</f>
        <v>0</v>
      </c>
      <c r="U1336" s="23" t="n">
        <f>O1336-S1336</f>
        <v>0</v>
      </c>
      <c r="V1336" s="23" t="n">
        <f>MAX(P1336-O1336,0)</f>
        <v>0</v>
      </c>
    </row>
    <row r="1337">
      <c r="A1337" s="19" t="str">
        <v>英国区</v>
      </c>
      <c r="B1337" s="19" t="str">
        <v>伯明翰2号仓</v>
      </c>
      <c r="C1337" s="19" t="str">
        <v>入库组</v>
      </c>
      <c r="D1337" s="21" t="n">
        <v>46161</v>
      </c>
      <c r="E1337" s="19" t="str">
        <v>2026-05</v>
      </c>
      <c r="F1337" s="19" t="str">
        <v>操作员</v>
      </c>
      <c r="G1337" s="19" t="str">
        <v>英国区09:00-17:30 / UK 09:00-17:30</v>
      </c>
      <c r="H1337" s="19" t="str">
        <v>S000011</v>
      </c>
      <c r="I1337" s="19" t="str">
        <v>SD4U</v>
      </c>
      <c r="J1337" s="23" t="n">
        <v>5</v>
      </c>
      <c r="K1337" s="23" t="n">
        <v>0</v>
      </c>
      <c r="L1337" s="23" t="n">
        <f>J1337+K1337</f>
        <v>5</v>
      </c>
      <c r="M1337" s="23" t="n">
        <v>5</v>
      </c>
      <c r="N1337" s="23" t="n">
        <v>5</v>
      </c>
      <c r="O1337" s="23" t="n">
        <v>5</v>
      </c>
      <c r="P1337" s="23" t="n">
        <v>5</v>
      </c>
      <c r="Q1337" s="23" t="n">
        <f>MIN(O1337,P1337)</f>
        <v>5</v>
      </c>
      <c r="R1337" s="25" t="n">
        <f>IF(M1337=0,0,MIN(1,L1337/M1337))</f>
        <v>1</v>
      </c>
      <c r="S1337" s="23" t="n">
        <f>O1337*R1337</f>
        <v>5</v>
      </c>
      <c r="T1337" s="23" t="n">
        <f>MIN(P1337,S1337)</f>
        <v>5</v>
      </c>
      <c r="U1337" s="23" t="n">
        <f>O1337-S1337</f>
        <v>0</v>
      </c>
      <c r="V1337" s="23" t="n">
        <f>MAX(P1337-O1337,0)</f>
        <v>0</v>
      </c>
    </row>
    <row r="1338">
      <c r="A1338" s="19" t="str">
        <v>英国区</v>
      </c>
      <c r="B1338" s="19" t="str">
        <v>伯明翰2号仓</v>
      </c>
      <c r="C1338" s="19" t="str">
        <v>入库组</v>
      </c>
      <c r="D1338" s="21" t="n">
        <v>46162</v>
      </c>
      <c r="E1338" s="19" t="str">
        <v>2026-05</v>
      </c>
      <c r="F1338" s="19" t="str">
        <v>操作员</v>
      </c>
      <c r="G1338" s="19" t="str">
        <v>英国区07:00-15:30 / UK 07:00-15:30</v>
      </c>
      <c r="H1338" s="19" t="str">
        <v>S000274</v>
      </c>
      <c r="I1338" s="19" t="str">
        <v>Jobsworth Recruitment Solutions Limited</v>
      </c>
      <c r="J1338" s="23" t="n">
        <v>1</v>
      </c>
      <c r="K1338" s="23" t="n">
        <v>0</v>
      </c>
      <c r="L1338" s="23" t="n">
        <f>J1338+K1338</f>
        <v>1</v>
      </c>
      <c r="M1338" s="23" t="n">
        <v>1</v>
      </c>
      <c r="N1338" s="23" t="n">
        <v>1</v>
      </c>
      <c r="O1338" s="23" t="n">
        <v>1</v>
      </c>
      <c r="P1338" s="23" t="n">
        <v>1</v>
      </c>
      <c r="Q1338" s="23" t="n">
        <f>MIN(O1338,P1338)</f>
        <v>1</v>
      </c>
      <c r="R1338" s="25" t="n">
        <f>IF(M1338=0,0,MIN(1,L1338/M1338))</f>
        <v>1</v>
      </c>
      <c r="S1338" s="23" t="n">
        <f>O1338*R1338</f>
        <v>1</v>
      </c>
      <c r="T1338" s="23" t="n">
        <f>MIN(P1338,S1338)</f>
        <v>1</v>
      </c>
      <c r="U1338" s="23" t="n">
        <f>O1338-S1338</f>
        <v>0</v>
      </c>
      <c r="V1338" s="23" t="n">
        <f>MAX(P1338-O1338,0)</f>
        <v>0</v>
      </c>
    </row>
    <row r="1339">
      <c r="A1339" s="19" t="str">
        <v>英国区</v>
      </c>
      <c r="B1339" s="19" t="str">
        <v>伯明翰2号仓</v>
      </c>
      <c r="C1339" s="19" t="str">
        <v>入库组</v>
      </c>
      <c r="D1339" s="21" t="n">
        <v>46163</v>
      </c>
      <c r="E1339" s="19" t="str">
        <v>2026-05</v>
      </c>
      <c r="F1339" s="19" t="str">
        <v>操作员</v>
      </c>
      <c r="G1339" s="19" t="str">
        <v>英国区11:00-19:30 / UK 11:00-19:30</v>
      </c>
      <c r="H1339" s="19" t="str">
        <v>S000274</v>
      </c>
      <c r="I1339" s="19" t="str">
        <v>Jobsworth Recruitment Solutions Limited</v>
      </c>
      <c r="J1339" s="23" t="n">
        <v>5</v>
      </c>
      <c r="K1339" s="23" t="n">
        <v>0</v>
      </c>
      <c r="L1339" s="23" t="n">
        <f>J1339+K1339</f>
        <v>5</v>
      </c>
      <c r="M1339" s="23" t="n">
        <v>5</v>
      </c>
      <c r="N1339" s="23" t="n">
        <v>5</v>
      </c>
      <c r="O1339" s="23" t="n">
        <v>5</v>
      </c>
      <c r="P1339" s="23" t="n">
        <v>5</v>
      </c>
      <c r="Q1339" s="23" t="n">
        <f>MIN(O1339,P1339)</f>
        <v>5</v>
      </c>
      <c r="R1339" s="25" t="n">
        <f>IF(M1339=0,0,MIN(1,L1339/M1339))</f>
        <v>1</v>
      </c>
      <c r="S1339" s="23" t="n">
        <f>O1339*R1339</f>
        <v>5</v>
      </c>
      <c r="T1339" s="23" t="n">
        <f>MIN(P1339,S1339)</f>
        <v>5</v>
      </c>
      <c r="U1339" s="23" t="n">
        <f>O1339-S1339</f>
        <v>0</v>
      </c>
      <c r="V1339" s="23" t="n">
        <f>MAX(P1339-O1339,0)</f>
        <v>0</v>
      </c>
    </row>
    <row r="1340">
      <c r="A1340" s="19" t="str">
        <v>英国区</v>
      </c>
      <c r="B1340" s="19" t="str">
        <v>伯明翰2号仓</v>
      </c>
      <c r="C1340" s="19" t="str">
        <v>入库组</v>
      </c>
      <c r="D1340" s="21" t="n">
        <v>46164</v>
      </c>
      <c r="E1340" s="19" t="str">
        <v>2026-05</v>
      </c>
      <c r="F1340" s="19" t="str">
        <v>操作员</v>
      </c>
      <c r="G1340" s="19" t="str">
        <v>英国区09:00-17:30 / UK 09:00-17:30</v>
      </c>
      <c r="H1340" s="19" t="str">
        <v>S000011</v>
      </c>
      <c r="I1340" s="19" t="str">
        <v>SD4U</v>
      </c>
      <c r="J1340" s="23" t="n">
        <v>5</v>
      </c>
      <c r="K1340" s="23" t="n">
        <v>0</v>
      </c>
      <c r="L1340" s="23" t="n">
        <f>J1340+K1340</f>
        <v>5</v>
      </c>
      <c r="M1340" s="23" t="n">
        <v>5</v>
      </c>
      <c r="N1340" s="23" t="n">
        <v>4</v>
      </c>
      <c r="O1340" s="23" t="n">
        <v>5</v>
      </c>
      <c r="P1340" s="23" t="n">
        <v>4</v>
      </c>
      <c r="Q1340" s="23" t="n">
        <f>MIN(O1340,P1340)</f>
        <v>4</v>
      </c>
      <c r="R1340" s="25" t="n">
        <f>IF(M1340=0,0,MIN(1,L1340/M1340))</f>
        <v>1</v>
      </c>
      <c r="S1340" s="23" t="n">
        <f>O1340*R1340</f>
        <v>5</v>
      </c>
      <c r="T1340" s="23" t="n">
        <f>MIN(P1340,S1340)</f>
        <v>4</v>
      </c>
      <c r="U1340" s="23" t="n">
        <f>O1340-S1340</f>
        <v>0</v>
      </c>
      <c r="V1340" s="23" t="n">
        <f>MAX(P1340-O1340,0)</f>
        <v>0</v>
      </c>
    </row>
    <row r="1341">
      <c r="A1341" s="19" t="str">
        <v>英国区</v>
      </c>
      <c r="B1341" s="19" t="str">
        <v>伯明翰2号仓</v>
      </c>
      <c r="C1341" s="19" t="str">
        <v>入库组</v>
      </c>
      <c r="D1341" s="21" t="n">
        <v>46164</v>
      </c>
      <c r="E1341" s="19" t="str">
        <v>2026-05</v>
      </c>
      <c r="F1341" s="19" t="str">
        <v>操作员</v>
      </c>
      <c r="G1341" s="19" t="str">
        <v>英国区11:00-19:30 / UK 11:00-19:30</v>
      </c>
      <c r="H1341" s="19" t="str">
        <v>S000274</v>
      </c>
      <c r="I1341" s="19" t="str">
        <v>Jobsworth Recruitment Solutions Limited</v>
      </c>
      <c r="J1341" s="23" t="n">
        <v>2</v>
      </c>
      <c r="K1341" s="23" t="n">
        <v>0</v>
      </c>
      <c r="L1341" s="23" t="n">
        <f>J1341+K1341</f>
        <v>2</v>
      </c>
      <c r="M1341" s="23" t="n">
        <v>2</v>
      </c>
      <c r="N1341" s="23" t="n">
        <v>2</v>
      </c>
      <c r="O1341" s="23" t="n">
        <v>2</v>
      </c>
      <c r="P1341" s="23" t="n">
        <v>2</v>
      </c>
      <c r="Q1341" s="23" t="n">
        <f>MIN(O1341,P1341)</f>
        <v>2</v>
      </c>
      <c r="R1341" s="25" t="n">
        <f>IF(M1341=0,0,MIN(1,L1341/M1341))</f>
        <v>1</v>
      </c>
      <c r="S1341" s="23" t="n">
        <f>O1341*R1341</f>
        <v>2</v>
      </c>
      <c r="T1341" s="23" t="n">
        <f>MIN(P1341,S1341)</f>
        <v>2</v>
      </c>
      <c r="U1341" s="23" t="n">
        <f>O1341-S1341</f>
        <v>0</v>
      </c>
      <c r="V1341" s="23" t="n">
        <f>MAX(P1341-O1341,0)</f>
        <v>0</v>
      </c>
    </row>
    <row r="1342">
      <c r="A1342" s="19" t="str">
        <v>英国区</v>
      </c>
      <c r="B1342" s="19" t="str">
        <v>伯明翰2号仓</v>
      </c>
      <c r="C1342" s="19" t="str">
        <v>入库组</v>
      </c>
      <c r="D1342" s="21" t="n">
        <v>46165</v>
      </c>
      <c r="E1342" s="19" t="str">
        <v>2026-05</v>
      </c>
      <c r="F1342" s="19" t="str">
        <v>操作员</v>
      </c>
      <c r="G1342" s="19" t="str">
        <v>英国区07:00-15:30 / UK 07:00-15:30</v>
      </c>
      <c r="H1342" s="19" t="str">
        <v>S000132</v>
      </c>
      <c r="I1342" s="19" t="str">
        <v>HRA Recruitment Services</v>
      </c>
      <c r="J1342" s="23" t="n">
        <v>15</v>
      </c>
      <c r="K1342" s="23" t="n">
        <v>0</v>
      </c>
      <c r="L1342" s="23" t="n">
        <f>J1342+K1342</f>
        <v>15</v>
      </c>
      <c r="M1342" s="23" t="n">
        <v>10</v>
      </c>
      <c r="N1342" s="23" t="n">
        <v>2</v>
      </c>
      <c r="O1342" s="23" t="n">
        <v>10</v>
      </c>
      <c r="P1342" s="23" t="n">
        <v>2</v>
      </c>
      <c r="Q1342" s="23" t="n">
        <f>MIN(O1342,P1342)</f>
        <v>2</v>
      </c>
      <c r="R1342" s="25" t="n">
        <f>IF(M1342=0,0,MIN(1,L1342/M1342))</f>
        <v>1</v>
      </c>
      <c r="S1342" s="23" t="n">
        <f>O1342*R1342</f>
        <v>10</v>
      </c>
      <c r="T1342" s="23" t="n">
        <f>MIN(P1342,S1342)</f>
        <v>2</v>
      </c>
      <c r="U1342" s="23" t="n">
        <f>O1342-S1342</f>
        <v>0</v>
      </c>
      <c r="V1342" s="23" t="n">
        <f>MAX(P1342-O1342,0)</f>
        <v>0</v>
      </c>
    </row>
    <row r="1343">
      <c r="A1343" s="19" t="str">
        <v>英国区</v>
      </c>
      <c r="B1343" s="19" t="str">
        <v>伯明翰2号仓</v>
      </c>
      <c r="C1343" s="19" t="str">
        <v>入库组</v>
      </c>
      <c r="D1343" s="21" t="n">
        <v>46168</v>
      </c>
      <c r="E1343" s="19" t="str">
        <v>2026-05</v>
      </c>
      <c r="F1343" s="19" t="str">
        <v>操作员</v>
      </c>
      <c r="G1343" s="19" t="str">
        <v>英国区07:00-15:30 / UK 07:00-15:30</v>
      </c>
      <c r="H1343" s="19" t="str">
        <v>S000011</v>
      </c>
      <c r="I1343" s="19" t="str">
        <v>SD4U</v>
      </c>
      <c r="J1343" s="23" t="n">
        <v>10</v>
      </c>
      <c r="K1343" s="23" t="n">
        <v>0</v>
      </c>
      <c r="L1343" s="23" t="n">
        <f>J1343+K1343</f>
        <v>10</v>
      </c>
      <c r="M1343" s="23" t="n">
        <v>10</v>
      </c>
      <c r="N1343" s="23" t="n">
        <v>9</v>
      </c>
      <c r="O1343" s="23" t="n">
        <v>5</v>
      </c>
      <c r="P1343" s="23" t="n">
        <v>4</v>
      </c>
      <c r="Q1343" s="23" t="n">
        <f>MIN(O1343,P1343)</f>
        <v>4</v>
      </c>
      <c r="R1343" s="25" t="n">
        <f>IF(M1343=0,0,MIN(1,L1343/M1343))</f>
        <v>1</v>
      </c>
      <c r="S1343" s="23" t="n">
        <f>O1343*R1343</f>
        <v>5</v>
      </c>
      <c r="T1343" s="23" t="n">
        <f>MIN(P1343,S1343)</f>
        <v>4</v>
      </c>
      <c r="U1343" s="23" t="n">
        <f>O1343-S1343</f>
        <v>0</v>
      </c>
      <c r="V1343" s="23" t="n">
        <f>MAX(P1343-O1343,0)</f>
        <v>0</v>
      </c>
    </row>
    <row r="1344">
      <c r="A1344" s="19" t="str">
        <v>英国区</v>
      </c>
      <c r="B1344" s="19" t="str">
        <v>伯明翰2号仓</v>
      </c>
      <c r="C1344" s="19" t="str">
        <v>入库组</v>
      </c>
      <c r="D1344" s="21" t="n">
        <v>46168</v>
      </c>
      <c r="E1344" s="19" t="str">
        <v>2026-05</v>
      </c>
      <c r="F1344" s="19" t="str">
        <v>操作员</v>
      </c>
      <c r="G1344" s="19" t="str">
        <v>英国区07:00-15:30 / UK 07:00-15:30</v>
      </c>
      <c r="H1344" s="19" t="str">
        <v>S000274</v>
      </c>
      <c r="I1344" s="19" t="str">
        <v>Jobsworth Recruitment Solutions Limited</v>
      </c>
      <c r="J1344" s="23" t="n">
        <v>10</v>
      </c>
      <c r="K1344" s="23" t="n">
        <v>0</v>
      </c>
      <c r="L1344" s="23" t="n">
        <f>J1344+K1344</f>
        <v>10</v>
      </c>
      <c r="M1344" s="23" t="n">
        <v>10</v>
      </c>
      <c r="N1344" s="23" t="n">
        <v>9</v>
      </c>
      <c r="O1344" s="23" t="n">
        <v>5</v>
      </c>
      <c r="P1344" s="23" t="n">
        <v>5</v>
      </c>
      <c r="Q1344" s="23" t="n">
        <f>MIN(O1344,P1344)</f>
        <v>5</v>
      </c>
      <c r="R1344" s="25" t="n">
        <f>IF(M1344=0,0,MIN(1,L1344/M1344))</f>
        <v>1</v>
      </c>
      <c r="S1344" s="23" t="n">
        <f>O1344*R1344</f>
        <v>5</v>
      </c>
      <c r="T1344" s="23" t="n">
        <f>MIN(P1344,S1344)</f>
        <v>5</v>
      </c>
      <c r="U1344" s="23" t="n">
        <f>O1344-S1344</f>
        <v>0</v>
      </c>
      <c r="V1344" s="23" t="n">
        <f>MAX(P1344-O1344,0)</f>
        <v>0</v>
      </c>
    </row>
    <row r="1345">
      <c r="A1345" s="19" t="str">
        <v>英国区</v>
      </c>
      <c r="B1345" s="19" t="str">
        <v>伯明翰2号仓</v>
      </c>
      <c r="C1345" s="19" t="str">
        <v>入库组</v>
      </c>
      <c r="D1345" s="21" t="n">
        <v>46168</v>
      </c>
      <c r="E1345" s="19" t="str">
        <v>2026-05</v>
      </c>
      <c r="F1345" s="19" t="str">
        <v>操作员</v>
      </c>
      <c r="G1345" s="19" t="str">
        <v>英国区09:00-17:30 / UK 09:00-17:30</v>
      </c>
      <c r="H1345" s="19" t="str">
        <v>S000132</v>
      </c>
      <c r="I1345" s="19" t="str">
        <v>HRA Recruitment Services</v>
      </c>
      <c r="J1345" s="23" t="n">
        <v>5</v>
      </c>
      <c r="K1345" s="23" t="n">
        <v>0</v>
      </c>
      <c r="L1345" s="23" t="n">
        <f>J1345+K1345</f>
        <v>5</v>
      </c>
      <c r="M1345" s="23" t="n">
        <v>5</v>
      </c>
      <c r="N1345" s="23" t="n">
        <v>0</v>
      </c>
      <c r="O1345" s="23" t="n">
        <v>5</v>
      </c>
      <c r="P1345" s="23" t="n">
        <v>0</v>
      </c>
      <c r="Q1345" s="23" t="n">
        <f>MIN(O1345,P1345)</f>
        <v>0</v>
      </c>
      <c r="R1345" s="25" t="n">
        <f>IF(M1345=0,0,MIN(1,L1345/M1345))</f>
        <v>1</v>
      </c>
      <c r="S1345" s="23" t="n">
        <f>O1345*R1345</f>
        <v>5</v>
      </c>
      <c r="T1345" s="23" t="n">
        <f>MIN(P1345,S1345)</f>
        <v>0</v>
      </c>
      <c r="U1345" s="23" t="n">
        <f>O1345-S1345</f>
        <v>0</v>
      </c>
      <c r="V1345" s="23" t="n">
        <f>MAX(P1345-O1345,0)</f>
        <v>0</v>
      </c>
    </row>
    <row r="1346">
      <c r="A1346" s="19" t="str">
        <v>英国区</v>
      </c>
      <c r="B1346" s="19" t="str">
        <v>伯明翰2号仓</v>
      </c>
      <c r="C1346" s="19" t="str">
        <v>入库组</v>
      </c>
      <c r="D1346" s="21" t="n">
        <v>46190</v>
      </c>
      <c r="E1346" s="19" t="str">
        <v>2026-06</v>
      </c>
      <c r="F1346" s="19" t="str">
        <v>操作员</v>
      </c>
      <c r="G1346" s="19" t="str">
        <v>英国区09:00-17:30 / UK 09:00-17:30</v>
      </c>
      <c r="H1346" s="19" t="str">
        <v>S000289</v>
      </c>
      <c r="I1346" s="19" t="str">
        <v>Staffzilla Limited</v>
      </c>
      <c r="J1346" s="23" t="n">
        <v>6</v>
      </c>
      <c r="K1346" s="23" t="n">
        <v>0</v>
      </c>
      <c r="L1346" s="23" t="n">
        <f>J1346+K1346</f>
        <v>6</v>
      </c>
      <c r="M1346" s="23" t="n">
        <v>6</v>
      </c>
      <c r="N1346" s="23" t="n">
        <v>5</v>
      </c>
      <c r="O1346" s="23" t="n">
        <v>6</v>
      </c>
      <c r="P1346" s="23" t="n">
        <v>5</v>
      </c>
      <c r="Q1346" s="23" t="n">
        <f>MIN(O1346,P1346)</f>
        <v>5</v>
      </c>
      <c r="R1346" s="25" t="n">
        <f>IF(M1346=0,0,MIN(1,L1346/M1346))</f>
        <v>1</v>
      </c>
      <c r="S1346" s="23" t="n">
        <f>O1346*R1346</f>
        <v>6</v>
      </c>
      <c r="T1346" s="23" t="n">
        <f>MIN(P1346,S1346)</f>
        <v>5</v>
      </c>
      <c r="U1346" s="23" t="n">
        <f>O1346-S1346</f>
        <v>0</v>
      </c>
      <c r="V1346" s="23" t="n">
        <f>MAX(P1346-O1346,0)</f>
        <v>0</v>
      </c>
    </row>
    <row r="1347">
      <c r="A1347" s="19" t="str">
        <v>英国区</v>
      </c>
      <c r="B1347" s="19" t="str">
        <v>伯明翰2号仓</v>
      </c>
      <c r="C1347" s="19" t="str">
        <v>入库组</v>
      </c>
      <c r="D1347" s="21" t="n">
        <v>46192</v>
      </c>
      <c r="E1347" s="19" t="str">
        <v>2026-06</v>
      </c>
      <c r="F1347" s="19" t="str">
        <v>操作员</v>
      </c>
      <c r="G1347" s="19" t="str">
        <v>英国区07:00-15:30 / UK 07:00-15:30</v>
      </c>
      <c r="H1347" s="19" t="str">
        <v>S000274</v>
      </c>
      <c r="I1347" s="19" t="str">
        <v>Jobsworth Recruitment Solutions Limited</v>
      </c>
      <c r="J1347" s="23" t="n">
        <v>5</v>
      </c>
      <c r="K1347" s="23" t="n">
        <v>0</v>
      </c>
      <c r="L1347" s="23" t="n">
        <f>J1347+K1347</f>
        <v>5</v>
      </c>
      <c r="M1347" s="23" t="n">
        <v>5</v>
      </c>
      <c r="N1347" s="23" t="n">
        <v>5</v>
      </c>
      <c r="O1347" s="23" t="n">
        <v>5</v>
      </c>
      <c r="P1347" s="23" t="n">
        <v>5</v>
      </c>
      <c r="Q1347" s="23" t="n">
        <f>MIN(O1347,P1347)</f>
        <v>5</v>
      </c>
      <c r="R1347" s="25" t="n">
        <f>IF(M1347=0,0,MIN(1,L1347/M1347))</f>
        <v>1</v>
      </c>
      <c r="S1347" s="23" t="n">
        <f>O1347*R1347</f>
        <v>5</v>
      </c>
      <c r="T1347" s="23" t="n">
        <f>MIN(P1347,S1347)</f>
        <v>5</v>
      </c>
      <c r="U1347" s="23" t="n">
        <f>O1347-S1347</f>
        <v>0</v>
      </c>
      <c r="V1347" s="23" t="n">
        <f>MAX(P1347-O1347,0)</f>
        <v>0</v>
      </c>
    </row>
    <row r="1348">
      <c r="A1348" s="19" t="str">
        <v>英国区</v>
      </c>
      <c r="B1348" s="19" t="str">
        <v>伯明翰2号仓</v>
      </c>
      <c r="C1348" s="19" t="str">
        <v>入库组</v>
      </c>
      <c r="D1348" s="21" t="n">
        <v>46199</v>
      </c>
      <c r="E1348" s="19" t="str">
        <v>2026-06</v>
      </c>
      <c r="F1348" s="19" t="str">
        <v>操作员</v>
      </c>
      <c r="G1348" s="19" t="str">
        <v>英国区07:00-15:30 / UK 07:00-15:30</v>
      </c>
      <c r="H1348" s="19" t="str">
        <v>S000331</v>
      </c>
      <c r="I1348" s="19" t="str">
        <v>Employment of London Limited</v>
      </c>
      <c r="J1348" s="23" t="n">
        <v>8</v>
      </c>
      <c r="K1348" s="23" t="n">
        <v>0</v>
      </c>
      <c r="L1348" s="23" t="n">
        <f>J1348+K1348</f>
        <v>8</v>
      </c>
      <c r="M1348" s="23" t="n">
        <v>8</v>
      </c>
      <c r="N1348" s="23" t="n">
        <v>5</v>
      </c>
      <c r="O1348" s="23" t="n">
        <v>8</v>
      </c>
      <c r="P1348" s="23" t="n">
        <v>5</v>
      </c>
      <c r="Q1348" s="23" t="n">
        <f>MIN(O1348,P1348)</f>
        <v>5</v>
      </c>
      <c r="R1348" s="25" t="n">
        <f>IF(M1348=0,0,MIN(1,L1348/M1348))</f>
        <v>1</v>
      </c>
      <c r="S1348" s="23" t="n">
        <f>O1348*R1348</f>
        <v>8</v>
      </c>
      <c r="T1348" s="23" t="n">
        <f>MIN(P1348,S1348)</f>
        <v>5</v>
      </c>
      <c r="U1348" s="23" t="n">
        <f>O1348-S1348</f>
        <v>0</v>
      </c>
      <c r="V1348" s="23" t="n">
        <f>MAX(P1348-O1348,0)</f>
        <v>0</v>
      </c>
    </row>
    <row r="1349">
      <c r="A1349" s="19" t="str">
        <v>英国区</v>
      </c>
      <c r="B1349" s="19" t="str">
        <v>伯明翰2号仓</v>
      </c>
      <c r="C1349" s="19" t="str">
        <v>包装组</v>
      </c>
      <c r="D1349" s="21" t="n">
        <v>46201</v>
      </c>
      <c r="E1349" s="19" t="str">
        <v>2026-06</v>
      </c>
      <c r="F1349" s="19" t="str">
        <v>操作员</v>
      </c>
      <c r="G1349" s="19" t="str">
        <v>英国区09:00-17:30 / UK 09:00-17:30</v>
      </c>
      <c r="H1349" s="19" t="str">
        <v>S000331</v>
      </c>
      <c r="I1349" s="19" t="str">
        <v>Employment of London Limited</v>
      </c>
      <c r="J1349" s="23" t="n">
        <v>6</v>
      </c>
      <c r="K1349" s="23" t="n">
        <v>0</v>
      </c>
      <c r="L1349" s="23" t="n">
        <f>J1349+K1349</f>
        <v>6</v>
      </c>
      <c r="M1349" s="23" t="n">
        <v>6</v>
      </c>
      <c r="N1349" s="23" t="n">
        <v>0</v>
      </c>
      <c r="O1349" s="23" t="n">
        <v>6</v>
      </c>
      <c r="P1349" s="23" t="n">
        <v>0</v>
      </c>
      <c r="Q1349" s="23" t="n">
        <f>MIN(O1349,P1349)</f>
        <v>0</v>
      </c>
      <c r="R1349" s="25" t="n">
        <f>IF(M1349=0,0,MIN(1,L1349/M1349))</f>
        <v>1</v>
      </c>
      <c r="S1349" s="23" t="n">
        <f>O1349*R1349</f>
        <v>6</v>
      </c>
      <c r="T1349" s="23" t="n">
        <f>MIN(P1349,S1349)</f>
        <v>0</v>
      </c>
      <c r="U1349" s="23" t="n">
        <f>O1349-S1349</f>
        <v>0</v>
      </c>
      <c r="V1349" s="23" t="n">
        <f>MAX(P1349-O1349,0)</f>
        <v>0</v>
      </c>
    </row>
    <row r="1350">
      <c r="A1350" s="19" t="str">
        <v>英国区</v>
      </c>
      <c r="B1350" s="19" t="str">
        <v>伯明翰2号仓</v>
      </c>
      <c r="C1350" s="19" t="str">
        <v>售后组</v>
      </c>
      <c r="D1350" s="21" t="n">
        <v>46114</v>
      </c>
      <c r="E1350" s="19" t="str">
        <v>2026-04</v>
      </c>
      <c r="F1350" s="19" t="str">
        <v>操作员</v>
      </c>
      <c r="G1350" s="19" t="str">
        <v>英国区09:00-17:30 / UK 09:00-17:30</v>
      </c>
      <c r="H1350" s="19" t="str">
        <v>S000274</v>
      </c>
      <c r="I1350" s="19" t="str">
        <v>Jobsworth Recruitment Solutions Limited</v>
      </c>
      <c r="J1350" s="23" t="n">
        <v>4</v>
      </c>
      <c r="K1350" s="23" t="n">
        <v>0</v>
      </c>
      <c r="L1350" s="23" t="n">
        <f>J1350+K1350</f>
        <v>4</v>
      </c>
      <c r="M1350" s="23" t="n">
        <v>4</v>
      </c>
      <c r="N1350" s="23" t="n">
        <v>4</v>
      </c>
      <c r="O1350" s="23" t="n">
        <v>2</v>
      </c>
      <c r="P1350" s="23" t="n">
        <v>2</v>
      </c>
      <c r="Q1350" s="23" t="n">
        <f>MIN(O1350,P1350)</f>
        <v>2</v>
      </c>
      <c r="R1350" s="25" t="n">
        <f>IF(M1350=0,0,MIN(1,L1350/M1350))</f>
        <v>1</v>
      </c>
      <c r="S1350" s="23" t="n">
        <f>O1350*R1350</f>
        <v>2</v>
      </c>
      <c r="T1350" s="23" t="n">
        <f>MIN(P1350,S1350)</f>
        <v>2</v>
      </c>
      <c r="U1350" s="23" t="n">
        <f>O1350-S1350</f>
        <v>0</v>
      </c>
      <c r="V1350" s="23" t="n">
        <f>MAX(P1350-O1350,0)</f>
        <v>0</v>
      </c>
    </row>
    <row r="1351">
      <c r="A1351" s="19" t="str">
        <v>英国区</v>
      </c>
      <c r="B1351" s="19" t="str">
        <v>伯明翰2号仓</v>
      </c>
      <c r="C1351" s="19" t="str">
        <v>售后组</v>
      </c>
      <c r="D1351" s="21" t="n">
        <v>46114</v>
      </c>
      <c r="E1351" s="19" t="str">
        <v>2026-04</v>
      </c>
      <c r="F1351" s="19" t="str">
        <v>操作员</v>
      </c>
      <c r="G1351" s="19" t="str">
        <v>英国区09:00-17:30 / UK 09:00-17:30</v>
      </c>
      <c r="H1351" s="19" t="str">
        <v>S000289</v>
      </c>
      <c r="I1351" s="19" t="str">
        <v>Staffzilla Limited</v>
      </c>
      <c r="J1351" s="23" t="n">
        <v>4</v>
      </c>
      <c r="K1351" s="23" t="n">
        <v>0</v>
      </c>
      <c r="L1351" s="23" t="n">
        <f>J1351+K1351</f>
        <v>4</v>
      </c>
      <c r="M1351" s="23" t="n">
        <v>4</v>
      </c>
      <c r="N1351" s="23" t="n">
        <v>4</v>
      </c>
      <c r="O1351" s="23" t="n">
        <v>2</v>
      </c>
      <c r="P1351" s="23" t="n">
        <v>2</v>
      </c>
      <c r="Q1351" s="23" t="n">
        <f>MIN(O1351,P1351)</f>
        <v>2</v>
      </c>
      <c r="R1351" s="25" t="n">
        <f>IF(M1351=0,0,MIN(1,L1351/M1351))</f>
        <v>1</v>
      </c>
      <c r="S1351" s="23" t="n">
        <f>O1351*R1351</f>
        <v>2</v>
      </c>
      <c r="T1351" s="23" t="n">
        <f>MIN(P1351,S1351)</f>
        <v>2</v>
      </c>
      <c r="U1351" s="23" t="n">
        <f>O1351-S1351</f>
        <v>0</v>
      </c>
      <c r="V1351" s="23" t="n">
        <f>MAX(P1351-O1351,0)</f>
        <v>0</v>
      </c>
    </row>
    <row r="1352">
      <c r="A1352" s="19" t="str">
        <v>英国区</v>
      </c>
      <c r="B1352" s="19" t="str">
        <v>伯明翰2号仓</v>
      </c>
      <c r="C1352" s="19" t="str">
        <v>售后组</v>
      </c>
      <c r="D1352" s="21" t="n">
        <v>46119</v>
      </c>
      <c r="E1352" s="19" t="str">
        <v>2026-04</v>
      </c>
      <c r="F1352" s="19" t="str">
        <v>操作员</v>
      </c>
      <c r="G1352" s="19" t="str">
        <v>英国区09:00-17:30 / UK 09:00-17:30</v>
      </c>
      <c r="H1352" s="19" t="str">
        <v>S000132</v>
      </c>
      <c r="I1352" s="19" t="str">
        <v>HRA Recruitment Services</v>
      </c>
      <c r="J1352" s="23" t="n">
        <v>2</v>
      </c>
      <c r="K1352" s="23" t="n">
        <v>0</v>
      </c>
      <c r="L1352" s="23" t="n">
        <f>J1352+K1352</f>
        <v>2</v>
      </c>
      <c r="M1352" s="23" t="n">
        <v>2</v>
      </c>
      <c r="N1352" s="23" t="n">
        <v>2</v>
      </c>
      <c r="O1352" s="23" t="n">
        <v>2</v>
      </c>
      <c r="P1352" s="23" t="n">
        <v>2</v>
      </c>
      <c r="Q1352" s="23" t="n">
        <f>MIN(O1352,P1352)</f>
        <v>2</v>
      </c>
      <c r="R1352" s="25" t="n">
        <f>IF(M1352=0,0,MIN(1,L1352/M1352))</f>
        <v>1</v>
      </c>
      <c r="S1352" s="23" t="n">
        <f>O1352*R1352</f>
        <v>2</v>
      </c>
      <c r="T1352" s="23" t="n">
        <f>MIN(P1352,S1352)</f>
        <v>2</v>
      </c>
      <c r="U1352" s="23" t="n">
        <f>O1352-S1352</f>
        <v>0</v>
      </c>
      <c r="V1352" s="23" t="n">
        <f>MAX(P1352-O1352,0)</f>
        <v>0</v>
      </c>
    </row>
    <row r="1353">
      <c r="A1353" s="19" t="str">
        <v>英国区</v>
      </c>
      <c r="B1353" s="19" t="str">
        <v>伯明翰2号仓</v>
      </c>
      <c r="C1353" s="19" t="str">
        <v>售后组</v>
      </c>
      <c r="D1353" s="21" t="n">
        <v>46120</v>
      </c>
      <c r="E1353" s="19" t="str">
        <v>2026-04</v>
      </c>
      <c r="F1353" s="19" t="str">
        <v>操作员</v>
      </c>
      <c r="G1353" s="19" t="str">
        <v>英国区11:00-19:30 / UK 11:00-19:30</v>
      </c>
      <c r="H1353" s="19" t="str">
        <v>S000132</v>
      </c>
      <c r="I1353" s="19" t="str">
        <v>HRA Recruitment Services</v>
      </c>
      <c r="J1353" s="23" t="n">
        <v>2</v>
      </c>
      <c r="K1353" s="23" t="n">
        <v>0</v>
      </c>
      <c r="L1353" s="23" t="n">
        <f>J1353+K1353</f>
        <v>2</v>
      </c>
      <c r="M1353" s="23" t="n">
        <v>2</v>
      </c>
      <c r="N1353" s="23" t="n">
        <v>2</v>
      </c>
      <c r="O1353" s="23" t="n">
        <v>2</v>
      </c>
      <c r="P1353" s="23" t="n">
        <v>2</v>
      </c>
      <c r="Q1353" s="23" t="n">
        <f>MIN(O1353,P1353)</f>
        <v>2</v>
      </c>
      <c r="R1353" s="25" t="n">
        <f>IF(M1353=0,0,MIN(1,L1353/M1353))</f>
        <v>1</v>
      </c>
      <c r="S1353" s="23" t="n">
        <f>O1353*R1353</f>
        <v>2</v>
      </c>
      <c r="T1353" s="23" t="n">
        <f>MIN(P1353,S1353)</f>
        <v>2</v>
      </c>
      <c r="U1353" s="23" t="n">
        <f>O1353-S1353</f>
        <v>0</v>
      </c>
      <c r="V1353" s="23" t="n">
        <f>MAX(P1353-O1353,0)</f>
        <v>0</v>
      </c>
    </row>
    <row r="1354">
      <c r="A1354" s="19" t="str">
        <v>英国区</v>
      </c>
      <c r="B1354" s="19" t="str">
        <v>伯明翰2号仓</v>
      </c>
      <c r="C1354" s="19" t="str">
        <v>售后组</v>
      </c>
      <c r="D1354" s="21" t="n">
        <v>46125</v>
      </c>
      <c r="E1354" s="19" t="str">
        <v>2026-04</v>
      </c>
      <c r="F1354" s="19" t="str">
        <v>操作员</v>
      </c>
      <c r="G1354" s="19" t="str">
        <v>英国区09:00-17:30 / UK 09:00-17:30</v>
      </c>
      <c r="H1354" s="19" t="str">
        <v>S000013</v>
      </c>
      <c r="I1354" s="19" t="str">
        <v>FT Recruitment</v>
      </c>
      <c r="J1354" s="23" t="n">
        <v>2</v>
      </c>
      <c r="K1354" s="23" t="n">
        <v>0</v>
      </c>
      <c r="L1354" s="23" t="n">
        <f>J1354+K1354</f>
        <v>2</v>
      </c>
      <c r="M1354" s="23" t="n">
        <v>2</v>
      </c>
      <c r="N1354" s="23" t="n">
        <v>1</v>
      </c>
      <c r="O1354" s="23" t="n">
        <v>1</v>
      </c>
      <c r="P1354" s="23" t="n">
        <v>0</v>
      </c>
      <c r="Q1354" s="23" t="n">
        <f>MIN(O1354,P1354)</f>
        <v>0</v>
      </c>
      <c r="R1354" s="25" t="n">
        <f>IF(M1354=0,0,MIN(1,L1354/M1354))</f>
        <v>1</v>
      </c>
      <c r="S1354" s="23" t="n">
        <f>O1354*R1354</f>
        <v>1</v>
      </c>
      <c r="T1354" s="23" t="n">
        <f>MIN(P1354,S1354)</f>
        <v>0</v>
      </c>
      <c r="U1354" s="23" t="n">
        <f>O1354-S1354</f>
        <v>0</v>
      </c>
      <c r="V1354" s="23" t="n">
        <f>MAX(P1354-O1354,0)</f>
        <v>0</v>
      </c>
    </row>
    <row r="1355">
      <c r="A1355" s="19" t="str">
        <v>英国区</v>
      </c>
      <c r="B1355" s="19" t="str">
        <v>伯明翰2号仓</v>
      </c>
      <c r="C1355" s="19" t="str">
        <v>售后组</v>
      </c>
      <c r="D1355" s="21" t="n">
        <v>46125</v>
      </c>
      <c r="E1355" s="19" t="str">
        <v>2026-04</v>
      </c>
      <c r="F1355" s="19" t="str">
        <v>操作员</v>
      </c>
      <c r="G1355" s="19" t="str">
        <v>英国区09:00-17:30 / UK 09:00-17:30</v>
      </c>
      <c r="H1355" s="19" t="str">
        <v>S000274</v>
      </c>
      <c r="I1355" s="19" t="str">
        <v>Jobsworth Recruitment Solutions Limited</v>
      </c>
      <c r="J1355" s="23" t="n">
        <v>2</v>
      </c>
      <c r="K1355" s="23" t="n">
        <v>0</v>
      </c>
      <c r="L1355" s="23" t="n">
        <f>J1355+K1355</f>
        <v>2</v>
      </c>
      <c r="M1355" s="23" t="n">
        <v>2</v>
      </c>
      <c r="N1355" s="23" t="n">
        <v>1</v>
      </c>
      <c r="O1355" s="23" t="n">
        <v>1</v>
      </c>
      <c r="P1355" s="23" t="n">
        <v>1</v>
      </c>
      <c r="Q1355" s="23" t="n">
        <f>MIN(O1355,P1355)</f>
        <v>1</v>
      </c>
      <c r="R1355" s="25" t="n">
        <f>IF(M1355=0,0,MIN(1,L1355/M1355))</f>
        <v>1</v>
      </c>
      <c r="S1355" s="23" t="n">
        <f>O1355*R1355</f>
        <v>1</v>
      </c>
      <c r="T1355" s="23" t="n">
        <f>MIN(P1355,S1355)</f>
        <v>1</v>
      </c>
      <c r="U1355" s="23" t="n">
        <f>O1355-S1355</f>
        <v>0</v>
      </c>
      <c r="V1355" s="23" t="n">
        <f>MAX(P1355-O1355,0)</f>
        <v>0</v>
      </c>
    </row>
    <row r="1356">
      <c r="A1356" s="19" t="str">
        <v>英国区</v>
      </c>
      <c r="B1356" s="19" t="str">
        <v>伯明翰2号仓</v>
      </c>
      <c r="C1356" s="19" t="str">
        <v>售后组</v>
      </c>
      <c r="D1356" s="21" t="n">
        <v>46154</v>
      </c>
      <c r="E1356" s="19" t="str">
        <v>2026-05</v>
      </c>
      <c r="F1356" s="19" t="str">
        <v>操作员</v>
      </c>
      <c r="G1356" s="19" t="str">
        <v>英国区09:00-17:30 / UK 09:00-17:30</v>
      </c>
      <c r="H1356" s="19" t="str">
        <v>S000289</v>
      </c>
      <c r="I1356" s="19" t="str">
        <v>Staffzilla Limited</v>
      </c>
      <c r="J1356" s="23" t="n">
        <v>2</v>
      </c>
      <c r="K1356" s="23" t="n">
        <v>0</v>
      </c>
      <c r="L1356" s="23" t="n">
        <f>J1356+K1356</f>
        <v>2</v>
      </c>
      <c r="M1356" s="23" t="n">
        <v>2</v>
      </c>
      <c r="N1356" s="23" t="n">
        <v>0</v>
      </c>
      <c r="O1356" s="23" t="n">
        <v>2</v>
      </c>
      <c r="P1356" s="23" t="n">
        <v>0</v>
      </c>
      <c r="Q1356" s="23" t="n">
        <f>MIN(O1356,P1356)</f>
        <v>0</v>
      </c>
      <c r="R1356" s="25" t="n">
        <f>IF(M1356=0,0,MIN(1,L1356/M1356))</f>
        <v>1</v>
      </c>
      <c r="S1356" s="23" t="n">
        <f>O1356*R1356</f>
        <v>2</v>
      </c>
      <c r="T1356" s="23" t="n">
        <f>MIN(P1356,S1356)</f>
        <v>0</v>
      </c>
      <c r="U1356" s="23" t="n">
        <f>O1356-S1356</f>
        <v>0</v>
      </c>
      <c r="V1356" s="23" t="n">
        <f>MAX(P1356-O1356,0)</f>
        <v>0</v>
      </c>
    </row>
    <row r="1357">
      <c r="A1357" s="19" t="str">
        <v>英国区</v>
      </c>
      <c r="B1357" s="19" t="str">
        <v>伯明翰2号仓</v>
      </c>
      <c r="C1357" s="19" t="str">
        <v>售后组</v>
      </c>
      <c r="D1357" s="21" t="n">
        <v>46160</v>
      </c>
      <c r="E1357" s="19" t="str">
        <v>2026-05</v>
      </c>
      <c r="F1357" s="19" t="str">
        <v>操作员</v>
      </c>
      <c r="G1357" s="19" t="str">
        <v>英国区09:00-17:30 / UK 09:00-17:30</v>
      </c>
      <c r="H1357" s="19" t="str">
        <v>S000274</v>
      </c>
      <c r="I1357" s="19" t="str">
        <v>Jobsworth Recruitment Solutions Limited</v>
      </c>
      <c r="J1357" s="23" t="n">
        <v>1</v>
      </c>
      <c r="K1357" s="23" t="n">
        <v>0</v>
      </c>
      <c r="L1357" s="23" t="n">
        <f>J1357+K1357</f>
        <v>1</v>
      </c>
      <c r="M1357" s="23" t="n">
        <v>1</v>
      </c>
      <c r="N1357" s="23" t="n">
        <v>1</v>
      </c>
      <c r="O1357" s="23" t="n">
        <v>1</v>
      </c>
      <c r="P1357" s="23" t="n">
        <v>1</v>
      </c>
      <c r="Q1357" s="23" t="n">
        <f>MIN(O1357,P1357)</f>
        <v>1</v>
      </c>
      <c r="R1357" s="25" t="n">
        <f>IF(M1357=0,0,MIN(1,L1357/M1357))</f>
        <v>1</v>
      </c>
      <c r="S1357" s="23" t="n">
        <f>O1357*R1357</f>
        <v>1</v>
      </c>
      <c r="T1357" s="23" t="n">
        <f>MIN(P1357,S1357)</f>
        <v>1</v>
      </c>
      <c r="U1357" s="23" t="n">
        <f>O1357-S1357</f>
        <v>0</v>
      </c>
      <c r="V1357" s="23" t="n">
        <f>MAX(P1357-O1357,0)</f>
        <v>0</v>
      </c>
    </row>
    <row r="1358">
      <c r="A1358" s="19" t="str">
        <v>英国区</v>
      </c>
      <c r="B1358" s="19" t="str">
        <v>伯明翰2号仓</v>
      </c>
      <c r="C1358" s="19" t="str">
        <v>售后组</v>
      </c>
      <c r="D1358" s="21" t="n">
        <v>46162</v>
      </c>
      <c r="E1358" s="19" t="str">
        <v>2026-05</v>
      </c>
      <c r="F1358" s="19" t="str">
        <v>操作员</v>
      </c>
      <c r="G1358" s="19" t="str">
        <v>英国区09:00-17:30 / UK 09:00-17:30</v>
      </c>
      <c r="H1358" s="19" t="str">
        <v>S000274</v>
      </c>
      <c r="I1358" s="19" t="str">
        <v>Jobsworth Recruitment Solutions Limited</v>
      </c>
      <c r="J1358" s="23" t="n">
        <v>1</v>
      </c>
      <c r="K1358" s="23" t="n">
        <v>0</v>
      </c>
      <c r="L1358" s="23" t="n">
        <f>J1358+K1358</f>
        <v>1</v>
      </c>
      <c r="M1358" s="23" t="n">
        <v>1</v>
      </c>
      <c r="N1358" s="23" t="n">
        <v>1</v>
      </c>
      <c r="O1358" s="23" t="n">
        <v>1</v>
      </c>
      <c r="P1358" s="23" t="n">
        <v>1</v>
      </c>
      <c r="Q1358" s="23" t="n">
        <f>MIN(O1358,P1358)</f>
        <v>1</v>
      </c>
      <c r="R1358" s="25" t="n">
        <f>IF(M1358=0,0,MIN(1,L1358/M1358))</f>
        <v>1</v>
      </c>
      <c r="S1358" s="23" t="n">
        <f>O1358*R1358</f>
        <v>1</v>
      </c>
      <c r="T1358" s="23" t="n">
        <f>MIN(P1358,S1358)</f>
        <v>1</v>
      </c>
      <c r="U1358" s="23" t="n">
        <f>O1358-S1358</f>
        <v>0</v>
      </c>
      <c r="V1358" s="23" t="n">
        <f>MAX(P1358-O1358,0)</f>
        <v>0</v>
      </c>
    </row>
    <row r="1359">
      <c r="A1359" s="19" t="str">
        <v>英国区</v>
      </c>
      <c r="B1359" s="19" t="str">
        <v>伯明翰2号仓</v>
      </c>
      <c r="C1359" s="19" t="str">
        <v>售后组</v>
      </c>
      <c r="D1359" s="21" t="n">
        <v>46164</v>
      </c>
      <c r="E1359" s="19" t="str">
        <v>2026-05</v>
      </c>
      <c r="F1359" s="19" t="str">
        <v>操作员</v>
      </c>
      <c r="G1359" s="19" t="str">
        <v>英国区09:00-17:30 / UK 09:00-17:30</v>
      </c>
      <c r="H1359" s="19" t="str">
        <v>S000274</v>
      </c>
      <c r="I1359" s="19" t="str">
        <v>Jobsworth Recruitment Solutions Limited</v>
      </c>
      <c r="J1359" s="23" t="n">
        <v>3</v>
      </c>
      <c r="K1359" s="23" t="n">
        <v>0</v>
      </c>
      <c r="L1359" s="23" t="n">
        <f>J1359+K1359</f>
        <v>3</v>
      </c>
      <c r="M1359" s="23" t="n">
        <v>3</v>
      </c>
      <c r="N1359" s="23" t="n">
        <v>3</v>
      </c>
      <c r="O1359" s="23" t="n">
        <v>3</v>
      </c>
      <c r="P1359" s="23" t="n">
        <v>3</v>
      </c>
      <c r="Q1359" s="23" t="n">
        <f>MIN(O1359,P1359)</f>
        <v>3</v>
      </c>
      <c r="R1359" s="25" t="n">
        <f>IF(M1359=0,0,MIN(1,L1359/M1359))</f>
        <v>1</v>
      </c>
      <c r="S1359" s="23" t="n">
        <f>O1359*R1359</f>
        <v>3</v>
      </c>
      <c r="T1359" s="23" t="n">
        <f>MIN(P1359,S1359)</f>
        <v>3</v>
      </c>
      <c r="U1359" s="23" t="n">
        <f>O1359-S1359</f>
        <v>0</v>
      </c>
      <c r="V1359" s="23" t="n">
        <f>MAX(P1359-O1359,0)</f>
        <v>0</v>
      </c>
    </row>
    <row r="1360">
      <c r="A1360" s="19" t="str">
        <v>英国区</v>
      </c>
      <c r="B1360" s="19" t="str">
        <v>伯明翰2号仓</v>
      </c>
      <c r="C1360" s="19" t="str">
        <v>售后组</v>
      </c>
      <c r="D1360" s="21" t="n">
        <v>46168</v>
      </c>
      <c r="E1360" s="19" t="str">
        <v>2026-05</v>
      </c>
      <c r="F1360" s="19" t="str">
        <v>售后处理员</v>
      </c>
      <c r="G1360" s="19" t="str">
        <v>英国区09:00-17:30 / UK 09:00-17:30</v>
      </c>
      <c r="H1360" s="19" t="str">
        <v>S000274</v>
      </c>
      <c r="I1360" s="19" t="str">
        <v>Jobsworth Recruitment Solutions Limited</v>
      </c>
      <c r="J1360" s="23" t="n">
        <v>2</v>
      </c>
      <c r="K1360" s="23" t="n">
        <v>0</v>
      </c>
      <c r="L1360" s="23" t="n">
        <f>J1360+K1360</f>
        <v>2</v>
      </c>
      <c r="M1360" s="23" t="n">
        <v>2</v>
      </c>
      <c r="N1360" s="23" t="n">
        <v>2</v>
      </c>
      <c r="O1360" s="23" t="n">
        <v>2</v>
      </c>
      <c r="P1360" s="23" t="n">
        <v>2</v>
      </c>
      <c r="Q1360" s="23" t="n">
        <f>MIN(O1360,P1360)</f>
        <v>2</v>
      </c>
      <c r="R1360" s="25" t="n">
        <f>IF(M1360=0,0,MIN(1,L1360/M1360))</f>
        <v>1</v>
      </c>
      <c r="S1360" s="23" t="n">
        <f>O1360*R1360</f>
        <v>2</v>
      </c>
      <c r="T1360" s="23" t="n">
        <f>MIN(P1360,S1360)</f>
        <v>2</v>
      </c>
      <c r="U1360" s="23" t="n">
        <f>O1360-S1360</f>
        <v>0</v>
      </c>
      <c r="V1360" s="23" t="n">
        <f>MAX(P1360-O1360,0)</f>
        <v>0</v>
      </c>
    </row>
    <row r="1361">
      <c r="A1361" s="19" t="str">
        <v>英国区</v>
      </c>
      <c r="B1361" s="19" t="str">
        <v>伯明翰2号仓</v>
      </c>
      <c r="C1361" s="19" t="str">
        <v>售后组</v>
      </c>
      <c r="D1361" s="21" t="n">
        <v>46202</v>
      </c>
      <c r="E1361" s="19" t="str">
        <v>2026-06</v>
      </c>
      <c r="F1361" s="19" t="str">
        <v>操作员</v>
      </c>
      <c r="G1361" s="19" t="str">
        <v>英国区09:00-17:30 / UK 09:00-17:30</v>
      </c>
      <c r="H1361" s="19" t="str">
        <v>S000331</v>
      </c>
      <c r="I1361" s="19" t="str">
        <v>Employment of London Limited</v>
      </c>
      <c r="J1361" s="23" t="n">
        <v>3</v>
      </c>
      <c r="K1361" s="23" t="n">
        <v>0</v>
      </c>
      <c r="L1361" s="23" t="n">
        <f>J1361+K1361</f>
        <v>3</v>
      </c>
      <c r="M1361" s="23" t="n">
        <v>3</v>
      </c>
      <c r="N1361" s="23" t="n">
        <v>3</v>
      </c>
      <c r="O1361" s="23" t="n">
        <v>3</v>
      </c>
      <c r="P1361" s="23" t="n">
        <v>3</v>
      </c>
      <c r="Q1361" s="23" t="n">
        <f>MIN(O1361,P1361)</f>
        <v>3</v>
      </c>
      <c r="R1361" s="25" t="n">
        <f>IF(M1361=0,0,MIN(1,L1361/M1361))</f>
        <v>1</v>
      </c>
      <c r="S1361" s="23" t="n">
        <f>O1361*R1361</f>
        <v>3</v>
      </c>
      <c r="T1361" s="23" t="n">
        <f>MIN(P1361,S1361)</f>
        <v>3</v>
      </c>
      <c r="U1361" s="23" t="n">
        <f>O1361-S1361</f>
        <v>0</v>
      </c>
      <c r="V1361" s="23" t="n">
        <f>MAX(P1361-O1361,0)</f>
        <v>0</v>
      </c>
    </row>
    <row r="1362">
      <c r="A1362" s="19" t="str">
        <v>英国区</v>
      </c>
      <c r="B1362" s="19" t="str">
        <v>伯明翰2号仓</v>
      </c>
      <c r="C1362" s="19" t="str">
        <v>拣货组</v>
      </c>
      <c r="D1362" s="21" t="n">
        <v>46152</v>
      </c>
      <c r="E1362" s="19" t="str">
        <v>2026-05</v>
      </c>
      <c r="F1362" s="19" t="str">
        <v>操作员</v>
      </c>
      <c r="G1362" s="19" t="str">
        <v>英国灵活（6小时扣午休） / UK FLEX (6-HR LUNCH BREAK DEDUCTED)</v>
      </c>
      <c r="H1362" s="19" t="str">
        <v>S000011</v>
      </c>
      <c r="I1362" s="19" t="str">
        <v>SD4U</v>
      </c>
      <c r="J1362" s="23" t="n">
        <v>4</v>
      </c>
      <c r="K1362" s="23" t="n">
        <v>0</v>
      </c>
      <c r="L1362" s="23" t="n">
        <f>J1362+K1362</f>
        <v>4</v>
      </c>
      <c r="M1362" s="23" t="n">
        <v>4</v>
      </c>
      <c r="N1362" s="23" t="n">
        <v>0</v>
      </c>
      <c r="O1362" s="23" t="n">
        <v>4</v>
      </c>
      <c r="P1362" s="23" t="n">
        <v>0</v>
      </c>
      <c r="Q1362" s="23" t="n">
        <f>MIN(O1362,P1362)</f>
        <v>0</v>
      </c>
      <c r="R1362" s="25" t="n">
        <f>IF(M1362=0,0,MIN(1,L1362/M1362))</f>
        <v>1</v>
      </c>
      <c r="S1362" s="23" t="n">
        <f>O1362*R1362</f>
        <v>4</v>
      </c>
      <c r="T1362" s="23" t="n">
        <f>MIN(P1362,S1362)</f>
        <v>0</v>
      </c>
      <c r="U1362" s="23" t="n">
        <f>O1362-S1362</f>
        <v>0</v>
      </c>
      <c r="V1362" s="23" t="n">
        <f>MAX(P1362-O1362,0)</f>
        <v>0</v>
      </c>
    </row>
    <row r="1363">
      <c r="A1363" s="19" t="str">
        <v>英国区</v>
      </c>
      <c r="B1363" s="19" t="str">
        <v>伯明翰2号仓</v>
      </c>
      <c r="C1363" s="19" t="str">
        <v>拣货组</v>
      </c>
      <c r="D1363" s="21" t="n">
        <v>46154</v>
      </c>
      <c r="E1363" s="19" t="str">
        <v>2026-05</v>
      </c>
      <c r="F1363" s="19" t="str">
        <v>操作员</v>
      </c>
      <c r="G1363" s="19" t="str">
        <v>英国灵活（6小时扣午休） / UK FLEX (6-HR LUNCH BREAK DEDUCTED)</v>
      </c>
      <c r="H1363" s="19" t="str">
        <v>S000289</v>
      </c>
      <c r="I1363" s="19" t="str">
        <v>Staffzilla Limited</v>
      </c>
      <c r="J1363" s="23" t="n">
        <v>4</v>
      </c>
      <c r="K1363" s="23" t="n">
        <v>0</v>
      </c>
      <c r="L1363" s="23" t="n">
        <f>J1363+K1363</f>
        <v>4</v>
      </c>
      <c r="M1363" s="23" t="n">
        <v>4</v>
      </c>
      <c r="N1363" s="23" t="n">
        <v>4</v>
      </c>
      <c r="O1363" s="23" t="n">
        <v>4</v>
      </c>
      <c r="P1363" s="23" t="n">
        <v>4</v>
      </c>
      <c r="Q1363" s="23" t="n">
        <f>MIN(O1363,P1363)</f>
        <v>4</v>
      </c>
      <c r="R1363" s="25" t="n">
        <f>IF(M1363=0,0,MIN(1,L1363/M1363))</f>
        <v>1</v>
      </c>
      <c r="S1363" s="23" t="n">
        <f>O1363*R1363</f>
        <v>4</v>
      </c>
      <c r="T1363" s="23" t="n">
        <f>MIN(P1363,S1363)</f>
        <v>4</v>
      </c>
      <c r="U1363" s="23" t="n">
        <f>O1363-S1363</f>
        <v>0</v>
      </c>
      <c r="V1363" s="23" t="n">
        <f>MAX(P1363-O1363,0)</f>
        <v>0</v>
      </c>
    </row>
    <row r="1364">
      <c r="A1364" s="19" t="str">
        <v>英国区</v>
      </c>
      <c r="B1364" s="19" t="str">
        <v>伯明翰2号仓</v>
      </c>
      <c r="C1364" s="19" t="str">
        <v>拣货组</v>
      </c>
      <c r="D1364" s="21" t="n">
        <v>46155</v>
      </c>
      <c r="E1364" s="19" t="str">
        <v>2026-05</v>
      </c>
      <c r="F1364" s="19" t="str">
        <v>操作员</v>
      </c>
      <c r="G1364" s="19" t="str">
        <v>英国灵活（6小时扣午休） / UK FLEX (6-HR LUNCH BREAK DEDUCTED)</v>
      </c>
      <c r="H1364" s="19" t="str">
        <v>S000289</v>
      </c>
      <c r="I1364" s="19" t="str">
        <v>Staffzilla Limited</v>
      </c>
      <c r="J1364" s="23" t="n">
        <v>3</v>
      </c>
      <c r="K1364" s="23" t="n">
        <v>0</v>
      </c>
      <c r="L1364" s="23" t="n">
        <f>J1364+K1364</f>
        <v>3</v>
      </c>
      <c r="M1364" s="23" t="n">
        <v>3</v>
      </c>
      <c r="N1364" s="23" t="n">
        <v>0</v>
      </c>
      <c r="O1364" s="23" t="n">
        <v>3</v>
      </c>
      <c r="P1364" s="23" t="n">
        <v>0</v>
      </c>
      <c r="Q1364" s="23" t="n">
        <f>MIN(O1364,P1364)</f>
        <v>0</v>
      </c>
      <c r="R1364" s="25" t="n">
        <f>IF(M1364=0,0,MIN(1,L1364/M1364))</f>
        <v>1</v>
      </c>
      <c r="S1364" s="23" t="n">
        <f>O1364*R1364</f>
        <v>3</v>
      </c>
      <c r="T1364" s="23" t="n">
        <f>MIN(P1364,S1364)</f>
        <v>0</v>
      </c>
      <c r="U1364" s="23" t="n">
        <f>O1364-S1364</f>
        <v>0</v>
      </c>
      <c r="V1364" s="23" t="n">
        <f>MAX(P1364-O1364,0)</f>
        <v>0</v>
      </c>
    </row>
    <row r="1365">
      <c r="A1365" s="19" t="str">
        <v>英国区</v>
      </c>
      <c r="B1365" s="19" t="str">
        <v>伯明翰2号仓</v>
      </c>
      <c r="C1365" s="19" t="str">
        <v>拣货组</v>
      </c>
      <c r="D1365" s="21" t="n">
        <v>46156</v>
      </c>
      <c r="E1365" s="19" t="str">
        <v>2026-05</v>
      </c>
      <c r="F1365" s="19" t="str">
        <v>操作员</v>
      </c>
      <c r="G1365" s="19" t="str">
        <v>英国灵活（6小时扣午休） / UK FLEX (6-HR LUNCH BREAK DEDUCTED)</v>
      </c>
      <c r="H1365" s="19" t="str">
        <v>S000274</v>
      </c>
      <c r="I1365" s="19" t="str">
        <v>Jobsworth Recruitment Solutions Limited</v>
      </c>
      <c r="J1365" s="23" t="n">
        <v>3</v>
      </c>
      <c r="K1365" s="23" t="n">
        <v>0</v>
      </c>
      <c r="L1365" s="23" t="n">
        <f>J1365+K1365</f>
        <v>3</v>
      </c>
      <c r="M1365" s="23" t="n">
        <v>3</v>
      </c>
      <c r="N1365" s="23" t="n">
        <v>3</v>
      </c>
      <c r="O1365" s="23" t="n">
        <v>3</v>
      </c>
      <c r="P1365" s="23" t="n">
        <v>3</v>
      </c>
      <c r="Q1365" s="23" t="n">
        <f>MIN(O1365,P1365)</f>
        <v>3</v>
      </c>
      <c r="R1365" s="25" t="n">
        <f>IF(M1365=0,0,MIN(1,L1365/M1365))</f>
        <v>1</v>
      </c>
      <c r="S1365" s="23" t="n">
        <f>O1365*R1365</f>
        <v>3</v>
      </c>
      <c r="T1365" s="23" t="n">
        <f>MIN(P1365,S1365)</f>
        <v>3</v>
      </c>
      <c r="U1365" s="23" t="n">
        <f>O1365-S1365</f>
        <v>0</v>
      </c>
      <c r="V1365" s="23" t="n">
        <f>MAX(P1365-O1365,0)</f>
        <v>0</v>
      </c>
    </row>
    <row r="1366">
      <c r="A1366" s="19" t="str">
        <v>英国区</v>
      </c>
      <c r="B1366" s="19" t="str">
        <v>伯明翰2号仓</v>
      </c>
      <c r="C1366" s="19" t="str">
        <v>拣货组</v>
      </c>
      <c r="D1366" s="21" t="n">
        <v>46157</v>
      </c>
      <c r="E1366" s="19" t="str">
        <v>2026-05</v>
      </c>
      <c r="F1366" s="19" t="str">
        <v>操作员</v>
      </c>
      <c r="G1366" s="19" t="str">
        <v>英国灵活（6小时扣午休） / UK FLEX (6-HR LUNCH BREAK DEDUCTED)</v>
      </c>
      <c r="H1366" s="19" t="str">
        <v>S000274</v>
      </c>
      <c r="I1366" s="19" t="str">
        <v>Jobsworth Recruitment Solutions Limited</v>
      </c>
      <c r="J1366" s="23" t="n">
        <v>3</v>
      </c>
      <c r="K1366" s="23" t="n">
        <v>0</v>
      </c>
      <c r="L1366" s="23" t="n">
        <f>J1366+K1366</f>
        <v>3</v>
      </c>
      <c r="M1366" s="23" t="n">
        <v>3</v>
      </c>
      <c r="N1366" s="23" t="n">
        <v>3</v>
      </c>
      <c r="O1366" s="23" t="n">
        <v>3</v>
      </c>
      <c r="P1366" s="23" t="n">
        <v>3</v>
      </c>
      <c r="Q1366" s="23" t="n">
        <f>MIN(O1366,P1366)</f>
        <v>3</v>
      </c>
      <c r="R1366" s="25" t="n">
        <f>IF(M1366=0,0,MIN(1,L1366/M1366))</f>
        <v>1</v>
      </c>
      <c r="S1366" s="23" t="n">
        <f>O1366*R1366</f>
        <v>3</v>
      </c>
      <c r="T1366" s="23" t="n">
        <f>MIN(P1366,S1366)</f>
        <v>3</v>
      </c>
      <c r="U1366" s="23" t="n">
        <f>O1366-S1366</f>
        <v>0</v>
      </c>
      <c r="V1366" s="23" t="n">
        <f>MAX(P1366-O1366,0)</f>
        <v>0</v>
      </c>
    </row>
    <row r="1367">
      <c r="A1367" s="19" t="str">
        <v>英国区</v>
      </c>
      <c r="B1367" s="19" t="str">
        <v>伯明翰2号仓</v>
      </c>
      <c r="C1367" s="19" t="str">
        <v>拣货组</v>
      </c>
      <c r="D1367" s="21" t="n">
        <v>46161</v>
      </c>
      <c r="E1367" s="19" t="str">
        <v>2026-05</v>
      </c>
      <c r="F1367" s="19" t="str">
        <v>操作员</v>
      </c>
      <c r="G1367" s="19" t="str">
        <v>英国灵活（6小时扣午休） / UK FLEX (6-HR LUNCH BREAK DEDUCTED)</v>
      </c>
      <c r="H1367" s="19" t="str">
        <v>S000132</v>
      </c>
      <c r="I1367" s="19" t="str">
        <v>HRA Recruitment Services</v>
      </c>
      <c r="J1367" s="23" t="n">
        <v>3</v>
      </c>
      <c r="K1367" s="23" t="n">
        <v>0</v>
      </c>
      <c r="L1367" s="23" t="n">
        <f>J1367+K1367</f>
        <v>3</v>
      </c>
      <c r="M1367" s="23" t="n">
        <v>3</v>
      </c>
      <c r="N1367" s="23" t="n">
        <v>0</v>
      </c>
      <c r="O1367" s="23" t="n">
        <v>3</v>
      </c>
      <c r="P1367" s="23" t="n">
        <v>0</v>
      </c>
      <c r="Q1367" s="23" t="n">
        <f>MIN(O1367,P1367)</f>
        <v>0</v>
      </c>
      <c r="R1367" s="25" t="n">
        <f>IF(M1367=0,0,MIN(1,L1367/M1367))</f>
        <v>1</v>
      </c>
      <c r="S1367" s="23" t="n">
        <f>O1367*R1367</f>
        <v>3</v>
      </c>
      <c r="T1367" s="23" t="n">
        <f>MIN(P1367,S1367)</f>
        <v>0</v>
      </c>
      <c r="U1367" s="23" t="n">
        <f>O1367-S1367</f>
        <v>0</v>
      </c>
      <c r="V1367" s="23" t="n">
        <f>MAX(P1367-O1367,0)</f>
        <v>0</v>
      </c>
    </row>
    <row r="1368">
      <c r="A1368" s="19" t="str">
        <v>英国区</v>
      </c>
      <c r="B1368" s="19" t="str">
        <v>伯明翰2号仓</v>
      </c>
      <c r="C1368" s="19" t="str">
        <v>拣货组</v>
      </c>
      <c r="D1368" s="21" t="n">
        <v>46162</v>
      </c>
      <c r="E1368" s="19" t="str">
        <v>2026-05</v>
      </c>
      <c r="F1368" s="19" t="str">
        <v>操作员</v>
      </c>
      <c r="G1368" s="19" t="str">
        <v>英国灵活（6小时扣午休） / UK FLEX (6-HR LUNCH BREAK DEDUCTED)</v>
      </c>
      <c r="H1368" s="19" t="str">
        <v>S000274</v>
      </c>
      <c r="I1368" s="19" t="str">
        <v>Jobsworth Recruitment Solutions Limited</v>
      </c>
      <c r="J1368" s="23" t="n">
        <v>3</v>
      </c>
      <c r="K1368" s="23" t="n">
        <v>0</v>
      </c>
      <c r="L1368" s="23" t="n">
        <f>J1368+K1368</f>
        <v>3</v>
      </c>
      <c r="M1368" s="23" t="n">
        <v>3</v>
      </c>
      <c r="N1368" s="23" t="n">
        <v>3</v>
      </c>
      <c r="O1368" s="23" t="n">
        <v>3</v>
      </c>
      <c r="P1368" s="23" t="n">
        <v>3</v>
      </c>
      <c r="Q1368" s="23" t="n">
        <f>MIN(O1368,P1368)</f>
        <v>3</v>
      </c>
      <c r="R1368" s="25" t="n">
        <f>IF(M1368=0,0,MIN(1,L1368/M1368))</f>
        <v>1</v>
      </c>
      <c r="S1368" s="23" t="n">
        <f>O1368*R1368</f>
        <v>3</v>
      </c>
      <c r="T1368" s="23" t="n">
        <f>MIN(P1368,S1368)</f>
        <v>3</v>
      </c>
      <c r="U1368" s="23" t="n">
        <f>O1368-S1368</f>
        <v>0</v>
      </c>
      <c r="V1368" s="23" t="n">
        <f>MAX(P1368-O1368,0)</f>
        <v>0</v>
      </c>
    </row>
    <row r="1369">
      <c r="A1369" s="19" t="str">
        <v>英国区</v>
      </c>
      <c r="B1369" s="19" t="str">
        <v>伯明翰2号仓</v>
      </c>
      <c r="C1369" s="19" t="str">
        <v>拣货组</v>
      </c>
      <c r="D1369" s="21" t="n">
        <v>46163</v>
      </c>
      <c r="E1369" s="19" t="str">
        <v>2026-05</v>
      </c>
      <c r="F1369" s="19" t="str">
        <v>操作员</v>
      </c>
      <c r="G1369" s="19" t="str">
        <v>英国灵活（6小时扣午休） / UK FLEX (6-HR LUNCH BREAK DEDUCTED)</v>
      </c>
      <c r="H1369" s="19" t="str">
        <v>S000274</v>
      </c>
      <c r="I1369" s="19" t="str">
        <v>Jobsworth Recruitment Solutions Limited</v>
      </c>
      <c r="J1369" s="23" t="n">
        <v>3</v>
      </c>
      <c r="K1369" s="23" t="n">
        <v>0</v>
      </c>
      <c r="L1369" s="23" t="n">
        <f>J1369+K1369</f>
        <v>3</v>
      </c>
      <c r="M1369" s="23" t="n">
        <v>3</v>
      </c>
      <c r="N1369" s="23" t="n">
        <v>3</v>
      </c>
      <c r="O1369" s="23" t="n">
        <v>3</v>
      </c>
      <c r="P1369" s="23" t="n">
        <v>3</v>
      </c>
      <c r="Q1369" s="23" t="n">
        <f>MIN(O1369,P1369)</f>
        <v>3</v>
      </c>
      <c r="R1369" s="25" t="n">
        <f>IF(M1369=0,0,MIN(1,L1369/M1369))</f>
        <v>1</v>
      </c>
      <c r="S1369" s="23" t="n">
        <f>O1369*R1369</f>
        <v>3</v>
      </c>
      <c r="T1369" s="23" t="n">
        <f>MIN(P1369,S1369)</f>
        <v>3</v>
      </c>
      <c r="U1369" s="23" t="n">
        <f>O1369-S1369</f>
        <v>0</v>
      </c>
      <c r="V1369" s="23" t="n">
        <f>MAX(P1369-O1369,0)</f>
        <v>0</v>
      </c>
    </row>
    <row r="1370">
      <c r="A1370" s="19" t="str">
        <v>英国区</v>
      </c>
      <c r="B1370" s="19" t="str">
        <v>伯明翰2号仓</v>
      </c>
      <c r="C1370" s="19" t="str">
        <v>拣货组</v>
      </c>
      <c r="D1370" s="21" t="n">
        <v>46164</v>
      </c>
      <c r="E1370" s="19" t="str">
        <v>2026-05</v>
      </c>
      <c r="F1370" s="19" t="str">
        <v>操作员</v>
      </c>
      <c r="G1370" s="19" t="str">
        <v>英国灵活（6小时扣午休） / UK FLEX (6-HR LUNCH BREAK DEDUCTED)</v>
      </c>
      <c r="H1370" s="19" t="str">
        <v>S000007</v>
      </c>
      <c r="I1370" s="19" t="str">
        <v>Kenect</v>
      </c>
      <c r="J1370" s="23" t="n">
        <v>3</v>
      </c>
      <c r="K1370" s="23" t="n">
        <v>0</v>
      </c>
      <c r="L1370" s="23" t="n">
        <f>J1370+K1370</f>
        <v>3</v>
      </c>
      <c r="M1370" s="23" t="n">
        <v>3</v>
      </c>
      <c r="N1370" s="23" t="n">
        <v>0</v>
      </c>
      <c r="O1370" s="23" t="n">
        <v>3</v>
      </c>
      <c r="P1370" s="23" t="n">
        <v>0</v>
      </c>
      <c r="Q1370" s="23" t="n">
        <f>MIN(O1370,P1370)</f>
        <v>0</v>
      </c>
      <c r="R1370" s="25" t="n">
        <f>IF(M1370=0,0,MIN(1,L1370/M1370))</f>
        <v>1</v>
      </c>
      <c r="S1370" s="23" t="n">
        <f>O1370*R1370</f>
        <v>3</v>
      </c>
      <c r="T1370" s="23" t="n">
        <f>MIN(P1370,S1370)</f>
        <v>0</v>
      </c>
      <c r="U1370" s="23" t="n">
        <f>O1370-S1370</f>
        <v>0</v>
      </c>
      <c r="V1370" s="23" t="n">
        <f>MAX(P1370-O1370,0)</f>
        <v>0</v>
      </c>
    </row>
    <row r="1371">
      <c r="A1371" s="19" t="str">
        <v>英国区</v>
      </c>
      <c r="B1371" s="19" t="str">
        <v>伯明翰2号仓</v>
      </c>
      <c r="C1371" s="19" t="str">
        <v>拣货组</v>
      </c>
      <c r="D1371" s="21" t="n">
        <v>46167</v>
      </c>
      <c r="E1371" s="19" t="str">
        <v>2026-05</v>
      </c>
      <c r="F1371" s="19" t="str">
        <v>操作员</v>
      </c>
      <c r="G1371" s="19" t="str">
        <v>英国灵活（6小时扣午休） / UK FLEX (6-HR LUNCH BREAK DEDUCTED)</v>
      </c>
      <c r="H1371" s="19" t="str">
        <v>S000274</v>
      </c>
      <c r="I1371" s="19" t="str">
        <v>Jobsworth Recruitment Solutions Limited</v>
      </c>
      <c r="J1371" s="23" t="n">
        <v>3</v>
      </c>
      <c r="K1371" s="23" t="n">
        <v>0</v>
      </c>
      <c r="L1371" s="23" t="n">
        <f>J1371+K1371</f>
        <v>3</v>
      </c>
      <c r="M1371" s="23" t="n">
        <v>3</v>
      </c>
      <c r="N1371" s="23" t="n">
        <v>0</v>
      </c>
      <c r="O1371" s="23" t="n">
        <v>3</v>
      </c>
      <c r="P1371" s="23" t="n">
        <v>0</v>
      </c>
      <c r="Q1371" s="23" t="n">
        <f>MIN(O1371,P1371)</f>
        <v>0</v>
      </c>
      <c r="R1371" s="25" t="n">
        <f>IF(M1371=0,0,MIN(1,L1371/M1371))</f>
        <v>1</v>
      </c>
      <c r="S1371" s="23" t="n">
        <f>O1371*R1371</f>
        <v>3</v>
      </c>
      <c r="T1371" s="23" t="n">
        <f>MIN(P1371,S1371)</f>
        <v>0</v>
      </c>
      <c r="U1371" s="23" t="n">
        <f>O1371-S1371</f>
        <v>0</v>
      </c>
      <c r="V1371" s="23" t="n">
        <f>MAX(P1371-O1371,0)</f>
        <v>0</v>
      </c>
    </row>
    <row r="1372">
      <c r="A1372" s="19" t="str">
        <v>英国区</v>
      </c>
      <c r="B1372" s="19" t="str">
        <v>伯明翰2号仓</v>
      </c>
      <c r="C1372" s="19" t="str">
        <v>拣货组</v>
      </c>
      <c r="D1372" s="21" t="n">
        <v>46168</v>
      </c>
      <c r="E1372" s="19" t="str">
        <v>2026-05</v>
      </c>
      <c r="F1372" s="19" t="str">
        <v>操作员</v>
      </c>
      <c r="G1372" s="19" t="str">
        <v>英国灵活（6小时扣午休） / UK FLEX (6-HR LUNCH BREAK DEDUCTED)</v>
      </c>
      <c r="H1372" s="19" t="str">
        <v>S000274</v>
      </c>
      <c r="I1372" s="19" t="str">
        <v>Jobsworth Recruitment Solutions Limited</v>
      </c>
      <c r="J1372" s="23" t="n">
        <v>3</v>
      </c>
      <c r="K1372" s="23" t="n">
        <v>0</v>
      </c>
      <c r="L1372" s="23" t="n">
        <f>J1372+K1372</f>
        <v>3</v>
      </c>
      <c r="M1372" s="23" t="n">
        <v>3</v>
      </c>
      <c r="N1372" s="23" t="n">
        <v>3</v>
      </c>
      <c r="O1372" s="23" t="n">
        <v>3</v>
      </c>
      <c r="P1372" s="23" t="n">
        <v>3</v>
      </c>
      <c r="Q1372" s="23" t="n">
        <f>MIN(O1372,P1372)</f>
        <v>3</v>
      </c>
      <c r="R1372" s="25" t="n">
        <f>IF(M1372=0,0,MIN(1,L1372/M1372))</f>
        <v>1</v>
      </c>
      <c r="S1372" s="23" t="n">
        <f>O1372*R1372</f>
        <v>3</v>
      </c>
      <c r="T1372" s="23" t="n">
        <f>MIN(P1372,S1372)</f>
        <v>3</v>
      </c>
      <c r="U1372" s="23" t="n">
        <f>O1372-S1372</f>
        <v>0</v>
      </c>
      <c r="V1372" s="23" t="n">
        <f>MAX(P1372-O1372,0)</f>
        <v>0</v>
      </c>
    </row>
    <row r="1373">
      <c r="A1373" s="19" t="str">
        <v>英国区</v>
      </c>
      <c r="B1373" s="19" t="str">
        <v>伯明翰2号仓</v>
      </c>
      <c r="C1373" s="19" t="str">
        <v>拣货组</v>
      </c>
      <c r="D1373" s="21" t="n">
        <v>46169</v>
      </c>
      <c r="E1373" s="19" t="str">
        <v>2026-05</v>
      </c>
      <c r="F1373" s="19" t="str">
        <v>操作员</v>
      </c>
      <c r="G1373" s="19" t="str">
        <v>英国灵活（6小时扣午休） / UK FLEX (6-HR LUNCH BREAK DEDUCTED)</v>
      </c>
      <c r="H1373" s="19" t="str">
        <v>S000274</v>
      </c>
      <c r="I1373" s="19" t="str">
        <v>Jobsworth Recruitment Solutions Limited</v>
      </c>
      <c r="J1373" s="23" t="n">
        <v>3</v>
      </c>
      <c r="K1373" s="23" t="n">
        <v>0</v>
      </c>
      <c r="L1373" s="23" t="n">
        <f>J1373+K1373</f>
        <v>3</v>
      </c>
      <c r="M1373" s="23" t="n">
        <v>3</v>
      </c>
      <c r="N1373" s="23" t="n">
        <v>3</v>
      </c>
      <c r="O1373" s="23" t="n">
        <v>3</v>
      </c>
      <c r="P1373" s="23" t="n">
        <v>3</v>
      </c>
      <c r="Q1373" s="23" t="n">
        <f>MIN(O1373,P1373)</f>
        <v>3</v>
      </c>
      <c r="R1373" s="25" t="n">
        <f>IF(M1373=0,0,MIN(1,L1373/M1373))</f>
        <v>1</v>
      </c>
      <c r="S1373" s="23" t="n">
        <f>O1373*R1373</f>
        <v>3</v>
      </c>
      <c r="T1373" s="23" t="n">
        <f>MIN(P1373,S1373)</f>
        <v>3</v>
      </c>
      <c r="U1373" s="23" t="n">
        <f>O1373-S1373</f>
        <v>0</v>
      </c>
      <c r="V1373" s="23" t="n">
        <f>MAX(P1373-O1373,0)</f>
        <v>0</v>
      </c>
    </row>
    <row r="1374">
      <c r="A1374" s="19" t="str">
        <v>英国区</v>
      </c>
      <c r="B1374" s="19" t="str">
        <v>伯明翰2号仓</v>
      </c>
      <c r="C1374" s="19" t="str">
        <v>拣货组</v>
      </c>
      <c r="D1374" s="21" t="n">
        <v>46170</v>
      </c>
      <c r="E1374" s="19" t="str">
        <v>2026-05</v>
      </c>
      <c r="F1374" s="19" t="str">
        <v>操作员</v>
      </c>
      <c r="G1374" s="19" t="str">
        <v>英国灵活（6小时扣午休） / UK FLEX (6-HR LUNCH BREAK DEDUCTED)</v>
      </c>
      <c r="H1374" s="19" t="str">
        <v>S000011</v>
      </c>
      <c r="I1374" s="19" t="str">
        <v>SD4U</v>
      </c>
      <c r="J1374" s="23" t="n">
        <v>3</v>
      </c>
      <c r="K1374" s="23" t="n">
        <v>0</v>
      </c>
      <c r="L1374" s="23" t="n">
        <f>J1374+K1374</f>
        <v>3</v>
      </c>
      <c r="M1374" s="23" t="n">
        <v>3</v>
      </c>
      <c r="N1374" s="23" t="n">
        <v>0</v>
      </c>
      <c r="O1374" s="23" t="n">
        <v>3</v>
      </c>
      <c r="P1374" s="23" t="n">
        <v>0</v>
      </c>
      <c r="Q1374" s="23" t="n">
        <f>MIN(O1374,P1374)</f>
        <v>0</v>
      </c>
      <c r="R1374" s="25" t="n">
        <f>IF(M1374=0,0,MIN(1,L1374/M1374))</f>
        <v>1</v>
      </c>
      <c r="S1374" s="23" t="n">
        <f>O1374*R1374</f>
        <v>3</v>
      </c>
      <c r="T1374" s="23" t="n">
        <f>MIN(P1374,S1374)</f>
        <v>0</v>
      </c>
      <c r="U1374" s="23" t="n">
        <f>O1374-S1374</f>
        <v>0</v>
      </c>
      <c r="V1374" s="23" t="n">
        <f>MAX(P1374-O1374,0)</f>
        <v>0</v>
      </c>
    </row>
    <row r="1375">
      <c r="A1375" s="19" t="str">
        <v>英国区</v>
      </c>
      <c r="B1375" s="19" t="str">
        <v>伯明翰2号仓</v>
      </c>
      <c r="C1375" s="19" t="str">
        <v>拣货组</v>
      </c>
      <c r="D1375" s="21" t="n">
        <v>46171</v>
      </c>
      <c r="E1375" s="19" t="str">
        <v>2026-05</v>
      </c>
      <c r="F1375" s="19" t="str">
        <v>操作员</v>
      </c>
      <c r="G1375" s="19" t="str">
        <v>英国灵活（6小时扣午休） / UK FLEX (6-HR LUNCH BREAK DEDUCTED)</v>
      </c>
      <c r="H1375" s="19" t="str">
        <v>S000011</v>
      </c>
      <c r="I1375" s="19" t="str">
        <v>SD4U</v>
      </c>
      <c r="J1375" s="23" t="n">
        <v>3</v>
      </c>
      <c r="K1375" s="23" t="n">
        <v>0</v>
      </c>
      <c r="L1375" s="23" t="n">
        <f>J1375+K1375</f>
        <v>3</v>
      </c>
      <c r="M1375" s="23" t="n">
        <v>3</v>
      </c>
      <c r="N1375" s="23" t="n">
        <v>1</v>
      </c>
      <c r="O1375" s="23" t="n">
        <v>3</v>
      </c>
      <c r="P1375" s="23" t="n">
        <v>1</v>
      </c>
      <c r="Q1375" s="23" t="n">
        <f>MIN(O1375,P1375)</f>
        <v>1</v>
      </c>
      <c r="R1375" s="25" t="n">
        <f>IF(M1375=0,0,MIN(1,L1375/M1375))</f>
        <v>1</v>
      </c>
      <c r="S1375" s="23" t="n">
        <f>O1375*R1375</f>
        <v>3</v>
      </c>
      <c r="T1375" s="23" t="n">
        <f>MIN(P1375,S1375)</f>
        <v>1</v>
      </c>
      <c r="U1375" s="23" t="n">
        <f>O1375-S1375</f>
        <v>0</v>
      </c>
      <c r="V1375" s="23" t="n">
        <f>MAX(P1375-O1375,0)</f>
        <v>0</v>
      </c>
    </row>
    <row r="1376">
      <c r="A1376" s="19" t="str">
        <v>英国区</v>
      </c>
      <c r="B1376" s="19" t="str">
        <v>伯明翰2号仓</v>
      </c>
      <c r="C1376" s="19" t="str">
        <v>拣货组</v>
      </c>
      <c r="D1376" s="21" t="n">
        <v>46176</v>
      </c>
      <c r="E1376" s="19" t="str">
        <v>2026-06</v>
      </c>
      <c r="F1376" s="19" t="str">
        <v>操作员</v>
      </c>
      <c r="G1376" s="19" t="str">
        <v>英国灵活（6小时扣午休） / UK FLEX (6-HR LUNCH BREAK DEDUCTED)</v>
      </c>
      <c r="H1376" s="19" t="str">
        <v>S000007</v>
      </c>
      <c r="I1376" s="19" t="str">
        <v>Kenect</v>
      </c>
      <c r="J1376" s="23" t="n">
        <v>3</v>
      </c>
      <c r="K1376" s="23" t="n">
        <v>0</v>
      </c>
      <c r="L1376" s="23" t="n">
        <f>J1376+K1376</f>
        <v>3</v>
      </c>
      <c r="M1376" s="23" t="n">
        <v>3</v>
      </c>
      <c r="N1376" s="23" t="n">
        <v>0</v>
      </c>
      <c r="O1376" s="23" t="n">
        <v>3</v>
      </c>
      <c r="P1376" s="23" t="n">
        <v>0</v>
      </c>
      <c r="Q1376" s="23" t="n">
        <f>MIN(O1376,P1376)</f>
        <v>0</v>
      </c>
      <c r="R1376" s="25" t="n">
        <f>IF(M1376=0,0,MIN(1,L1376/M1376))</f>
        <v>1</v>
      </c>
      <c r="S1376" s="23" t="n">
        <f>O1376*R1376</f>
        <v>3</v>
      </c>
      <c r="T1376" s="23" t="n">
        <f>MIN(P1376,S1376)</f>
        <v>0</v>
      </c>
      <c r="U1376" s="23" t="n">
        <f>O1376-S1376</f>
        <v>0</v>
      </c>
      <c r="V1376" s="23" t="n">
        <f>MAX(P1376-O1376,0)</f>
        <v>0</v>
      </c>
    </row>
    <row r="1377">
      <c r="A1377" s="19" t="str">
        <v>英国区</v>
      </c>
      <c r="B1377" s="19" t="str">
        <v>伯明翰2号仓</v>
      </c>
      <c r="C1377" s="19" t="str">
        <v>拣货组</v>
      </c>
      <c r="D1377" s="21" t="n">
        <v>46177</v>
      </c>
      <c r="E1377" s="19" t="str">
        <v>2026-06</v>
      </c>
      <c r="F1377" s="19" t="str">
        <v>操作员</v>
      </c>
      <c r="G1377" s="19" t="str">
        <v>英国灵活（6小时扣午休） / UK FLEX (6-HR LUNCH BREAK DEDUCTED)</v>
      </c>
      <c r="H1377" s="19" t="str">
        <v>S000007</v>
      </c>
      <c r="I1377" s="19" t="str">
        <v>Kenect</v>
      </c>
      <c r="J1377" s="23" t="n">
        <v>3</v>
      </c>
      <c r="K1377" s="23" t="n">
        <v>0</v>
      </c>
      <c r="L1377" s="23" t="n">
        <f>J1377+K1377</f>
        <v>3</v>
      </c>
      <c r="M1377" s="23" t="n">
        <v>3</v>
      </c>
      <c r="N1377" s="23" t="n">
        <v>0</v>
      </c>
      <c r="O1377" s="23" t="n">
        <v>3</v>
      </c>
      <c r="P1377" s="23" t="n">
        <v>0</v>
      </c>
      <c r="Q1377" s="23" t="n">
        <f>MIN(O1377,P1377)</f>
        <v>0</v>
      </c>
      <c r="R1377" s="25" t="n">
        <f>IF(M1377=0,0,MIN(1,L1377/M1377))</f>
        <v>1</v>
      </c>
      <c r="S1377" s="23" t="n">
        <f>O1377*R1377</f>
        <v>3</v>
      </c>
      <c r="T1377" s="23" t="n">
        <f>MIN(P1377,S1377)</f>
        <v>0</v>
      </c>
      <c r="U1377" s="23" t="n">
        <f>O1377-S1377</f>
        <v>0</v>
      </c>
      <c r="V1377" s="23" t="n">
        <f>MAX(P1377-O1377,0)</f>
        <v>0</v>
      </c>
    </row>
    <row r="1378">
      <c r="A1378" s="19" t="str">
        <v>英国区</v>
      </c>
      <c r="B1378" s="19" t="str">
        <v>伯明翰2号仓</v>
      </c>
      <c r="C1378" s="19" t="str">
        <v>拣货组</v>
      </c>
      <c r="D1378" s="21" t="n">
        <v>46178</v>
      </c>
      <c r="E1378" s="19" t="str">
        <v>2026-06</v>
      </c>
      <c r="F1378" s="19" t="str">
        <v>操作员</v>
      </c>
      <c r="G1378" s="19" t="str">
        <v>英国灵活（6小时扣午休） / UK FLEX (6-HR LUNCH BREAK DEDUCTED)</v>
      </c>
      <c r="H1378" s="19" t="str">
        <v>S000132</v>
      </c>
      <c r="I1378" s="19" t="str">
        <v>HRA Recruitment Services</v>
      </c>
      <c r="J1378" s="23" t="n">
        <v>3</v>
      </c>
      <c r="K1378" s="23" t="n">
        <v>0</v>
      </c>
      <c r="L1378" s="23" t="n">
        <f>J1378+K1378</f>
        <v>3</v>
      </c>
      <c r="M1378" s="23" t="n">
        <v>3</v>
      </c>
      <c r="N1378" s="23" t="n">
        <v>3</v>
      </c>
      <c r="O1378" s="23" t="n">
        <v>3</v>
      </c>
      <c r="P1378" s="23" t="n">
        <v>3</v>
      </c>
      <c r="Q1378" s="23" t="n">
        <f>MIN(O1378,P1378)</f>
        <v>3</v>
      </c>
      <c r="R1378" s="25" t="n">
        <f>IF(M1378=0,0,MIN(1,L1378/M1378))</f>
        <v>1</v>
      </c>
      <c r="S1378" s="23" t="n">
        <f>O1378*R1378</f>
        <v>3</v>
      </c>
      <c r="T1378" s="23" t="n">
        <f>MIN(P1378,S1378)</f>
        <v>3</v>
      </c>
      <c r="U1378" s="23" t="n">
        <f>O1378-S1378</f>
        <v>0</v>
      </c>
      <c r="V1378" s="23" t="n">
        <f>MAX(P1378-O1378,0)</f>
        <v>0</v>
      </c>
    </row>
    <row r="1379">
      <c r="A1379" s="19" t="str">
        <v>英国区</v>
      </c>
      <c r="B1379" s="19" t="str">
        <v>伯明翰2号仓</v>
      </c>
      <c r="C1379" s="19" t="str">
        <v>拣货组</v>
      </c>
      <c r="D1379" s="21" t="n">
        <v>46194</v>
      </c>
      <c r="E1379" s="19" t="str">
        <v>2026-06</v>
      </c>
      <c r="F1379" s="19" t="str">
        <v>操作员</v>
      </c>
      <c r="G1379" s="19" t="str">
        <v>英国灵活（6小时扣午休） / UK FLEX (6-HR LUNCH BREAK DEDUCTED)</v>
      </c>
      <c r="H1379" s="19" t="str">
        <v>S000274</v>
      </c>
      <c r="I1379" s="19" t="str">
        <v>Jobsworth Recruitment Solutions Limited</v>
      </c>
      <c r="J1379" s="23" t="n">
        <v>3</v>
      </c>
      <c r="K1379" s="23" t="n">
        <v>0</v>
      </c>
      <c r="L1379" s="23" t="n">
        <f>J1379+K1379</f>
        <v>3</v>
      </c>
      <c r="M1379" s="23" t="n">
        <v>3</v>
      </c>
      <c r="N1379" s="23" t="n">
        <v>3</v>
      </c>
      <c r="O1379" s="23" t="n">
        <v>3</v>
      </c>
      <c r="P1379" s="23" t="n">
        <v>3</v>
      </c>
      <c r="Q1379" s="23" t="n">
        <f>MIN(O1379,P1379)</f>
        <v>3</v>
      </c>
      <c r="R1379" s="25" t="n">
        <f>IF(M1379=0,0,MIN(1,L1379/M1379))</f>
        <v>1</v>
      </c>
      <c r="S1379" s="23" t="n">
        <f>O1379*R1379</f>
        <v>3</v>
      </c>
      <c r="T1379" s="23" t="n">
        <f>MIN(P1379,S1379)</f>
        <v>3</v>
      </c>
      <c r="U1379" s="23" t="n">
        <f>O1379-S1379</f>
        <v>0</v>
      </c>
      <c r="V1379" s="23" t="n">
        <f>MAX(P1379-O1379,0)</f>
        <v>0</v>
      </c>
    </row>
    <row r="1380">
      <c r="A1380" s="19" t="str">
        <v>英国区</v>
      </c>
      <c r="B1380" s="19" t="str">
        <v>伯明翰2号仓</v>
      </c>
      <c r="C1380" s="19" t="str">
        <v>拣货组</v>
      </c>
      <c r="D1380" s="21" t="n">
        <v>46195</v>
      </c>
      <c r="E1380" s="19" t="str">
        <v>2026-06</v>
      </c>
      <c r="F1380" s="19" t="str">
        <v>操作员</v>
      </c>
      <c r="G1380" s="19" t="str">
        <v>英国灵活（6小时扣午休） / UK FLEX (6-HR LUNCH BREAK DEDUCTED)</v>
      </c>
      <c r="H1380" s="19" t="str">
        <v>S000274</v>
      </c>
      <c r="I1380" s="19" t="str">
        <v>Jobsworth Recruitment Solutions Limited</v>
      </c>
      <c r="J1380" s="23" t="n">
        <v>3</v>
      </c>
      <c r="K1380" s="23" t="n">
        <v>0</v>
      </c>
      <c r="L1380" s="23" t="n">
        <f>J1380+K1380</f>
        <v>3</v>
      </c>
      <c r="M1380" s="23" t="n">
        <v>3</v>
      </c>
      <c r="N1380" s="23" t="n">
        <v>3</v>
      </c>
      <c r="O1380" s="23" t="n">
        <v>3</v>
      </c>
      <c r="P1380" s="23" t="n">
        <v>3</v>
      </c>
      <c r="Q1380" s="23" t="n">
        <f>MIN(O1380,P1380)</f>
        <v>3</v>
      </c>
      <c r="R1380" s="25" t="n">
        <f>IF(M1380=0,0,MIN(1,L1380/M1380))</f>
        <v>1</v>
      </c>
      <c r="S1380" s="23" t="n">
        <f>O1380*R1380</f>
        <v>3</v>
      </c>
      <c r="T1380" s="23" t="n">
        <f>MIN(P1380,S1380)</f>
        <v>3</v>
      </c>
      <c r="U1380" s="23" t="n">
        <f>O1380-S1380</f>
        <v>0</v>
      </c>
      <c r="V1380" s="23" t="n">
        <f>MAX(P1380-O1380,0)</f>
        <v>0</v>
      </c>
    </row>
    <row r="1381">
      <c r="A1381" s="19" t="str">
        <v>英国区</v>
      </c>
      <c r="B1381" s="19" t="str">
        <v>伯明翰2号仓</v>
      </c>
      <c r="C1381" s="19" t="str">
        <v>拣货组</v>
      </c>
      <c r="D1381" s="21" t="n">
        <v>46196</v>
      </c>
      <c r="E1381" s="19" t="str">
        <v>2026-06</v>
      </c>
      <c r="F1381" s="19" t="str">
        <v>操作员</v>
      </c>
      <c r="G1381" s="19" t="str">
        <v>英国灵活（6小时扣午休） / UK FLEX (6-HR LUNCH BREAK DEDUCTED)</v>
      </c>
      <c r="H1381" s="19" t="str">
        <v>S000331</v>
      </c>
      <c r="I1381" s="19" t="str">
        <v>Employment of London Limited</v>
      </c>
      <c r="J1381" s="23" t="n">
        <v>3</v>
      </c>
      <c r="K1381" s="23" t="n">
        <v>0</v>
      </c>
      <c r="L1381" s="23" t="n">
        <f>J1381+K1381</f>
        <v>3</v>
      </c>
      <c r="M1381" s="23" t="n">
        <v>3</v>
      </c>
      <c r="N1381" s="23" t="n">
        <v>3</v>
      </c>
      <c r="O1381" s="23" t="n">
        <v>3</v>
      </c>
      <c r="P1381" s="23" t="n">
        <v>3</v>
      </c>
      <c r="Q1381" s="23" t="n">
        <f>MIN(O1381,P1381)</f>
        <v>3</v>
      </c>
      <c r="R1381" s="25" t="n">
        <f>IF(M1381=0,0,MIN(1,L1381/M1381))</f>
        <v>1</v>
      </c>
      <c r="S1381" s="23" t="n">
        <f>O1381*R1381</f>
        <v>3</v>
      </c>
      <c r="T1381" s="23" t="n">
        <f>MIN(P1381,S1381)</f>
        <v>3</v>
      </c>
      <c r="U1381" s="23" t="n">
        <f>O1381-S1381</f>
        <v>0</v>
      </c>
      <c r="V1381" s="23" t="n">
        <f>MAX(P1381-O1381,0)</f>
        <v>0</v>
      </c>
    </row>
    <row r="1382">
      <c r="A1382" s="19" t="str">
        <v>英国区</v>
      </c>
      <c r="B1382" s="19" t="str">
        <v>伯明翰2号仓</v>
      </c>
      <c r="C1382" s="19" t="str">
        <v>拣货组</v>
      </c>
      <c r="D1382" s="21" t="n">
        <v>46197</v>
      </c>
      <c r="E1382" s="19" t="str">
        <v>2026-06</v>
      </c>
      <c r="F1382" s="19" t="str">
        <v>操作员</v>
      </c>
      <c r="G1382" s="19" t="str">
        <v>英国灵活（6小时扣午休） / UK FLEX (6-HR LUNCH BREAK DEDUCTED)</v>
      </c>
      <c r="H1382" s="19" t="str">
        <v>S000331</v>
      </c>
      <c r="I1382" s="19" t="str">
        <v>Employment of London Limited</v>
      </c>
      <c r="J1382" s="23" t="n">
        <v>3</v>
      </c>
      <c r="K1382" s="23" t="n">
        <v>0</v>
      </c>
      <c r="L1382" s="23" t="n">
        <f>J1382+K1382</f>
        <v>3</v>
      </c>
      <c r="M1382" s="23" t="n">
        <v>3</v>
      </c>
      <c r="N1382" s="23" t="n">
        <v>3</v>
      </c>
      <c r="O1382" s="23" t="n">
        <v>3</v>
      </c>
      <c r="P1382" s="23" t="n">
        <v>3</v>
      </c>
      <c r="Q1382" s="23" t="n">
        <f>MIN(O1382,P1382)</f>
        <v>3</v>
      </c>
      <c r="R1382" s="25" t="n">
        <f>IF(M1382=0,0,MIN(1,L1382/M1382))</f>
        <v>1</v>
      </c>
      <c r="S1382" s="23" t="n">
        <f>O1382*R1382</f>
        <v>3</v>
      </c>
      <c r="T1382" s="23" t="n">
        <f>MIN(P1382,S1382)</f>
        <v>3</v>
      </c>
      <c r="U1382" s="23" t="n">
        <f>O1382-S1382</f>
        <v>0</v>
      </c>
      <c r="V1382" s="23" t="n">
        <f>MAX(P1382-O1382,0)</f>
        <v>0</v>
      </c>
    </row>
    <row r="1383">
      <c r="A1383" s="19" t="str">
        <v>英国区</v>
      </c>
      <c r="B1383" s="19" t="str">
        <v>伯明翰2号仓</v>
      </c>
      <c r="C1383" s="19" t="str">
        <v>拣货组</v>
      </c>
      <c r="D1383" s="21" t="n">
        <v>46198</v>
      </c>
      <c r="E1383" s="19" t="str">
        <v>2026-06</v>
      </c>
      <c r="F1383" s="19" t="str">
        <v>操作员</v>
      </c>
      <c r="G1383" s="19" t="str">
        <v>英国灵活（6小时扣午休） / UK FLEX (6-HR LUNCH BREAK DEDUCTED)</v>
      </c>
      <c r="H1383" s="19" t="str">
        <v>S000331</v>
      </c>
      <c r="I1383" s="19" t="str">
        <v>Employment of London Limited</v>
      </c>
      <c r="J1383" s="23" t="n">
        <v>3</v>
      </c>
      <c r="K1383" s="23" t="n">
        <v>0</v>
      </c>
      <c r="L1383" s="23" t="n">
        <f>J1383+K1383</f>
        <v>3</v>
      </c>
      <c r="M1383" s="23" t="n">
        <v>3</v>
      </c>
      <c r="N1383" s="23" t="n">
        <v>3</v>
      </c>
      <c r="O1383" s="23" t="n">
        <v>3</v>
      </c>
      <c r="P1383" s="23" t="n">
        <v>3</v>
      </c>
      <c r="Q1383" s="23" t="n">
        <f>MIN(O1383,P1383)</f>
        <v>3</v>
      </c>
      <c r="R1383" s="25" t="n">
        <f>IF(M1383=0,0,MIN(1,L1383/M1383))</f>
        <v>1</v>
      </c>
      <c r="S1383" s="23" t="n">
        <f>O1383*R1383</f>
        <v>3</v>
      </c>
      <c r="T1383" s="23" t="n">
        <f>MIN(P1383,S1383)</f>
        <v>3</v>
      </c>
      <c r="U1383" s="23" t="n">
        <f>O1383-S1383</f>
        <v>0</v>
      </c>
      <c r="V1383" s="23" t="n">
        <f>MAX(P1383-O1383,0)</f>
        <v>0</v>
      </c>
    </row>
    <row r="1384">
      <c r="A1384" s="19" t="str">
        <v>英国区</v>
      </c>
      <c r="B1384" s="19" t="str">
        <v>伯明翰2号仓</v>
      </c>
      <c r="C1384" s="19" t="str">
        <v>拣货组</v>
      </c>
      <c r="D1384" s="21" t="n">
        <v>46199</v>
      </c>
      <c r="E1384" s="19" t="str">
        <v>2026-06</v>
      </c>
      <c r="F1384" s="19" t="str">
        <v>操作员</v>
      </c>
      <c r="G1384" s="19" t="str">
        <v>英国灵活（6小时扣午休） / UK FLEX (6-HR LUNCH BREAK DEDUCTED)</v>
      </c>
      <c r="H1384" s="19" t="str">
        <v>S000331</v>
      </c>
      <c r="I1384" s="19" t="str">
        <v>Employment of London Limited</v>
      </c>
      <c r="J1384" s="23" t="n">
        <v>3</v>
      </c>
      <c r="K1384" s="23" t="n">
        <v>0</v>
      </c>
      <c r="L1384" s="23" t="n">
        <f>J1384+K1384</f>
        <v>3</v>
      </c>
      <c r="M1384" s="23" t="n">
        <v>3</v>
      </c>
      <c r="N1384" s="23" t="n">
        <v>3</v>
      </c>
      <c r="O1384" s="23" t="n">
        <v>3</v>
      </c>
      <c r="P1384" s="23" t="n">
        <v>3</v>
      </c>
      <c r="Q1384" s="23" t="n">
        <f>MIN(O1384,P1384)</f>
        <v>3</v>
      </c>
      <c r="R1384" s="25" t="n">
        <f>IF(M1384=0,0,MIN(1,L1384/M1384))</f>
        <v>1</v>
      </c>
      <c r="S1384" s="23" t="n">
        <f>O1384*R1384</f>
        <v>3</v>
      </c>
      <c r="T1384" s="23" t="n">
        <f>MIN(P1384,S1384)</f>
        <v>3</v>
      </c>
      <c r="U1384" s="23" t="n">
        <f>O1384-S1384</f>
        <v>0</v>
      </c>
      <c r="V1384" s="23" t="n">
        <f>MAX(P1384-O1384,0)</f>
        <v>0</v>
      </c>
    </row>
    <row r="1385">
      <c r="A1385" s="19" t="str">
        <v>英国区</v>
      </c>
      <c r="B1385" s="19" t="str">
        <v>伯明翰2号仓</v>
      </c>
      <c r="C1385" s="19" t="str">
        <v>拣货组</v>
      </c>
      <c r="D1385" s="21" t="n">
        <v>46203</v>
      </c>
      <c r="E1385" s="19" t="str">
        <v>2026-06</v>
      </c>
      <c r="F1385" s="19" t="str">
        <v>操作员</v>
      </c>
      <c r="G1385" s="19" t="str">
        <v>英国灵活（6小时扣午休） / UK FLEX (6-HR LUNCH BREAK DEDUCTED)</v>
      </c>
      <c r="H1385" s="19" t="str">
        <v>S000331</v>
      </c>
      <c r="I1385" s="19" t="str">
        <v>Employment of London Limited</v>
      </c>
      <c r="J1385" s="23" t="n">
        <v>3</v>
      </c>
      <c r="K1385" s="23" t="n">
        <v>0</v>
      </c>
      <c r="L1385" s="23" t="n">
        <f>J1385+K1385</f>
        <v>3</v>
      </c>
      <c r="M1385" s="23" t="n">
        <v>3</v>
      </c>
      <c r="N1385" s="23" t="n">
        <v>3</v>
      </c>
      <c r="O1385" s="23" t="n">
        <v>3</v>
      </c>
      <c r="P1385" s="23" t="n">
        <v>3</v>
      </c>
      <c r="Q1385" s="23" t="n">
        <f>MIN(O1385,P1385)</f>
        <v>3</v>
      </c>
      <c r="R1385" s="25" t="n">
        <f>IF(M1385=0,0,MIN(1,L1385/M1385))</f>
        <v>1</v>
      </c>
      <c r="S1385" s="23" t="n">
        <f>O1385*R1385</f>
        <v>3</v>
      </c>
      <c r="T1385" s="23" t="n">
        <f>MIN(P1385,S1385)</f>
        <v>3</v>
      </c>
      <c r="U1385" s="23" t="n">
        <f>O1385-S1385</f>
        <v>0</v>
      </c>
      <c r="V1385" s="23" t="n">
        <f>MAX(P1385-O1385,0)</f>
        <v>0</v>
      </c>
    </row>
    <row r="1386">
      <c r="A1386" s="19" t="str">
        <v>英国区</v>
      </c>
      <c r="B1386" s="19" t="str">
        <v>伯明翰2号仓</v>
      </c>
      <c r="C1386" s="19" t="str">
        <v>理货组</v>
      </c>
      <c r="D1386" s="21" t="n">
        <v>46142</v>
      </c>
      <c r="E1386" s="19" t="str">
        <v>2026-04</v>
      </c>
      <c r="F1386" s="19" t="str">
        <v>保洁员</v>
      </c>
      <c r="G1386" s="19" t="str">
        <v>英国区09:00-17:30 / UK 09:00-17:30</v>
      </c>
      <c r="H1386" s="19" t="str">
        <v>S000274</v>
      </c>
      <c r="I1386" s="19" t="str">
        <v>Jobsworth Recruitment Solutions Limited</v>
      </c>
      <c r="J1386" s="23" t="n">
        <v>1</v>
      </c>
      <c r="K1386" s="23" t="n">
        <v>0</v>
      </c>
      <c r="L1386" s="23" t="n">
        <f>J1386+K1386</f>
        <v>1</v>
      </c>
      <c r="M1386" s="23" t="n">
        <v>1</v>
      </c>
      <c r="N1386" s="23" t="n">
        <v>0</v>
      </c>
      <c r="O1386" s="23" t="n">
        <v>1</v>
      </c>
      <c r="P1386" s="23" t="n">
        <v>0</v>
      </c>
      <c r="Q1386" s="23" t="n">
        <f>MIN(O1386,P1386)</f>
        <v>0</v>
      </c>
      <c r="R1386" s="25" t="n">
        <f>IF(M1386=0,0,MIN(1,L1386/M1386))</f>
        <v>1</v>
      </c>
      <c r="S1386" s="23" t="n">
        <f>O1386*R1386</f>
        <v>1</v>
      </c>
      <c r="T1386" s="23" t="n">
        <f>MIN(P1386,S1386)</f>
        <v>0</v>
      </c>
      <c r="U1386" s="23" t="n">
        <f>O1386-S1386</f>
        <v>0</v>
      </c>
      <c r="V1386" s="23" t="n">
        <f>MAX(P1386-O1386,0)</f>
        <v>0</v>
      </c>
    </row>
    <row r="1387">
      <c r="A1387" s="19" t="str">
        <v>英国区</v>
      </c>
      <c r="B1387" s="19" t="str">
        <v>伯明翰2号仓</v>
      </c>
      <c r="C1387" s="19" t="str">
        <v>理货组</v>
      </c>
      <c r="D1387" s="21" t="n">
        <v>46143</v>
      </c>
      <c r="E1387" s="19" t="str">
        <v>2026-05</v>
      </c>
      <c r="F1387" s="19" t="str">
        <v>操作员</v>
      </c>
      <c r="G1387" s="19" t="str">
        <v>英国区09:00-17:30 / UK 09:00-17:30</v>
      </c>
      <c r="H1387" s="19" t="str">
        <v>S000274</v>
      </c>
      <c r="I1387" s="19" t="str">
        <v>Jobsworth Recruitment Solutions Limited</v>
      </c>
      <c r="J1387" s="23" t="n">
        <v>1</v>
      </c>
      <c r="K1387" s="23" t="n">
        <v>0</v>
      </c>
      <c r="L1387" s="23" t="n">
        <f>J1387+K1387</f>
        <v>1</v>
      </c>
      <c r="M1387" s="23" t="n">
        <v>1</v>
      </c>
      <c r="N1387" s="23" t="n">
        <v>1</v>
      </c>
      <c r="O1387" s="23" t="n">
        <v>1</v>
      </c>
      <c r="P1387" s="23" t="n">
        <v>1</v>
      </c>
      <c r="Q1387" s="23" t="n">
        <f>MIN(O1387,P1387)</f>
        <v>1</v>
      </c>
      <c r="R1387" s="25" t="n">
        <f>IF(M1387=0,0,MIN(1,L1387/M1387))</f>
        <v>1</v>
      </c>
      <c r="S1387" s="23" t="n">
        <f>O1387*R1387</f>
        <v>1</v>
      </c>
      <c r="T1387" s="23" t="n">
        <f>MIN(P1387,S1387)</f>
        <v>1</v>
      </c>
      <c r="U1387" s="23" t="n">
        <f>O1387-S1387</f>
        <v>0</v>
      </c>
      <c r="V1387" s="23" t="n">
        <f>MAX(P1387-O1387,0)</f>
        <v>0</v>
      </c>
    </row>
    <row r="1388">
      <c r="A1388" s="19" t="str">
        <v>英国区</v>
      </c>
      <c r="B1388" s="19" t="str">
        <v>伯明翰2号仓</v>
      </c>
      <c r="C1388" s="19" t="str">
        <v>理货组</v>
      </c>
      <c r="D1388" s="21" t="n">
        <v>46148</v>
      </c>
      <c r="E1388" s="19" t="str">
        <v>2026-05</v>
      </c>
      <c r="F1388" s="19" t="str">
        <v>操作员</v>
      </c>
      <c r="G1388" s="19" t="str">
        <v>英国区09:00-17:30 / UK 09:00-17:30</v>
      </c>
      <c r="H1388" s="19" t="str">
        <v>S000274</v>
      </c>
      <c r="I1388" s="19" t="str">
        <v>Jobsworth Recruitment Solutions Limited</v>
      </c>
      <c r="J1388" s="23" t="n">
        <v>1</v>
      </c>
      <c r="K1388" s="23" t="n">
        <v>0</v>
      </c>
      <c r="L1388" s="23" t="n">
        <f>J1388+K1388</f>
        <v>1</v>
      </c>
      <c r="M1388" s="23" t="n">
        <v>1</v>
      </c>
      <c r="N1388" s="23" t="n">
        <v>1</v>
      </c>
      <c r="O1388" s="23" t="n">
        <v>1</v>
      </c>
      <c r="P1388" s="23" t="n">
        <v>1</v>
      </c>
      <c r="Q1388" s="23" t="n">
        <f>MIN(O1388,P1388)</f>
        <v>1</v>
      </c>
      <c r="R1388" s="25" t="n">
        <f>IF(M1388=0,0,MIN(1,L1388/M1388))</f>
        <v>1</v>
      </c>
      <c r="S1388" s="23" t="n">
        <f>O1388*R1388</f>
        <v>1</v>
      </c>
      <c r="T1388" s="23" t="n">
        <f>MIN(P1388,S1388)</f>
        <v>1</v>
      </c>
      <c r="U1388" s="23" t="n">
        <f>O1388-S1388</f>
        <v>0</v>
      </c>
      <c r="V1388" s="23" t="n">
        <f>MAX(P1388-O1388,0)</f>
        <v>0</v>
      </c>
    </row>
    <row r="1389">
      <c r="A1389" s="19" t="str">
        <v>英国区</v>
      </c>
      <c r="B1389" s="19" t="str">
        <v>伯明翰2号仓</v>
      </c>
      <c r="C1389" s="19" t="str">
        <v>理货组</v>
      </c>
      <c r="D1389" s="21" t="n">
        <v>46155</v>
      </c>
      <c r="E1389" s="19" t="str">
        <v>2026-05</v>
      </c>
      <c r="F1389" s="19" t="str">
        <v>操作员</v>
      </c>
      <c r="G1389" s="19" t="str">
        <v>英国区09:00-17:30 / UK 09:00-17:30</v>
      </c>
      <c r="H1389" s="19" t="str">
        <v>S000274</v>
      </c>
      <c r="I1389" s="19" t="str">
        <v>Jobsworth Recruitment Solutions Limited</v>
      </c>
      <c r="J1389" s="23" t="n">
        <v>1</v>
      </c>
      <c r="K1389" s="23" t="n">
        <v>0</v>
      </c>
      <c r="L1389" s="23" t="n">
        <f>J1389+K1389</f>
        <v>1</v>
      </c>
      <c r="M1389" s="23" t="n">
        <v>1</v>
      </c>
      <c r="N1389" s="23" t="n">
        <v>1</v>
      </c>
      <c r="O1389" s="23" t="n">
        <v>1</v>
      </c>
      <c r="P1389" s="23" t="n">
        <v>1</v>
      </c>
      <c r="Q1389" s="23" t="n">
        <f>MIN(O1389,P1389)</f>
        <v>1</v>
      </c>
      <c r="R1389" s="25" t="n">
        <f>IF(M1389=0,0,MIN(1,L1389/M1389))</f>
        <v>1</v>
      </c>
      <c r="S1389" s="23" t="n">
        <f>O1389*R1389</f>
        <v>1</v>
      </c>
      <c r="T1389" s="23" t="n">
        <f>MIN(P1389,S1389)</f>
        <v>1</v>
      </c>
      <c r="U1389" s="23" t="n">
        <f>O1389-S1389</f>
        <v>0</v>
      </c>
      <c r="V1389" s="23" t="n">
        <f>MAX(P1389-O1389,0)</f>
        <v>0</v>
      </c>
    </row>
    <row r="1390">
      <c r="A1390" s="19" t="str">
        <v>英国区</v>
      </c>
      <c r="B1390" s="19" t="str">
        <v>伯明翰2号仓</v>
      </c>
      <c r="C1390" s="19" t="str">
        <v>理货组</v>
      </c>
      <c r="D1390" s="21" t="n">
        <v>46156</v>
      </c>
      <c r="E1390" s="19" t="str">
        <v>2026-05</v>
      </c>
      <c r="F1390" s="19" t="str">
        <v>操作员</v>
      </c>
      <c r="G1390" s="19" t="str">
        <v>英国区09:00-17:30 / UK 09:00-17:30</v>
      </c>
      <c r="H1390" s="19" t="str">
        <v>S000007</v>
      </c>
      <c r="I1390" s="19" t="str">
        <v>Kenect</v>
      </c>
      <c r="J1390" s="23" t="n">
        <v>1</v>
      </c>
      <c r="K1390" s="23" t="n">
        <v>0</v>
      </c>
      <c r="L1390" s="23" t="n">
        <f>J1390+K1390</f>
        <v>1</v>
      </c>
      <c r="M1390" s="23" t="n">
        <v>1</v>
      </c>
      <c r="N1390" s="23" t="n">
        <v>0</v>
      </c>
      <c r="O1390" s="23" t="n">
        <v>1</v>
      </c>
      <c r="P1390" s="23" t="n">
        <v>0</v>
      </c>
      <c r="Q1390" s="23" t="n">
        <f>MIN(O1390,P1390)</f>
        <v>0</v>
      </c>
      <c r="R1390" s="25" t="n">
        <f>IF(M1390=0,0,MIN(1,L1390/M1390))</f>
        <v>1</v>
      </c>
      <c r="S1390" s="23" t="n">
        <f>O1390*R1390</f>
        <v>1</v>
      </c>
      <c r="T1390" s="23" t="n">
        <f>MIN(P1390,S1390)</f>
        <v>0</v>
      </c>
      <c r="U1390" s="23" t="n">
        <f>O1390-S1390</f>
        <v>0</v>
      </c>
      <c r="V1390" s="23" t="n">
        <f>MAX(P1390-O1390,0)</f>
        <v>0</v>
      </c>
    </row>
    <row r="1391">
      <c r="A1391" s="19" t="str">
        <v>英国区</v>
      </c>
      <c r="B1391" s="19" t="str">
        <v>伯明翰2号仓</v>
      </c>
      <c r="C1391" s="19" t="str">
        <v>理货组</v>
      </c>
      <c r="D1391" s="21" t="n">
        <v>46162</v>
      </c>
      <c r="E1391" s="19" t="str">
        <v>2026-05</v>
      </c>
      <c r="F1391" s="19" t="str">
        <v>操作员</v>
      </c>
      <c r="G1391" s="19" t="str">
        <v>英国灵活（6小时扣午休） / UK FLEX (6-HR LUNCH BREAK DEDUCTED)</v>
      </c>
      <c r="H1391" s="19" t="str">
        <v>S000274</v>
      </c>
      <c r="I1391" s="19" t="str">
        <v>Jobsworth Recruitment Solutions Limited</v>
      </c>
      <c r="J1391" s="23" t="n">
        <v>1</v>
      </c>
      <c r="K1391" s="23" t="n">
        <v>0</v>
      </c>
      <c r="L1391" s="23" t="n">
        <f>J1391+K1391</f>
        <v>1</v>
      </c>
      <c r="M1391" s="23" t="n">
        <v>1</v>
      </c>
      <c r="N1391" s="23" t="n">
        <v>1</v>
      </c>
      <c r="O1391" s="23" t="n">
        <v>1</v>
      </c>
      <c r="P1391" s="23" t="n">
        <v>1</v>
      </c>
      <c r="Q1391" s="23" t="n">
        <f>MIN(O1391,P1391)</f>
        <v>1</v>
      </c>
      <c r="R1391" s="25" t="n">
        <f>IF(M1391=0,0,MIN(1,L1391/M1391))</f>
        <v>1</v>
      </c>
      <c r="S1391" s="23" t="n">
        <f>O1391*R1391</f>
        <v>1</v>
      </c>
      <c r="T1391" s="23" t="n">
        <f>MIN(P1391,S1391)</f>
        <v>1</v>
      </c>
      <c r="U1391" s="23" t="n">
        <f>O1391-S1391</f>
        <v>0</v>
      </c>
      <c r="V1391" s="23" t="n">
        <f>MAX(P1391-O1391,0)</f>
        <v>0</v>
      </c>
    </row>
    <row r="1392">
      <c r="A1392" s="19" t="str">
        <v>英国区</v>
      </c>
      <c r="B1392" s="19" t="str">
        <v>伯明翰2号仓</v>
      </c>
      <c r="C1392" s="19" t="str">
        <v>理货组</v>
      </c>
      <c r="D1392" s="21" t="n">
        <v>46171</v>
      </c>
      <c r="E1392" s="19" t="str">
        <v>2026-05</v>
      </c>
      <c r="F1392" s="19" t="str">
        <v>操作员</v>
      </c>
      <c r="G1392" s="19" t="str">
        <v>英国灵活（6小时扣午休） / UK FLEX (6-HR LUNCH BREAK DEDUCTED)</v>
      </c>
      <c r="H1392" s="19" t="str">
        <v>S000132</v>
      </c>
      <c r="I1392" s="19" t="str">
        <v>HRA Recruitment Services</v>
      </c>
      <c r="J1392" s="23" t="n">
        <v>1</v>
      </c>
      <c r="K1392" s="23" t="n">
        <v>0</v>
      </c>
      <c r="L1392" s="23" t="n">
        <f>J1392+K1392</f>
        <v>1</v>
      </c>
      <c r="M1392" s="23" t="n">
        <v>1</v>
      </c>
      <c r="N1392" s="23" t="n">
        <v>1</v>
      </c>
      <c r="O1392" s="23" t="n">
        <v>1</v>
      </c>
      <c r="P1392" s="23" t="n">
        <v>1</v>
      </c>
      <c r="Q1392" s="23" t="n">
        <f>MIN(O1392,P1392)</f>
        <v>1</v>
      </c>
      <c r="R1392" s="25" t="n">
        <f>IF(M1392=0,0,MIN(1,L1392/M1392))</f>
        <v>1</v>
      </c>
      <c r="S1392" s="23" t="n">
        <f>O1392*R1392</f>
        <v>1</v>
      </c>
      <c r="T1392" s="23" t="n">
        <f>MIN(P1392,S1392)</f>
        <v>1</v>
      </c>
      <c r="U1392" s="23" t="n">
        <f>O1392-S1392</f>
        <v>0</v>
      </c>
      <c r="V1392" s="23" t="n">
        <f>MAX(P1392-O1392,0)</f>
        <v>0</v>
      </c>
    </row>
    <row r="1393">
      <c r="A1393" s="19" t="str">
        <v>英国区</v>
      </c>
      <c r="B1393" s="19" t="str">
        <v>伯明翰2号仓</v>
      </c>
      <c r="C1393" s="19" t="str">
        <v>理货组</v>
      </c>
      <c r="D1393" s="21" t="n">
        <v>46197</v>
      </c>
      <c r="E1393" s="19" t="str">
        <v>2026-06</v>
      </c>
      <c r="F1393" s="19" t="str">
        <v>操作员</v>
      </c>
      <c r="G1393" s="19" t="str">
        <v>英国区09:00-17:30 / UK 09:00-17:30</v>
      </c>
      <c r="H1393" s="19" t="str">
        <v>S000331</v>
      </c>
      <c r="I1393" s="19" t="str">
        <v>Employment of London Limited</v>
      </c>
      <c r="J1393" s="23" t="n">
        <v>1</v>
      </c>
      <c r="K1393" s="23" t="n">
        <v>0</v>
      </c>
      <c r="L1393" s="23" t="n">
        <f>J1393+K1393</f>
        <v>1</v>
      </c>
      <c r="M1393" s="23" t="n">
        <v>1</v>
      </c>
      <c r="N1393" s="23" t="n">
        <v>1</v>
      </c>
      <c r="O1393" s="23" t="n">
        <v>1</v>
      </c>
      <c r="P1393" s="23" t="n">
        <v>1</v>
      </c>
      <c r="Q1393" s="23" t="n">
        <f>MIN(O1393,P1393)</f>
        <v>1</v>
      </c>
      <c r="R1393" s="25" t="n">
        <f>IF(M1393=0,0,MIN(1,L1393/M1393))</f>
        <v>1</v>
      </c>
      <c r="S1393" s="23" t="n">
        <f>O1393*R1393</f>
        <v>1</v>
      </c>
      <c r="T1393" s="23" t="n">
        <f>MIN(P1393,S1393)</f>
        <v>1</v>
      </c>
      <c r="U1393" s="23" t="n">
        <f>O1393-S1393</f>
        <v>0</v>
      </c>
      <c r="V1393" s="23" t="n">
        <f>MAX(P1393-O1393,0)</f>
        <v>0</v>
      </c>
    </row>
    <row r="1394">
      <c r="A1394" s="19" t="str">
        <v>英国区</v>
      </c>
      <c r="B1394" s="19" t="str">
        <v>伯明翰5号仓(SN)</v>
      </c>
      <c r="C1394" s="19" t="str">
        <v>上架组</v>
      </c>
      <c r="D1394" s="21" t="n">
        <v>46162</v>
      </c>
      <c r="E1394" s="19" t="str">
        <v>2026-05</v>
      </c>
      <c r="F1394" s="19" t="str">
        <v>操作员</v>
      </c>
      <c r="G1394" s="19" t="str">
        <v>英国灵活（6小时扣午休） / UK FLEX (6-HR LUNCH BREAK DEDUCTED)</v>
      </c>
      <c r="H1394" s="19" t="str">
        <v>S000274</v>
      </c>
      <c r="I1394" s="19" t="str">
        <v>Jobsworth Recruitment Solutions Limited</v>
      </c>
      <c r="J1394" s="23" t="n">
        <v>5</v>
      </c>
      <c r="K1394" s="23" t="n">
        <v>0</v>
      </c>
      <c r="L1394" s="23" t="n">
        <f>J1394+K1394</f>
        <v>5</v>
      </c>
      <c r="M1394" s="23" t="n">
        <v>10</v>
      </c>
      <c r="N1394" s="23" t="n">
        <v>5</v>
      </c>
      <c r="O1394" s="23" t="n">
        <v>5</v>
      </c>
      <c r="P1394" s="23" t="n">
        <v>5</v>
      </c>
      <c r="Q1394" s="23" t="n">
        <f>MIN(O1394,P1394)</f>
        <v>5</v>
      </c>
      <c r="R1394" s="25" t="n">
        <f>IF(M1394=0,0,MIN(1,L1394/M1394))</f>
        <v>0.5</v>
      </c>
      <c r="S1394" s="23" t="n">
        <f>O1394*R1394</f>
        <v>2.5</v>
      </c>
      <c r="T1394" s="23" t="n">
        <f>MIN(P1394,S1394)</f>
        <v>2.5</v>
      </c>
      <c r="U1394" s="23" t="n">
        <f>O1394-S1394</f>
        <v>2.5</v>
      </c>
      <c r="V1394" s="23" t="n">
        <f>MAX(P1394-O1394,0)</f>
        <v>0</v>
      </c>
    </row>
    <row r="1395">
      <c r="A1395" s="19" t="str">
        <v>英国区</v>
      </c>
      <c r="B1395" s="19" t="str">
        <v>伯明翰5号仓(SN)</v>
      </c>
      <c r="C1395" s="19" t="str">
        <v>上架组</v>
      </c>
      <c r="D1395" s="21" t="n">
        <v>46162</v>
      </c>
      <c r="E1395" s="19" t="str">
        <v>2026-05</v>
      </c>
      <c r="F1395" s="19" t="str">
        <v>操作员</v>
      </c>
      <c r="G1395" s="19" t="str">
        <v>英国灵活（6小时扣午休） / UK FLEX (6-HR LUNCH BREAK DEDUCTED)</v>
      </c>
      <c r="H1395" s="19" t="str">
        <v>S000331</v>
      </c>
      <c r="I1395" s="19" t="str">
        <v>Employment of London Limited</v>
      </c>
      <c r="J1395" s="23" t="n">
        <v>5</v>
      </c>
      <c r="K1395" s="23" t="n">
        <v>0</v>
      </c>
      <c r="L1395" s="23" t="n">
        <f>J1395+K1395</f>
        <v>5</v>
      </c>
      <c r="M1395" s="23" t="n">
        <v>10</v>
      </c>
      <c r="N1395" s="23" t="n">
        <v>5</v>
      </c>
      <c r="O1395" s="23" t="n">
        <v>5</v>
      </c>
      <c r="P1395" s="23" t="n">
        <v>0</v>
      </c>
      <c r="Q1395" s="23" t="n">
        <f>MIN(O1395,P1395)</f>
        <v>0</v>
      </c>
      <c r="R1395" s="25" t="n">
        <f>IF(M1395=0,0,MIN(1,L1395/M1395))</f>
        <v>0.5</v>
      </c>
      <c r="S1395" s="23" t="n">
        <f>O1395*R1395</f>
        <v>2.5</v>
      </c>
      <c r="T1395" s="23" t="n">
        <f>MIN(P1395,S1395)</f>
        <v>0</v>
      </c>
      <c r="U1395" s="23" t="n">
        <f>O1395-S1395</f>
        <v>2.5</v>
      </c>
      <c r="V1395" s="23" t="n">
        <f>MAX(P1395-O1395,0)</f>
        <v>0</v>
      </c>
    </row>
    <row r="1396">
      <c r="A1396" s="19" t="str">
        <v>英国区</v>
      </c>
      <c r="B1396" s="19" t="str">
        <v>伯明翰5号仓(SN)</v>
      </c>
      <c r="C1396" s="19" t="str">
        <v>上架组</v>
      </c>
      <c r="D1396" s="21" t="n">
        <v>46163</v>
      </c>
      <c r="E1396" s="19" t="str">
        <v>2026-05</v>
      </c>
      <c r="F1396" s="19" t="str">
        <v>操作员</v>
      </c>
      <c r="G1396" s="19" t="str">
        <v>英国灵活（6小时扣午休） / UK FLEX (6-HR LUNCH BREAK DEDUCTED)</v>
      </c>
      <c r="H1396" s="19" t="str">
        <v>S000013</v>
      </c>
      <c r="I1396" s="19" t="str">
        <v>FT Recruitment</v>
      </c>
      <c r="J1396" s="23" t="n">
        <v>3</v>
      </c>
      <c r="K1396" s="23" t="n">
        <v>0</v>
      </c>
      <c r="L1396" s="23" t="n">
        <f>J1396+K1396</f>
        <v>3</v>
      </c>
      <c r="M1396" s="23" t="n">
        <v>3</v>
      </c>
      <c r="N1396" s="23" t="n">
        <v>3</v>
      </c>
      <c r="O1396" s="23" t="n">
        <v>3</v>
      </c>
      <c r="P1396" s="23" t="n">
        <v>3</v>
      </c>
      <c r="Q1396" s="23" t="n">
        <f>MIN(O1396,P1396)</f>
        <v>3</v>
      </c>
      <c r="R1396" s="25" t="n">
        <f>IF(M1396=0,0,MIN(1,L1396/M1396))</f>
        <v>1</v>
      </c>
      <c r="S1396" s="23" t="n">
        <f>O1396*R1396</f>
        <v>3</v>
      </c>
      <c r="T1396" s="23" t="n">
        <f>MIN(P1396,S1396)</f>
        <v>3</v>
      </c>
      <c r="U1396" s="23" t="n">
        <f>O1396-S1396</f>
        <v>0</v>
      </c>
      <c r="V1396" s="23" t="n">
        <f>MAX(P1396-O1396,0)</f>
        <v>0</v>
      </c>
    </row>
    <row r="1397">
      <c r="A1397" s="19" t="str">
        <v>英国区</v>
      </c>
      <c r="B1397" s="19" t="str">
        <v>伯明翰5号仓(SN)</v>
      </c>
      <c r="C1397" s="19" t="str">
        <v>上架组</v>
      </c>
      <c r="D1397" s="21" t="n">
        <v>46199</v>
      </c>
      <c r="E1397" s="19" t="str">
        <v>2026-06</v>
      </c>
      <c r="F1397" s="19" t="str">
        <v>操作员</v>
      </c>
      <c r="G1397" s="19" t="str">
        <v>英国灵活（6小时扣午休） / UK FLEX (6-HR LUNCH BREAK DEDUCTED)</v>
      </c>
      <c r="H1397" s="19" t="str">
        <v>S000011</v>
      </c>
      <c r="I1397" s="19" t="str">
        <v>SD4U</v>
      </c>
      <c r="J1397" s="23" t="n">
        <v>10</v>
      </c>
      <c r="K1397" s="23" t="n">
        <v>0</v>
      </c>
      <c r="L1397" s="23" t="n">
        <f>J1397+K1397</f>
        <v>10</v>
      </c>
      <c r="M1397" s="23" t="n">
        <v>10</v>
      </c>
      <c r="N1397" s="23" t="n">
        <v>10</v>
      </c>
      <c r="O1397" s="23" t="n">
        <v>5</v>
      </c>
      <c r="P1397" s="23" t="n">
        <v>5</v>
      </c>
      <c r="Q1397" s="23" t="n">
        <f>MIN(O1397,P1397)</f>
        <v>5</v>
      </c>
      <c r="R1397" s="25" t="n">
        <f>IF(M1397=0,0,MIN(1,L1397/M1397))</f>
        <v>1</v>
      </c>
      <c r="S1397" s="23" t="n">
        <f>O1397*R1397</f>
        <v>5</v>
      </c>
      <c r="T1397" s="23" t="n">
        <f>MIN(P1397,S1397)</f>
        <v>5</v>
      </c>
      <c r="U1397" s="23" t="n">
        <f>O1397-S1397</f>
        <v>0</v>
      </c>
      <c r="V1397" s="23" t="n">
        <f>MAX(P1397-O1397,0)</f>
        <v>0</v>
      </c>
    </row>
    <row r="1398">
      <c r="A1398" s="19" t="str">
        <v>英国区</v>
      </c>
      <c r="B1398" s="19" t="str">
        <v>伯明翰5号仓(SN)</v>
      </c>
      <c r="C1398" s="19" t="str">
        <v>上架组</v>
      </c>
      <c r="D1398" s="21" t="n">
        <v>46199</v>
      </c>
      <c r="E1398" s="19" t="str">
        <v>2026-06</v>
      </c>
      <c r="F1398" s="19" t="str">
        <v>操作员</v>
      </c>
      <c r="G1398" s="19" t="str">
        <v>英国灵活（6小时扣午休） / UK FLEX (6-HR LUNCH BREAK DEDUCTED)</v>
      </c>
      <c r="H1398" s="19" t="str">
        <v>S000132</v>
      </c>
      <c r="I1398" s="19" t="str">
        <v>HRA Recruitment Services</v>
      </c>
      <c r="J1398" s="23" t="n">
        <v>10</v>
      </c>
      <c r="K1398" s="23" t="n">
        <v>0</v>
      </c>
      <c r="L1398" s="23" t="n">
        <f>J1398+K1398</f>
        <v>10</v>
      </c>
      <c r="M1398" s="23" t="n">
        <v>10</v>
      </c>
      <c r="N1398" s="23" t="n">
        <v>10</v>
      </c>
      <c r="O1398" s="23" t="n">
        <v>5</v>
      </c>
      <c r="P1398" s="23" t="n">
        <v>5</v>
      </c>
      <c r="Q1398" s="23" t="n">
        <f>MIN(O1398,P1398)</f>
        <v>5</v>
      </c>
      <c r="R1398" s="25" t="n">
        <f>IF(M1398=0,0,MIN(1,L1398/M1398))</f>
        <v>1</v>
      </c>
      <c r="S1398" s="23" t="n">
        <f>O1398*R1398</f>
        <v>5</v>
      </c>
      <c r="T1398" s="23" t="n">
        <f>MIN(P1398,S1398)</f>
        <v>5</v>
      </c>
      <c r="U1398" s="23" t="n">
        <f>O1398-S1398</f>
        <v>0</v>
      </c>
      <c r="V1398" s="23" t="n">
        <f>MAX(P1398-O1398,0)</f>
        <v>0</v>
      </c>
    </row>
    <row r="1399">
      <c r="A1399" s="19" t="str">
        <v>英国区</v>
      </c>
      <c r="B1399" s="19" t="str">
        <v>伯明翰5号仓(SN)</v>
      </c>
      <c r="C1399" s="19" t="str">
        <v>拣货组</v>
      </c>
      <c r="D1399" s="21" t="n">
        <v>46116</v>
      </c>
      <c r="E1399" s="19" t="str">
        <v>2026-04</v>
      </c>
      <c r="F1399" s="19" t="str">
        <v>保安</v>
      </c>
      <c r="G1399" s="19" t="str">
        <v>英国灵活（6小时扣午休） / UK FLEX (6-HR LUNCH BREAK DEDUCTED)</v>
      </c>
      <c r="H1399" s="19" t="str">
        <v>S000132</v>
      </c>
      <c r="I1399" s="19" t="str">
        <v>HRA Recruitment Services</v>
      </c>
      <c r="J1399" s="23" t="n">
        <v>1</v>
      </c>
      <c r="K1399" s="23" t="n">
        <v>0</v>
      </c>
      <c r="L1399" s="23" t="n">
        <f>J1399+K1399</f>
        <v>1</v>
      </c>
      <c r="M1399" s="23" t="n">
        <v>1</v>
      </c>
      <c r="N1399" s="23" t="n">
        <v>1</v>
      </c>
      <c r="O1399" s="23" t="n">
        <v>1</v>
      </c>
      <c r="P1399" s="23" t="n">
        <v>1</v>
      </c>
      <c r="Q1399" s="23" t="n">
        <f>MIN(O1399,P1399)</f>
        <v>1</v>
      </c>
      <c r="R1399" s="25" t="n">
        <f>IF(M1399=0,0,MIN(1,L1399/M1399))</f>
        <v>1</v>
      </c>
      <c r="S1399" s="23" t="n">
        <f>O1399*R1399</f>
        <v>1</v>
      </c>
      <c r="T1399" s="23" t="n">
        <f>MIN(P1399,S1399)</f>
        <v>1</v>
      </c>
      <c r="U1399" s="23" t="n">
        <f>O1399-S1399</f>
        <v>0</v>
      </c>
      <c r="V1399" s="23" t="n">
        <f>MAX(P1399-O1399,0)</f>
        <v>0</v>
      </c>
    </row>
    <row r="1400">
      <c r="A1400" s="19" t="str">
        <v>英国区</v>
      </c>
      <c r="B1400" s="19" t="str">
        <v>伯明翰5号仓(SN)</v>
      </c>
      <c r="C1400" s="19" t="str">
        <v>拣货组</v>
      </c>
      <c r="D1400" s="21" t="n">
        <v>46169</v>
      </c>
      <c r="E1400" s="19" t="str">
        <v>2026-05</v>
      </c>
      <c r="F1400" s="19" t="str">
        <v>保安</v>
      </c>
      <c r="G1400" s="19" t="str">
        <v>英国灵活（6小时扣午休） / UK FLEX (6-HR LUNCH BREAK DEDUCTED)</v>
      </c>
      <c r="H1400" s="19" t="str">
        <v>S000132</v>
      </c>
      <c r="I1400" s="19" t="str">
        <v>HRA Recruitment Services</v>
      </c>
      <c r="J1400" s="23" t="n">
        <v>1</v>
      </c>
      <c r="K1400" s="23" t="n">
        <v>0</v>
      </c>
      <c r="L1400" s="23" t="n">
        <f>J1400+K1400</f>
        <v>1</v>
      </c>
      <c r="M1400" s="23" t="n">
        <v>1</v>
      </c>
      <c r="N1400" s="23" t="n">
        <v>1</v>
      </c>
      <c r="O1400" s="23" t="n">
        <v>1</v>
      </c>
      <c r="P1400" s="23" t="n">
        <v>1</v>
      </c>
      <c r="Q1400" s="23" t="n">
        <f>MIN(O1400,P1400)</f>
        <v>1</v>
      </c>
      <c r="R1400" s="25" t="n">
        <f>IF(M1400=0,0,MIN(1,L1400/M1400))</f>
        <v>1</v>
      </c>
      <c r="S1400" s="23" t="n">
        <f>O1400*R1400</f>
        <v>1</v>
      </c>
      <c r="T1400" s="23" t="n">
        <f>MIN(P1400,S1400)</f>
        <v>1</v>
      </c>
      <c r="U1400" s="23" t="n">
        <f>O1400-S1400</f>
        <v>0</v>
      </c>
      <c r="V1400" s="23" t="n">
        <f>MAX(P1400-O1400,0)</f>
        <v>0</v>
      </c>
    </row>
    <row r="1401">
      <c r="A1401" s="19" t="str">
        <v>英国区</v>
      </c>
      <c r="B1401" s="19" t="str">
        <v>伯明翰5号仓(SN)</v>
      </c>
      <c r="C1401" s="19" t="str">
        <v>拣货组</v>
      </c>
      <c r="D1401" s="21" t="n">
        <v>46197</v>
      </c>
      <c r="E1401" s="19" t="str">
        <v>2026-06</v>
      </c>
      <c r="F1401" s="19" t="str">
        <v>操作员</v>
      </c>
      <c r="G1401" s="19" t="str">
        <v>英国灵活（6小时扣午休） / UK FLEX (6-HR LUNCH BREAK DEDUCTED)</v>
      </c>
      <c r="H1401" s="19" t="str">
        <v>S000331</v>
      </c>
      <c r="I1401" s="19" t="str">
        <v>Employment of London Limited</v>
      </c>
      <c r="J1401" s="23" t="n">
        <v>3</v>
      </c>
      <c r="K1401" s="23" t="n">
        <v>0</v>
      </c>
      <c r="L1401" s="23" t="n">
        <f>J1401+K1401</f>
        <v>3</v>
      </c>
      <c r="M1401" s="23" t="n">
        <v>3</v>
      </c>
      <c r="N1401" s="23" t="n">
        <v>3</v>
      </c>
      <c r="O1401" s="23" t="n">
        <v>3</v>
      </c>
      <c r="P1401" s="23" t="n">
        <v>3</v>
      </c>
      <c r="Q1401" s="23" t="n">
        <f>MIN(O1401,P1401)</f>
        <v>3</v>
      </c>
      <c r="R1401" s="25" t="n">
        <f>IF(M1401=0,0,MIN(1,L1401/M1401))</f>
        <v>1</v>
      </c>
      <c r="S1401" s="23" t="n">
        <f>O1401*R1401</f>
        <v>3</v>
      </c>
      <c r="T1401" s="23" t="n">
        <f>MIN(P1401,S1401)</f>
        <v>3</v>
      </c>
      <c r="U1401" s="23" t="n">
        <f>O1401-S1401</f>
        <v>0</v>
      </c>
      <c r="V1401" s="23" t="n">
        <f>MAX(P1401-O1401,0)</f>
        <v>0</v>
      </c>
    </row>
    <row r="1402">
      <c r="A1402" s="19" t="str">
        <v>英国区</v>
      </c>
      <c r="B1402" s="19" t="str">
        <v>伯明翰5号仓(SN)</v>
      </c>
      <c r="C1402" s="19" t="str">
        <v>拣货组</v>
      </c>
      <c r="D1402" s="21" t="n">
        <v>46198</v>
      </c>
      <c r="E1402" s="19" t="str">
        <v>2026-06</v>
      </c>
      <c r="F1402" s="19" t="str">
        <v>操作员</v>
      </c>
      <c r="G1402" s="19" t="str">
        <v>英国灵活（6小时扣午休） / UK FLEX (6-HR LUNCH BREAK DEDUCTED)</v>
      </c>
      <c r="H1402" s="19" t="str">
        <v>S000331</v>
      </c>
      <c r="I1402" s="19" t="str">
        <v>Employment of London Limited</v>
      </c>
      <c r="J1402" s="23" t="n">
        <v>8</v>
      </c>
      <c r="K1402" s="23" t="n">
        <v>0</v>
      </c>
      <c r="L1402" s="23" t="n">
        <f>J1402+K1402</f>
        <v>8</v>
      </c>
      <c r="M1402" s="23" t="n">
        <v>8</v>
      </c>
      <c r="N1402" s="23" t="n">
        <v>8</v>
      </c>
      <c r="O1402" s="23" t="n">
        <v>8</v>
      </c>
      <c r="P1402" s="23" t="n">
        <v>8</v>
      </c>
      <c r="Q1402" s="23" t="n">
        <f>MIN(O1402,P1402)</f>
        <v>8</v>
      </c>
      <c r="R1402" s="25" t="n">
        <f>IF(M1402=0,0,MIN(1,L1402/M1402))</f>
        <v>1</v>
      </c>
      <c r="S1402" s="23" t="n">
        <f>O1402*R1402</f>
        <v>8</v>
      </c>
      <c r="T1402" s="23" t="n">
        <f>MIN(P1402,S1402)</f>
        <v>8</v>
      </c>
      <c r="U1402" s="23" t="n">
        <f>O1402-S1402</f>
        <v>0</v>
      </c>
      <c r="V1402" s="23" t="n">
        <f>MAX(P1402-O1402,0)</f>
        <v>0</v>
      </c>
    </row>
    <row r="1403">
      <c r="A1403" s="19" t="str">
        <v>英国区</v>
      </c>
      <c r="B1403" s="19" t="str">
        <v>伯明翰5号仓(SN)</v>
      </c>
      <c r="C1403" s="19" t="str">
        <v>拣货组</v>
      </c>
      <c r="D1403" s="21" t="n">
        <v>46199</v>
      </c>
      <c r="E1403" s="19" t="str">
        <v>2026-06</v>
      </c>
      <c r="F1403" s="19" t="str">
        <v>操作员</v>
      </c>
      <c r="G1403" s="19" t="str">
        <v>英国灵活（6小时扣午休） / UK FLEX (6-HR LUNCH BREAK DEDUCTED)</v>
      </c>
      <c r="H1403" s="19" t="str">
        <v>S000132</v>
      </c>
      <c r="I1403" s="19" t="str">
        <v>HRA Recruitment Services</v>
      </c>
      <c r="J1403" s="23" t="n">
        <v>8</v>
      </c>
      <c r="K1403" s="23" t="n">
        <v>0</v>
      </c>
      <c r="L1403" s="23" t="n">
        <f>J1403+K1403</f>
        <v>8</v>
      </c>
      <c r="M1403" s="23" t="n">
        <v>8</v>
      </c>
      <c r="N1403" s="23" t="n">
        <v>8</v>
      </c>
      <c r="O1403" s="23" t="n">
        <v>4</v>
      </c>
      <c r="P1403" s="23" t="n">
        <v>4</v>
      </c>
      <c r="Q1403" s="23" t="n">
        <f>MIN(O1403,P1403)</f>
        <v>4</v>
      </c>
      <c r="R1403" s="25" t="n">
        <f>IF(M1403=0,0,MIN(1,L1403/M1403))</f>
        <v>1</v>
      </c>
      <c r="S1403" s="23" t="n">
        <f>O1403*R1403</f>
        <v>4</v>
      </c>
      <c r="T1403" s="23" t="n">
        <f>MIN(P1403,S1403)</f>
        <v>4</v>
      </c>
      <c r="U1403" s="23" t="n">
        <f>O1403-S1403</f>
        <v>0</v>
      </c>
      <c r="V1403" s="23" t="n">
        <f>MAX(P1403-O1403,0)</f>
        <v>0</v>
      </c>
    </row>
    <row r="1404">
      <c r="A1404" s="19" t="str">
        <v>英国区</v>
      </c>
      <c r="B1404" s="19" t="str">
        <v>伯明翰5号仓(SN)</v>
      </c>
      <c r="C1404" s="19" t="str">
        <v>拣货组</v>
      </c>
      <c r="D1404" s="21" t="n">
        <v>46199</v>
      </c>
      <c r="E1404" s="19" t="str">
        <v>2026-06</v>
      </c>
      <c r="F1404" s="19" t="str">
        <v>操作员</v>
      </c>
      <c r="G1404" s="19" t="str">
        <v>英国灵活（6小时扣午休） / UK FLEX (6-HR LUNCH BREAK DEDUCTED)</v>
      </c>
      <c r="H1404" s="19" t="str">
        <v>S000331</v>
      </c>
      <c r="I1404" s="19" t="str">
        <v>Employment of London Limited</v>
      </c>
      <c r="J1404" s="23" t="n">
        <v>8</v>
      </c>
      <c r="K1404" s="23" t="n">
        <v>0</v>
      </c>
      <c r="L1404" s="23" t="n">
        <f>J1404+K1404</f>
        <v>8</v>
      </c>
      <c r="M1404" s="23" t="n">
        <v>8</v>
      </c>
      <c r="N1404" s="23" t="n">
        <v>8</v>
      </c>
      <c r="O1404" s="23" t="n">
        <v>4</v>
      </c>
      <c r="P1404" s="23" t="n">
        <v>4</v>
      </c>
      <c r="Q1404" s="23" t="n">
        <f>MIN(O1404,P1404)</f>
        <v>4</v>
      </c>
      <c r="R1404" s="25" t="n">
        <f>IF(M1404=0,0,MIN(1,L1404/M1404))</f>
        <v>1</v>
      </c>
      <c r="S1404" s="23" t="n">
        <f>O1404*R1404</f>
        <v>4</v>
      </c>
      <c r="T1404" s="23" t="n">
        <f>MIN(P1404,S1404)</f>
        <v>4</v>
      </c>
      <c r="U1404" s="23" t="n">
        <f>O1404-S1404</f>
        <v>0</v>
      </c>
      <c r="V1404" s="23" t="n">
        <f>MAX(P1404-O1404,0)</f>
        <v>0</v>
      </c>
    </row>
    <row r="1405">
      <c r="A1405" s="19" t="str">
        <v>英国区</v>
      </c>
      <c r="B1405" s="19" t="str">
        <v>伯明翰5号仓(SN)</v>
      </c>
      <c r="C1405" s="19" t="str">
        <v>拣货组</v>
      </c>
      <c r="D1405" s="21" t="n">
        <v>46200</v>
      </c>
      <c r="E1405" s="19" t="str">
        <v>2026-06</v>
      </c>
      <c r="F1405" s="19" t="str">
        <v>操作员</v>
      </c>
      <c r="G1405" s="19" t="str">
        <v>英国灵活（6小时扣午休） / UK FLEX (6-HR LUNCH BREAK DEDUCTED)</v>
      </c>
      <c r="H1405" s="19" t="str">
        <v>S000331</v>
      </c>
      <c r="I1405" s="19" t="str">
        <v>Employment of London Limited</v>
      </c>
      <c r="J1405" s="23" t="n">
        <v>8</v>
      </c>
      <c r="K1405" s="23" t="n">
        <v>0</v>
      </c>
      <c r="L1405" s="23" t="n">
        <f>J1405+K1405</f>
        <v>8</v>
      </c>
      <c r="M1405" s="23" t="n">
        <v>8</v>
      </c>
      <c r="N1405" s="23" t="n">
        <v>8</v>
      </c>
      <c r="O1405" s="23" t="n">
        <v>8</v>
      </c>
      <c r="P1405" s="23" t="n">
        <v>8</v>
      </c>
      <c r="Q1405" s="23" t="n">
        <f>MIN(O1405,P1405)</f>
        <v>8</v>
      </c>
      <c r="R1405" s="25" t="n">
        <f>IF(M1405=0,0,MIN(1,L1405/M1405))</f>
        <v>1</v>
      </c>
      <c r="S1405" s="23" t="n">
        <f>O1405*R1405</f>
        <v>8</v>
      </c>
      <c r="T1405" s="23" t="n">
        <f>MIN(P1405,S1405)</f>
        <v>8</v>
      </c>
      <c r="U1405" s="23" t="n">
        <f>O1405-S1405</f>
        <v>0</v>
      </c>
      <c r="V1405" s="23" t="n">
        <f>MAX(P1405-O1405,0)</f>
        <v>0</v>
      </c>
    </row>
    <row r="1406">
      <c r="A1406" s="19" t="str">
        <v>英国区</v>
      </c>
      <c r="B1406" s="19" t="str">
        <v>伯明翰5号仓(SN)</v>
      </c>
      <c r="C1406" s="19" t="str">
        <v>拣货组</v>
      </c>
      <c r="D1406" s="21" t="n">
        <v>46201</v>
      </c>
      <c r="E1406" s="19" t="str">
        <v>2026-06</v>
      </c>
      <c r="F1406" s="19" t="str">
        <v>操作员</v>
      </c>
      <c r="G1406" s="19" t="str">
        <v>英国灵活（6小时扣午休） / UK FLEX (6-HR LUNCH BREAK DEDUCTED)</v>
      </c>
      <c r="H1406" s="19" t="str">
        <v>S000331</v>
      </c>
      <c r="I1406" s="19" t="str">
        <v>Employment of London Limited</v>
      </c>
      <c r="J1406" s="23" t="n">
        <v>8</v>
      </c>
      <c r="K1406" s="23" t="n">
        <v>0</v>
      </c>
      <c r="L1406" s="23" t="n">
        <f>J1406+K1406</f>
        <v>8</v>
      </c>
      <c r="M1406" s="23" t="n">
        <v>8</v>
      </c>
      <c r="N1406" s="23" t="n">
        <v>8</v>
      </c>
      <c r="O1406" s="23" t="n">
        <v>8</v>
      </c>
      <c r="P1406" s="23" t="n">
        <v>8</v>
      </c>
      <c r="Q1406" s="23" t="n">
        <f>MIN(O1406,P1406)</f>
        <v>8</v>
      </c>
      <c r="R1406" s="25" t="n">
        <f>IF(M1406=0,0,MIN(1,L1406/M1406))</f>
        <v>1</v>
      </c>
      <c r="S1406" s="23" t="n">
        <f>O1406*R1406</f>
        <v>8</v>
      </c>
      <c r="T1406" s="23" t="n">
        <f>MIN(P1406,S1406)</f>
        <v>8</v>
      </c>
      <c r="U1406" s="23" t="n">
        <f>O1406-S1406</f>
        <v>0</v>
      </c>
      <c r="V1406" s="23" t="n">
        <f>MAX(P1406-O1406,0)</f>
        <v>0</v>
      </c>
    </row>
    <row r="1407">
      <c r="A1407" s="19" t="str">
        <v>英国区</v>
      </c>
      <c r="B1407" s="19" t="str">
        <v>伯明翰6号仓(SN)</v>
      </c>
      <c r="C1407" s="19" t="str">
        <v>维保组（自动化）</v>
      </c>
      <c r="D1407" s="21" t="n">
        <v>46142</v>
      </c>
      <c r="E1407" s="19" t="str">
        <v>2026-04</v>
      </c>
      <c r="F1407" s="19" t="str">
        <v>保安</v>
      </c>
      <c r="G1407" s="19" t="str">
        <v>英国灵活（3小时扣午休） / UK FLEX (3-HR LUNCH BREAK DEDUCTED)</v>
      </c>
      <c r="H1407" s="19" t="str">
        <v>S000011</v>
      </c>
      <c r="I1407" s="19" t="str">
        <v>SD4U</v>
      </c>
      <c r="J1407" s="23" t="n">
        <v>1</v>
      </c>
      <c r="K1407" s="23" t="n">
        <v>0</v>
      </c>
      <c r="L1407" s="23" t="n">
        <f>J1407+K1407</f>
        <v>1</v>
      </c>
      <c r="M1407" s="23" t="n">
        <v>2</v>
      </c>
      <c r="N1407" s="23" t="n">
        <v>1</v>
      </c>
      <c r="O1407" s="23" t="n">
        <v>1</v>
      </c>
      <c r="P1407" s="23" t="n">
        <v>0</v>
      </c>
      <c r="Q1407" s="23" t="n">
        <f>MIN(O1407,P1407)</f>
        <v>0</v>
      </c>
      <c r="R1407" s="25" t="n">
        <f>IF(M1407=0,0,MIN(1,L1407/M1407))</f>
        <v>0.5</v>
      </c>
      <c r="S1407" s="23" t="n">
        <f>O1407*R1407</f>
        <v>0.5</v>
      </c>
      <c r="T1407" s="23" t="n">
        <f>MIN(P1407,S1407)</f>
        <v>0</v>
      </c>
      <c r="U1407" s="23" t="n">
        <f>O1407-S1407</f>
        <v>0.5</v>
      </c>
      <c r="V1407" s="23" t="n">
        <f>MAX(P1407-O1407,0)</f>
        <v>0</v>
      </c>
    </row>
    <row r="1408">
      <c r="A1408" s="19" t="str">
        <v>英国区</v>
      </c>
      <c r="B1408" s="19" t="str">
        <v>伯明翰6号仓(SN)</v>
      </c>
      <c r="C1408" s="19" t="str">
        <v>维保组（自动化）</v>
      </c>
      <c r="D1408" s="21" t="n">
        <v>46142</v>
      </c>
      <c r="E1408" s="19" t="str">
        <v>2026-04</v>
      </c>
      <c r="F1408" s="19" t="str">
        <v>保安</v>
      </c>
      <c r="G1408" s="19" t="str">
        <v>英国灵活（3小时扣午休） / UK FLEX (3-HR LUNCH BREAK DEDUCTED)</v>
      </c>
      <c r="H1408" s="19" t="str">
        <v>S000132</v>
      </c>
      <c r="I1408" s="19" t="str">
        <v>HRA Recruitment Services</v>
      </c>
      <c r="J1408" s="23" t="n">
        <v>1</v>
      </c>
      <c r="K1408" s="23" t="n">
        <v>0</v>
      </c>
      <c r="L1408" s="23" t="n">
        <f>J1408+K1408</f>
        <v>1</v>
      </c>
      <c r="M1408" s="23" t="n">
        <v>2</v>
      </c>
      <c r="N1408" s="23" t="n">
        <v>1</v>
      </c>
      <c r="O1408" s="23" t="n">
        <v>1</v>
      </c>
      <c r="P1408" s="23" t="n">
        <v>1</v>
      </c>
      <c r="Q1408" s="23" t="n">
        <f>MIN(O1408,P1408)</f>
        <v>1</v>
      </c>
      <c r="R1408" s="25" t="n">
        <f>IF(M1408=0,0,MIN(1,L1408/M1408))</f>
        <v>0.5</v>
      </c>
      <c r="S1408" s="23" t="n">
        <f>O1408*R1408</f>
        <v>0.5</v>
      </c>
      <c r="T1408" s="23" t="n">
        <f>MIN(P1408,S1408)</f>
        <v>0.5</v>
      </c>
      <c r="U1408" s="23" t="n">
        <f>O1408-S1408</f>
        <v>0.5</v>
      </c>
      <c r="V1408" s="23" t="n">
        <f>MAX(P1408-O1408,0)</f>
        <v>0</v>
      </c>
    </row>
    <row r="1409">
      <c r="A1409" s="19" t="str">
        <v>英国区</v>
      </c>
      <c r="B1409" s="19" t="str">
        <v>伯明翰7号仓(SN)</v>
      </c>
      <c r="C1409" s="19" t="str">
        <v>上架组</v>
      </c>
      <c r="D1409" s="21" t="n">
        <v>46148</v>
      </c>
      <c r="E1409" s="19" t="str">
        <v>2026-05</v>
      </c>
      <c r="F1409" s="19" t="str">
        <v>操作员</v>
      </c>
      <c r="G1409" s="19" t="str">
        <v>英国灵活（跨天） / UK FLEX (CROSS-DAY)</v>
      </c>
      <c r="H1409" s="19" t="str">
        <v>S000274</v>
      </c>
      <c r="I1409" s="19" t="str">
        <v>Jobsworth Recruitment Solutions Limited</v>
      </c>
      <c r="J1409" s="23" t="n">
        <v>4</v>
      </c>
      <c r="K1409" s="23" t="n">
        <v>0</v>
      </c>
      <c r="L1409" s="23" t="n">
        <f>J1409+K1409</f>
        <v>4</v>
      </c>
      <c r="M1409" s="23" t="n">
        <v>4</v>
      </c>
      <c r="N1409" s="23" t="n">
        <v>4</v>
      </c>
      <c r="O1409" s="23" t="n">
        <v>4</v>
      </c>
      <c r="P1409" s="23" t="n">
        <v>4</v>
      </c>
      <c r="Q1409" s="23" t="n">
        <f>MIN(O1409,P1409)</f>
        <v>4</v>
      </c>
      <c r="R1409" s="25" t="n">
        <f>IF(M1409=0,0,MIN(1,L1409/M1409))</f>
        <v>1</v>
      </c>
      <c r="S1409" s="23" t="n">
        <f>O1409*R1409</f>
        <v>4</v>
      </c>
      <c r="T1409" s="23" t="n">
        <f>MIN(P1409,S1409)</f>
        <v>4</v>
      </c>
      <c r="U1409" s="23" t="n">
        <f>O1409-S1409</f>
        <v>0</v>
      </c>
      <c r="V1409" s="23" t="n">
        <f>MAX(P1409-O1409,0)</f>
        <v>0</v>
      </c>
    </row>
    <row r="1410">
      <c r="A1410" s="19" t="str">
        <v>英国区</v>
      </c>
      <c r="B1410" s="19" t="str">
        <v>伯明翰7号仓(SN)</v>
      </c>
      <c r="C1410" s="19" t="str">
        <v>上架组</v>
      </c>
      <c r="D1410" s="21" t="n">
        <v>46161</v>
      </c>
      <c r="E1410" s="19" t="str">
        <v>2026-05</v>
      </c>
      <c r="F1410" s="19" t="str">
        <v>操作员</v>
      </c>
      <c r="G1410" s="19" t="str">
        <v>英国灵活（跨天） / UK FLEX (CROSS-DAY)</v>
      </c>
      <c r="H1410" s="19" t="str">
        <v>S000331</v>
      </c>
      <c r="I1410" s="19" t="str">
        <v>Employment of London Limited</v>
      </c>
      <c r="J1410" s="23" t="n">
        <v>6</v>
      </c>
      <c r="K1410" s="23" t="n">
        <v>0</v>
      </c>
      <c r="L1410" s="23" t="n">
        <f>J1410+K1410</f>
        <v>6</v>
      </c>
      <c r="M1410" s="23" t="n">
        <v>6</v>
      </c>
      <c r="N1410" s="23" t="n">
        <v>6</v>
      </c>
      <c r="O1410" s="23" t="n">
        <v>6</v>
      </c>
      <c r="P1410" s="23" t="n">
        <v>6</v>
      </c>
      <c r="Q1410" s="23" t="n">
        <f>MIN(O1410,P1410)</f>
        <v>6</v>
      </c>
      <c r="R1410" s="25" t="n">
        <f>IF(M1410=0,0,MIN(1,L1410/M1410))</f>
        <v>1</v>
      </c>
      <c r="S1410" s="23" t="n">
        <f>O1410*R1410</f>
        <v>6</v>
      </c>
      <c r="T1410" s="23" t="n">
        <f>MIN(P1410,S1410)</f>
        <v>6</v>
      </c>
      <c r="U1410" s="23" t="n">
        <f>O1410-S1410</f>
        <v>0</v>
      </c>
      <c r="V1410" s="23" t="n">
        <f>MAX(P1410-O1410,0)</f>
        <v>0</v>
      </c>
    </row>
    <row r="1411">
      <c r="A1411" s="19" t="str">
        <v>英国区</v>
      </c>
      <c r="B1411" s="19" t="str">
        <v>伯明翰7号仓(SN)</v>
      </c>
      <c r="C1411" s="19" t="str">
        <v>上架组</v>
      </c>
      <c r="D1411" s="21" t="n">
        <v>46163</v>
      </c>
      <c r="E1411" s="19" t="str">
        <v>2026-05</v>
      </c>
      <c r="F1411" s="19" t="str">
        <v>操作员</v>
      </c>
      <c r="G1411" s="19" t="str">
        <v>英国灵活（跨天） / UK FLEX (CROSS-DAY)</v>
      </c>
      <c r="H1411" s="19" t="str">
        <v>S000331</v>
      </c>
      <c r="I1411" s="19" t="str">
        <v>Employment of London Limited</v>
      </c>
      <c r="J1411" s="23" t="n">
        <v>4</v>
      </c>
      <c r="K1411" s="23" t="n">
        <v>0</v>
      </c>
      <c r="L1411" s="23" t="n">
        <f>J1411+K1411</f>
        <v>4</v>
      </c>
      <c r="M1411" s="23" t="n">
        <v>4</v>
      </c>
      <c r="N1411" s="23" t="n">
        <v>0</v>
      </c>
      <c r="O1411" s="23" t="n">
        <v>4</v>
      </c>
      <c r="P1411" s="23" t="n">
        <v>0</v>
      </c>
      <c r="Q1411" s="23" t="n">
        <f>MIN(O1411,P1411)</f>
        <v>0</v>
      </c>
      <c r="R1411" s="25" t="n">
        <f>IF(M1411=0,0,MIN(1,L1411/M1411))</f>
        <v>1</v>
      </c>
      <c r="S1411" s="23" t="n">
        <f>O1411*R1411</f>
        <v>4</v>
      </c>
      <c r="T1411" s="23" t="n">
        <f>MIN(P1411,S1411)</f>
        <v>0</v>
      </c>
      <c r="U1411" s="23" t="n">
        <f>O1411-S1411</f>
        <v>0</v>
      </c>
      <c r="V1411" s="23" t="n">
        <f>MAX(P1411-O1411,0)</f>
        <v>0</v>
      </c>
    </row>
    <row r="1412">
      <c r="A1412" s="19" t="str">
        <v>英国区</v>
      </c>
      <c r="B1412" s="19" t="str">
        <v>伯明翰7号仓(SN)</v>
      </c>
      <c r="C1412" s="19" t="str">
        <v>上架组</v>
      </c>
      <c r="D1412" s="21" t="n">
        <v>46168</v>
      </c>
      <c r="E1412" s="19" t="str">
        <v>2026-05</v>
      </c>
      <c r="F1412" s="19" t="str">
        <v>操作员</v>
      </c>
      <c r="G1412" s="19" t="str">
        <v>英国灵活（跨天） / UK FLEX (CROSS-DAY)</v>
      </c>
      <c r="H1412" s="19" t="str">
        <v>S000331</v>
      </c>
      <c r="I1412" s="19" t="str">
        <v>Employment of London Limited</v>
      </c>
      <c r="J1412" s="23" t="n">
        <v>4</v>
      </c>
      <c r="K1412" s="23" t="n">
        <v>0</v>
      </c>
      <c r="L1412" s="23" t="n">
        <f>J1412+K1412</f>
        <v>4</v>
      </c>
      <c r="M1412" s="23" t="n">
        <v>4</v>
      </c>
      <c r="N1412" s="23" t="n">
        <v>4</v>
      </c>
      <c r="O1412" s="23" t="n">
        <v>4</v>
      </c>
      <c r="P1412" s="23" t="n">
        <v>4</v>
      </c>
      <c r="Q1412" s="23" t="n">
        <f>MIN(O1412,P1412)</f>
        <v>4</v>
      </c>
      <c r="R1412" s="25" t="n">
        <f>IF(M1412=0,0,MIN(1,L1412/M1412))</f>
        <v>1</v>
      </c>
      <c r="S1412" s="23" t="n">
        <f>O1412*R1412</f>
        <v>4</v>
      </c>
      <c r="T1412" s="23" t="n">
        <f>MIN(P1412,S1412)</f>
        <v>4</v>
      </c>
      <c r="U1412" s="23" t="n">
        <f>O1412-S1412</f>
        <v>0</v>
      </c>
      <c r="V1412" s="23" t="n">
        <f>MAX(P1412-O1412,0)</f>
        <v>0</v>
      </c>
    </row>
    <row r="1413">
      <c r="A1413" s="19" t="str">
        <v>英国区</v>
      </c>
      <c r="B1413" s="19" t="str">
        <v>伯明翰7号仓(SN)</v>
      </c>
      <c r="C1413" s="19" t="str">
        <v>上架组</v>
      </c>
      <c r="D1413" s="21" t="n">
        <v>46184</v>
      </c>
      <c r="E1413" s="19" t="str">
        <v>2026-06</v>
      </c>
      <c r="F1413" s="19" t="str">
        <v>操作员</v>
      </c>
      <c r="G1413" s="19" t="str">
        <v>英国灵活（6小时扣午休） / UK FLEX (6-HR LUNCH BREAK DEDUCTED)</v>
      </c>
      <c r="H1413" s="19" t="str">
        <v>S000132</v>
      </c>
      <c r="I1413" s="19" t="str">
        <v>HRA Recruitment Services</v>
      </c>
      <c r="J1413" s="23" t="n">
        <v>13</v>
      </c>
      <c r="K1413" s="23" t="n">
        <v>0</v>
      </c>
      <c r="L1413" s="23" t="n">
        <f>J1413+K1413</f>
        <v>13</v>
      </c>
      <c r="M1413" s="23" t="n">
        <v>13</v>
      </c>
      <c r="N1413" s="23" t="n">
        <v>13</v>
      </c>
      <c r="O1413" s="23" t="n">
        <v>6</v>
      </c>
      <c r="P1413" s="23" t="n">
        <v>6</v>
      </c>
      <c r="Q1413" s="23" t="n">
        <f>MIN(O1413,P1413)</f>
        <v>6</v>
      </c>
      <c r="R1413" s="25" t="n">
        <f>IF(M1413=0,0,MIN(1,L1413/M1413))</f>
        <v>1</v>
      </c>
      <c r="S1413" s="23" t="n">
        <f>O1413*R1413</f>
        <v>6</v>
      </c>
      <c r="T1413" s="23" t="n">
        <f>MIN(P1413,S1413)</f>
        <v>6</v>
      </c>
      <c r="U1413" s="23" t="n">
        <f>O1413-S1413</f>
        <v>0</v>
      </c>
      <c r="V1413" s="23" t="n">
        <f>MAX(P1413-O1413,0)</f>
        <v>0</v>
      </c>
    </row>
    <row r="1414">
      <c r="A1414" s="19" t="str">
        <v>英国区</v>
      </c>
      <c r="B1414" s="19" t="str">
        <v>伯明翰7号仓(SN)</v>
      </c>
      <c r="C1414" s="19" t="str">
        <v>上架组</v>
      </c>
      <c r="D1414" s="21" t="n">
        <v>46184</v>
      </c>
      <c r="E1414" s="19" t="str">
        <v>2026-06</v>
      </c>
      <c r="F1414" s="19" t="str">
        <v>操作员</v>
      </c>
      <c r="G1414" s="19" t="str">
        <v>英国灵活（6小时扣午休） / UK FLEX (6-HR LUNCH BREAK DEDUCTED)</v>
      </c>
      <c r="H1414" s="19" t="str">
        <v>S000274</v>
      </c>
      <c r="I1414" s="19" t="str">
        <v>Jobsworth Recruitment Solutions Limited</v>
      </c>
      <c r="J1414" s="23" t="n">
        <v>13</v>
      </c>
      <c r="K1414" s="23" t="n">
        <v>0</v>
      </c>
      <c r="L1414" s="23" t="n">
        <f>J1414+K1414</f>
        <v>13</v>
      </c>
      <c r="M1414" s="23" t="n">
        <v>13</v>
      </c>
      <c r="N1414" s="23" t="n">
        <v>13</v>
      </c>
      <c r="O1414" s="23" t="n">
        <v>7</v>
      </c>
      <c r="P1414" s="23" t="n">
        <v>7</v>
      </c>
      <c r="Q1414" s="23" t="n">
        <f>MIN(O1414,P1414)</f>
        <v>7</v>
      </c>
      <c r="R1414" s="25" t="n">
        <f>IF(M1414=0,0,MIN(1,L1414/M1414))</f>
        <v>1</v>
      </c>
      <c r="S1414" s="23" t="n">
        <f>O1414*R1414</f>
        <v>7</v>
      </c>
      <c r="T1414" s="23" t="n">
        <f>MIN(P1414,S1414)</f>
        <v>7</v>
      </c>
      <c r="U1414" s="23" t="n">
        <f>O1414-S1414</f>
        <v>0</v>
      </c>
      <c r="V1414" s="23" t="n">
        <f>MAX(P1414-O1414,0)</f>
        <v>0</v>
      </c>
    </row>
    <row r="1415">
      <c r="A1415" s="19" t="str">
        <v>英国区</v>
      </c>
      <c r="B1415" s="19" t="str">
        <v>伯明翰7号仓(SN)</v>
      </c>
      <c r="C1415" s="19" t="str">
        <v>上架组</v>
      </c>
      <c r="D1415" s="21" t="n">
        <v>46197</v>
      </c>
      <c r="E1415" s="19" t="str">
        <v>2026-06</v>
      </c>
      <c r="F1415" s="19" t="str">
        <v>操作员</v>
      </c>
      <c r="G1415" s="19" t="str">
        <v>英国灵活（跨天） / UK FLEX (CROSS-DAY)</v>
      </c>
      <c r="H1415" s="19" t="str">
        <v>S000331</v>
      </c>
      <c r="I1415" s="19" t="str">
        <v>Employment of London Limited</v>
      </c>
      <c r="J1415" s="23" t="n">
        <v>2</v>
      </c>
      <c r="K1415" s="23" t="n">
        <v>0</v>
      </c>
      <c r="L1415" s="23" t="n">
        <f>J1415+K1415</f>
        <v>2</v>
      </c>
      <c r="M1415" s="23" t="n">
        <v>2</v>
      </c>
      <c r="N1415" s="23" t="n">
        <v>2</v>
      </c>
      <c r="O1415" s="23" t="n">
        <v>2</v>
      </c>
      <c r="P1415" s="23" t="n">
        <v>2</v>
      </c>
      <c r="Q1415" s="23" t="n">
        <f>MIN(O1415,P1415)</f>
        <v>2</v>
      </c>
      <c r="R1415" s="25" t="n">
        <f>IF(M1415=0,0,MIN(1,L1415/M1415))</f>
        <v>1</v>
      </c>
      <c r="S1415" s="23" t="n">
        <f>O1415*R1415</f>
        <v>2</v>
      </c>
      <c r="T1415" s="23" t="n">
        <f>MIN(P1415,S1415)</f>
        <v>2</v>
      </c>
      <c r="U1415" s="23" t="n">
        <f>O1415-S1415</f>
        <v>0</v>
      </c>
      <c r="V1415" s="23" t="n">
        <f>MAX(P1415-O1415,0)</f>
        <v>0</v>
      </c>
    </row>
    <row r="1416">
      <c r="A1416" s="19" t="str">
        <v>英国区</v>
      </c>
      <c r="B1416" s="19" t="str">
        <v>伯明翰7号仓(SN)</v>
      </c>
      <c r="C1416" s="19" t="str">
        <v>分播组</v>
      </c>
      <c r="D1416" s="21" t="n">
        <v>46115</v>
      </c>
      <c r="E1416" s="19" t="str">
        <v>2026-04</v>
      </c>
      <c r="F1416" s="19" t="str">
        <v>操作员</v>
      </c>
      <c r="G1416" s="19" t="str">
        <v>英国灵活（6小时扣午休） / UK FLEX (6-HR LUNCH BREAK DEDUCTED)</v>
      </c>
      <c r="H1416" s="19" t="str">
        <v>S000132</v>
      </c>
      <c r="I1416" s="19" t="str">
        <v>HRA Recruitment Services</v>
      </c>
      <c r="J1416" s="23" t="n">
        <v>1</v>
      </c>
      <c r="K1416" s="23" t="n">
        <v>0</v>
      </c>
      <c r="L1416" s="23" t="n">
        <f>J1416+K1416</f>
        <v>1</v>
      </c>
      <c r="M1416" s="23" t="n">
        <v>1</v>
      </c>
      <c r="N1416" s="23" t="n">
        <v>1</v>
      </c>
      <c r="O1416" s="23" t="n">
        <v>1</v>
      </c>
      <c r="P1416" s="23" t="n">
        <v>1</v>
      </c>
      <c r="Q1416" s="23" t="n">
        <f>MIN(O1416,P1416)</f>
        <v>1</v>
      </c>
      <c r="R1416" s="25" t="n">
        <f>IF(M1416=0,0,MIN(1,L1416/M1416))</f>
        <v>1</v>
      </c>
      <c r="S1416" s="23" t="n">
        <f>O1416*R1416</f>
        <v>1</v>
      </c>
      <c r="T1416" s="23" t="n">
        <f>MIN(P1416,S1416)</f>
        <v>1</v>
      </c>
      <c r="U1416" s="23" t="n">
        <f>O1416-S1416</f>
        <v>0</v>
      </c>
      <c r="V1416" s="23" t="n">
        <f>MAX(P1416-O1416,0)</f>
        <v>0</v>
      </c>
    </row>
    <row r="1417">
      <c r="A1417" s="19" t="str">
        <v>英国区</v>
      </c>
      <c r="B1417" s="19" t="str">
        <v>伯明翰7号仓(SN)</v>
      </c>
      <c r="C1417" s="19" t="str">
        <v>分播组</v>
      </c>
      <c r="D1417" s="21" t="n">
        <v>46132</v>
      </c>
      <c r="E1417" s="19" t="str">
        <v>2026-04</v>
      </c>
      <c r="F1417" s="19" t="str">
        <v>操作员</v>
      </c>
      <c r="G1417" s="19" t="str">
        <v>英国灵活（6小时扣午休） / UK FLEX (6-HR LUNCH BREAK DEDUCTED)</v>
      </c>
      <c r="H1417" s="19" t="str">
        <v>S000132</v>
      </c>
      <c r="I1417" s="19" t="str">
        <v>HRA Recruitment Services</v>
      </c>
      <c r="J1417" s="23" t="n">
        <v>2</v>
      </c>
      <c r="K1417" s="23" t="n">
        <v>0</v>
      </c>
      <c r="L1417" s="23" t="n">
        <f>J1417+K1417</f>
        <v>2</v>
      </c>
      <c r="M1417" s="23" t="n">
        <v>2</v>
      </c>
      <c r="N1417" s="23" t="n">
        <v>2</v>
      </c>
      <c r="O1417" s="23" t="n">
        <v>2</v>
      </c>
      <c r="P1417" s="23" t="n">
        <v>2</v>
      </c>
      <c r="Q1417" s="23" t="n">
        <f>MIN(O1417,P1417)</f>
        <v>2</v>
      </c>
      <c r="R1417" s="25" t="n">
        <f>IF(M1417=0,0,MIN(1,L1417/M1417))</f>
        <v>1</v>
      </c>
      <c r="S1417" s="23" t="n">
        <f>O1417*R1417</f>
        <v>2</v>
      </c>
      <c r="T1417" s="23" t="n">
        <f>MIN(P1417,S1417)</f>
        <v>2</v>
      </c>
      <c r="U1417" s="23" t="n">
        <f>O1417-S1417</f>
        <v>0</v>
      </c>
      <c r="V1417" s="23" t="n">
        <f>MAX(P1417-O1417,0)</f>
        <v>0</v>
      </c>
    </row>
    <row r="1418">
      <c r="A1418" s="19" t="str">
        <v>英国区</v>
      </c>
      <c r="B1418" s="19" t="str">
        <v>伯明翰7号仓(SN)</v>
      </c>
      <c r="C1418" s="19" t="str">
        <v>分播组</v>
      </c>
      <c r="D1418" s="21" t="n">
        <v>46133</v>
      </c>
      <c r="E1418" s="19" t="str">
        <v>2026-04</v>
      </c>
      <c r="F1418" s="19" t="str">
        <v>操作员</v>
      </c>
      <c r="G1418" s="19" t="str">
        <v>英国灵活（6小时扣午休） / UK FLEX (6-HR LUNCH BREAK DEDUCTED)</v>
      </c>
      <c r="H1418" s="19" t="str">
        <v>S000274</v>
      </c>
      <c r="I1418" s="19" t="str">
        <v>Jobsworth Recruitment Solutions Limited</v>
      </c>
      <c r="J1418" s="23" t="n">
        <v>3</v>
      </c>
      <c r="K1418" s="23" t="n">
        <v>0</v>
      </c>
      <c r="L1418" s="23" t="n">
        <f>J1418+K1418</f>
        <v>3</v>
      </c>
      <c r="M1418" s="23" t="n">
        <v>3</v>
      </c>
      <c r="N1418" s="23" t="n">
        <v>0</v>
      </c>
      <c r="O1418" s="23" t="n">
        <v>3</v>
      </c>
      <c r="P1418" s="23" t="n">
        <v>0</v>
      </c>
      <c r="Q1418" s="23" t="n">
        <f>MIN(O1418,P1418)</f>
        <v>0</v>
      </c>
      <c r="R1418" s="25" t="n">
        <f>IF(M1418=0,0,MIN(1,L1418/M1418))</f>
        <v>1</v>
      </c>
      <c r="S1418" s="23" t="n">
        <f>O1418*R1418</f>
        <v>3</v>
      </c>
      <c r="T1418" s="23" t="n">
        <f>MIN(P1418,S1418)</f>
        <v>0</v>
      </c>
      <c r="U1418" s="23" t="n">
        <f>O1418-S1418</f>
        <v>0</v>
      </c>
      <c r="V1418" s="23" t="n">
        <f>MAX(P1418-O1418,0)</f>
        <v>0</v>
      </c>
    </row>
    <row r="1419">
      <c r="A1419" s="19" t="str">
        <v>英国区</v>
      </c>
      <c r="B1419" s="19" t="str">
        <v>伯明翰7号仓(SN)</v>
      </c>
      <c r="C1419" s="19" t="str">
        <v>分播组</v>
      </c>
      <c r="D1419" s="21" t="n">
        <v>46135</v>
      </c>
      <c r="E1419" s="19" t="str">
        <v>2026-04</v>
      </c>
      <c r="F1419" s="19" t="str">
        <v>操作员</v>
      </c>
      <c r="G1419" s="19" t="str">
        <v>英国灵活（6小时扣午休） / UK FLEX (6-HR LUNCH BREAK DEDUCTED)</v>
      </c>
      <c r="H1419" s="19" t="str">
        <v>S000274</v>
      </c>
      <c r="I1419" s="19" t="str">
        <v>Jobsworth Recruitment Solutions Limited</v>
      </c>
      <c r="J1419" s="23" t="n">
        <v>3</v>
      </c>
      <c r="K1419" s="23" t="n">
        <v>0</v>
      </c>
      <c r="L1419" s="23" t="n">
        <f>J1419+K1419</f>
        <v>3</v>
      </c>
      <c r="M1419" s="23" t="n">
        <v>3</v>
      </c>
      <c r="N1419" s="23" t="n">
        <v>3</v>
      </c>
      <c r="O1419" s="23" t="n">
        <v>3</v>
      </c>
      <c r="P1419" s="23" t="n">
        <v>3</v>
      </c>
      <c r="Q1419" s="23" t="n">
        <f>MIN(O1419,P1419)</f>
        <v>3</v>
      </c>
      <c r="R1419" s="25" t="n">
        <f>IF(M1419=0,0,MIN(1,L1419/M1419))</f>
        <v>1</v>
      </c>
      <c r="S1419" s="23" t="n">
        <f>O1419*R1419</f>
        <v>3</v>
      </c>
      <c r="T1419" s="23" t="n">
        <f>MIN(P1419,S1419)</f>
        <v>3</v>
      </c>
      <c r="U1419" s="23" t="n">
        <f>O1419-S1419</f>
        <v>0</v>
      </c>
      <c r="V1419" s="23" t="n">
        <f>MAX(P1419-O1419,0)</f>
        <v>0</v>
      </c>
    </row>
    <row r="1420">
      <c r="A1420" s="19" t="str">
        <v>英国区</v>
      </c>
      <c r="B1420" s="19" t="str">
        <v>伯明翰7号仓(SN)</v>
      </c>
      <c r="C1420" s="19" t="str">
        <v>分播组</v>
      </c>
      <c r="D1420" s="21" t="n">
        <v>46139</v>
      </c>
      <c r="E1420" s="19" t="str">
        <v>2026-04</v>
      </c>
      <c r="F1420" s="19" t="str">
        <v>操作员</v>
      </c>
      <c r="G1420" s="19" t="str">
        <v>英国灵活（6小时扣午休） / UK FLEX (6-HR LUNCH BREAK DEDUCTED)</v>
      </c>
      <c r="H1420" s="19" t="str">
        <v>S000132</v>
      </c>
      <c r="I1420" s="19" t="str">
        <v>HRA Recruitment Services</v>
      </c>
      <c r="J1420" s="23" t="n">
        <v>4</v>
      </c>
      <c r="K1420" s="23" t="n">
        <v>0</v>
      </c>
      <c r="L1420" s="23" t="n">
        <f>J1420+K1420</f>
        <v>4</v>
      </c>
      <c r="M1420" s="23" t="n">
        <v>4</v>
      </c>
      <c r="N1420" s="23" t="n">
        <v>4</v>
      </c>
      <c r="O1420" s="23" t="n">
        <v>4</v>
      </c>
      <c r="P1420" s="23" t="n">
        <v>4</v>
      </c>
      <c r="Q1420" s="23" t="n">
        <f>MIN(O1420,P1420)</f>
        <v>4</v>
      </c>
      <c r="R1420" s="25" t="n">
        <f>IF(M1420=0,0,MIN(1,L1420/M1420))</f>
        <v>1</v>
      </c>
      <c r="S1420" s="23" t="n">
        <f>O1420*R1420</f>
        <v>4</v>
      </c>
      <c r="T1420" s="23" t="n">
        <f>MIN(P1420,S1420)</f>
        <v>4</v>
      </c>
      <c r="U1420" s="23" t="n">
        <f>O1420-S1420</f>
        <v>0</v>
      </c>
      <c r="V1420" s="23" t="n">
        <f>MAX(P1420-O1420,0)</f>
        <v>0</v>
      </c>
    </row>
    <row r="1421">
      <c r="A1421" s="19" t="str">
        <v>英国区</v>
      </c>
      <c r="B1421" s="19" t="str">
        <v>伯明翰7号仓(SN)</v>
      </c>
      <c r="C1421" s="19" t="str">
        <v>分播组</v>
      </c>
      <c r="D1421" s="21" t="n">
        <v>46141</v>
      </c>
      <c r="E1421" s="19" t="str">
        <v>2026-04</v>
      </c>
      <c r="F1421" s="19" t="str">
        <v>操作员</v>
      </c>
      <c r="G1421" s="19" t="str">
        <v>英国灵活（6小时扣午休） / UK FLEX (6-HR LUNCH BREAK DEDUCTED)</v>
      </c>
      <c r="H1421" s="19" t="str">
        <v>S000274</v>
      </c>
      <c r="I1421" s="19" t="str">
        <v>Jobsworth Recruitment Solutions Limited</v>
      </c>
      <c r="J1421" s="23" t="n">
        <v>3</v>
      </c>
      <c r="K1421" s="23" t="n">
        <v>0</v>
      </c>
      <c r="L1421" s="23" t="n">
        <f>J1421+K1421</f>
        <v>3</v>
      </c>
      <c r="M1421" s="23" t="n">
        <v>3</v>
      </c>
      <c r="N1421" s="23" t="n">
        <v>3</v>
      </c>
      <c r="O1421" s="23" t="n">
        <v>3</v>
      </c>
      <c r="P1421" s="23" t="n">
        <v>3</v>
      </c>
      <c r="Q1421" s="23" t="n">
        <f>MIN(O1421,P1421)</f>
        <v>3</v>
      </c>
      <c r="R1421" s="25" t="n">
        <f>IF(M1421=0,0,MIN(1,L1421/M1421))</f>
        <v>1</v>
      </c>
      <c r="S1421" s="23" t="n">
        <f>O1421*R1421</f>
        <v>3</v>
      </c>
      <c r="T1421" s="23" t="n">
        <f>MIN(P1421,S1421)</f>
        <v>3</v>
      </c>
      <c r="U1421" s="23" t="n">
        <f>O1421-S1421</f>
        <v>0</v>
      </c>
      <c r="V1421" s="23" t="n">
        <f>MAX(P1421-O1421,0)</f>
        <v>0</v>
      </c>
    </row>
    <row r="1422">
      <c r="A1422" s="19" t="str">
        <v>英国区</v>
      </c>
      <c r="B1422" s="19" t="str">
        <v>伯明翰7号仓(SN)</v>
      </c>
      <c r="C1422" s="19" t="str">
        <v>分播组</v>
      </c>
      <c r="D1422" s="21" t="n">
        <v>46142</v>
      </c>
      <c r="E1422" s="19" t="str">
        <v>2026-04</v>
      </c>
      <c r="F1422" s="19" t="str">
        <v>操作员</v>
      </c>
      <c r="G1422" s="19" t="str">
        <v>英国灵活（6小时扣午休） / UK FLEX (6-HR LUNCH BREAK DEDUCTED)</v>
      </c>
      <c r="H1422" s="19" t="str">
        <v>S000274</v>
      </c>
      <c r="I1422" s="19" t="str">
        <v>Jobsworth Recruitment Solutions Limited</v>
      </c>
      <c r="J1422" s="23" t="n">
        <v>2</v>
      </c>
      <c r="K1422" s="23" t="n">
        <v>0</v>
      </c>
      <c r="L1422" s="23" t="n">
        <f>J1422+K1422</f>
        <v>2</v>
      </c>
      <c r="M1422" s="23" t="n">
        <v>2</v>
      </c>
      <c r="N1422" s="23" t="n">
        <v>2</v>
      </c>
      <c r="O1422" s="23" t="n">
        <v>2</v>
      </c>
      <c r="P1422" s="23" t="n">
        <v>2</v>
      </c>
      <c r="Q1422" s="23" t="n">
        <f>MIN(O1422,P1422)</f>
        <v>2</v>
      </c>
      <c r="R1422" s="25" t="n">
        <f>IF(M1422=0,0,MIN(1,L1422/M1422))</f>
        <v>1</v>
      </c>
      <c r="S1422" s="23" t="n">
        <f>O1422*R1422</f>
        <v>2</v>
      </c>
      <c r="T1422" s="23" t="n">
        <f>MIN(P1422,S1422)</f>
        <v>2</v>
      </c>
      <c r="U1422" s="23" t="n">
        <f>O1422-S1422</f>
        <v>0</v>
      </c>
      <c r="V1422" s="23" t="n">
        <f>MAX(P1422-O1422,0)</f>
        <v>0</v>
      </c>
    </row>
    <row r="1423">
      <c r="A1423" s="19" t="str">
        <v>英国区</v>
      </c>
      <c r="B1423" s="19" t="str">
        <v>伯明翰7号仓(SN)</v>
      </c>
      <c r="C1423" s="19" t="str">
        <v>分播组</v>
      </c>
      <c r="D1423" s="21" t="n">
        <v>46160</v>
      </c>
      <c r="E1423" s="19" t="str">
        <v>2026-05</v>
      </c>
      <c r="F1423" s="19" t="str">
        <v>操作员</v>
      </c>
      <c r="G1423" s="19" t="str">
        <v>英国灵活（6小时扣午休） / UK FLEX (6-HR LUNCH BREAK DEDUCTED)</v>
      </c>
      <c r="H1423" s="19" t="str">
        <v>S000331</v>
      </c>
      <c r="I1423" s="19" t="str">
        <v>Employment of London Limited</v>
      </c>
      <c r="J1423" s="23" t="n">
        <v>4</v>
      </c>
      <c r="K1423" s="23" t="n">
        <v>0</v>
      </c>
      <c r="L1423" s="23" t="n">
        <f>J1423+K1423</f>
        <v>4</v>
      </c>
      <c r="M1423" s="23" t="n">
        <v>4</v>
      </c>
      <c r="N1423" s="23" t="n">
        <v>4</v>
      </c>
      <c r="O1423" s="23" t="n">
        <v>4</v>
      </c>
      <c r="P1423" s="23" t="n">
        <v>4</v>
      </c>
      <c r="Q1423" s="23" t="n">
        <f>MIN(O1423,P1423)</f>
        <v>4</v>
      </c>
      <c r="R1423" s="25" t="n">
        <f>IF(M1423=0,0,MIN(1,L1423/M1423))</f>
        <v>1</v>
      </c>
      <c r="S1423" s="23" t="n">
        <f>O1423*R1423</f>
        <v>4</v>
      </c>
      <c r="T1423" s="23" t="n">
        <f>MIN(P1423,S1423)</f>
        <v>4</v>
      </c>
      <c r="U1423" s="23" t="n">
        <f>O1423-S1423</f>
        <v>0</v>
      </c>
      <c r="V1423" s="23" t="n">
        <f>MAX(P1423-O1423,0)</f>
        <v>0</v>
      </c>
    </row>
    <row r="1424">
      <c r="A1424" s="19" t="str">
        <v>英国区</v>
      </c>
      <c r="B1424" s="19" t="str">
        <v>伯明翰7号仓(SN)</v>
      </c>
      <c r="C1424" s="19" t="str">
        <v>分播组</v>
      </c>
      <c r="D1424" s="21" t="n">
        <v>46161</v>
      </c>
      <c r="E1424" s="19" t="str">
        <v>2026-05</v>
      </c>
      <c r="F1424" s="19" t="str">
        <v>操作员</v>
      </c>
      <c r="G1424" s="19" t="str">
        <v>英国灵活（6小时扣午休） / UK FLEX (6-HR LUNCH BREAK DEDUCTED)</v>
      </c>
      <c r="H1424" s="19" t="str">
        <v>S000331</v>
      </c>
      <c r="I1424" s="19" t="str">
        <v>Employment of London Limited</v>
      </c>
      <c r="J1424" s="23" t="n">
        <v>2</v>
      </c>
      <c r="K1424" s="23" t="n">
        <v>0</v>
      </c>
      <c r="L1424" s="23" t="n">
        <f>J1424+K1424</f>
        <v>2</v>
      </c>
      <c r="M1424" s="23" t="n">
        <v>2</v>
      </c>
      <c r="N1424" s="23" t="n">
        <v>2</v>
      </c>
      <c r="O1424" s="23" t="n">
        <v>2</v>
      </c>
      <c r="P1424" s="23" t="n">
        <v>2</v>
      </c>
      <c r="Q1424" s="23" t="n">
        <f>MIN(O1424,P1424)</f>
        <v>2</v>
      </c>
      <c r="R1424" s="25" t="n">
        <f>IF(M1424=0,0,MIN(1,L1424/M1424))</f>
        <v>1</v>
      </c>
      <c r="S1424" s="23" t="n">
        <f>O1424*R1424</f>
        <v>2</v>
      </c>
      <c r="T1424" s="23" t="n">
        <f>MIN(P1424,S1424)</f>
        <v>2</v>
      </c>
      <c r="U1424" s="23" t="n">
        <f>O1424-S1424</f>
        <v>0</v>
      </c>
      <c r="V1424" s="23" t="n">
        <f>MAX(P1424-O1424,0)</f>
        <v>0</v>
      </c>
    </row>
    <row r="1425">
      <c r="A1425" s="19" t="str">
        <v>英国区</v>
      </c>
      <c r="B1425" s="19" t="str">
        <v>伯明翰7号仓(SN)</v>
      </c>
      <c r="C1425" s="19" t="str">
        <v>分播组</v>
      </c>
      <c r="D1425" s="21" t="n">
        <v>46168</v>
      </c>
      <c r="E1425" s="19" t="str">
        <v>2026-05</v>
      </c>
      <c r="F1425" s="19" t="str">
        <v>操作员</v>
      </c>
      <c r="G1425" s="19" t="str">
        <v>英国灵活（6小时扣午休） / UK FLEX (6-HR LUNCH BREAK DEDUCTED)</v>
      </c>
      <c r="H1425" s="19" t="str">
        <v>S000274</v>
      </c>
      <c r="I1425" s="19" t="str">
        <v>Jobsworth Recruitment Solutions Limited</v>
      </c>
      <c r="J1425" s="23" t="n">
        <v>2</v>
      </c>
      <c r="K1425" s="23" t="n">
        <v>0</v>
      </c>
      <c r="L1425" s="23" t="n">
        <f>J1425+K1425</f>
        <v>2</v>
      </c>
      <c r="M1425" s="23" t="n">
        <v>2</v>
      </c>
      <c r="N1425" s="23" t="n">
        <v>2</v>
      </c>
      <c r="O1425" s="23" t="n">
        <v>2</v>
      </c>
      <c r="P1425" s="23" t="n">
        <v>2</v>
      </c>
      <c r="Q1425" s="23" t="n">
        <f>MIN(O1425,P1425)</f>
        <v>2</v>
      </c>
      <c r="R1425" s="25" t="n">
        <f>IF(M1425=0,0,MIN(1,L1425/M1425))</f>
        <v>1</v>
      </c>
      <c r="S1425" s="23" t="n">
        <f>O1425*R1425</f>
        <v>2</v>
      </c>
      <c r="T1425" s="23" t="n">
        <f>MIN(P1425,S1425)</f>
        <v>2</v>
      </c>
      <c r="U1425" s="23" t="n">
        <f>O1425-S1425</f>
        <v>0</v>
      </c>
      <c r="V1425" s="23" t="n">
        <f>MAX(P1425-O1425,0)</f>
        <v>0</v>
      </c>
    </row>
    <row r="1426">
      <c r="A1426" s="19" t="str">
        <v>英国区</v>
      </c>
      <c r="B1426" s="19" t="str">
        <v>伯明翰7号仓(SN)</v>
      </c>
      <c r="C1426" s="19" t="str">
        <v>分播组</v>
      </c>
      <c r="D1426" s="21" t="n">
        <v>46184</v>
      </c>
      <c r="E1426" s="19" t="str">
        <v>2026-06</v>
      </c>
      <c r="F1426" s="19" t="str">
        <v>操作员</v>
      </c>
      <c r="G1426" s="19" t="str">
        <v>英国灵活（6小时扣午休） / UK FLEX (6-HR LUNCH BREAK DEDUCTED)</v>
      </c>
      <c r="H1426" s="19" t="str">
        <v>S000274</v>
      </c>
      <c r="I1426" s="19" t="str">
        <v>Jobsworth Recruitment Solutions Limited</v>
      </c>
      <c r="J1426" s="23" t="n">
        <v>3</v>
      </c>
      <c r="K1426" s="23" t="n">
        <v>0</v>
      </c>
      <c r="L1426" s="23" t="n">
        <f>J1426+K1426</f>
        <v>3</v>
      </c>
      <c r="M1426" s="23" t="n">
        <v>3</v>
      </c>
      <c r="N1426" s="23" t="n">
        <v>0</v>
      </c>
      <c r="O1426" s="23" t="n">
        <v>3</v>
      </c>
      <c r="P1426" s="23" t="n">
        <v>0</v>
      </c>
      <c r="Q1426" s="23" t="n">
        <f>MIN(O1426,P1426)</f>
        <v>0</v>
      </c>
      <c r="R1426" s="25" t="n">
        <f>IF(M1426=0,0,MIN(1,L1426/M1426))</f>
        <v>1</v>
      </c>
      <c r="S1426" s="23" t="n">
        <f>O1426*R1426</f>
        <v>3</v>
      </c>
      <c r="T1426" s="23" t="n">
        <f>MIN(P1426,S1426)</f>
        <v>0</v>
      </c>
      <c r="U1426" s="23" t="n">
        <f>O1426-S1426</f>
        <v>0</v>
      </c>
      <c r="V1426" s="23" t="n">
        <f>MAX(P1426-O1426,0)</f>
        <v>0</v>
      </c>
    </row>
    <row r="1427">
      <c r="A1427" s="19" t="str">
        <v>英国区</v>
      </c>
      <c r="B1427" s="19" t="str">
        <v>伯明翰7号仓(SN)</v>
      </c>
      <c r="C1427" s="19" t="str">
        <v>分播组</v>
      </c>
      <c r="D1427" s="21" t="n">
        <v>46198</v>
      </c>
      <c r="E1427" s="19" t="str">
        <v>2026-06</v>
      </c>
      <c r="F1427" s="19" t="str">
        <v>操作员</v>
      </c>
      <c r="G1427" s="19" t="str">
        <v>英国灵活（6小时扣午休） / UK FLEX (6-HR LUNCH BREAK DEDUCTED)</v>
      </c>
      <c r="H1427" s="19" t="str">
        <v>S000331</v>
      </c>
      <c r="I1427" s="19" t="str">
        <v>Employment of London Limited</v>
      </c>
      <c r="J1427" s="23" t="n">
        <v>6</v>
      </c>
      <c r="K1427" s="23" t="n">
        <v>0</v>
      </c>
      <c r="L1427" s="23" t="n">
        <f>J1427+K1427</f>
        <v>6</v>
      </c>
      <c r="M1427" s="23" t="n">
        <v>6</v>
      </c>
      <c r="N1427" s="23" t="n">
        <v>6</v>
      </c>
      <c r="O1427" s="23" t="n">
        <v>6</v>
      </c>
      <c r="P1427" s="23" t="n">
        <v>6</v>
      </c>
      <c r="Q1427" s="23" t="n">
        <f>MIN(O1427,P1427)</f>
        <v>6</v>
      </c>
      <c r="R1427" s="25" t="n">
        <f>IF(M1427=0,0,MIN(1,L1427/M1427))</f>
        <v>1</v>
      </c>
      <c r="S1427" s="23" t="n">
        <f>O1427*R1427</f>
        <v>6</v>
      </c>
      <c r="T1427" s="23" t="n">
        <f>MIN(P1427,S1427)</f>
        <v>6</v>
      </c>
      <c r="U1427" s="23" t="n">
        <f>O1427-S1427</f>
        <v>0</v>
      </c>
      <c r="V1427" s="23" t="n">
        <f>MAX(P1427-O1427,0)</f>
        <v>0</v>
      </c>
    </row>
    <row r="1428">
      <c r="A1428" s="19" t="str">
        <v>英国区</v>
      </c>
      <c r="B1428" s="19" t="str">
        <v>伯明翰7号仓(SN)</v>
      </c>
      <c r="C1428" s="19" t="str">
        <v>发货组</v>
      </c>
      <c r="D1428" s="21" t="n">
        <v>46113</v>
      </c>
      <c r="E1428" s="19" t="str">
        <v>2026-04</v>
      </c>
      <c r="F1428" s="19" t="str">
        <v>操作员</v>
      </c>
      <c r="G1428" s="19" t="str">
        <v>英国灵活（6小时扣午休） / UK FLEX (6-HR LUNCH BREAK DEDUCTED)</v>
      </c>
      <c r="H1428" s="19" t="str">
        <v>S000132</v>
      </c>
      <c r="I1428" s="19" t="str">
        <v>HRA Recruitment Services</v>
      </c>
      <c r="J1428" s="23" t="n">
        <v>3</v>
      </c>
      <c r="K1428" s="23" t="n">
        <v>0</v>
      </c>
      <c r="L1428" s="23" t="n">
        <f>J1428+K1428</f>
        <v>3</v>
      </c>
      <c r="M1428" s="23" t="n">
        <v>3</v>
      </c>
      <c r="N1428" s="23" t="n">
        <v>3</v>
      </c>
      <c r="O1428" s="23" t="n">
        <v>3</v>
      </c>
      <c r="P1428" s="23" t="n">
        <v>3</v>
      </c>
      <c r="Q1428" s="23" t="n">
        <f>MIN(O1428,P1428)</f>
        <v>3</v>
      </c>
      <c r="R1428" s="25" t="n">
        <f>IF(M1428=0,0,MIN(1,L1428/M1428))</f>
        <v>1</v>
      </c>
      <c r="S1428" s="23" t="n">
        <f>O1428*R1428</f>
        <v>3</v>
      </c>
      <c r="T1428" s="23" t="n">
        <f>MIN(P1428,S1428)</f>
        <v>3</v>
      </c>
      <c r="U1428" s="23" t="n">
        <f>O1428-S1428</f>
        <v>0</v>
      </c>
      <c r="V1428" s="23" t="n">
        <f>MAX(P1428-O1428,0)</f>
        <v>0</v>
      </c>
    </row>
    <row r="1429">
      <c r="A1429" s="19" t="str">
        <v>英国区</v>
      </c>
      <c r="B1429" s="19" t="str">
        <v>伯明翰7号仓(SN)</v>
      </c>
      <c r="C1429" s="19" t="str">
        <v>发货组</v>
      </c>
      <c r="D1429" s="21" t="n">
        <v>46115</v>
      </c>
      <c r="E1429" s="19" t="str">
        <v>2026-04</v>
      </c>
      <c r="F1429" s="19" t="str">
        <v>保安</v>
      </c>
      <c r="G1429" s="19" t="str">
        <v>英国灵活（6小时扣午休） / UK FLEX (6-HR LUNCH BREAK DEDUCTED)</v>
      </c>
      <c r="H1429" s="19" t="str">
        <v>S000132</v>
      </c>
      <c r="I1429" s="19" t="str">
        <v>HRA Recruitment Services</v>
      </c>
      <c r="J1429" s="23" t="n">
        <v>1</v>
      </c>
      <c r="K1429" s="23" t="n">
        <v>0</v>
      </c>
      <c r="L1429" s="23" t="n">
        <f>J1429+K1429</f>
        <v>1</v>
      </c>
      <c r="M1429" s="23" t="n">
        <v>1</v>
      </c>
      <c r="N1429" s="23" t="n">
        <v>1</v>
      </c>
      <c r="O1429" s="23" t="n">
        <v>1</v>
      </c>
      <c r="P1429" s="23" t="n">
        <v>1</v>
      </c>
      <c r="Q1429" s="23" t="n">
        <f>MIN(O1429,P1429)</f>
        <v>1</v>
      </c>
      <c r="R1429" s="25" t="n">
        <f>IF(M1429=0,0,MIN(1,L1429/M1429))</f>
        <v>1</v>
      </c>
      <c r="S1429" s="23" t="n">
        <f>O1429*R1429</f>
        <v>1</v>
      </c>
      <c r="T1429" s="23" t="n">
        <f>MIN(P1429,S1429)</f>
        <v>1</v>
      </c>
      <c r="U1429" s="23" t="n">
        <f>O1429-S1429</f>
        <v>0</v>
      </c>
      <c r="V1429" s="23" t="n">
        <f>MAX(P1429-O1429,0)</f>
        <v>0</v>
      </c>
    </row>
    <row r="1430">
      <c r="A1430" s="19" t="str">
        <v>英国区</v>
      </c>
      <c r="B1430" s="19" t="str">
        <v>伯明翰7号仓(SN)</v>
      </c>
      <c r="C1430" s="19" t="str">
        <v>发货组</v>
      </c>
      <c r="D1430" s="21" t="n">
        <v>46143</v>
      </c>
      <c r="E1430" s="19" t="str">
        <v>2026-05</v>
      </c>
      <c r="F1430" s="19" t="str">
        <v>操作员</v>
      </c>
      <c r="G1430" s="19" t="str">
        <v>英国灵活（6小时扣午休） / UK FLEX (6-HR LUNCH BREAK DEDUCTED)</v>
      </c>
      <c r="H1430" s="19" t="str">
        <v>S000274</v>
      </c>
      <c r="I1430" s="19" t="str">
        <v>Jobsworth Recruitment Solutions Limited</v>
      </c>
      <c r="J1430" s="23" t="n">
        <v>1</v>
      </c>
      <c r="K1430" s="23" t="n">
        <v>0</v>
      </c>
      <c r="L1430" s="23" t="n">
        <f>J1430+K1430</f>
        <v>1</v>
      </c>
      <c r="M1430" s="23" t="n">
        <v>1</v>
      </c>
      <c r="N1430" s="23" t="n">
        <v>1</v>
      </c>
      <c r="O1430" s="23" t="n">
        <v>1</v>
      </c>
      <c r="P1430" s="23" t="n">
        <v>1</v>
      </c>
      <c r="Q1430" s="23" t="n">
        <f>MIN(O1430,P1430)</f>
        <v>1</v>
      </c>
      <c r="R1430" s="25" t="n">
        <f>IF(M1430=0,0,MIN(1,L1430/M1430))</f>
        <v>1</v>
      </c>
      <c r="S1430" s="23" t="n">
        <f>O1430*R1430</f>
        <v>1</v>
      </c>
      <c r="T1430" s="23" t="n">
        <f>MIN(P1430,S1430)</f>
        <v>1</v>
      </c>
      <c r="U1430" s="23" t="n">
        <f>O1430-S1430</f>
        <v>0</v>
      </c>
      <c r="V1430" s="23" t="n">
        <f>MAX(P1430-O1430,0)</f>
        <v>0</v>
      </c>
    </row>
    <row r="1431">
      <c r="A1431" s="19" t="str">
        <v>英国区</v>
      </c>
      <c r="B1431" s="19" t="str">
        <v>伯明翰7号仓(SN)</v>
      </c>
      <c r="C1431" s="19" t="str">
        <v>发货组</v>
      </c>
      <c r="D1431" s="21" t="n">
        <v>46160</v>
      </c>
      <c r="E1431" s="19" t="str">
        <v>2026-05</v>
      </c>
      <c r="F1431" s="19" t="str">
        <v>操作员</v>
      </c>
      <c r="G1431" s="19" t="str">
        <v>英国灵活（6小时扣午休） / UK FLEX (6-HR LUNCH BREAK DEDUCTED)</v>
      </c>
      <c r="H1431" s="19" t="str">
        <v>S000331</v>
      </c>
      <c r="I1431" s="19" t="str">
        <v>Employment of London Limited</v>
      </c>
      <c r="J1431" s="23" t="n">
        <v>2</v>
      </c>
      <c r="K1431" s="23" t="n">
        <v>0</v>
      </c>
      <c r="L1431" s="23" t="n">
        <f>J1431+K1431</f>
        <v>2</v>
      </c>
      <c r="M1431" s="23" t="n">
        <v>2</v>
      </c>
      <c r="N1431" s="23" t="n">
        <v>2</v>
      </c>
      <c r="O1431" s="23" t="n">
        <v>2</v>
      </c>
      <c r="P1431" s="23" t="n">
        <v>2</v>
      </c>
      <c r="Q1431" s="23" t="n">
        <f>MIN(O1431,P1431)</f>
        <v>2</v>
      </c>
      <c r="R1431" s="25" t="n">
        <f>IF(M1431=0,0,MIN(1,L1431/M1431))</f>
        <v>1</v>
      </c>
      <c r="S1431" s="23" t="n">
        <f>O1431*R1431</f>
        <v>2</v>
      </c>
      <c r="T1431" s="23" t="n">
        <f>MIN(P1431,S1431)</f>
        <v>2</v>
      </c>
      <c r="U1431" s="23" t="n">
        <f>O1431-S1431</f>
        <v>0</v>
      </c>
      <c r="V1431" s="23" t="n">
        <f>MAX(P1431-O1431,0)</f>
        <v>0</v>
      </c>
    </row>
    <row r="1432">
      <c r="A1432" s="19" t="str">
        <v>英国区</v>
      </c>
      <c r="B1432" s="19" t="str">
        <v>伯明翰7号仓(SN)</v>
      </c>
      <c r="C1432" s="19" t="str">
        <v>发货组</v>
      </c>
      <c r="D1432" s="21" t="n">
        <v>46161</v>
      </c>
      <c r="E1432" s="19" t="str">
        <v>2026-05</v>
      </c>
      <c r="F1432" s="19" t="str">
        <v>操作员</v>
      </c>
      <c r="G1432" s="19" t="str">
        <v>英国灵活（6小时扣午休） / UK FLEX (6-HR LUNCH BREAK DEDUCTED)</v>
      </c>
      <c r="H1432" s="19" t="str">
        <v>S000274</v>
      </c>
      <c r="I1432" s="19" t="str">
        <v>Jobsworth Recruitment Solutions Limited</v>
      </c>
      <c r="J1432" s="23" t="n">
        <v>3</v>
      </c>
      <c r="K1432" s="23" t="n">
        <v>0</v>
      </c>
      <c r="L1432" s="23" t="n">
        <f>J1432+K1432</f>
        <v>3</v>
      </c>
      <c r="M1432" s="23" t="n">
        <v>3</v>
      </c>
      <c r="N1432" s="23" t="n">
        <v>0</v>
      </c>
      <c r="O1432" s="23" t="n">
        <v>3</v>
      </c>
      <c r="P1432" s="23" t="n">
        <v>0</v>
      </c>
      <c r="Q1432" s="23" t="n">
        <f>MIN(O1432,P1432)</f>
        <v>0</v>
      </c>
      <c r="R1432" s="25" t="n">
        <f>IF(M1432=0,0,MIN(1,L1432/M1432))</f>
        <v>1</v>
      </c>
      <c r="S1432" s="23" t="n">
        <f>O1432*R1432</f>
        <v>3</v>
      </c>
      <c r="T1432" s="23" t="n">
        <f>MIN(P1432,S1432)</f>
        <v>0</v>
      </c>
      <c r="U1432" s="23" t="n">
        <f>O1432-S1432</f>
        <v>0</v>
      </c>
      <c r="V1432" s="23" t="n">
        <f>MAX(P1432-O1432,0)</f>
        <v>0</v>
      </c>
    </row>
    <row r="1433">
      <c r="A1433" s="19" t="str">
        <v>英国区</v>
      </c>
      <c r="B1433" s="19" t="str">
        <v>伯明翰7号仓(SN)</v>
      </c>
      <c r="C1433" s="19" t="str">
        <v>发货组</v>
      </c>
      <c r="D1433" s="21" t="n">
        <v>46165</v>
      </c>
      <c r="E1433" s="19" t="str">
        <v>2026-05</v>
      </c>
      <c r="F1433" s="19" t="str">
        <v>保安</v>
      </c>
      <c r="G1433" s="19" t="str">
        <v>英国区保安17:00-07:00（不扣午休） / UK SECURIT 17:00-07:00</v>
      </c>
      <c r="H1433" s="19" t="str">
        <v>S000132</v>
      </c>
      <c r="I1433" s="19" t="str">
        <v>HRA Recruitment Services</v>
      </c>
      <c r="J1433" s="23" t="n">
        <v>1</v>
      </c>
      <c r="K1433" s="23" t="n">
        <v>0</v>
      </c>
      <c r="L1433" s="23" t="n">
        <f>J1433+K1433</f>
        <v>1</v>
      </c>
      <c r="M1433" s="23" t="n">
        <v>1</v>
      </c>
      <c r="N1433" s="23" t="n">
        <v>1</v>
      </c>
      <c r="O1433" s="23" t="n">
        <v>1</v>
      </c>
      <c r="P1433" s="23" t="n">
        <v>1</v>
      </c>
      <c r="Q1433" s="23" t="n">
        <f>MIN(O1433,P1433)</f>
        <v>1</v>
      </c>
      <c r="R1433" s="25" t="n">
        <f>IF(M1433=0,0,MIN(1,L1433/M1433))</f>
        <v>1</v>
      </c>
      <c r="S1433" s="23" t="n">
        <f>O1433*R1433</f>
        <v>1</v>
      </c>
      <c r="T1433" s="23" t="n">
        <f>MIN(P1433,S1433)</f>
        <v>1</v>
      </c>
      <c r="U1433" s="23" t="n">
        <f>O1433-S1433</f>
        <v>0</v>
      </c>
      <c r="V1433" s="23" t="n">
        <f>MAX(P1433-O1433,0)</f>
        <v>0</v>
      </c>
    </row>
    <row r="1434">
      <c r="A1434" s="19" t="str">
        <v>英国区</v>
      </c>
      <c r="B1434" s="19" t="str">
        <v>伯明翰7号仓(SN)</v>
      </c>
      <c r="C1434" s="19" t="str">
        <v>发货组</v>
      </c>
      <c r="D1434" s="21" t="n">
        <v>46168</v>
      </c>
      <c r="E1434" s="19" t="str">
        <v>2026-05</v>
      </c>
      <c r="F1434" s="19" t="str">
        <v>保安</v>
      </c>
      <c r="G1434" s="19" t="str">
        <v>英国灵活（跨天） / UK FLEX (CROSS-DAY)</v>
      </c>
      <c r="H1434" s="19" t="str">
        <v>S000132</v>
      </c>
      <c r="I1434" s="19" t="str">
        <v>HRA Recruitment Services</v>
      </c>
      <c r="J1434" s="23" t="n">
        <v>1</v>
      </c>
      <c r="K1434" s="23" t="n">
        <v>0</v>
      </c>
      <c r="L1434" s="23" t="n">
        <f>J1434+K1434</f>
        <v>1</v>
      </c>
      <c r="M1434" s="23" t="n">
        <v>1</v>
      </c>
      <c r="N1434" s="23" t="n">
        <v>1</v>
      </c>
      <c r="O1434" s="23" t="n">
        <v>1</v>
      </c>
      <c r="P1434" s="23" t="n">
        <v>1</v>
      </c>
      <c r="Q1434" s="23" t="n">
        <f>MIN(O1434,P1434)</f>
        <v>1</v>
      </c>
      <c r="R1434" s="25" t="n">
        <f>IF(M1434=0,0,MIN(1,L1434/M1434))</f>
        <v>1</v>
      </c>
      <c r="S1434" s="23" t="n">
        <f>O1434*R1434</f>
        <v>1</v>
      </c>
      <c r="T1434" s="23" t="n">
        <f>MIN(P1434,S1434)</f>
        <v>1</v>
      </c>
      <c r="U1434" s="23" t="n">
        <f>O1434-S1434</f>
        <v>0</v>
      </c>
      <c r="V1434" s="23" t="n">
        <f>MAX(P1434-O1434,0)</f>
        <v>0</v>
      </c>
    </row>
    <row r="1435">
      <c r="A1435" s="19" t="str">
        <v>英国区</v>
      </c>
      <c r="B1435" s="19" t="str">
        <v>伯明翰7号仓(SN)</v>
      </c>
      <c r="C1435" s="19" t="str">
        <v>发货组</v>
      </c>
      <c r="D1435" s="21" t="n">
        <v>46169</v>
      </c>
      <c r="E1435" s="19" t="str">
        <v>2026-05</v>
      </c>
      <c r="F1435" s="19" t="str">
        <v>操作员</v>
      </c>
      <c r="G1435" s="19" t="str">
        <v>英国灵活（6小时扣午休） / UK FLEX (6-HR LUNCH BREAK DEDUCTED)</v>
      </c>
      <c r="H1435" s="19" t="str">
        <v>S000274</v>
      </c>
      <c r="I1435" s="19" t="str">
        <v>Jobsworth Recruitment Solutions Limited</v>
      </c>
      <c r="J1435" s="23" t="n">
        <v>3</v>
      </c>
      <c r="K1435" s="23" t="n">
        <v>0</v>
      </c>
      <c r="L1435" s="23" t="n">
        <f>J1435+K1435</f>
        <v>3</v>
      </c>
      <c r="M1435" s="23" t="n">
        <v>3</v>
      </c>
      <c r="N1435" s="23" t="n">
        <v>3</v>
      </c>
      <c r="O1435" s="23" t="n">
        <v>3</v>
      </c>
      <c r="P1435" s="23" t="n">
        <v>3</v>
      </c>
      <c r="Q1435" s="23" t="n">
        <f>MIN(O1435,P1435)</f>
        <v>3</v>
      </c>
      <c r="R1435" s="25" t="n">
        <f>IF(M1435=0,0,MIN(1,L1435/M1435))</f>
        <v>1</v>
      </c>
      <c r="S1435" s="23" t="n">
        <f>O1435*R1435</f>
        <v>3</v>
      </c>
      <c r="T1435" s="23" t="n">
        <f>MIN(P1435,S1435)</f>
        <v>3</v>
      </c>
      <c r="U1435" s="23" t="n">
        <f>O1435-S1435</f>
        <v>0</v>
      </c>
      <c r="V1435" s="23" t="n">
        <f>MAX(P1435-O1435,0)</f>
        <v>0</v>
      </c>
    </row>
    <row r="1436">
      <c r="A1436" s="19" t="str">
        <v>英国区</v>
      </c>
      <c r="B1436" s="19" t="str">
        <v>伯明翰7号仓(SN)</v>
      </c>
      <c r="C1436" s="19" t="str">
        <v>发货组</v>
      </c>
      <c r="D1436" s="21" t="n">
        <v>46184</v>
      </c>
      <c r="E1436" s="19" t="str">
        <v>2026-06</v>
      </c>
      <c r="F1436" s="19" t="str">
        <v>操作员</v>
      </c>
      <c r="G1436" s="19" t="str">
        <v>英国灵活（6小时扣午休） / UK FLEX (6-HR LUNCH BREAK DEDUCTED)</v>
      </c>
      <c r="H1436" s="19" t="str">
        <v>S000132</v>
      </c>
      <c r="I1436" s="19" t="str">
        <v>HRA Recruitment Services</v>
      </c>
      <c r="J1436" s="23" t="n">
        <v>1</v>
      </c>
      <c r="K1436" s="23" t="n">
        <v>0</v>
      </c>
      <c r="L1436" s="23" t="n">
        <f>J1436+K1436</f>
        <v>1</v>
      </c>
      <c r="M1436" s="23" t="n">
        <v>1</v>
      </c>
      <c r="N1436" s="23" t="n">
        <v>1</v>
      </c>
      <c r="O1436" s="23" t="n">
        <v>1</v>
      </c>
      <c r="P1436" s="23" t="n">
        <v>1</v>
      </c>
      <c r="Q1436" s="23" t="n">
        <f>MIN(O1436,P1436)</f>
        <v>1</v>
      </c>
      <c r="R1436" s="25" t="n">
        <f>IF(M1436=0,0,MIN(1,L1436/M1436))</f>
        <v>1</v>
      </c>
      <c r="S1436" s="23" t="n">
        <f>O1436*R1436</f>
        <v>1</v>
      </c>
      <c r="T1436" s="23" t="n">
        <f>MIN(P1436,S1436)</f>
        <v>1</v>
      </c>
      <c r="U1436" s="23" t="n">
        <f>O1436-S1436</f>
        <v>0</v>
      </c>
      <c r="V1436" s="23" t="n">
        <f>MAX(P1436-O1436,0)</f>
        <v>0</v>
      </c>
    </row>
    <row r="1437">
      <c r="A1437" s="19" t="str">
        <v>英国区</v>
      </c>
      <c r="B1437" s="19" t="str">
        <v>伯明翰7号仓(SN)</v>
      </c>
      <c r="C1437" s="19" t="str">
        <v>打包组</v>
      </c>
      <c r="D1437" s="21" t="n">
        <v>46113</v>
      </c>
      <c r="E1437" s="19" t="str">
        <v>2026-04</v>
      </c>
      <c r="F1437" s="19" t="str">
        <v>操作员</v>
      </c>
      <c r="G1437" s="19" t="str">
        <v>英国灵活（6小时扣午休） / UK FLEX (6-HR LUNCH BREAK DEDUCTED)</v>
      </c>
      <c r="H1437" s="19" t="str">
        <v>S000132</v>
      </c>
      <c r="I1437" s="19" t="str">
        <v>HRA Recruitment Services</v>
      </c>
      <c r="J1437" s="23" t="n">
        <v>1</v>
      </c>
      <c r="K1437" s="23" t="n">
        <v>0</v>
      </c>
      <c r="L1437" s="23" t="n">
        <f>J1437+K1437</f>
        <v>1</v>
      </c>
      <c r="M1437" s="23" t="n">
        <v>1</v>
      </c>
      <c r="N1437" s="23" t="n">
        <v>1</v>
      </c>
      <c r="O1437" s="23" t="n">
        <v>1</v>
      </c>
      <c r="P1437" s="23" t="n">
        <v>1</v>
      </c>
      <c r="Q1437" s="23" t="n">
        <f>MIN(O1437,P1437)</f>
        <v>1</v>
      </c>
      <c r="R1437" s="25" t="n">
        <f>IF(M1437=0,0,MIN(1,L1437/M1437))</f>
        <v>1</v>
      </c>
      <c r="S1437" s="23" t="n">
        <f>O1437*R1437</f>
        <v>1</v>
      </c>
      <c r="T1437" s="23" t="n">
        <f>MIN(P1437,S1437)</f>
        <v>1</v>
      </c>
      <c r="U1437" s="23" t="n">
        <f>O1437-S1437</f>
        <v>0</v>
      </c>
      <c r="V1437" s="23" t="n">
        <f>MAX(P1437-O1437,0)</f>
        <v>0</v>
      </c>
    </row>
    <row r="1438">
      <c r="A1438" s="19" t="str">
        <v>英国区</v>
      </c>
      <c r="B1438" s="19" t="str">
        <v>伯明翰7号仓(SN)</v>
      </c>
      <c r="C1438" s="19" t="str">
        <v>打包组</v>
      </c>
      <c r="D1438" s="21" t="n">
        <v>46114</v>
      </c>
      <c r="E1438" s="19" t="str">
        <v>2026-04</v>
      </c>
      <c r="F1438" s="19" t="str">
        <v>操作员</v>
      </c>
      <c r="G1438" s="19" t="str">
        <v>英国灵活（6小时扣午休） / UK FLEX (6-HR LUNCH BREAK DEDUCTED)</v>
      </c>
      <c r="H1438" s="19" t="str">
        <v>S000274</v>
      </c>
      <c r="I1438" s="19" t="str">
        <v>Jobsworth Recruitment Solutions Limited</v>
      </c>
      <c r="J1438" s="23" t="n">
        <v>1</v>
      </c>
      <c r="K1438" s="23" t="n">
        <v>0</v>
      </c>
      <c r="L1438" s="23" t="n">
        <f>J1438+K1438</f>
        <v>1</v>
      </c>
      <c r="M1438" s="23" t="n">
        <v>1</v>
      </c>
      <c r="N1438" s="23" t="n">
        <v>1</v>
      </c>
      <c r="O1438" s="23" t="n">
        <v>1</v>
      </c>
      <c r="P1438" s="23" t="n">
        <v>1</v>
      </c>
      <c r="Q1438" s="23" t="n">
        <f>MIN(O1438,P1438)</f>
        <v>1</v>
      </c>
      <c r="R1438" s="25" t="n">
        <f>IF(M1438=0,0,MIN(1,L1438/M1438))</f>
        <v>1</v>
      </c>
      <c r="S1438" s="23" t="n">
        <f>O1438*R1438</f>
        <v>1</v>
      </c>
      <c r="T1438" s="23" t="n">
        <f>MIN(P1438,S1438)</f>
        <v>1</v>
      </c>
      <c r="U1438" s="23" t="n">
        <f>O1438-S1438</f>
        <v>0</v>
      </c>
      <c r="V1438" s="23" t="n">
        <f>MAX(P1438-O1438,0)</f>
        <v>0</v>
      </c>
    </row>
    <row r="1439">
      <c r="A1439" s="19" t="str">
        <v>英国区</v>
      </c>
      <c r="B1439" s="19" t="str">
        <v>伯明翰7号仓(SN)</v>
      </c>
      <c r="C1439" s="19" t="str">
        <v>打包组</v>
      </c>
      <c r="D1439" s="21" t="n">
        <v>46115</v>
      </c>
      <c r="E1439" s="19" t="str">
        <v>2026-04</v>
      </c>
      <c r="F1439" s="19" t="str">
        <v>操作员</v>
      </c>
      <c r="G1439" s="19" t="str">
        <v>英国灵活（6小时扣午休） / UK FLEX (6-HR LUNCH BREAK DEDUCTED)</v>
      </c>
      <c r="H1439" s="19" t="str">
        <v>S000132</v>
      </c>
      <c r="I1439" s="19" t="str">
        <v>HRA Recruitment Services</v>
      </c>
      <c r="J1439" s="23" t="n">
        <v>4</v>
      </c>
      <c r="K1439" s="23" t="n">
        <v>0</v>
      </c>
      <c r="L1439" s="23" t="n">
        <f>J1439+K1439</f>
        <v>4</v>
      </c>
      <c r="M1439" s="23" t="n">
        <v>4</v>
      </c>
      <c r="N1439" s="23" t="n">
        <v>4</v>
      </c>
      <c r="O1439" s="23" t="n">
        <v>4</v>
      </c>
      <c r="P1439" s="23" t="n">
        <v>4</v>
      </c>
      <c r="Q1439" s="23" t="n">
        <f>MIN(O1439,P1439)</f>
        <v>4</v>
      </c>
      <c r="R1439" s="25" t="n">
        <f>IF(M1439=0,0,MIN(1,L1439/M1439))</f>
        <v>1</v>
      </c>
      <c r="S1439" s="23" t="n">
        <f>O1439*R1439</f>
        <v>4</v>
      </c>
      <c r="T1439" s="23" t="n">
        <f>MIN(P1439,S1439)</f>
        <v>4</v>
      </c>
      <c r="U1439" s="23" t="n">
        <f>O1439-S1439</f>
        <v>0</v>
      </c>
      <c r="V1439" s="23" t="n">
        <f>MAX(P1439-O1439,0)</f>
        <v>0</v>
      </c>
    </row>
    <row r="1440">
      <c r="A1440" s="19" t="str">
        <v>英国区</v>
      </c>
      <c r="B1440" s="19" t="str">
        <v>伯明翰7号仓(SN)</v>
      </c>
      <c r="C1440" s="19" t="str">
        <v>打包组</v>
      </c>
      <c r="D1440" s="21" t="n">
        <v>46133</v>
      </c>
      <c r="E1440" s="19" t="str">
        <v>2026-04</v>
      </c>
      <c r="F1440" s="19" t="str">
        <v>操作员</v>
      </c>
      <c r="G1440" s="19" t="str">
        <v>英国灵活（6小时扣午休） / UK FLEX (6-HR LUNCH BREAK DEDUCTED)</v>
      </c>
      <c r="H1440" s="19" t="str">
        <v>S000132</v>
      </c>
      <c r="I1440" s="19" t="str">
        <v>HRA Recruitment Services</v>
      </c>
      <c r="J1440" s="23" t="n">
        <v>21</v>
      </c>
      <c r="K1440" s="23" t="n">
        <v>0</v>
      </c>
      <c r="L1440" s="23" t="n">
        <f>J1440+K1440</f>
        <v>21</v>
      </c>
      <c r="M1440" s="23" t="n">
        <v>21</v>
      </c>
      <c r="N1440" s="23" t="n">
        <v>16</v>
      </c>
      <c r="O1440" s="23" t="n">
        <v>11</v>
      </c>
      <c r="P1440" s="23" t="n">
        <v>11</v>
      </c>
      <c r="Q1440" s="23" t="n">
        <f>MIN(O1440,P1440)</f>
        <v>11</v>
      </c>
      <c r="R1440" s="25" t="n">
        <f>IF(M1440=0,0,MIN(1,L1440/M1440))</f>
        <v>1</v>
      </c>
      <c r="S1440" s="23" t="n">
        <f>O1440*R1440</f>
        <v>11</v>
      </c>
      <c r="T1440" s="23" t="n">
        <f>MIN(P1440,S1440)</f>
        <v>11</v>
      </c>
      <c r="U1440" s="23" t="n">
        <f>O1440-S1440</f>
        <v>0</v>
      </c>
      <c r="V1440" s="23" t="n">
        <f>MAX(P1440-O1440,0)</f>
        <v>0</v>
      </c>
    </row>
    <row r="1441">
      <c r="A1441" s="19" t="str">
        <v>英国区</v>
      </c>
      <c r="B1441" s="19" t="str">
        <v>伯明翰7号仓(SN)</v>
      </c>
      <c r="C1441" s="19" t="str">
        <v>打包组</v>
      </c>
      <c r="D1441" s="21" t="n">
        <v>46133</v>
      </c>
      <c r="E1441" s="19" t="str">
        <v>2026-04</v>
      </c>
      <c r="F1441" s="19" t="str">
        <v>操作员</v>
      </c>
      <c r="G1441" s="19" t="str">
        <v>英国灵活（6小时扣午休） / UK FLEX (6-HR LUNCH BREAK DEDUCTED)</v>
      </c>
      <c r="H1441" s="19" t="str">
        <v>S000274</v>
      </c>
      <c r="I1441" s="19" t="str">
        <v>Jobsworth Recruitment Solutions Limited</v>
      </c>
      <c r="J1441" s="23" t="n">
        <v>21</v>
      </c>
      <c r="K1441" s="23" t="n">
        <v>0</v>
      </c>
      <c r="L1441" s="23" t="n">
        <f>J1441+K1441</f>
        <v>21</v>
      </c>
      <c r="M1441" s="23" t="n">
        <v>21</v>
      </c>
      <c r="N1441" s="23" t="n">
        <v>16</v>
      </c>
      <c r="O1441" s="23" t="n">
        <v>10</v>
      </c>
      <c r="P1441" s="23" t="n">
        <v>5</v>
      </c>
      <c r="Q1441" s="23" t="n">
        <f>MIN(O1441,P1441)</f>
        <v>5</v>
      </c>
      <c r="R1441" s="25" t="n">
        <f>IF(M1441=0,0,MIN(1,L1441/M1441))</f>
        <v>1</v>
      </c>
      <c r="S1441" s="23" t="n">
        <f>O1441*R1441</f>
        <v>10</v>
      </c>
      <c r="T1441" s="23" t="n">
        <f>MIN(P1441,S1441)</f>
        <v>5</v>
      </c>
      <c r="U1441" s="23" t="n">
        <f>O1441-S1441</f>
        <v>0</v>
      </c>
      <c r="V1441" s="23" t="n">
        <f>MAX(P1441-O1441,0)</f>
        <v>0</v>
      </c>
    </row>
    <row r="1442">
      <c r="A1442" s="19" t="str">
        <v>英国区</v>
      </c>
      <c r="B1442" s="19" t="str">
        <v>伯明翰7号仓(SN)</v>
      </c>
      <c r="C1442" s="19" t="str">
        <v>打包组</v>
      </c>
      <c r="D1442" s="21" t="n">
        <v>46134</v>
      </c>
      <c r="E1442" s="19" t="str">
        <v>2026-04</v>
      </c>
      <c r="F1442" s="19" t="str">
        <v>操作员</v>
      </c>
      <c r="G1442" s="19" t="str">
        <v>英国灵活（6小时扣午休） / UK FLEX (6-HR LUNCH BREAK DEDUCTED)</v>
      </c>
      <c r="H1442" s="19" t="str">
        <v>S000132</v>
      </c>
      <c r="I1442" s="19" t="str">
        <v>HRA Recruitment Services</v>
      </c>
      <c r="J1442" s="23" t="n">
        <v>9</v>
      </c>
      <c r="K1442" s="23" t="n">
        <v>0</v>
      </c>
      <c r="L1442" s="23" t="n">
        <f>J1442+K1442</f>
        <v>9</v>
      </c>
      <c r="M1442" s="23" t="n">
        <v>9</v>
      </c>
      <c r="N1442" s="23" t="n">
        <v>9</v>
      </c>
      <c r="O1442" s="23" t="n">
        <v>9</v>
      </c>
      <c r="P1442" s="23" t="n">
        <v>9</v>
      </c>
      <c r="Q1442" s="23" t="n">
        <f>MIN(O1442,P1442)</f>
        <v>9</v>
      </c>
      <c r="R1442" s="25" t="n">
        <f>IF(M1442=0,0,MIN(1,L1442/M1442))</f>
        <v>1</v>
      </c>
      <c r="S1442" s="23" t="n">
        <f>O1442*R1442</f>
        <v>9</v>
      </c>
      <c r="T1442" s="23" t="n">
        <f>MIN(P1442,S1442)</f>
        <v>9</v>
      </c>
      <c r="U1442" s="23" t="n">
        <f>O1442-S1442</f>
        <v>0</v>
      </c>
      <c r="V1442" s="23" t="n">
        <f>MAX(P1442-O1442,0)</f>
        <v>0</v>
      </c>
    </row>
    <row r="1443">
      <c r="A1443" s="19" t="str">
        <v>英国区</v>
      </c>
      <c r="B1443" s="19" t="str">
        <v>伯明翰7号仓(SN)</v>
      </c>
      <c r="C1443" s="19" t="str">
        <v>打包组</v>
      </c>
      <c r="D1443" s="21" t="n">
        <v>46144</v>
      </c>
      <c r="E1443" s="19" t="str">
        <v>2026-05</v>
      </c>
      <c r="F1443" s="19" t="str">
        <v>操作员</v>
      </c>
      <c r="G1443" s="19" t="str">
        <v>英国灵活（6小时扣午休） / UK FLEX (6-HR LUNCH BREAK DEDUCTED)</v>
      </c>
      <c r="H1443" s="19" t="str">
        <v>S000274</v>
      </c>
      <c r="I1443" s="19" t="str">
        <v>Jobsworth Recruitment Solutions Limited</v>
      </c>
      <c r="J1443" s="23" t="n">
        <v>2</v>
      </c>
      <c r="K1443" s="23" t="n">
        <v>0</v>
      </c>
      <c r="L1443" s="23" t="n">
        <f>J1443+K1443</f>
        <v>2</v>
      </c>
      <c r="M1443" s="23" t="n">
        <v>2</v>
      </c>
      <c r="N1443" s="23" t="n">
        <v>0</v>
      </c>
      <c r="O1443" s="23" t="n">
        <v>2</v>
      </c>
      <c r="P1443" s="23" t="n">
        <v>0</v>
      </c>
      <c r="Q1443" s="23" t="n">
        <f>MIN(O1443,P1443)</f>
        <v>0</v>
      </c>
      <c r="R1443" s="25" t="n">
        <f>IF(M1443=0,0,MIN(1,L1443/M1443))</f>
        <v>1</v>
      </c>
      <c r="S1443" s="23" t="n">
        <f>O1443*R1443</f>
        <v>2</v>
      </c>
      <c r="T1443" s="23" t="n">
        <f>MIN(P1443,S1443)</f>
        <v>0</v>
      </c>
      <c r="U1443" s="23" t="n">
        <f>O1443-S1443</f>
        <v>0</v>
      </c>
      <c r="V1443" s="23" t="n">
        <f>MAX(P1443-O1443,0)</f>
        <v>0</v>
      </c>
    </row>
    <row r="1444">
      <c r="A1444" s="19" t="str">
        <v>英国区</v>
      </c>
      <c r="B1444" s="19" t="str">
        <v>伯明翰7号仓(SN)</v>
      </c>
      <c r="C1444" s="19" t="str">
        <v>打包组</v>
      </c>
      <c r="D1444" s="21" t="n">
        <v>46148</v>
      </c>
      <c r="E1444" s="19" t="str">
        <v>2026-05</v>
      </c>
      <c r="F1444" s="19" t="str">
        <v>操作员</v>
      </c>
      <c r="G1444" s="19" t="str">
        <v>英国灵活（6小时扣午休） / UK FLEX (6-HR LUNCH BREAK DEDUCTED)</v>
      </c>
      <c r="H1444" s="19" t="str">
        <v>S000132</v>
      </c>
      <c r="I1444" s="19" t="str">
        <v>HRA Recruitment Services</v>
      </c>
      <c r="J1444" s="23" t="n">
        <v>4</v>
      </c>
      <c r="K1444" s="23" t="n">
        <v>0</v>
      </c>
      <c r="L1444" s="23" t="n">
        <f>J1444+K1444</f>
        <v>4</v>
      </c>
      <c r="M1444" s="23" t="n">
        <v>4</v>
      </c>
      <c r="N1444" s="23" t="n">
        <v>4</v>
      </c>
      <c r="O1444" s="23" t="n">
        <v>4</v>
      </c>
      <c r="P1444" s="23" t="n">
        <v>4</v>
      </c>
      <c r="Q1444" s="23" t="n">
        <f>MIN(O1444,P1444)</f>
        <v>4</v>
      </c>
      <c r="R1444" s="25" t="n">
        <f>IF(M1444=0,0,MIN(1,L1444/M1444))</f>
        <v>1</v>
      </c>
      <c r="S1444" s="23" t="n">
        <f>O1444*R1444</f>
        <v>4</v>
      </c>
      <c r="T1444" s="23" t="n">
        <f>MIN(P1444,S1444)</f>
        <v>4</v>
      </c>
      <c r="U1444" s="23" t="n">
        <f>O1444-S1444</f>
        <v>0</v>
      </c>
      <c r="V1444" s="23" t="n">
        <f>MAX(P1444-O1444,0)</f>
        <v>0</v>
      </c>
    </row>
    <row r="1445">
      <c r="A1445" s="19" t="str">
        <v>英国区</v>
      </c>
      <c r="B1445" s="19" t="str">
        <v>伯明翰7号仓(SN)</v>
      </c>
      <c r="C1445" s="19" t="str">
        <v>打包组</v>
      </c>
      <c r="D1445" s="21" t="n">
        <v>46149</v>
      </c>
      <c r="E1445" s="19" t="str">
        <v>2026-05</v>
      </c>
      <c r="F1445" s="19" t="str">
        <v>操作员</v>
      </c>
      <c r="G1445" s="19" t="str">
        <v>英国灵活（6小时扣午休） / UK FLEX (6-HR LUNCH BREAK DEDUCTED)</v>
      </c>
      <c r="H1445" s="19" t="str">
        <v>S000274</v>
      </c>
      <c r="I1445" s="19" t="str">
        <v>Jobsworth Recruitment Solutions Limited</v>
      </c>
      <c r="J1445" s="23" t="n">
        <v>4</v>
      </c>
      <c r="K1445" s="23" t="n">
        <v>0</v>
      </c>
      <c r="L1445" s="23" t="n">
        <f>J1445+K1445</f>
        <v>4</v>
      </c>
      <c r="M1445" s="23" t="n">
        <v>4</v>
      </c>
      <c r="N1445" s="23" t="n">
        <v>4</v>
      </c>
      <c r="O1445" s="23" t="n">
        <v>4</v>
      </c>
      <c r="P1445" s="23" t="n">
        <v>4</v>
      </c>
      <c r="Q1445" s="23" t="n">
        <f>MIN(O1445,P1445)</f>
        <v>4</v>
      </c>
      <c r="R1445" s="25" t="n">
        <f>IF(M1445=0,0,MIN(1,L1445/M1445))</f>
        <v>1</v>
      </c>
      <c r="S1445" s="23" t="n">
        <f>O1445*R1445</f>
        <v>4</v>
      </c>
      <c r="T1445" s="23" t="n">
        <f>MIN(P1445,S1445)</f>
        <v>4</v>
      </c>
      <c r="U1445" s="23" t="n">
        <f>O1445-S1445</f>
        <v>0</v>
      </c>
      <c r="V1445" s="23" t="n">
        <f>MAX(P1445-O1445,0)</f>
        <v>0</v>
      </c>
    </row>
    <row r="1446">
      <c r="A1446" s="19" t="str">
        <v>英国区</v>
      </c>
      <c r="B1446" s="19" t="str">
        <v>伯明翰7号仓(SN)</v>
      </c>
      <c r="C1446" s="19" t="str">
        <v>打包组</v>
      </c>
      <c r="D1446" s="21" t="n">
        <v>46150</v>
      </c>
      <c r="E1446" s="19" t="str">
        <v>2026-05</v>
      </c>
      <c r="F1446" s="19" t="str">
        <v>操作员</v>
      </c>
      <c r="G1446" s="19" t="str">
        <v>英国灵活（6小时扣午休） / UK FLEX (6-HR LUNCH BREAK DEDUCTED)</v>
      </c>
      <c r="H1446" s="19" t="str">
        <v>S000011</v>
      </c>
      <c r="I1446" s="19" t="str">
        <v>SD4U</v>
      </c>
      <c r="J1446" s="23" t="n">
        <v>4</v>
      </c>
      <c r="K1446" s="23" t="n">
        <v>0</v>
      </c>
      <c r="L1446" s="23" t="n">
        <f>J1446+K1446</f>
        <v>4</v>
      </c>
      <c r="M1446" s="23" t="n">
        <v>4</v>
      </c>
      <c r="N1446" s="23" t="n">
        <v>0</v>
      </c>
      <c r="O1446" s="23" t="n">
        <v>4</v>
      </c>
      <c r="P1446" s="23" t="n">
        <v>0</v>
      </c>
      <c r="Q1446" s="23" t="n">
        <f>MIN(O1446,P1446)</f>
        <v>0</v>
      </c>
      <c r="R1446" s="25" t="n">
        <f>IF(M1446=0,0,MIN(1,L1446/M1446))</f>
        <v>1</v>
      </c>
      <c r="S1446" s="23" t="n">
        <f>O1446*R1446</f>
        <v>4</v>
      </c>
      <c r="T1446" s="23" t="n">
        <f>MIN(P1446,S1446)</f>
        <v>0</v>
      </c>
      <c r="U1446" s="23" t="n">
        <f>O1446-S1446</f>
        <v>0</v>
      </c>
      <c r="V1446" s="23" t="n">
        <f>MAX(P1446-O1446,0)</f>
        <v>0</v>
      </c>
    </row>
    <row r="1447">
      <c r="A1447" s="19" t="str">
        <v>英国区</v>
      </c>
      <c r="B1447" s="19" t="str">
        <v>伯明翰7号仓(SN)</v>
      </c>
      <c r="C1447" s="19" t="str">
        <v>打包组</v>
      </c>
      <c r="D1447" s="21" t="n">
        <v>46155</v>
      </c>
      <c r="E1447" s="19" t="str">
        <v>2026-05</v>
      </c>
      <c r="F1447" s="19" t="str">
        <v>操作员</v>
      </c>
      <c r="G1447" s="19" t="str">
        <v>英国灵活（6小时扣午休） / UK FLEX (6-HR LUNCH BREAK DEDUCTED)</v>
      </c>
      <c r="H1447" s="19" t="str">
        <v>S000132</v>
      </c>
      <c r="I1447" s="19" t="str">
        <v>HRA Recruitment Services</v>
      </c>
      <c r="J1447" s="23" t="n">
        <v>7</v>
      </c>
      <c r="K1447" s="23" t="n">
        <v>0</v>
      </c>
      <c r="L1447" s="23" t="n">
        <f>J1447+K1447</f>
        <v>7</v>
      </c>
      <c r="M1447" s="23" t="n">
        <v>7</v>
      </c>
      <c r="N1447" s="23" t="n">
        <v>7</v>
      </c>
      <c r="O1447" s="23" t="n">
        <v>4</v>
      </c>
      <c r="P1447" s="23" t="n">
        <v>4</v>
      </c>
      <c r="Q1447" s="23" t="n">
        <f>MIN(O1447,P1447)</f>
        <v>4</v>
      </c>
      <c r="R1447" s="25" t="n">
        <f>IF(M1447=0,0,MIN(1,L1447/M1447))</f>
        <v>1</v>
      </c>
      <c r="S1447" s="23" t="n">
        <f>O1447*R1447</f>
        <v>4</v>
      </c>
      <c r="T1447" s="23" t="n">
        <f>MIN(P1447,S1447)</f>
        <v>4</v>
      </c>
      <c r="U1447" s="23" t="n">
        <f>O1447-S1447</f>
        <v>0</v>
      </c>
      <c r="V1447" s="23" t="n">
        <f>MAX(P1447-O1447,0)</f>
        <v>0</v>
      </c>
    </row>
    <row r="1448">
      <c r="A1448" s="19" t="str">
        <v>英国区</v>
      </c>
      <c r="B1448" s="19" t="str">
        <v>伯明翰7号仓(SN)</v>
      </c>
      <c r="C1448" s="19" t="str">
        <v>打包组</v>
      </c>
      <c r="D1448" s="21" t="n">
        <v>46155</v>
      </c>
      <c r="E1448" s="19" t="str">
        <v>2026-05</v>
      </c>
      <c r="F1448" s="19" t="str">
        <v>操作员</v>
      </c>
      <c r="G1448" s="19" t="str">
        <v>英国灵活（6小时扣午休） / UK FLEX (6-HR LUNCH BREAK DEDUCTED)</v>
      </c>
      <c r="H1448" s="19" t="str">
        <v>S000274</v>
      </c>
      <c r="I1448" s="19" t="str">
        <v>Jobsworth Recruitment Solutions Limited</v>
      </c>
      <c r="J1448" s="23" t="n">
        <v>7</v>
      </c>
      <c r="K1448" s="23" t="n">
        <v>0</v>
      </c>
      <c r="L1448" s="23" t="n">
        <f>J1448+K1448</f>
        <v>7</v>
      </c>
      <c r="M1448" s="23" t="n">
        <v>7</v>
      </c>
      <c r="N1448" s="23" t="n">
        <v>7</v>
      </c>
      <c r="O1448" s="23" t="n">
        <v>3</v>
      </c>
      <c r="P1448" s="23" t="n">
        <v>3</v>
      </c>
      <c r="Q1448" s="23" t="n">
        <f>MIN(O1448,P1448)</f>
        <v>3</v>
      </c>
      <c r="R1448" s="25" t="n">
        <f>IF(M1448=0,0,MIN(1,L1448/M1448))</f>
        <v>1</v>
      </c>
      <c r="S1448" s="23" t="n">
        <f>O1448*R1448</f>
        <v>3</v>
      </c>
      <c r="T1448" s="23" t="n">
        <f>MIN(P1448,S1448)</f>
        <v>3</v>
      </c>
      <c r="U1448" s="23" t="n">
        <f>O1448-S1448</f>
        <v>0</v>
      </c>
      <c r="V1448" s="23" t="n">
        <f>MAX(P1448-O1448,0)</f>
        <v>0</v>
      </c>
    </row>
    <row r="1449">
      <c r="A1449" s="19" t="str">
        <v>英国区</v>
      </c>
      <c r="B1449" s="19" t="str">
        <v>伯明翰7号仓(SN)</v>
      </c>
      <c r="C1449" s="19" t="str">
        <v>打包组</v>
      </c>
      <c r="D1449" s="21" t="n">
        <v>46156</v>
      </c>
      <c r="E1449" s="19" t="str">
        <v>2026-05</v>
      </c>
      <c r="F1449" s="19" t="str">
        <v>操作员</v>
      </c>
      <c r="G1449" s="19" t="str">
        <v>英国灵活（6小时扣午休） / UK FLEX (6-HR LUNCH BREAK DEDUCTED)</v>
      </c>
      <c r="H1449" s="19" t="str">
        <v>S000132</v>
      </c>
      <c r="I1449" s="19" t="str">
        <v>HRA Recruitment Services</v>
      </c>
      <c r="J1449" s="23" t="n">
        <v>2</v>
      </c>
      <c r="K1449" s="23" t="n">
        <v>0</v>
      </c>
      <c r="L1449" s="23" t="n">
        <f>J1449+K1449</f>
        <v>2</v>
      </c>
      <c r="M1449" s="23" t="n">
        <v>2</v>
      </c>
      <c r="N1449" s="23" t="n">
        <v>2</v>
      </c>
      <c r="O1449" s="23" t="n">
        <v>2</v>
      </c>
      <c r="P1449" s="23" t="n">
        <v>2</v>
      </c>
      <c r="Q1449" s="23" t="n">
        <f>MIN(O1449,P1449)</f>
        <v>2</v>
      </c>
      <c r="R1449" s="25" t="n">
        <f>IF(M1449=0,0,MIN(1,L1449/M1449))</f>
        <v>1</v>
      </c>
      <c r="S1449" s="23" t="n">
        <f>O1449*R1449</f>
        <v>2</v>
      </c>
      <c r="T1449" s="23" t="n">
        <f>MIN(P1449,S1449)</f>
        <v>2</v>
      </c>
      <c r="U1449" s="23" t="n">
        <f>O1449-S1449</f>
        <v>0</v>
      </c>
      <c r="V1449" s="23" t="n">
        <f>MAX(P1449-O1449,0)</f>
        <v>0</v>
      </c>
    </row>
    <row r="1450">
      <c r="A1450" s="19" t="str">
        <v>英国区</v>
      </c>
      <c r="B1450" s="19" t="str">
        <v>伯明翰7号仓(SN)</v>
      </c>
      <c r="C1450" s="19" t="str">
        <v>打包组</v>
      </c>
      <c r="D1450" s="21" t="n">
        <v>46157</v>
      </c>
      <c r="E1450" s="19" t="str">
        <v>2026-05</v>
      </c>
      <c r="F1450" s="19" t="str">
        <v>操作员</v>
      </c>
      <c r="G1450" s="19" t="str">
        <v>英国灵活（6小时扣午休） / UK FLEX (6-HR LUNCH BREAK DEDUCTED)</v>
      </c>
      <c r="H1450" s="19" t="str">
        <v>S000011</v>
      </c>
      <c r="I1450" s="19" t="str">
        <v>SD4U</v>
      </c>
      <c r="J1450" s="23" t="n">
        <v>7</v>
      </c>
      <c r="K1450" s="23" t="n">
        <v>0</v>
      </c>
      <c r="L1450" s="23" t="n">
        <f>J1450+K1450</f>
        <v>7</v>
      </c>
      <c r="M1450" s="23" t="n">
        <v>7</v>
      </c>
      <c r="N1450" s="23" t="n">
        <v>7</v>
      </c>
      <c r="O1450" s="23" t="n">
        <v>3</v>
      </c>
      <c r="P1450" s="23" t="n">
        <v>3</v>
      </c>
      <c r="Q1450" s="23" t="n">
        <f>MIN(O1450,P1450)</f>
        <v>3</v>
      </c>
      <c r="R1450" s="25" t="n">
        <f>IF(M1450=0,0,MIN(1,L1450/M1450))</f>
        <v>1</v>
      </c>
      <c r="S1450" s="23" t="n">
        <f>O1450*R1450</f>
        <v>3</v>
      </c>
      <c r="T1450" s="23" t="n">
        <f>MIN(P1450,S1450)</f>
        <v>3</v>
      </c>
      <c r="U1450" s="23" t="n">
        <f>O1450-S1450</f>
        <v>0</v>
      </c>
      <c r="V1450" s="23" t="n">
        <f>MAX(P1450-O1450,0)</f>
        <v>0</v>
      </c>
    </row>
    <row r="1451">
      <c r="A1451" s="19" t="str">
        <v>英国区</v>
      </c>
      <c r="B1451" s="19" t="str">
        <v>伯明翰7号仓(SN)</v>
      </c>
      <c r="C1451" s="19" t="str">
        <v>打包组</v>
      </c>
      <c r="D1451" s="21" t="n">
        <v>46157</v>
      </c>
      <c r="E1451" s="19" t="str">
        <v>2026-05</v>
      </c>
      <c r="F1451" s="19" t="str">
        <v>操作员</v>
      </c>
      <c r="G1451" s="19" t="str">
        <v>英国灵活（6小时扣午休） / UK FLEX (6-HR LUNCH BREAK DEDUCTED)</v>
      </c>
      <c r="H1451" s="19" t="str">
        <v>S000132</v>
      </c>
      <c r="I1451" s="19" t="str">
        <v>HRA Recruitment Services</v>
      </c>
      <c r="J1451" s="23" t="n">
        <v>7</v>
      </c>
      <c r="K1451" s="23" t="n">
        <v>0</v>
      </c>
      <c r="L1451" s="23" t="n">
        <f>J1451+K1451</f>
        <v>7</v>
      </c>
      <c r="M1451" s="23" t="n">
        <v>7</v>
      </c>
      <c r="N1451" s="23" t="n">
        <v>7</v>
      </c>
      <c r="O1451" s="23" t="n">
        <v>2</v>
      </c>
      <c r="P1451" s="23" t="n">
        <v>2</v>
      </c>
      <c r="Q1451" s="23" t="n">
        <f>MIN(O1451,P1451)</f>
        <v>2</v>
      </c>
      <c r="R1451" s="25" t="n">
        <f>IF(M1451=0,0,MIN(1,L1451/M1451))</f>
        <v>1</v>
      </c>
      <c r="S1451" s="23" t="n">
        <f>O1451*R1451</f>
        <v>2</v>
      </c>
      <c r="T1451" s="23" t="n">
        <f>MIN(P1451,S1451)</f>
        <v>2</v>
      </c>
      <c r="U1451" s="23" t="n">
        <f>O1451-S1451</f>
        <v>0</v>
      </c>
      <c r="V1451" s="23" t="n">
        <f>MAX(P1451-O1451,0)</f>
        <v>0</v>
      </c>
    </row>
    <row r="1452">
      <c r="A1452" s="19" t="str">
        <v>英国区</v>
      </c>
      <c r="B1452" s="19" t="str">
        <v>伯明翰7号仓(SN)</v>
      </c>
      <c r="C1452" s="19" t="str">
        <v>打包组</v>
      </c>
      <c r="D1452" s="21" t="n">
        <v>46157</v>
      </c>
      <c r="E1452" s="19" t="str">
        <v>2026-05</v>
      </c>
      <c r="F1452" s="19" t="str">
        <v>操作员</v>
      </c>
      <c r="G1452" s="19" t="str">
        <v>英国灵活（6小时扣午休） / UK FLEX (6-HR LUNCH BREAK DEDUCTED)</v>
      </c>
      <c r="H1452" s="19" t="str">
        <v>S000274</v>
      </c>
      <c r="I1452" s="19" t="str">
        <v>Jobsworth Recruitment Solutions Limited</v>
      </c>
      <c r="J1452" s="23" t="n">
        <v>7</v>
      </c>
      <c r="K1452" s="23" t="n">
        <v>0</v>
      </c>
      <c r="L1452" s="23" t="n">
        <f>J1452+K1452</f>
        <v>7</v>
      </c>
      <c r="M1452" s="23" t="n">
        <v>7</v>
      </c>
      <c r="N1452" s="23" t="n">
        <v>7</v>
      </c>
      <c r="O1452" s="23" t="n">
        <v>2</v>
      </c>
      <c r="P1452" s="23" t="n">
        <v>2</v>
      </c>
      <c r="Q1452" s="23" t="n">
        <f>MIN(O1452,P1452)</f>
        <v>2</v>
      </c>
      <c r="R1452" s="25" t="n">
        <f>IF(M1452=0,0,MIN(1,L1452/M1452))</f>
        <v>1</v>
      </c>
      <c r="S1452" s="23" t="n">
        <f>O1452*R1452</f>
        <v>2</v>
      </c>
      <c r="T1452" s="23" t="n">
        <f>MIN(P1452,S1452)</f>
        <v>2</v>
      </c>
      <c r="U1452" s="23" t="n">
        <f>O1452-S1452</f>
        <v>0</v>
      </c>
      <c r="V1452" s="23" t="n">
        <f>MAX(P1452-O1452,0)</f>
        <v>0</v>
      </c>
    </row>
    <row r="1453">
      <c r="A1453" s="19" t="str">
        <v>英国区</v>
      </c>
      <c r="B1453" s="19" t="str">
        <v>伯明翰7号仓(SN)</v>
      </c>
      <c r="C1453" s="19" t="str">
        <v>打包组</v>
      </c>
      <c r="D1453" s="21" t="n">
        <v>46164</v>
      </c>
      <c r="E1453" s="19" t="str">
        <v>2026-05</v>
      </c>
      <c r="F1453" s="19" t="str">
        <v>操作员</v>
      </c>
      <c r="G1453" s="19" t="str">
        <v>英国灵活（6小时扣午休） / UK FLEX (6-HR LUNCH BREAK DEDUCTED)</v>
      </c>
      <c r="H1453" s="19" t="str">
        <v>S000274</v>
      </c>
      <c r="I1453" s="19" t="str">
        <v>Jobsworth Recruitment Solutions Limited</v>
      </c>
      <c r="J1453" s="23" t="n">
        <v>6</v>
      </c>
      <c r="K1453" s="23" t="n">
        <v>0</v>
      </c>
      <c r="L1453" s="23" t="n">
        <f>J1453+K1453</f>
        <v>6</v>
      </c>
      <c r="M1453" s="23" t="n">
        <v>6</v>
      </c>
      <c r="N1453" s="23" t="n">
        <v>6</v>
      </c>
      <c r="O1453" s="23" t="n">
        <v>6</v>
      </c>
      <c r="P1453" s="23" t="n">
        <v>6</v>
      </c>
      <c r="Q1453" s="23" t="n">
        <f>MIN(O1453,P1453)</f>
        <v>6</v>
      </c>
      <c r="R1453" s="25" t="n">
        <f>IF(M1453=0,0,MIN(1,L1453/M1453))</f>
        <v>1</v>
      </c>
      <c r="S1453" s="23" t="n">
        <f>O1453*R1453</f>
        <v>6</v>
      </c>
      <c r="T1453" s="23" t="n">
        <f>MIN(P1453,S1453)</f>
        <v>6</v>
      </c>
      <c r="U1453" s="23" t="n">
        <f>O1453-S1453</f>
        <v>0</v>
      </c>
      <c r="V1453" s="23" t="n">
        <f>MAX(P1453-O1453,0)</f>
        <v>0</v>
      </c>
    </row>
    <row r="1454">
      <c r="A1454" s="19" t="str">
        <v>英国区</v>
      </c>
      <c r="B1454" s="19" t="str">
        <v>伯明翰7号仓(SN)</v>
      </c>
      <c r="C1454" s="19" t="str">
        <v>打包组</v>
      </c>
      <c r="D1454" s="21" t="n">
        <v>46170</v>
      </c>
      <c r="E1454" s="19" t="str">
        <v>2026-05</v>
      </c>
      <c r="F1454" s="19" t="str">
        <v>操作员</v>
      </c>
      <c r="G1454" s="19" t="str">
        <v>英国灵活（6小时扣午休） / UK FLEX (6-HR LUNCH BREAK DEDUCTED)</v>
      </c>
      <c r="H1454" s="19" t="str">
        <v>S000132</v>
      </c>
      <c r="I1454" s="19" t="str">
        <v>HRA Recruitment Services</v>
      </c>
      <c r="J1454" s="23" t="n">
        <v>4</v>
      </c>
      <c r="K1454" s="23" t="n">
        <v>0</v>
      </c>
      <c r="L1454" s="23" t="n">
        <f>J1454+K1454</f>
        <v>4</v>
      </c>
      <c r="M1454" s="23" t="n">
        <v>4</v>
      </c>
      <c r="N1454" s="23" t="n">
        <v>4</v>
      </c>
      <c r="O1454" s="23" t="n">
        <v>4</v>
      </c>
      <c r="P1454" s="23" t="n">
        <v>4</v>
      </c>
      <c r="Q1454" s="23" t="n">
        <f>MIN(O1454,P1454)</f>
        <v>4</v>
      </c>
      <c r="R1454" s="25" t="n">
        <f>IF(M1454=0,0,MIN(1,L1454/M1454))</f>
        <v>1</v>
      </c>
      <c r="S1454" s="23" t="n">
        <f>O1454*R1454</f>
        <v>4</v>
      </c>
      <c r="T1454" s="23" t="n">
        <f>MIN(P1454,S1454)</f>
        <v>4</v>
      </c>
      <c r="U1454" s="23" t="n">
        <f>O1454-S1454</f>
        <v>0</v>
      </c>
      <c r="V1454" s="23" t="n">
        <f>MAX(P1454-O1454,0)</f>
        <v>0</v>
      </c>
    </row>
    <row r="1455">
      <c r="A1455" s="19" t="str">
        <v>英国区</v>
      </c>
      <c r="B1455" s="19" t="str">
        <v>伯明翰7号仓(SN)</v>
      </c>
      <c r="C1455" s="19" t="str">
        <v>打包组</v>
      </c>
      <c r="D1455" s="21" t="n">
        <v>46175</v>
      </c>
      <c r="E1455" s="19" t="str">
        <v>2026-06</v>
      </c>
      <c r="F1455" s="19" t="str">
        <v>操作员</v>
      </c>
      <c r="G1455" s="19" t="str">
        <v>英国灵活（6小时扣午休） / UK FLEX (6-HR LUNCH BREAK DEDUCTED)</v>
      </c>
      <c r="H1455" s="19" t="str">
        <v>S000132</v>
      </c>
      <c r="I1455" s="19" t="str">
        <v>HRA Recruitment Services</v>
      </c>
      <c r="J1455" s="23" t="n">
        <v>4</v>
      </c>
      <c r="K1455" s="23" t="n">
        <v>0</v>
      </c>
      <c r="L1455" s="23" t="n">
        <f>J1455+K1455</f>
        <v>4</v>
      </c>
      <c r="M1455" s="23" t="n">
        <v>4</v>
      </c>
      <c r="N1455" s="23" t="n">
        <v>4</v>
      </c>
      <c r="O1455" s="23" t="n">
        <v>1</v>
      </c>
      <c r="P1455" s="23" t="n">
        <v>1</v>
      </c>
      <c r="Q1455" s="23" t="n">
        <f>MIN(O1455,P1455)</f>
        <v>1</v>
      </c>
      <c r="R1455" s="25" t="n">
        <f>IF(M1455=0,0,MIN(1,L1455/M1455))</f>
        <v>1</v>
      </c>
      <c r="S1455" s="23" t="n">
        <f>O1455*R1455</f>
        <v>1</v>
      </c>
      <c r="T1455" s="23" t="n">
        <f>MIN(P1455,S1455)</f>
        <v>1</v>
      </c>
      <c r="U1455" s="23" t="n">
        <f>O1455-S1455</f>
        <v>0</v>
      </c>
      <c r="V1455" s="23" t="n">
        <f>MAX(P1455-O1455,0)</f>
        <v>0</v>
      </c>
    </row>
    <row r="1456">
      <c r="A1456" s="19" t="str">
        <v>英国区</v>
      </c>
      <c r="B1456" s="19" t="str">
        <v>伯明翰7号仓(SN)</v>
      </c>
      <c r="C1456" s="19" t="str">
        <v>打包组</v>
      </c>
      <c r="D1456" s="21" t="n">
        <v>46175</v>
      </c>
      <c r="E1456" s="19" t="str">
        <v>2026-06</v>
      </c>
      <c r="F1456" s="19" t="str">
        <v>操作员</v>
      </c>
      <c r="G1456" s="19" t="str">
        <v>英国灵活（6小时扣午休） / UK FLEX (6-HR LUNCH BREAK DEDUCTED)</v>
      </c>
      <c r="H1456" s="19" t="str">
        <v>S000274</v>
      </c>
      <c r="I1456" s="19" t="str">
        <v>Jobsworth Recruitment Solutions Limited</v>
      </c>
      <c r="J1456" s="23" t="n">
        <v>4</v>
      </c>
      <c r="K1456" s="23" t="n">
        <v>0</v>
      </c>
      <c r="L1456" s="23" t="n">
        <f>J1456+K1456</f>
        <v>4</v>
      </c>
      <c r="M1456" s="23" t="n">
        <v>4</v>
      </c>
      <c r="N1456" s="23" t="n">
        <v>4</v>
      </c>
      <c r="O1456" s="23" t="n">
        <v>3</v>
      </c>
      <c r="P1456" s="23" t="n">
        <v>3</v>
      </c>
      <c r="Q1456" s="23" t="n">
        <f>MIN(O1456,P1456)</f>
        <v>3</v>
      </c>
      <c r="R1456" s="25" t="n">
        <f>IF(M1456=0,0,MIN(1,L1456/M1456))</f>
        <v>1</v>
      </c>
      <c r="S1456" s="23" t="n">
        <f>O1456*R1456</f>
        <v>3</v>
      </c>
      <c r="T1456" s="23" t="n">
        <f>MIN(P1456,S1456)</f>
        <v>3</v>
      </c>
      <c r="U1456" s="23" t="n">
        <f>O1456-S1456</f>
        <v>0</v>
      </c>
      <c r="V1456" s="23" t="n">
        <f>MAX(P1456-O1456,0)</f>
        <v>0</v>
      </c>
    </row>
    <row r="1457">
      <c r="A1457" s="19" t="str">
        <v>英国区</v>
      </c>
      <c r="B1457" s="19" t="str">
        <v>伯明翰7号仓(SN)</v>
      </c>
      <c r="C1457" s="19" t="str">
        <v>打包组</v>
      </c>
      <c r="D1457" s="21" t="n">
        <v>46176</v>
      </c>
      <c r="E1457" s="19" t="str">
        <v>2026-06</v>
      </c>
      <c r="F1457" s="19" t="str">
        <v>操作员</v>
      </c>
      <c r="G1457" s="19" t="str">
        <v>英国灵活（6小时扣午休） / UK FLEX (6-HR LUNCH BREAK DEDUCTED)</v>
      </c>
      <c r="H1457" s="19" t="str">
        <v>S000132</v>
      </c>
      <c r="I1457" s="19" t="str">
        <v>HRA Recruitment Services</v>
      </c>
      <c r="J1457" s="23" t="n">
        <v>2</v>
      </c>
      <c r="K1457" s="23" t="n">
        <v>0</v>
      </c>
      <c r="L1457" s="23" t="n">
        <f>J1457+K1457</f>
        <v>2</v>
      </c>
      <c r="M1457" s="23" t="n">
        <v>2</v>
      </c>
      <c r="N1457" s="23" t="n">
        <v>2</v>
      </c>
      <c r="O1457" s="23" t="n">
        <v>2</v>
      </c>
      <c r="P1457" s="23" t="n">
        <v>2</v>
      </c>
      <c r="Q1457" s="23" t="n">
        <f>MIN(O1457,P1457)</f>
        <v>2</v>
      </c>
      <c r="R1457" s="25" t="n">
        <f>IF(M1457=0,0,MIN(1,L1457/M1457))</f>
        <v>1</v>
      </c>
      <c r="S1457" s="23" t="n">
        <f>O1457*R1457</f>
        <v>2</v>
      </c>
      <c r="T1457" s="23" t="n">
        <f>MIN(P1457,S1457)</f>
        <v>2</v>
      </c>
      <c r="U1457" s="23" t="n">
        <f>O1457-S1457</f>
        <v>0</v>
      </c>
      <c r="V1457" s="23" t="n">
        <f>MAX(P1457-O1457,0)</f>
        <v>0</v>
      </c>
    </row>
    <row r="1458">
      <c r="A1458" s="19" t="str">
        <v>英国区</v>
      </c>
      <c r="B1458" s="19" t="str">
        <v>伯明翰7号仓(SN)</v>
      </c>
      <c r="C1458" s="19" t="str">
        <v>打包组</v>
      </c>
      <c r="D1458" s="21" t="n">
        <v>46177</v>
      </c>
      <c r="E1458" s="19" t="str">
        <v>2026-06</v>
      </c>
      <c r="F1458" s="19" t="str">
        <v>操作员</v>
      </c>
      <c r="G1458" s="19" t="str">
        <v>英国灵活（6小时扣午休） / UK FLEX (6-HR LUNCH BREAK DEDUCTED)</v>
      </c>
      <c r="H1458" s="19" t="str">
        <v>S000132</v>
      </c>
      <c r="I1458" s="19" t="str">
        <v>HRA Recruitment Services</v>
      </c>
      <c r="J1458" s="23" t="n">
        <v>4</v>
      </c>
      <c r="K1458" s="23" t="n">
        <v>0</v>
      </c>
      <c r="L1458" s="23" t="n">
        <f>J1458+K1458</f>
        <v>4</v>
      </c>
      <c r="M1458" s="23" t="n">
        <v>4</v>
      </c>
      <c r="N1458" s="23" t="n">
        <v>4</v>
      </c>
      <c r="O1458" s="23" t="n">
        <v>4</v>
      </c>
      <c r="P1458" s="23" t="n">
        <v>4</v>
      </c>
      <c r="Q1458" s="23" t="n">
        <f>MIN(O1458,P1458)</f>
        <v>4</v>
      </c>
      <c r="R1458" s="25" t="n">
        <f>IF(M1458=0,0,MIN(1,L1458/M1458))</f>
        <v>1</v>
      </c>
      <c r="S1458" s="23" t="n">
        <f>O1458*R1458</f>
        <v>4</v>
      </c>
      <c r="T1458" s="23" t="n">
        <f>MIN(P1458,S1458)</f>
        <v>4</v>
      </c>
      <c r="U1458" s="23" t="n">
        <f>O1458-S1458</f>
        <v>0</v>
      </c>
      <c r="V1458" s="23" t="n">
        <f>MAX(P1458-O1458,0)</f>
        <v>0</v>
      </c>
    </row>
    <row r="1459">
      <c r="A1459" s="19" t="str">
        <v>英国区</v>
      </c>
      <c r="B1459" s="19" t="str">
        <v>伯明翰7号仓(SN)</v>
      </c>
      <c r="C1459" s="19" t="str">
        <v>打包组</v>
      </c>
      <c r="D1459" s="21" t="n">
        <v>46179</v>
      </c>
      <c r="E1459" s="19" t="str">
        <v>2026-06</v>
      </c>
      <c r="F1459" s="19" t="str">
        <v>操作员</v>
      </c>
      <c r="G1459" s="19" t="str">
        <v>英国灵活（6小时扣午休） / UK FLEX (6-HR LUNCH BREAK DEDUCTED)</v>
      </c>
      <c r="H1459" s="19" t="str">
        <v>S000132</v>
      </c>
      <c r="I1459" s="19" t="str">
        <v>HRA Recruitment Services</v>
      </c>
      <c r="J1459" s="23" t="n">
        <v>8</v>
      </c>
      <c r="K1459" s="23" t="n">
        <v>0</v>
      </c>
      <c r="L1459" s="23" t="n">
        <f>J1459+K1459</f>
        <v>8</v>
      </c>
      <c r="M1459" s="23" t="n">
        <v>16</v>
      </c>
      <c r="N1459" s="23" t="n">
        <v>8</v>
      </c>
      <c r="O1459" s="23" t="n">
        <v>6</v>
      </c>
      <c r="P1459" s="23" t="n">
        <v>3</v>
      </c>
      <c r="Q1459" s="23" t="n">
        <f>MIN(O1459,P1459)</f>
        <v>3</v>
      </c>
      <c r="R1459" s="25" t="n">
        <f>IF(M1459=0,0,MIN(1,L1459/M1459))</f>
        <v>0.5</v>
      </c>
      <c r="S1459" s="23" t="n">
        <f>O1459*R1459</f>
        <v>3</v>
      </c>
      <c r="T1459" s="23" t="n">
        <f>MIN(P1459,S1459)</f>
        <v>3</v>
      </c>
      <c r="U1459" s="23" t="n">
        <f>O1459-S1459</f>
        <v>3</v>
      </c>
      <c r="V1459" s="23" t="n">
        <f>MAX(P1459-O1459,0)</f>
        <v>0</v>
      </c>
    </row>
    <row r="1460">
      <c r="A1460" s="19" t="str">
        <v>英国区</v>
      </c>
      <c r="B1460" s="19" t="str">
        <v>伯明翰7号仓(SN)</v>
      </c>
      <c r="C1460" s="19" t="str">
        <v>打包组</v>
      </c>
      <c r="D1460" s="21" t="n">
        <v>46179</v>
      </c>
      <c r="E1460" s="19" t="str">
        <v>2026-06</v>
      </c>
      <c r="F1460" s="19" t="str">
        <v>操作员</v>
      </c>
      <c r="G1460" s="19" t="str">
        <v>英国灵活（6小时扣午休） / UK FLEX (6-HR LUNCH BREAK DEDUCTED)</v>
      </c>
      <c r="H1460" s="19" t="str">
        <v>S000331</v>
      </c>
      <c r="I1460" s="19" t="str">
        <v>Employment of London Limited</v>
      </c>
      <c r="J1460" s="23" t="n">
        <v>8</v>
      </c>
      <c r="K1460" s="23" t="n">
        <v>0</v>
      </c>
      <c r="L1460" s="23" t="n">
        <f>J1460+K1460</f>
        <v>8</v>
      </c>
      <c r="M1460" s="23" t="n">
        <v>16</v>
      </c>
      <c r="N1460" s="23" t="n">
        <v>8</v>
      </c>
      <c r="O1460" s="23" t="n">
        <v>10</v>
      </c>
      <c r="P1460" s="23" t="n">
        <v>5</v>
      </c>
      <c r="Q1460" s="23" t="n">
        <f>MIN(O1460,P1460)</f>
        <v>5</v>
      </c>
      <c r="R1460" s="25" t="n">
        <f>IF(M1460=0,0,MIN(1,L1460/M1460))</f>
        <v>0.5</v>
      </c>
      <c r="S1460" s="23" t="n">
        <f>O1460*R1460</f>
        <v>5</v>
      </c>
      <c r="T1460" s="23" t="n">
        <f>MIN(P1460,S1460)</f>
        <v>5</v>
      </c>
      <c r="U1460" s="23" t="n">
        <f>O1460-S1460</f>
        <v>5</v>
      </c>
      <c r="V1460" s="23" t="n">
        <f>MAX(P1460-O1460,0)</f>
        <v>0</v>
      </c>
    </row>
    <row r="1461">
      <c r="A1461" s="19" t="str">
        <v>英国区</v>
      </c>
      <c r="B1461" s="19" t="str">
        <v>伯明翰7号仓(SN)</v>
      </c>
      <c r="C1461" s="19" t="str">
        <v>打包组</v>
      </c>
      <c r="D1461" s="21" t="n">
        <v>46183</v>
      </c>
      <c r="E1461" s="19" t="str">
        <v>2026-06</v>
      </c>
      <c r="F1461" s="19" t="str">
        <v>操作员</v>
      </c>
      <c r="G1461" s="19" t="str">
        <v>英国灵活（6小时扣午休） / UK FLEX (6-HR LUNCH BREAK DEDUCTED)</v>
      </c>
      <c r="H1461" s="19" t="str">
        <v>S000132</v>
      </c>
      <c r="I1461" s="19" t="str">
        <v>HRA Recruitment Services</v>
      </c>
      <c r="J1461" s="23" t="n">
        <v>2</v>
      </c>
      <c r="K1461" s="23" t="n">
        <v>0</v>
      </c>
      <c r="L1461" s="23" t="n">
        <f>J1461+K1461</f>
        <v>2</v>
      </c>
      <c r="M1461" s="23" t="n">
        <v>2</v>
      </c>
      <c r="N1461" s="23" t="n">
        <v>2</v>
      </c>
      <c r="O1461" s="23" t="n">
        <v>2</v>
      </c>
      <c r="P1461" s="23" t="n">
        <v>2</v>
      </c>
      <c r="Q1461" s="23" t="n">
        <f>MIN(O1461,P1461)</f>
        <v>2</v>
      </c>
      <c r="R1461" s="25" t="n">
        <f>IF(M1461=0,0,MIN(1,L1461/M1461))</f>
        <v>1</v>
      </c>
      <c r="S1461" s="23" t="n">
        <f>O1461*R1461</f>
        <v>2</v>
      </c>
      <c r="T1461" s="23" t="n">
        <f>MIN(P1461,S1461)</f>
        <v>2</v>
      </c>
      <c r="U1461" s="23" t="n">
        <f>O1461-S1461</f>
        <v>0</v>
      </c>
      <c r="V1461" s="23" t="n">
        <f>MAX(P1461-O1461,0)</f>
        <v>0</v>
      </c>
    </row>
    <row r="1462">
      <c r="A1462" s="19" t="str">
        <v>英国区</v>
      </c>
      <c r="B1462" s="19" t="str">
        <v>伯明翰7号仓(SN)</v>
      </c>
      <c r="C1462" s="19" t="str">
        <v>打包组</v>
      </c>
      <c r="D1462" s="21" t="n">
        <v>46185</v>
      </c>
      <c r="E1462" s="19" t="str">
        <v>2026-06</v>
      </c>
      <c r="F1462" s="19" t="str">
        <v>操作员</v>
      </c>
      <c r="G1462" s="19" t="str">
        <v>英国灵活（6小时扣午休） / UK FLEX (6-HR LUNCH BREAK DEDUCTED)</v>
      </c>
      <c r="H1462" s="19" t="str">
        <v>S000132</v>
      </c>
      <c r="I1462" s="19" t="str">
        <v>HRA Recruitment Services</v>
      </c>
      <c r="J1462" s="23" t="n">
        <v>5</v>
      </c>
      <c r="K1462" s="23" t="n">
        <v>0</v>
      </c>
      <c r="L1462" s="23" t="n">
        <f>J1462+K1462</f>
        <v>5</v>
      </c>
      <c r="M1462" s="23" t="n">
        <v>5</v>
      </c>
      <c r="N1462" s="23" t="n">
        <v>5</v>
      </c>
      <c r="O1462" s="23" t="n">
        <v>5</v>
      </c>
      <c r="P1462" s="23" t="n">
        <v>5</v>
      </c>
      <c r="Q1462" s="23" t="n">
        <f>MIN(O1462,P1462)</f>
        <v>5</v>
      </c>
      <c r="R1462" s="25" t="n">
        <f>IF(M1462=0,0,MIN(1,L1462/M1462))</f>
        <v>1</v>
      </c>
      <c r="S1462" s="23" t="n">
        <f>O1462*R1462</f>
        <v>5</v>
      </c>
      <c r="T1462" s="23" t="n">
        <f>MIN(P1462,S1462)</f>
        <v>5</v>
      </c>
      <c r="U1462" s="23" t="n">
        <f>O1462-S1462</f>
        <v>0</v>
      </c>
      <c r="V1462" s="23" t="n">
        <f>MAX(P1462-O1462,0)</f>
        <v>0</v>
      </c>
    </row>
    <row r="1463">
      <c r="A1463" s="19" t="str">
        <v>英国区</v>
      </c>
      <c r="B1463" s="19" t="str">
        <v>伯明翰7号仓(SN)</v>
      </c>
      <c r="C1463" s="19" t="str">
        <v>打包组</v>
      </c>
      <c r="D1463" s="21" t="n">
        <v>46189</v>
      </c>
      <c r="E1463" s="19" t="str">
        <v>2026-06</v>
      </c>
      <c r="F1463" s="19" t="str">
        <v>操作员</v>
      </c>
      <c r="G1463" s="19" t="str">
        <v>英国灵活（6小时扣午休） / UK FLEX (6-HR LUNCH BREAK DEDUCTED)</v>
      </c>
      <c r="H1463" s="19" t="str">
        <v>S000132</v>
      </c>
      <c r="I1463" s="19" t="str">
        <v>HRA Recruitment Services</v>
      </c>
      <c r="J1463" s="23" t="n">
        <v>7</v>
      </c>
      <c r="K1463" s="23" t="n">
        <v>0</v>
      </c>
      <c r="L1463" s="23" t="n">
        <f>J1463+K1463</f>
        <v>7</v>
      </c>
      <c r="M1463" s="23" t="n">
        <v>7</v>
      </c>
      <c r="N1463" s="23" t="n">
        <v>7</v>
      </c>
      <c r="O1463" s="23" t="n">
        <v>5</v>
      </c>
      <c r="P1463" s="23" t="n">
        <v>5</v>
      </c>
      <c r="Q1463" s="23" t="n">
        <f>MIN(O1463,P1463)</f>
        <v>5</v>
      </c>
      <c r="R1463" s="25" t="n">
        <f>IF(M1463=0,0,MIN(1,L1463/M1463))</f>
        <v>1</v>
      </c>
      <c r="S1463" s="23" t="n">
        <f>O1463*R1463</f>
        <v>5</v>
      </c>
      <c r="T1463" s="23" t="n">
        <f>MIN(P1463,S1463)</f>
        <v>5</v>
      </c>
      <c r="U1463" s="23" t="n">
        <f>O1463-S1463</f>
        <v>0</v>
      </c>
      <c r="V1463" s="23" t="n">
        <f>MAX(P1463-O1463,0)</f>
        <v>0</v>
      </c>
    </row>
    <row r="1464">
      <c r="A1464" s="19" t="str">
        <v>英国区</v>
      </c>
      <c r="B1464" s="19" t="str">
        <v>伯明翰7号仓(SN)</v>
      </c>
      <c r="C1464" s="19" t="str">
        <v>打包组</v>
      </c>
      <c r="D1464" s="21" t="n">
        <v>46189</v>
      </c>
      <c r="E1464" s="19" t="str">
        <v>2026-06</v>
      </c>
      <c r="F1464" s="19" t="str">
        <v>操作员</v>
      </c>
      <c r="G1464" s="19" t="str">
        <v>英国灵活（6小时扣午休） / UK FLEX (6-HR LUNCH BREAK DEDUCTED)</v>
      </c>
      <c r="H1464" s="19" t="str">
        <v>S000331</v>
      </c>
      <c r="I1464" s="19" t="str">
        <v>Employment of London Limited</v>
      </c>
      <c r="J1464" s="23" t="n">
        <v>7</v>
      </c>
      <c r="K1464" s="23" t="n">
        <v>0</v>
      </c>
      <c r="L1464" s="23" t="n">
        <f>J1464+K1464</f>
        <v>7</v>
      </c>
      <c r="M1464" s="23" t="n">
        <v>7</v>
      </c>
      <c r="N1464" s="23" t="n">
        <v>7</v>
      </c>
      <c r="O1464" s="23" t="n">
        <v>2</v>
      </c>
      <c r="P1464" s="23" t="n">
        <v>2</v>
      </c>
      <c r="Q1464" s="23" t="n">
        <f>MIN(O1464,P1464)</f>
        <v>2</v>
      </c>
      <c r="R1464" s="25" t="n">
        <f>IF(M1464=0,0,MIN(1,L1464/M1464))</f>
        <v>1</v>
      </c>
      <c r="S1464" s="23" t="n">
        <f>O1464*R1464</f>
        <v>2</v>
      </c>
      <c r="T1464" s="23" t="n">
        <f>MIN(P1464,S1464)</f>
        <v>2</v>
      </c>
      <c r="U1464" s="23" t="n">
        <f>O1464-S1464</f>
        <v>0</v>
      </c>
      <c r="V1464" s="23" t="n">
        <f>MAX(P1464-O1464,0)</f>
        <v>0</v>
      </c>
    </row>
    <row r="1465">
      <c r="A1465" s="19" t="str">
        <v>英国区</v>
      </c>
      <c r="B1465" s="19" t="str">
        <v>伯明翰7号仓(SN)</v>
      </c>
      <c r="C1465" s="19" t="str">
        <v>打包组</v>
      </c>
      <c r="D1465" s="21" t="n">
        <v>46190</v>
      </c>
      <c r="E1465" s="19" t="str">
        <v>2026-06</v>
      </c>
      <c r="F1465" s="19" t="str">
        <v>操作员</v>
      </c>
      <c r="G1465" s="19" t="str">
        <v>英国灵活（6小时扣午休） / UK FLEX (6-HR LUNCH BREAK DEDUCTED)</v>
      </c>
      <c r="H1465" s="19" t="str">
        <v>S000132</v>
      </c>
      <c r="I1465" s="19" t="str">
        <v>HRA Recruitment Services</v>
      </c>
      <c r="J1465" s="23" t="n">
        <v>7</v>
      </c>
      <c r="K1465" s="23" t="n">
        <v>0</v>
      </c>
      <c r="L1465" s="23" t="n">
        <f>J1465+K1465</f>
        <v>7</v>
      </c>
      <c r="M1465" s="23" t="n">
        <v>7</v>
      </c>
      <c r="N1465" s="23" t="n">
        <v>7</v>
      </c>
      <c r="O1465" s="23" t="n">
        <v>4</v>
      </c>
      <c r="P1465" s="23" t="n">
        <v>4</v>
      </c>
      <c r="Q1465" s="23" t="n">
        <f>MIN(O1465,P1465)</f>
        <v>4</v>
      </c>
      <c r="R1465" s="25" t="n">
        <f>IF(M1465=0,0,MIN(1,L1465/M1465))</f>
        <v>1</v>
      </c>
      <c r="S1465" s="23" t="n">
        <f>O1465*R1465</f>
        <v>4</v>
      </c>
      <c r="T1465" s="23" t="n">
        <f>MIN(P1465,S1465)</f>
        <v>4</v>
      </c>
      <c r="U1465" s="23" t="n">
        <f>O1465-S1465</f>
        <v>0</v>
      </c>
      <c r="V1465" s="23" t="n">
        <f>MAX(P1465-O1465,0)</f>
        <v>0</v>
      </c>
    </row>
    <row r="1466">
      <c r="A1466" s="19" t="str">
        <v>英国区</v>
      </c>
      <c r="B1466" s="19" t="str">
        <v>伯明翰7号仓(SN)</v>
      </c>
      <c r="C1466" s="19" t="str">
        <v>打包组</v>
      </c>
      <c r="D1466" s="21" t="n">
        <v>46190</v>
      </c>
      <c r="E1466" s="19" t="str">
        <v>2026-06</v>
      </c>
      <c r="F1466" s="19" t="str">
        <v>操作员</v>
      </c>
      <c r="G1466" s="19" t="str">
        <v>英国灵活（6小时扣午休） / UK FLEX (6-HR LUNCH BREAK DEDUCTED)</v>
      </c>
      <c r="H1466" s="19" t="str">
        <v>S000331</v>
      </c>
      <c r="I1466" s="19" t="str">
        <v>Employment of London Limited</v>
      </c>
      <c r="J1466" s="23" t="n">
        <v>7</v>
      </c>
      <c r="K1466" s="23" t="n">
        <v>0</v>
      </c>
      <c r="L1466" s="23" t="n">
        <f>J1466+K1466</f>
        <v>7</v>
      </c>
      <c r="M1466" s="23" t="n">
        <v>7</v>
      </c>
      <c r="N1466" s="23" t="n">
        <v>7</v>
      </c>
      <c r="O1466" s="23" t="n">
        <v>3</v>
      </c>
      <c r="P1466" s="23" t="n">
        <v>3</v>
      </c>
      <c r="Q1466" s="23" t="n">
        <f>MIN(O1466,P1466)</f>
        <v>3</v>
      </c>
      <c r="R1466" s="25" t="n">
        <f>IF(M1466=0,0,MIN(1,L1466/M1466))</f>
        <v>1</v>
      </c>
      <c r="S1466" s="23" t="n">
        <f>O1466*R1466</f>
        <v>3</v>
      </c>
      <c r="T1466" s="23" t="n">
        <f>MIN(P1466,S1466)</f>
        <v>3</v>
      </c>
      <c r="U1466" s="23" t="n">
        <f>O1466-S1466</f>
        <v>0</v>
      </c>
      <c r="V1466" s="23" t="n">
        <f>MAX(P1466-O1466,0)</f>
        <v>0</v>
      </c>
    </row>
    <row r="1467">
      <c r="A1467" s="19" t="str">
        <v>英国区</v>
      </c>
      <c r="B1467" s="19" t="str">
        <v>伯明翰7号仓(SN)</v>
      </c>
      <c r="C1467" s="19" t="str">
        <v>打包组</v>
      </c>
      <c r="D1467" s="21" t="n">
        <v>46191</v>
      </c>
      <c r="E1467" s="19" t="str">
        <v>2026-06</v>
      </c>
      <c r="F1467" s="19" t="str">
        <v>操作员</v>
      </c>
      <c r="G1467" s="19" t="str">
        <v>英国灵活（6小时扣午休） / UK FLEX (6-HR LUNCH BREAK DEDUCTED)</v>
      </c>
      <c r="H1467" s="19" t="str">
        <v>S000132</v>
      </c>
      <c r="I1467" s="19" t="str">
        <v>HRA Recruitment Services</v>
      </c>
      <c r="J1467" s="23" t="n">
        <v>5</v>
      </c>
      <c r="K1467" s="23" t="n">
        <v>0</v>
      </c>
      <c r="L1467" s="23" t="n">
        <f>J1467+K1467</f>
        <v>5</v>
      </c>
      <c r="M1467" s="23" t="n">
        <v>5</v>
      </c>
      <c r="N1467" s="23" t="n">
        <v>5</v>
      </c>
      <c r="O1467" s="23" t="n">
        <v>5</v>
      </c>
      <c r="P1467" s="23" t="n">
        <v>5</v>
      </c>
      <c r="Q1467" s="23" t="n">
        <f>MIN(O1467,P1467)</f>
        <v>5</v>
      </c>
      <c r="R1467" s="25" t="n">
        <f>IF(M1467=0,0,MIN(1,L1467/M1467))</f>
        <v>1</v>
      </c>
      <c r="S1467" s="23" t="n">
        <f>O1467*R1467</f>
        <v>5</v>
      </c>
      <c r="T1467" s="23" t="n">
        <f>MIN(P1467,S1467)</f>
        <v>5</v>
      </c>
      <c r="U1467" s="23" t="n">
        <f>O1467-S1467</f>
        <v>0</v>
      </c>
      <c r="V1467" s="23" t="n">
        <f>MAX(P1467-O1467,0)</f>
        <v>0</v>
      </c>
    </row>
    <row r="1468">
      <c r="A1468" s="19" t="str">
        <v>英国区</v>
      </c>
      <c r="B1468" s="19" t="str">
        <v>伯明翰7号仓(SN)</v>
      </c>
      <c r="C1468" s="19" t="str">
        <v>打包组</v>
      </c>
      <c r="D1468" s="21" t="n">
        <v>46193</v>
      </c>
      <c r="E1468" s="19" t="str">
        <v>2026-06</v>
      </c>
      <c r="F1468" s="19" t="str">
        <v>操作员</v>
      </c>
      <c r="G1468" s="19" t="str">
        <v>英国灵活（6小时扣午休） / UK FLEX (6-HR LUNCH BREAK DEDUCTED)</v>
      </c>
      <c r="H1468" s="19" t="str">
        <v>S000132</v>
      </c>
      <c r="I1468" s="19" t="str">
        <v>HRA Recruitment Services</v>
      </c>
      <c r="J1468" s="23" t="n">
        <v>5</v>
      </c>
      <c r="K1468" s="23" t="n">
        <v>0</v>
      </c>
      <c r="L1468" s="23" t="n">
        <f>J1468+K1468</f>
        <v>5</v>
      </c>
      <c r="M1468" s="23" t="n">
        <v>5</v>
      </c>
      <c r="N1468" s="23" t="n">
        <v>0</v>
      </c>
      <c r="O1468" s="23" t="n">
        <v>5</v>
      </c>
      <c r="P1468" s="23" t="n">
        <v>0</v>
      </c>
      <c r="Q1468" s="23" t="n">
        <f>MIN(O1468,P1468)</f>
        <v>0</v>
      </c>
      <c r="R1468" s="25" t="n">
        <f>IF(M1468=0,0,MIN(1,L1468/M1468))</f>
        <v>1</v>
      </c>
      <c r="S1468" s="23" t="n">
        <f>O1468*R1468</f>
        <v>5</v>
      </c>
      <c r="T1468" s="23" t="n">
        <f>MIN(P1468,S1468)</f>
        <v>0</v>
      </c>
      <c r="U1468" s="23" t="n">
        <f>O1468-S1468</f>
        <v>0</v>
      </c>
      <c r="V1468" s="23" t="n">
        <f>MAX(P1468-O1468,0)</f>
        <v>0</v>
      </c>
    </row>
    <row r="1469">
      <c r="A1469" s="19" t="str">
        <v>英国区</v>
      </c>
      <c r="B1469" s="19" t="str">
        <v>伯明翰7号仓(SN)</v>
      </c>
      <c r="C1469" s="19" t="str">
        <v>打包组</v>
      </c>
      <c r="D1469" s="21" t="n">
        <v>46196</v>
      </c>
      <c r="E1469" s="19" t="str">
        <v>2026-06</v>
      </c>
      <c r="F1469" s="19" t="str">
        <v>操作员</v>
      </c>
      <c r="G1469" s="19" t="str">
        <v>英国灵活（6小时扣午休） / UK FLEX (6-HR LUNCH BREAK DEDUCTED)</v>
      </c>
      <c r="H1469" s="19" t="str">
        <v>S000132</v>
      </c>
      <c r="I1469" s="19" t="str">
        <v>HRA Recruitment Services</v>
      </c>
      <c r="J1469" s="23" t="n">
        <v>4</v>
      </c>
      <c r="K1469" s="23" t="n">
        <v>0</v>
      </c>
      <c r="L1469" s="23" t="n">
        <f>J1469+K1469</f>
        <v>4</v>
      </c>
      <c r="M1469" s="23" t="n">
        <v>4</v>
      </c>
      <c r="N1469" s="23" t="n">
        <v>4</v>
      </c>
      <c r="O1469" s="23" t="n">
        <v>3</v>
      </c>
      <c r="P1469" s="23" t="n">
        <v>3</v>
      </c>
      <c r="Q1469" s="23" t="n">
        <f>MIN(O1469,P1469)</f>
        <v>3</v>
      </c>
      <c r="R1469" s="25" t="n">
        <f>IF(M1469=0,0,MIN(1,L1469/M1469))</f>
        <v>1</v>
      </c>
      <c r="S1469" s="23" t="n">
        <f>O1469*R1469</f>
        <v>3</v>
      </c>
      <c r="T1469" s="23" t="n">
        <f>MIN(P1469,S1469)</f>
        <v>3</v>
      </c>
      <c r="U1469" s="23" t="n">
        <f>O1469-S1469</f>
        <v>0</v>
      </c>
      <c r="V1469" s="23" t="n">
        <f>MAX(P1469-O1469,0)</f>
        <v>0</v>
      </c>
    </row>
    <row r="1470">
      <c r="A1470" s="19" t="str">
        <v>英国区</v>
      </c>
      <c r="B1470" s="19" t="str">
        <v>伯明翰7号仓(SN)</v>
      </c>
      <c r="C1470" s="19" t="str">
        <v>打包组</v>
      </c>
      <c r="D1470" s="21" t="n">
        <v>46196</v>
      </c>
      <c r="E1470" s="19" t="str">
        <v>2026-06</v>
      </c>
      <c r="F1470" s="19" t="str">
        <v>操作员</v>
      </c>
      <c r="G1470" s="19" t="str">
        <v>英国灵活（6小时扣午休） / UK FLEX (6-HR LUNCH BREAK DEDUCTED)</v>
      </c>
      <c r="H1470" s="19" t="str">
        <v>S000331</v>
      </c>
      <c r="I1470" s="19" t="str">
        <v>Employment of London Limited</v>
      </c>
      <c r="J1470" s="23" t="n">
        <v>4</v>
      </c>
      <c r="K1470" s="23" t="n">
        <v>0</v>
      </c>
      <c r="L1470" s="23" t="n">
        <f>J1470+K1470</f>
        <v>4</v>
      </c>
      <c r="M1470" s="23" t="n">
        <v>4</v>
      </c>
      <c r="N1470" s="23" t="n">
        <v>4</v>
      </c>
      <c r="O1470" s="23" t="n">
        <v>1</v>
      </c>
      <c r="P1470" s="23" t="n">
        <v>1</v>
      </c>
      <c r="Q1470" s="23" t="n">
        <f>MIN(O1470,P1470)</f>
        <v>1</v>
      </c>
      <c r="R1470" s="25" t="n">
        <f>IF(M1470=0,0,MIN(1,L1470/M1470))</f>
        <v>1</v>
      </c>
      <c r="S1470" s="23" t="n">
        <f>O1470*R1470</f>
        <v>1</v>
      </c>
      <c r="T1470" s="23" t="n">
        <f>MIN(P1470,S1470)</f>
        <v>1</v>
      </c>
      <c r="U1470" s="23" t="n">
        <f>O1470-S1470</f>
        <v>0</v>
      </c>
      <c r="V1470" s="23" t="n">
        <f>MAX(P1470-O1470,0)</f>
        <v>0</v>
      </c>
    </row>
    <row r="1471">
      <c r="A1471" s="19" t="str">
        <v>英国区</v>
      </c>
      <c r="B1471" s="19" t="str">
        <v>伯明翰7号仓(SN)</v>
      </c>
      <c r="C1471" s="19" t="str">
        <v>打包组</v>
      </c>
      <c r="D1471" s="21" t="n">
        <v>46197</v>
      </c>
      <c r="E1471" s="19" t="str">
        <v>2026-06</v>
      </c>
      <c r="F1471" s="19" t="str">
        <v>操作员</v>
      </c>
      <c r="G1471" s="19" t="str">
        <v>英国灵活（6小时扣午休） / UK FLEX (6-HR LUNCH BREAK DEDUCTED)</v>
      </c>
      <c r="H1471" s="19" t="str">
        <v>S000132</v>
      </c>
      <c r="I1471" s="19" t="str">
        <v>HRA Recruitment Services</v>
      </c>
      <c r="J1471" s="23" t="n">
        <v>3</v>
      </c>
      <c r="K1471" s="23" t="n">
        <v>0</v>
      </c>
      <c r="L1471" s="23" t="n">
        <f>J1471+K1471</f>
        <v>3</v>
      </c>
      <c r="M1471" s="23" t="n">
        <v>3</v>
      </c>
      <c r="N1471" s="23" t="n">
        <v>3</v>
      </c>
      <c r="O1471" s="23" t="n">
        <v>3</v>
      </c>
      <c r="P1471" s="23" t="n">
        <v>3</v>
      </c>
      <c r="Q1471" s="23" t="n">
        <f>MIN(O1471,P1471)</f>
        <v>3</v>
      </c>
      <c r="R1471" s="25" t="n">
        <f>IF(M1471=0,0,MIN(1,L1471/M1471))</f>
        <v>1</v>
      </c>
      <c r="S1471" s="23" t="n">
        <f>O1471*R1471</f>
        <v>3</v>
      </c>
      <c r="T1471" s="23" t="n">
        <f>MIN(P1471,S1471)</f>
        <v>3</v>
      </c>
      <c r="U1471" s="23" t="n">
        <f>O1471-S1471</f>
        <v>0</v>
      </c>
      <c r="V1471" s="23" t="n">
        <f>MAX(P1471-O1471,0)</f>
        <v>0</v>
      </c>
    </row>
    <row r="1472">
      <c r="A1472" s="19" t="str">
        <v>英国区</v>
      </c>
      <c r="B1472" s="19" t="str">
        <v>伯明翰7号仓(SN)</v>
      </c>
      <c r="C1472" s="19" t="str">
        <v>打包组</v>
      </c>
      <c r="D1472" s="21" t="n">
        <v>46198</v>
      </c>
      <c r="E1472" s="19" t="str">
        <v>2026-06</v>
      </c>
      <c r="F1472" s="19" t="str">
        <v>操作员</v>
      </c>
      <c r="G1472" s="19" t="str">
        <v>英国灵活（6小时扣午休） / UK FLEX (6-HR LUNCH BREAK DEDUCTED)</v>
      </c>
      <c r="H1472" s="19" t="str">
        <v>S000132</v>
      </c>
      <c r="I1472" s="19" t="str">
        <v>HRA Recruitment Services</v>
      </c>
      <c r="J1472" s="23" t="n">
        <v>4</v>
      </c>
      <c r="K1472" s="23" t="n">
        <v>0</v>
      </c>
      <c r="L1472" s="23" t="n">
        <f>J1472+K1472</f>
        <v>4</v>
      </c>
      <c r="M1472" s="23" t="n">
        <v>4</v>
      </c>
      <c r="N1472" s="23" t="n">
        <v>4</v>
      </c>
      <c r="O1472" s="23" t="n">
        <v>4</v>
      </c>
      <c r="P1472" s="23" t="n">
        <v>4</v>
      </c>
      <c r="Q1472" s="23" t="n">
        <f>MIN(O1472,P1472)</f>
        <v>4</v>
      </c>
      <c r="R1472" s="25" t="n">
        <f>IF(M1472=0,0,MIN(1,L1472/M1472))</f>
        <v>1</v>
      </c>
      <c r="S1472" s="23" t="n">
        <f>O1472*R1472</f>
        <v>4</v>
      </c>
      <c r="T1472" s="23" t="n">
        <f>MIN(P1472,S1472)</f>
        <v>4</v>
      </c>
      <c r="U1472" s="23" t="n">
        <f>O1472-S1472</f>
        <v>0</v>
      </c>
      <c r="V1472" s="23" t="n">
        <f>MAX(P1472-O1472,0)</f>
        <v>0</v>
      </c>
    </row>
    <row r="1473">
      <c r="A1473" s="19" t="str">
        <v>英国区</v>
      </c>
      <c r="B1473" s="19" t="str">
        <v>伯明翰7号仓(SN)</v>
      </c>
      <c r="C1473" s="19" t="str">
        <v>打包组</v>
      </c>
      <c r="D1473" s="21" t="n">
        <v>46199</v>
      </c>
      <c r="E1473" s="19" t="str">
        <v>2026-06</v>
      </c>
      <c r="F1473" s="19" t="str">
        <v>操作员</v>
      </c>
      <c r="G1473" s="19" t="str">
        <v>英国灵活（6小时扣午休） / UK FLEX (6-HR LUNCH BREAK DEDUCTED)</v>
      </c>
      <c r="H1473" s="19" t="str">
        <v>S000132</v>
      </c>
      <c r="I1473" s="19" t="str">
        <v>HRA Recruitment Services</v>
      </c>
      <c r="J1473" s="23" t="n">
        <v>7</v>
      </c>
      <c r="K1473" s="23" t="n">
        <v>0</v>
      </c>
      <c r="L1473" s="23" t="n">
        <f>J1473+K1473</f>
        <v>7</v>
      </c>
      <c r="M1473" s="23" t="n">
        <v>7</v>
      </c>
      <c r="N1473" s="23" t="n">
        <v>2</v>
      </c>
      <c r="O1473" s="23" t="n">
        <v>7</v>
      </c>
      <c r="P1473" s="23" t="n">
        <v>2</v>
      </c>
      <c r="Q1473" s="23" t="n">
        <f>MIN(O1473,P1473)</f>
        <v>2</v>
      </c>
      <c r="R1473" s="25" t="n">
        <f>IF(M1473=0,0,MIN(1,L1473/M1473))</f>
        <v>1</v>
      </c>
      <c r="S1473" s="23" t="n">
        <f>O1473*R1473</f>
        <v>7</v>
      </c>
      <c r="T1473" s="23" t="n">
        <f>MIN(P1473,S1473)</f>
        <v>2</v>
      </c>
      <c r="U1473" s="23" t="n">
        <f>O1473-S1473</f>
        <v>0</v>
      </c>
      <c r="V1473" s="23" t="n">
        <f>MAX(P1473-O1473,0)</f>
        <v>0</v>
      </c>
    </row>
    <row r="1474">
      <c r="A1474" s="19" t="str">
        <v>英国区</v>
      </c>
      <c r="B1474" s="19" t="str">
        <v>伯明翰7号仓(SN)</v>
      </c>
      <c r="C1474" s="19" t="str">
        <v>打包组</v>
      </c>
      <c r="D1474" s="21" t="n">
        <v>46202</v>
      </c>
      <c r="E1474" s="19" t="str">
        <v>2026-06</v>
      </c>
      <c r="F1474" s="19" t="str">
        <v>操作员</v>
      </c>
      <c r="G1474" s="19" t="str">
        <v>英国灵活（6小时扣午休） / UK FLEX (6-HR LUNCH BREAK DEDUCTED)</v>
      </c>
      <c r="H1474" s="19" t="str">
        <v>S000331</v>
      </c>
      <c r="I1474" s="19" t="str">
        <v>Employment of London Limited</v>
      </c>
      <c r="J1474" s="23" t="n">
        <v>1</v>
      </c>
      <c r="K1474" s="23" t="n">
        <v>0</v>
      </c>
      <c r="L1474" s="23" t="n">
        <f>J1474+K1474</f>
        <v>1</v>
      </c>
      <c r="M1474" s="23" t="n">
        <v>1</v>
      </c>
      <c r="N1474" s="23" t="n">
        <v>1</v>
      </c>
      <c r="O1474" s="23" t="n">
        <v>1</v>
      </c>
      <c r="P1474" s="23" t="n">
        <v>1</v>
      </c>
      <c r="Q1474" s="23" t="n">
        <f>MIN(O1474,P1474)</f>
        <v>1</v>
      </c>
      <c r="R1474" s="25" t="n">
        <f>IF(M1474=0,0,MIN(1,L1474/M1474))</f>
        <v>1</v>
      </c>
      <c r="S1474" s="23" t="n">
        <f>O1474*R1474</f>
        <v>1</v>
      </c>
      <c r="T1474" s="23" t="n">
        <f>MIN(P1474,S1474)</f>
        <v>1</v>
      </c>
      <c r="U1474" s="23" t="n">
        <f>O1474-S1474</f>
        <v>0</v>
      </c>
      <c r="V1474" s="23" t="n">
        <f>MAX(P1474-O1474,0)</f>
        <v>0</v>
      </c>
    </row>
    <row r="1475">
      <c r="A1475" s="19" t="str">
        <v>英国区</v>
      </c>
      <c r="B1475" s="19" t="str">
        <v>伯明翰7号仓(SN)</v>
      </c>
      <c r="C1475" s="19" t="str">
        <v>打包组</v>
      </c>
      <c r="D1475" s="21" t="n">
        <v>46203</v>
      </c>
      <c r="E1475" s="19" t="str">
        <v>2026-06</v>
      </c>
      <c r="F1475" s="19" t="str">
        <v>操作员</v>
      </c>
      <c r="G1475" s="19" t="str">
        <v>英国灵活（6小时扣午休） / UK FLEX (6-HR LUNCH BREAK DEDUCTED)</v>
      </c>
      <c r="H1475" s="19" t="str">
        <v>S000132</v>
      </c>
      <c r="I1475" s="19" t="str">
        <v>HRA Recruitment Services</v>
      </c>
      <c r="J1475" s="23" t="n">
        <v>10</v>
      </c>
      <c r="K1475" s="23" t="n">
        <v>0</v>
      </c>
      <c r="L1475" s="23" t="n">
        <f>J1475+K1475</f>
        <v>10</v>
      </c>
      <c r="M1475" s="23" t="n">
        <v>14</v>
      </c>
      <c r="N1475" s="23" t="n">
        <v>5</v>
      </c>
      <c r="O1475" s="23" t="n">
        <v>9</v>
      </c>
      <c r="P1475" s="23" t="n">
        <v>0</v>
      </c>
      <c r="Q1475" s="23" t="n">
        <f>MIN(O1475,P1475)</f>
        <v>0</v>
      </c>
      <c r="R1475" s="25" t="n">
        <f>IF(M1475=0,0,MIN(1,L1475/M1475))</f>
        <v>0.7142857142857143</v>
      </c>
      <c r="S1475" s="23" t="n">
        <f>O1475*R1475</f>
        <v>6.428571428571429</v>
      </c>
      <c r="T1475" s="23" t="n">
        <f>MIN(P1475,S1475)</f>
        <v>0</v>
      </c>
      <c r="U1475" s="23" t="n">
        <f>O1475-S1475</f>
        <v>2.571428571428571</v>
      </c>
      <c r="V1475" s="23" t="n">
        <f>MAX(P1475-O1475,0)</f>
        <v>0</v>
      </c>
    </row>
    <row r="1476">
      <c r="A1476" s="19" t="str">
        <v>英国区</v>
      </c>
      <c r="B1476" s="19" t="str">
        <v>伯明翰7号仓(SN)</v>
      </c>
      <c r="C1476" s="19" t="str">
        <v>打包组</v>
      </c>
      <c r="D1476" s="21" t="n">
        <v>46203</v>
      </c>
      <c r="E1476" s="19" t="str">
        <v>2026-06</v>
      </c>
      <c r="F1476" s="19" t="str">
        <v>操作员</v>
      </c>
      <c r="G1476" s="19" t="str">
        <v>英国灵活（6小时扣午休） / UK FLEX (6-HR LUNCH BREAK DEDUCTED)</v>
      </c>
      <c r="H1476" s="19" t="str">
        <v>S000331</v>
      </c>
      <c r="I1476" s="19" t="str">
        <v>Employment of London Limited</v>
      </c>
      <c r="J1476" s="23" t="n">
        <v>10</v>
      </c>
      <c r="K1476" s="23" t="n">
        <v>0</v>
      </c>
      <c r="L1476" s="23" t="n">
        <f>J1476+K1476</f>
        <v>10</v>
      </c>
      <c r="M1476" s="23" t="n">
        <v>14</v>
      </c>
      <c r="N1476" s="23" t="n">
        <v>5</v>
      </c>
      <c r="O1476" s="23" t="n">
        <v>5</v>
      </c>
      <c r="P1476" s="23" t="n">
        <v>5</v>
      </c>
      <c r="Q1476" s="23" t="n">
        <f>MIN(O1476,P1476)</f>
        <v>5</v>
      </c>
      <c r="R1476" s="25" t="n">
        <f>IF(M1476=0,0,MIN(1,L1476/M1476))</f>
        <v>0.7142857142857143</v>
      </c>
      <c r="S1476" s="23" t="n">
        <f>O1476*R1476</f>
        <v>3.5714285714285716</v>
      </c>
      <c r="T1476" s="23" t="n">
        <f>MIN(P1476,S1476)</f>
        <v>3.5714285714285716</v>
      </c>
      <c r="U1476" s="23" t="n">
        <f>O1476-S1476</f>
        <v>1.4285714285714284</v>
      </c>
      <c r="V1476" s="23" t="n">
        <f>MAX(P1476-O1476,0)</f>
        <v>0</v>
      </c>
    </row>
    <row r="1477">
      <c r="A1477" s="19" t="str">
        <v>英国区</v>
      </c>
      <c r="B1477" s="19" t="str">
        <v>伯明翰7号仓(SN)</v>
      </c>
      <c r="C1477" s="19" t="str">
        <v>拣货组</v>
      </c>
      <c r="D1477" s="21" t="n">
        <v>46134</v>
      </c>
      <c r="E1477" s="19" t="str">
        <v>2026-04</v>
      </c>
      <c r="F1477" s="19" t="str">
        <v>操作员</v>
      </c>
      <c r="G1477" s="19" t="str">
        <v>英国灵活（6小时扣午休） / UK FLEX (6-HR LUNCH BREAK DEDUCTED)</v>
      </c>
      <c r="H1477" s="19" t="str">
        <v>S000274</v>
      </c>
      <c r="I1477" s="19" t="str">
        <v>Jobsworth Recruitment Solutions Limited</v>
      </c>
      <c r="J1477" s="23" t="n">
        <v>5</v>
      </c>
      <c r="K1477" s="23" t="n">
        <v>0</v>
      </c>
      <c r="L1477" s="23" t="n">
        <f>J1477+K1477</f>
        <v>5</v>
      </c>
      <c r="M1477" s="23" t="n">
        <v>5</v>
      </c>
      <c r="N1477" s="23" t="n">
        <v>4</v>
      </c>
      <c r="O1477" s="23" t="n">
        <v>5</v>
      </c>
      <c r="P1477" s="23" t="n">
        <v>4</v>
      </c>
      <c r="Q1477" s="23" t="n">
        <f>MIN(O1477,P1477)</f>
        <v>4</v>
      </c>
      <c r="R1477" s="25" t="n">
        <f>IF(M1477=0,0,MIN(1,L1477/M1477))</f>
        <v>1</v>
      </c>
      <c r="S1477" s="23" t="n">
        <f>O1477*R1477</f>
        <v>5</v>
      </c>
      <c r="T1477" s="23" t="n">
        <f>MIN(P1477,S1477)</f>
        <v>4</v>
      </c>
      <c r="U1477" s="23" t="n">
        <f>O1477-S1477</f>
        <v>0</v>
      </c>
      <c r="V1477" s="23" t="n">
        <f>MAX(P1477-O1477,0)</f>
        <v>0</v>
      </c>
    </row>
    <row r="1478">
      <c r="A1478" s="19" t="str">
        <v>英国区</v>
      </c>
      <c r="B1478" s="19" t="str">
        <v>伯明翰7号仓(SN)</v>
      </c>
      <c r="C1478" s="19" t="str">
        <v>拣货组</v>
      </c>
      <c r="D1478" s="21" t="n">
        <v>46135</v>
      </c>
      <c r="E1478" s="19" t="str">
        <v>2026-04</v>
      </c>
      <c r="F1478" s="19" t="str">
        <v>操作员</v>
      </c>
      <c r="G1478" s="19" t="str">
        <v>英国灵活（6小时扣午休） / UK FLEX (6-HR LUNCH BREAK DEDUCTED)</v>
      </c>
      <c r="H1478" s="19" t="str">
        <v>S000274</v>
      </c>
      <c r="I1478" s="19" t="str">
        <v>Jobsworth Recruitment Solutions Limited</v>
      </c>
      <c r="J1478" s="23" t="n">
        <v>5</v>
      </c>
      <c r="K1478" s="23" t="n">
        <v>0</v>
      </c>
      <c r="L1478" s="23" t="n">
        <f>J1478+K1478</f>
        <v>5</v>
      </c>
      <c r="M1478" s="23" t="n">
        <v>5</v>
      </c>
      <c r="N1478" s="23" t="n">
        <v>5</v>
      </c>
      <c r="O1478" s="23" t="n">
        <v>5</v>
      </c>
      <c r="P1478" s="23" t="n">
        <v>5</v>
      </c>
      <c r="Q1478" s="23" t="n">
        <f>MIN(O1478,P1478)</f>
        <v>5</v>
      </c>
      <c r="R1478" s="25" t="n">
        <f>IF(M1478=0,0,MIN(1,L1478/M1478))</f>
        <v>1</v>
      </c>
      <c r="S1478" s="23" t="n">
        <f>O1478*R1478</f>
        <v>5</v>
      </c>
      <c r="T1478" s="23" t="n">
        <f>MIN(P1478,S1478)</f>
        <v>5</v>
      </c>
      <c r="U1478" s="23" t="n">
        <f>O1478-S1478</f>
        <v>0</v>
      </c>
      <c r="V1478" s="23" t="n">
        <f>MAX(P1478-O1478,0)</f>
        <v>0</v>
      </c>
    </row>
    <row r="1479">
      <c r="A1479" s="19" t="str">
        <v>英国区</v>
      </c>
      <c r="B1479" s="19" t="str">
        <v>伯明翰7号仓(SN)</v>
      </c>
      <c r="C1479" s="19" t="str">
        <v>拣货组</v>
      </c>
      <c r="D1479" s="21" t="n">
        <v>46139</v>
      </c>
      <c r="E1479" s="19" t="str">
        <v>2026-04</v>
      </c>
      <c r="F1479" s="19" t="str">
        <v>操作员</v>
      </c>
      <c r="G1479" s="19" t="str">
        <v>英国灵活（6小时扣午休） / UK FLEX (6-HR LUNCH BREAK DEDUCTED)</v>
      </c>
      <c r="H1479" s="19" t="str">
        <v>S000132</v>
      </c>
      <c r="I1479" s="19" t="str">
        <v>HRA Recruitment Services</v>
      </c>
      <c r="J1479" s="23" t="n">
        <v>15</v>
      </c>
      <c r="K1479" s="23" t="n">
        <v>0</v>
      </c>
      <c r="L1479" s="23" t="n">
        <f>J1479+K1479</f>
        <v>15</v>
      </c>
      <c r="M1479" s="23" t="n">
        <v>15</v>
      </c>
      <c r="N1479" s="23" t="n">
        <v>15</v>
      </c>
      <c r="O1479" s="23" t="n">
        <v>15</v>
      </c>
      <c r="P1479" s="23" t="n">
        <v>15</v>
      </c>
      <c r="Q1479" s="23" t="n">
        <f>MIN(O1479,P1479)</f>
        <v>15</v>
      </c>
      <c r="R1479" s="25" t="n">
        <f>IF(M1479=0,0,MIN(1,L1479/M1479))</f>
        <v>1</v>
      </c>
      <c r="S1479" s="23" t="n">
        <f>O1479*R1479</f>
        <v>15</v>
      </c>
      <c r="T1479" s="23" t="n">
        <f>MIN(P1479,S1479)</f>
        <v>15</v>
      </c>
      <c r="U1479" s="23" t="n">
        <f>O1479-S1479</f>
        <v>0</v>
      </c>
      <c r="V1479" s="23" t="n">
        <f>MAX(P1479-O1479,0)</f>
        <v>0</v>
      </c>
    </row>
    <row r="1480">
      <c r="A1480" s="19" t="str">
        <v>英国区</v>
      </c>
      <c r="B1480" s="19" t="str">
        <v>伯明翰7号仓(SN)</v>
      </c>
      <c r="C1480" s="19" t="str">
        <v>拣货组</v>
      </c>
      <c r="D1480" s="21" t="n">
        <v>46160</v>
      </c>
      <c r="E1480" s="19" t="str">
        <v>2026-05</v>
      </c>
      <c r="F1480" s="19" t="str">
        <v>操作员</v>
      </c>
      <c r="G1480" s="19" t="str">
        <v>英国灵活（6小时扣午休） / UK FLEX (6-HR LUNCH BREAK DEDUCTED)</v>
      </c>
      <c r="H1480" s="19" t="str">
        <v>S000331</v>
      </c>
      <c r="I1480" s="19" t="str">
        <v>Employment of London Limited</v>
      </c>
      <c r="J1480" s="23" t="n">
        <v>7</v>
      </c>
      <c r="K1480" s="23" t="n">
        <v>0</v>
      </c>
      <c r="L1480" s="23" t="n">
        <f>J1480+K1480</f>
        <v>7</v>
      </c>
      <c r="M1480" s="23" t="n">
        <v>7</v>
      </c>
      <c r="N1480" s="23" t="n">
        <v>7</v>
      </c>
      <c r="O1480" s="23" t="n">
        <v>7</v>
      </c>
      <c r="P1480" s="23" t="n">
        <v>7</v>
      </c>
      <c r="Q1480" s="23" t="n">
        <f>MIN(O1480,P1480)</f>
        <v>7</v>
      </c>
      <c r="R1480" s="25" t="n">
        <f>IF(M1480=0,0,MIN(1,L1480/M1480))</f>
        <v>1</v>
      </c>
      <c r="S1480" s="23" t="n">
        <f>O1480*R1480</f>
        <v>7</v>
      </c>
      <c r="T1480" s="23" t="n">
        <f>MIN(P1480,S1480)</f>
        <v>7</v>
      </c>
      <c r="U1480" s="23" t="n">
        <f>O1480-S1480</f>
        <v>0</v>
      </c>
      <c r="V1480" s="23" t="n">
        <f>MAX(P1480-O1480,0)</f>
        <v>0</v>
      </c>
    </row>
    <row r="1481">
      <c r="A1481" s="19" t="str">
        <v>英国区</v>
      </c>
      <c r="B1481" s="19" t="str">
        <v>伯明翰7号仓(SN)</v>
      </c>
      <c r="C1481" s="19" t="str">
        <v>拣货组</v>
      </c>
      <c r="D1481" s="21" t="n">
        <v>46161</v>
      </c>
      <c r="E1481" s="19" t="str">
        <v>2026-05</v>
      </c>
      <c r="F1481" s="19" t="str">
        <v>操作员</v>
      </c>
      <c r="G1481" s="19" t="str">
        <v>英国灵活（6小时扣午休） / UK FLEX (6-HR LUNCH BREAK DEDUCTED)</v>
      </c>
      <c r="H1481" s="19" t="str">
        <v>S000132</v>
      </c>
      <c r="I1481" s="19" t="str">
        <v>HRA Recruitment Services</v>
      </c>
      <c r="J1481" s="23" t="n">
        <v>5</v>
      </c>
      <c r="K1481" s="23" t="n">
        <v>0</v>
      </c>
      <c r="L1481" s="23" t="n">
        <f>J1481+K1481</f>
        <v>5</v>
      </c>
      <c r="M1481" s="23" t="n">
        <v>5</v>
      </c>
      <c r="N1481" s="23" t="n">
        <v>5</v>
      </c>
      <c r="O1481" s="23" t="n">
        <v>5</v>
      </c>
      <c r="P1481" s="23" t="n">
        <v>5</v>
      </c>
      <c r="Q1481" s="23" t="n">
        <f>MIN(O1481,P1481)</f>
        <v>5</v>
      </c>
      <c r="R1481" s="25" t="n">
        <f>IF(M1481=0,0,MIN(1,L1481/M1481))</f>
        <v>1</v>
      </c>
      <c r="S1481" s="23" t="n">
        <f>O1481*R1481</f>
        <v>5</v>
      </c>
      <c r="T1481" s="23" t="n">
        <f>MIN(P1481,S1481)</f>
        <v>5</v>
      </c>
      <c r="U1481" s="23" t="n">
        <f>O1481-S1481</f>
        <v>0</v>
      </c>
      <c r="V1481" s="23" t="n">
        <f>MAX(P1481-O1481,0)</f>
        <v>0</v>
      </c>
    </row>
    <row r="1482">
      <c r="A1482" s="19" t="str">
        <v>英国区</v>
      </c>
      <c r="B1482" s="19" t="str">
        <v>伯明翰7号仓(SN)</v>
      </c>
      <c r="C1482" s="19" t="str">
        <v>拣货组</v>
      </c>
      <c r="D1482" s="21" t="n">
        <v>46162</v>
      </c>
      <c r="E1482" s="19" t="str">
        <v>2026-05</v>
      </c>
      <c r="F1482" s="19" t="str">
        <v>操作员</v>
      </c>
      <c r="G1482" s="19" t="str">
        <v>英国灵活（6小时扣午休） / UK FLEX (6-HR LUNCH BREAK DEDUCTED)</v>
      </c>
      <c r="H1482" s="19" t="str">
        <v>S000331</v>
      </c>
      <c r="I1482" s="19" t="str">
        <v>Employment of London Limited</v>
      </c>
      <c r="J1482" s="23" t="n">
        <v>10</v>
      </c>
      <c r="K1482" s="23" t="n">
        <v>0</v>
      </c>
      <c r="L1482" s="23" t="n">
        <f>J1482+K1482</f>
        <v>10</v>
      </c>
      <c r="M1482" s="23" t="n">
        <v>10</v>
      </c>
      <c r="N1482" s="23" t="n">
        <v>9</v>
      </c>
      <c r="O1482" s="23" t="n">
        <v>10</v>
      </c>
      <c r="P1482" s="23" t="n">
        <v>9</v>
      </c>
      <c r="Q1482" s="23" t="n">
        <f>MIN(O1482,P1482)</f>
        <v>9</v>
      </c>
      <c r="R1482" s="25" t="n">
        <f>IF(M1482=0,0,MIN(1,L1482/M1482))</f>
        <v>1</v>
      </c>
      <c r="S1482" s="23" t="n">
        <f>O1482*R1482</f>
        <v>10</v>
      </c>
      <c r="T1482" s="23" t="n">
        <f>MIN(P1482,S1482)</f>
        <v>9</v>
      </c>
      <c r="U1482" s="23" t="n">
        <f>O1482-S1482</f>
        <v>0</v>
      </c>
      <c r="V1482" s="23" t="n">
        <f>MAX(P1482-O1482,0)</f>
        <v>0</v>
      </c>
    </row>
    <row r="1483">
      <c r="A1483" s="19" t="str">
        <v>英国区</v>
      </c>
      <c r="B1483" s="19" t="str">
        <v>伯明翰7号仓(SN)</v>
      </c>
      <c r="C1483" s="19" t="str">
        <v>拣货组</v>
      </c>
      <c r="D1483" s="21" t="n">
        <v>46168</v>
      </c>
      <c r="E1483" s="19" t="str">
        <v>2026-05</v>
      </c>
      <c r="F1483" s="19" t="str">
        <v>操作员</v>
      </c>
      <c r="G1483" s="19" t="str">
        <v>英国灵活（6小时扣午休） / UK FLEX (6-HR LUNCH BREAK DEDUCTED)</v>
      </c>
      <c r="H1483" s="19" t="str">
        <v>S000132</v>
      </c>
      <c r="I1483" s="19" t="str">
        <v>HRA Recruitment Services</v>
      </c>
      <c r="J1483" s="23" t="n">
        <v>24</v>
      </c>
      <c r="K1483" s="23" t="n">
        <v>0</v>
      </c>
      <c r="L1483" s="23" t="n">
        <f>J1483+K1483</f>
        <v>24</v>
      </c>
      <c r="M1483" s="23" t="n">
        <v>24</v>
      </c>
      <c r="N1483" s="23" t="n">
        <v>24</v>
      </c>
      <c r="O1483" s="23" t="n">
        <v>5</v>
      </c>
      <c r="P1483" s="23" t="n">
        <v>5</v>
      </c>
      <c r="Q1483" s="23" t="n">
        <f>MIN(O1483,P1483)</f>
        <v>5</v>
      </c>
      <c r="R1483" s="25" t="n">
        <f>IF(M1483=0,0,MIN(1,L1483/M1483))</f>
        <v>1</v>
      </c>
      <c r="S1483" s="23" t="n">
        <f>O1483*R1483</f>
        <v>5</v>
      </c>
      <c r="T1483" s="23" t="n">
        <f>MIN(P1483,S1483)</f>
        <v>5</v>
      </c>
      <c r="U1483" s="23" t="n">
        <f>O1483-S1483</f>
        <v>0</v>
      </c>
      <c r="V1483" s="23" t="n">
        <f>MAX(P1483-O1483,0)</f>
        <v>0</v>
      </c>
    </row>
    <row r="1484">
      <c r="A1484" s="19" t="str">
        <v>英国区</v>
      </c>
      <c r="B1484" s="19" t="str">
        <v>伯明翰7号仓(SN)</v>
      </c>
      <c r="C1484" s="19" t="str">
        <v>拣货组</v>
      </c>
      <c r="D1484" s="21" t="n">
        <v>46168</v>
      </c>
      <c r="E1484" s="19" t="str">
        <v>2026-05</v>
      </c>
      <c r="F1484" s="19" t="str">
        <v>操作员</v>
      </c>
      <c r="G1484" s="19" t="str">
        <v>英国灵活（6小时扣午休） / UK FLEX (6-HR LUNCH BREAK DEDUCTED)</v>
      </c>
      <c r="H1484" s="19" t="str">
        <v>S000274</v>
      </c>
      <c r="I1484" s="19" t="str">
        <v>Jobsworth Recruitment Solutions Limited</v>
      </c>
      <c r="J1484" s="23" t="n">
        <v>24</v>
      </c>
      <c r="K1484" s="23" t="n">
        <v>0</v>
      </c>
      <c r="L1484" s="23" t="n">
        <f>J1484+K1484</f>
        <v>24</v>
      </c>
      <c r="M1484" s="23" t="n">
        <v>24</v>
      </c>
      <c r="N1484" s="23" t="n">
        <v>24</v>
      </c>
      <c r="O1484" s="23" t="n">
        <v>9</v>
      </c>
      <c r="P1484" s="23" t="n">
        <v>9</v>
      </c>
      <c r="Q1484" s="23" t="n">
        <f>MIN(O1484,P1484)</f>
        <v>9</v>
      </c>
      <c r="R1484" s="25" t="n">
        <f>IF(M1484=0,0,MIN(1,L1484/M1484))</f>
        <v>1</v>
      </c>
      <c r="S1484" s="23" t="n">
        <f>O1484*R1484</f>
        <v>9</v>
      </c>
      <c r="T1484" s="23" t="n">
        <f>MIN(P1484,S1484)</f>
        <v>9</v>
      </c>
      <c r="U1484" s="23" t="n">
        <f>O1484-S1484</f>
        <v>0</v>
      </c>
      <c r="V1484" s="23" t="n">
        <f>MAX(P1484-O1484,0)</f>
        <v>0</v>
      </c>
    </row>
    <row r="1485">
      <c r="A1485" s="19" t="str">
        <v>英国区</v>
      </c>
      <c r="B1485" s="19" t="str">
        <v>伯明翰7号仓(SN)</v>
      </c>
      <c r="C1485" s="19" t="str">
        <v>拣货组</v>
      </c>
      <c r="D1485" s="21" t="n">
        <v>46168</v>
      </c>
      <c r="E1485" s="19" t="str">
        <v>2026-05</v>
      </c>
      <c r="F1485" s="19" t="str">
        <v>操作员</v>
      </c>
      <c r="G1485" s="19" t="str">
        <v>英国灵活（6小时扣午休） / UK FLEX (6-HR LUNCH BREAK DEDUCTED)</v>
      </c>
      <c r="H1485" s="19" t="str">
        <v>S000331</v>
      </c>
      <c r="I1485" s="19" t="str">
        <v>Employment of London Limited</v>
      </c>
      <c r="J1485" s="23" t="n">
        <v>24</v>
      </c>
      <c r="K1485" s="23" t="n">
        <v>0</v>
      </c>
      <c r="L1485" s="23" t="n">
        <f>J1485+K1485</f>
        <v>24</v>
      </c>
      <c r="M1485" s="23" t="n">
        <v>24</v>
      </c>
      <c r="N1485" s="23" t="n">
        <v>24</v>
      </c>
      <c r="O1485" s="23" t="n">
        <v>10</v>
      </c>
      <c r="P1485" s="23" t="n">
        <v>10</v>
      </c>
      <c r="Q1485" s="23" t="n">
        <f>MIN(O1485,P1485)</f>
        <v>10</v>
      </c>
      <c r="R1485" s="25" t="n">
        <f>IF(M1485=0,0,MIN(1,L1485/M1485))</f>
        <v>1</v>
      </c>
      <c r="S1485" s="23" t="n">
        <f>O1485*R1485</f>
        <v>10</v>
      </c>
      <c r="T1485" s="23" t="n">
        <f>MIN(P1485,S1485)</f>
        <v>10</v>
      </c>
      <c r="U1485" s="23" t="n">
        <f>O1485-S1485</f>
        <v>0</v>
      </c>
      <c r="V1485" s="23" t="n">
        <f>MAX(P1485-O1485,0)</f>
        <v>0</v>
      </c>
    </row>
    <row r="1486">
      <c r="A1486" s="19" t="str">
        <v>英国区</v>
      </c>
      <c r="B1486" s="19" t="str">
        <v>伯明翰7号仓(SN)</v>
      </c>
      <c r="C1486" s="19" t="str">
        <v>拣货组</v>
      </c>
      <c r="D1486" s="21" t="n">
        <v>46171</v>
      </c>
      <c r="E1486" s="19" t="str">
        <v>2026-05</v>
      </c>
      <c r="F1486" s="19" t="str">
        <v>操作员</v>
      </c>
      <c r="G1486" s="19" t="str">
        <v>英国灵活（6小时扣午休） / UK FLEX (6-HR LUNCH BREAK DEDUCTED)</v>
      </c>
      <c r="H1486" s="19" t="str">
        <v>S000132</v>
      </c>
      <c r="I1486" s="19" t="str">
        <v>HRA Recruitment Services</v>
      </c>
      <c r="J1486" s="23" t="n">
        <v>9</v>
      </c>
      <c r="K1486" s="23" t="n">
        <v>0</v>
      </c>
      <c r="L1486" s="23" t="n">
        <f>J1486+K1486</f>
        <v>9</v>
      </c>
      <c r="M1486" s="23" t="n">
        <v>9</v>
      </c>
      <c r="N1486" s="23" t="n">
        <v>9</v>
      </c>
      <c r="O1486" s="23" t="n">
        <v>9</v>
      </c>
      <c r="P1486" s="23" t="n">
        <v>9</v>
      </c>
      <c r="Q1486" s="23" t="n">
        <f>MIN(O1486,P1486)</f>
        <v>9</v>
      </c>
      <c r="R1486" s="25" t="n">
        <f>IF(M1486=0,0,MIN(1,L1486/M1486))</f>
        <v>1</v>
      </c>
      <c r="S1486" s="23" t="n">
        <f>O1486*R1486</f>
        <v>9</v>
      </c>
      <c r="T1486" s="23" t="n">
        <f>MIN(P1486,S1486)</f>
        <v>9</v>
      </c>
      <c r="U1486" s="23" t="n">
        <f>O1486-S1486</f>
        <v>0</v>
      </c>
      <c r="V1486" s="23" t="n">
        <f>MAX(P1486-O1486,0)</f>
        <v>0</v>
      </c>
    </row>
    <row r="1487">
      <c r="A1487" s="19" t="str">
        <v>英国区</v>
      </c>
      <c r="B1487" s="19" t="str">
        <v>伯明翰7号仓(SN)</v>
      </c>
      <c r="C1487" s="19" t="str">
        <v>拣货组</v>
      </c>
      <c r="D1487" s="21" t="n">
        <v>46171</v>
      </c>
      <c r="E1487" s="19" t="str">
        <v>2026-05</v>
      </c>
      <c r="F1487" s="19" t="str">
        <v>操作员</v>
      </c>
      <c r="G1487" s="19" t="str">
        <v>英国灵活（跨天） / UK FLEX (CROSS-DAY)</v>
      </c>
      <c r="H1487" s="19" t="str">
        <v>S000132</v>
      </c>
      <c r="I1487" s="19" t="str">
        <v>HRA Recruitment Services</v>
      </c>
      <c r="J1487" s="23" t="n">
        <v>4</v>
      </c>
      <c r="K1487" s="23" t="n">
        <v>0</v>
      </c>
      <c r="L1487" s="23" t="n">
        <f>J1487+K1487</f>
        <v>4</v>
      </c>
      <c r="M1487" s="23" t="n">
        <v>4</v>
      </c>
      <c r="N1487" s="23" t="n">
        <v>4</v>
      </c>
      <c r="O1487" s="23" t="n">
        <v>4</v>
      </c>
      <c r="P1487" s="23" t="n">
        <v>4</v>
      </c>
      <c r="Q1487" s="23" t="n">
        <f>MIN(O1487,P1487)</f>
        <v>4</v>
      </c>
      <c r="R1487" s="25" t="n">
        <f>IF(M1487=0,0,MIN(1,L1487/M1487))</f>
        <v>1</v>
      </c>
      <c r="S1487" s="23" t="n">
        <f>O1487*R1487</f>
        <v>4</v>
      </c>
      <c r="T1487" s="23" t="n">
        <f>MIN(P1487,S1487)</f>
        <v>4</v>
      </c>
      <c r="U1487" s="23" t="n">
        <f>O1487-S1487</f>
        <v>0</v>
      </c>
      <c r="V1487" s="23" t="n">
        <f>MAX(P1487-O1487,0)</f>
        <v>0</v>
      </c>
    </row>
    <row r="1488">
      <c r="A1488" s="19" t="str">
        <v>英国区</v>
      </c>
      <c r="B1488" s="19" t="str">
        <v>伯明翰7号仓(SN)</v>
      </c>
      <c r="C1488" s="19" t="str">
        <v>拣货组</v>
      </c>
      <c r="D1488" s="21" t="n">
        <v>46191</v>
      </c>
      <c r="E1488" s="19" t="str">
        <v>2026-06</v>
      </c>
      <c r="F1488" s="19" t="str">
        <v>操作员</v>
      </c>
      <c r="G1488" s="19" t="str">
        <v>英国灵活（6小时扣午休） / UK FLEX (6-HR LUNCH BREAK DEDUCTED)</v>
      </c>
      <c r="H1488" s="19" t="str">
        <v>S000331</v>
      </c>
      <c r="I1488" s="19" t="str">
        <v>Employment of London Limited</v>
      </c>
      <c r="J1488" s="23" t="n">
        <v>10</v>
      </c>
      <c r="K1488" s="23" t="n">
        <v>0</v>
      </c>
      <c r="L1488" s="23" t="n">
        <f>J1488+K1488</f>
        <v>10</v>
      </c>
      <c r="M1488" s="23" t="n">
        <v>10</v>
      </c>
      <c r="N1488" s="23" t="n">
        <v>10</v>
      </c>
      <c r="O1488" s="23" t="n">
        <v>10</v>
      </c>
      <c r="P1488" s="23" t="n">
        <v>10</v>
      </c>
      <c r="Q1488" s="23" t="n">
        <f>MIN(O1488,P1488)</f>
        <v>10</v>
      </c>
      <c r="R1488" s="25" t="n">
        <f>IF(M1488=0,0,MIN(1,L1488/M1488))</f>
        <v>1</v>
      </c>
      <c r="S1488" s="23" t="n">
        <f>O1488*R1488</f>
        <v>10</v>
      </c>
      <c r="T1488" s="23" t="n">
        <f>MIN(P1488,S1488)</f>
        <v>10</v>
      </c>
      <c r="U1488" s="23" t="n">
        <f>O1488-S1488</f>
        <v>0</v>
      </c>
      <c r="V1488" s="23" t="n">
        <f>MAX(P1488-O1488,0)</f>
        <v>0</v>
      </c>
    </row>
    <row r="1489">
      <c r="A1489" s="19" t="str">
        <v>英国区</v>
      </c>
      <c r="B1489" s="19" t="str">
        <v>伯明翰9号仓</v>
      </c>
      <c r="C1489" s="19" t="str">
        <v>入库组</v>
      </c>
      <c r="D1489" s="21" t="n">
        <v>46133</v>
      </c>
      <c r="E1489" s="19" t="str">
        <v>2026-04</v>
      </c>
      <c r="F1489" s="19" t="str">
        <v>操作员</v>
      </c>
      <c r="G1489" s="19" t="str">
        <v>英国区07:00-15:30 / UK 07:00-15:30</v>
      </c>
      <c r="H1489" s="19" t="str">
        <v>S000007</v>
      </c>
      <c r="I1489" s="19" t="str">
        <v>Kenect</v>
      </c>
      <c r="J1489" s="23" t="n">
        <v>11</v>
      </c>
      <c r="K1489" s="23" t="n">
        <v>0</v>
      </c>
      <c r="L1489" s="23" t="n">
        <f>J1489+K1489</f>
        <v>11</v>
      </c>
      <c r="M1489" s="23" t="n">
        <v>11</v>
      </c>
      <c r="N1489" s="23" t="n">
        <v>11</v>
      </c>
      <c r="O1489" s="23" t="n">
        <v>2</v>
      </c>
      <c r="P1489" s="23" t="n">
        <v>2</v>
      </c>
      <c r="Q1489" s="23" t="n">
        <f>MIN(O1489,P1489)</f>
        <v>2</v>
      </c>
      <c r="R1489" s="25" t="n">
        <f>IF(M1489=0,0,MIN(1,L1489/M1489))</f>
        <v>1</v>
      </c>
      <c r="S1489" s="23" t="n">
        <f>O1489*R1489</f>
        <v>2</v>
      </c>
      <c r="T1489" s="23" t="n">
        <f>MIN(P1489,S1489)</f>
        <v>2</v>
      </c>
      <c r="U1489" s="23" t="n">
        <f>O1489-S1489</f>
        <v>0</v>
      </c>
      <c r="V1489" s="23" t="n">
        <f>MAX(P1489-O1489,0)</f>
        <v>0</v>
      </c>
    </row>
    <row r="1490">
      <c r="A1490" s="19" t="str">
        <v>英国区</v>
      </c>
      <c r="B1490" s="19" t="str">
        <v>伯明翰9号仓</v>
      </c>
      <c r="C1490" s="19" t="str">
        <v>入库组</v>
      </c>
      <c r="D1490" s="21" t="n">
        <v>46133</v>
      </c>
      <c r="E1490" s="19" t="str">
        <v>2026-04</v>
      </c>
      <c r="F1490" s="19" t="str">
        <v>操作员</v>
      </c>
      <c r="G1490" s="19" t="str">
        <v>英国区07:00-15:30 / UK 07:00-15:30</v>
      </c>
      <c r="H1490" s="19" t="str">
        <v>S000274</v>
      </c>
      <c r="I1490" s="19" t="str">
        <v>Jobsworth Recruitment Solutions Limited</v>
      </c>
      <c r="J1490" s="23" t="n">
        <v>11</v>
      </c>
      <c r="K1490" s="23" t="n">
        <v>0</v>
      </c>
      <c r="L1490" s="23" t="n">
        <f>J1490+K1490</f>
        <v>11</v>
      </c>
      <c r="M1490" s="23" t="n">
        <v>11</v>
      </c>
      <c r="N1490" s="23" t="n">
        <v>11</v>
      </c>
      <c r="O1490" s="23" t="n">
        <v>9</v>
      </c>
      <c r="P1490" s="23" t="n">
        <v>9</v>
      </c>
      <c r="Q1490" s="23" t="n">
        <f>MIN(O1490,P1490)</f>
        <v>9</v>
      </c>
      <c r="R1490" s="25" t="n">
        <f>IF(M1490=0,0,MIN(1,L1490/M1490))</f>
        <v>1</v>
      </c>
      <c r="S1490" s="23" t="n">
        <f>O1490*R1490</f>
        <v>9</v>
      </c>
      <c r="T1490" s="23" t="n">
        <f>MIN(P1490,S1490)</f>
        <v>9</v>
      </c>
      <c r="U1490" s="23" t="n">
        <f>O1490-S1490</f>
        <v>0</v>
      </c>
      <c r="V1490" s="23" t="n">
        <f>MAX(P1490-O1490,0)</f>
        <v>0</v>
      </c>
    </row>
    <row r="1491">
      <c r="A1491" s="19" t="str">
        <v>英国区</v>
      </c>
      <c r="B1491" s="19" t="str">
        <v>伯明翰9号仓</v>
      </c>
      <c r="C1491" s="19" t="str">
        <v>入库组</v>
      </c>
      <c r="D1491" s="21" t="n">
        <v>46135</v>
      </c>
      <c r="E1491" s="19" t="str">
        <v>2026-04</v>
      </c>
      <c r="F1491" s="19" t="str">
        <v>操作员</v>
      </c>
      <c r="G1491" s="19" t="str">
        <v>英国区07:00-15:30 / UK 07:00-15:30</v>
      </c>
      <c r="H1491" s="19" t="str">
        <v>S000013</v>
      </c>
      <c r="I1491" s="19" t="str">
        <v>FT Recruitment</v>
      </c>
      <c r="J1491" s="23" t="n">
        <v>6</v>
      </c>
      <c r="K1491" s="23" t="n">
        <v>0</v>
      </c>
      <c r="L1491" s="23" t="n">
        <f>J1491+K1491</f>
        <v>6</v>
      </c>
      <c r="M1491" s="23" t="n">
        <v>6</v>
      </c>
      <c r="N1491" s="23" t="n">
        <v>6</v>
      </c>
      <c r="O1491" s="23" t="n">
        <v>2</v>
      </c>
      <c r="P1491" s="23" t="n">
        <v>2</v>
      </c>
      <c r="Q1491" s="23" t="n">
        <f>MIN(O1491,P1491)</f>
        <v>2</v>
      </c>
      <c r="R1491" s="25" t="n">
        <f>IF(M1491=0,0,MIN(1,L1491/M1491))</f>
        <v>1</v>
      </c>
      <c r="S1491" s="23" t="n">
        <f>O1491*R1491</f>
        <v>2</v>
      </c>
      <c r="T1491" s="23" t="n">
        <f>MIN(P1491,S1491)</f>
        <v>2</v>
      </c>
      <c r="U1491" s="23" t="n">
        <f>O1491-S1491</f>
        <v>0</v>
      </c>
      <c r="V1491" s="23" t="n">
        <f>MAX(P1491-O1491,0)</f>
        <v>0</v>
      </c>
    </row>
    <row r="1492">
      <c r="A1492" s="19" t="str">
        <v>英国区</v>
      </c>
      <c r="B1492" s="19" t="str">
        <v>伯明翰9号仓</v>
      </c>
      <c r="C1492" s="19" t="str">
        <v>入库组</v>
      </c>
      <c r="D1492" s="21" t="n">
        <v>46135</v>
      </c>
      <c r="E1492" s="19" t="str">
        <v>2026-04</v>
      </c>
      <c r="F1492" s="19" t="str">
        <v>操作员</v>
      </c>
      <c r="G1492" s="19" t="str">
        <v>英国区07:00-15:30 / UK 07:00-15:30</v>
      </c>
      <c r="H1492" s="19" t="str">
        <v>S000274</v>
      </c>
      <c r="I1492" s="19" t="str">
        <v>Jobsworth Recruitment Solutions Limited</v>
      </c>
      <c r="J1492" s="23" t="n">
        <v>6</v>
      </c>
      <c r="K1492" s="23" t="n">
        <v>0</v>
      </c>
      <c r="L1492" s="23" t="n">
        <f>J1492+K1492</f>
        <v>6</v>
      </c>
      <c r="M1492" s="23" t="n">
        <v>6</v>
      </c>
      <c r="N1492" s="23" t="n">
        <v>6</v>
      </c>
      <c r="O1492" s="23" t="n">
        <v>4</v>
      </c>
      <c r="P1492" s="23" t="n">
        <v>4</v>
      </c>
      <c r="Q1492" s="23" t="n">
        <f>MIN(O1492,P1492)</f>
        <v>4</v>
      </c>
      <c r="R1492" s="25" t="n">
        <f>IF(M1492=0,0,MIN(1,L1492/M1492))</f>
        <v>1</v>
      </c>
      <c r="S1492" s="23" t="n">
        <f>O1492*R1492</f>
        <v>4</v>
      </c>
      <c r="T1492" s="23" t="n">
        <f>MIN(P1492,S1492)</f>
        <v>4</v>
      </c>
      <c r="U1492" s="23" t="n">
        <f>O1492-S1492</f>
        <v>0</v>
      </c>
      <c r="V1492" s="23" t="n">
        <f>MAX(P1492-O1492,0)</f>
        <v>0</v>
      </c>
    </row>
    <row r="1493">
      <c r="A1493" s="19" t="str">
        <v>英国区</v>
      </c>
      <c r="B1493" s="19" t="str">
        <v>伯明翰9号仓</v>
      </c>
      <c r="C1493" s="19" t="str">
        <v>入库组</v>
      </c>
      <c r="D1493" s="21" t="n">
        <v>46135</v>
      </c>
      <c r="E1493" s="19" t="str">
        <v>2026-04</v>
      </c>
      <c r="F1493" s="19" t="str">
        <v>操作员</v>
      </c>
      <c r="G1493" s="19" t="str">
        <v>英国区09:00-17:30 / UK 09:00-17:30</v>
      </c>
      <c r="H1493" s="19" t="str">
        <v>S000013</v>
      </c>
      <c r="I1493" s="19" t="str">
        <v>FT Recruitment</v>
      </c>
      <c r="J1493" s="23" t="n">
        <v>10</v>
      </c>
      <c r="K1493" s="23" t="n">
        <v>0</v>
      </c>
      <c r="L1493" s="23" t="n">
        <f>J1493+K1493</f>
        <v>10</v>
      </c>
      <c r="M1493" s="23" t="n">
        <v>10</v>
      </c>
      <c r="N1493" s="23" t="n">
        <v>10</v>
      </c>
      <c r="O1493" s="23" t="n">
        <v>8</v>
      </c>
      <c r="P1493" s="23" t="n">
        <v>8</v>
      </c>
      <c r="Q1493" s="23" t="n">
        <f>MIN(O1493,P1493)</f>
        <v>8</v>
      </c>
      <c r="R1493" s="25" t="n">
        <f>IF(M1493=0,0,MIN(1,L1493/M1493))</f>
        <v>1</v>
      </c>
      <c r="S1493" s="23" t="n">
        <f>O1493*R1493</f>
        <v>8</v>
      </c>
      <c r="T1493" s="23" t="n">
        <f>MIN(P1493,S1493)</f>
        <v>8</v>
      </c>
      <c r="U1493" s="23" t="n">
        <f>O1493-S1493</f>
        <v>0</v>
      </c>
      <c r="V1493" s="23" t="n">
        <f>MAX(P1493-O1493,0)</f>
        <v>0</v>
      </c>
    </row>
    <row r="1494">
      <c r="A1494" s="19" t="str">
        <v>英国区</v>
      </c>
      <c r="B1494" s="19" t="str">
        <v>伯明翰9号仓</v>
      </c>
      <c r="C1494" s="19" t="str">
        <v>入库组</v>
      </c>
      <c r="D1494" s="21" t="n">
        <v>46135</v>
      </c>
      <c r="E1494" s="19" t="str">
        <v>2026-04</v>
      </c>
      <c r="F1494" s="19" t="str">
        <v>操作员</v>
      </c>
      <c r="G1494" s="19" t="str">
        <v>英国区09:00-17:30 / UK 09:00-17:30</v>
      </c>
      <c r="H1494" s="19" t="str">
        <v>S000132</v>
      </c>
      <c r="I1494" s="19" t="str">
        <v>HRA Recruitment Services</v>
      </c>
      <c r="J1494" s="23" t="n">
        <v>10</v>
      </c>
      <c r="K1494" s="23" t="n">
        <v>0</v>
      </c>
      <c r="L1494" s="23" t="n">
        <f>J1494+K1494</f>
        <v>10</v>
      </c>
      <c r="M1494" s="23" t="n">
        <v>10</v>
      </c>
      <c r="N1494" s="23" t="n">
        <v>10</v>
      </c>
      <c r="O1494" s="23" t="n">
        <v>2</v>
      </c>
      <c r="P1494" s="23" t="n">
        <v>2</v>
      </c>
      <c r="Q1494" s="23" t="n">
        <f>MIN(O1494,P1494)</f>
        <v>2</v>
      </c>
      <c r="R1494" s="25" t="n">
        <f>IF(M1494=0,0,MIN(1,L1494/M1494))</f>
        <v>1</v>
      </c>
      <c r="S1494" s="23" t="n">
        <f>O1494*R1494</f>
        <v>2</v>
      </c>
      <c r="T1494" s="23" t="n">
        <f>MIN(P1494,S1494)</f>
        <v>2</v>
      </c>
      <c r="U1494" s="23" t="n">
        <f>O1494-S1494</f>
        <v>0</v>
      </c>
      <c r="V1494" s="23" t="n">
        <f>MAX(P1494-O1494,0)</f>
        <v>0</v>
      </c>
    </row>
    <row r="1495">
      <c r="A1495" s="19" t="str">
        <v>英国区</v>
      </c>
      <c r="B1495" s="19" t="str">
        <v>伯明翰9号仓</v>
      </c>
      <c r="C1495" s="19" t="str">
        <v>入库组</v>
      </c>
      <c r="D1495" s="21" t="n">
        <v>46135</v>
      </c>
      <c r="E1495" s="19" t="str">
        <v>2026-04</v>
      </c>
      <c r="F1495" s="19" t="str">
        <v>操作员</v>
      </c>
      <c r="G1495" s="19" t="str">
        <v>英国区11:00-19:30 / UK 11:00-19:30</v>
      </c>
      <c r="H1495" s="19" t="str">
        <v>S000013</v>
      </c>
      <c r="I1495" s="19" t="str">
        <v>FT Recruitment</v>
      </c>
      <c r="J1495" s="23" t="n">
        <v>8</v>
      </c>
      <c r="K1495" s="23" t="n">
        <v>0</v>
      </c>
      <c r="L1495" s="23" t="n">
        <f>J1495+K1495</f>
        <v>8</v>
      </c>
      <c r="M1495" s="23" t="n">
        <v>8</v>
      </c>
      <c r="N1495" s="23" t="n">
        <v>8</v>
      </c>
      <c r="O1495" s="23" t="n">
        <v>6</v>
      </c>
      <c r="P1495" s="23" t="n">
        <v>6</v>
      </c>
      <c r="Q1495" s="23" t="n">
        <f>MIN(O1495,P1495)</f>
        <v>6</v>
      </c>
      <c r="R1495" s="25" t="n">
        <f>IF(M1495=0,0,MIN(1,L1495/M1495))</f>
        <v>1</v>
      </c>
      <c r="S1495" s="23" t="n">
        <f>O1495*R1495</f>
        <v>6</v>
      </c>
      <c r="T1495" s="23" t="n">
        <f>MIN(P1495,S1495)</f>
        <v>6</v>
      </c>
      <c r="U1495" s="23" t="n">
        <f>O1495-S1495</f>
        <v>0</v>
      </c>
      <c r="V1495" s="23" t="n">
        <f>MAX(P1495-O1495,0)</f>
        <v>0</v>
      </c>
    </row>
    <row r="1496">
      <c r="A1496" s="19" t="str">
        <v>英国区</v>
      </c>
      <c r="B1496" s="19" t="str">
        <v>伯明翰9号仓</v>
      </c>
      <c r="C1496" s="19" t="str">
        <v>入库组</v>
      </c>
      <c r="D1496" s="21" t="n">
        <v>46135</v>
      </c>
      <c r="E1496" s="19" t="str">
        <v>2026-04</v>
      </c>
      <c r="F1496" s="19" t="str">
        <v>操作员</v>
      </c>
      <c r="G1496" s="19" t="str">
        <v>英国区11:00-19:30 / UK 11:00-19:30</v>
      </c>
      <c r="H1496" s="19" t="str">
        <v>S000132</v>
      </c>
      <c r="I1496" s="19" t="str">
        <v>HRA Recruitment Services</v>
      </c>
      <c r="J1496" s="23" t="n">
        <v>8</v>
      </c>
      <c r="K1496" s="23" t="n">
        <v>0</v>
      </c>
      <c r="L1496" s="23" t="n">
        <f>J1496+K1496</f>
        <v>8</v>
      </c>
      <c r="M1496" s="23" t="n">
        <v>8</v>
      </c>
      <c r="N1496" s="23" t="n">
        <v>8</v>
      </c>
      <c r="O1496" s="23" t="n">
        <v>2</v>
      </c>
      <c r="P1496" s="23" t="n">
        <v>2</v>
      </c>
      <c r="Q1496" s="23" t="n">
        <f>MIN(O1496,P1496)</f>
        <v>2</v>
      </c>
      <c r="R1496" s="25" t="n">
        <f>IF(M1496=0,0,MIN(1,L1496/M1496))</f>
        <v>1</v>
      </c>
      <c r="S1496" s="23" t="n">
        <f>O1496*R1496</f>
        <v>2</v>
      </c>
      <c r="T1496" s="23" t="n">
        <f>MIN(P1496,S1496)</f>
        <v>2</v>
      </c>
      <c r="U1496" s="23" t="n">
        <f>O1496-S1496</f>
        <v>0</v>
      </c>
      <c r="V1496" s="23" t="n">
        <f>MAX(P1496-O1496,0)</f>
        <v>0</v>
      </c>
    </row>
    <row r="1497">
      <c r="A1497" s="19" t="str">
        <v>英国区</v>
      </c>
      <c r="B1497" s="19" t="str">
        <v>伯明翰9号仓</v>
      </c>
      <c r="C1497" s="19" t="str">
        <v>入库组</v>
      </c>
      <c r="D1497" s="21" t="n">
        <v>46136</v>
      </c>
      <c r="E1497" s="19" t="str">
        <v>2026-04</v>
      </c>
      <c r="F1497" s="19" t="str">
        <v>操作员</v>
      </c>
      <c r="G1497" s="19" t="str">
        <v>英国区07:00-15:30 / UK 07:00-15:30</v>
      </c>
      <c r="H1497" s="19" t="str">
        <v>S000013</v>
      </c>
      <c r="I1497" s="19" t="str">
        <v>FT Recruitment</v>
      </c>
      <c r="J1497" s="23" t="n">
        <v>4</v>
      </c>
      <c r="K1497" s="23" t="n">
        <v>0</v>
      </c>
      <c r="L1497" s="23" t="n">
        <f>J1497+K1497</f>
        <v>4</v>
      </c>
      <c r="M1497" s="23" t="n">
        <v>4</v>
      </c>
      <c r="N1497" s="23" t="n">
        <v>4</v>
      </c>
      <c r="O1497" s="23" t="n">
        <v>3</v>
      </c>
      <c r="P1497" s="23" t="n">
        <v>3</v>
      </c>
      <c r="Q1497" s="23" t="n">
        <f>MIN(O1497,P1497)</f>
        <v>3</v>
      </c>
      <c r="R1497" s="25" t="n">
        <f>IF(M1497=0,0,MIN(1,L1497/M1497))</f>
        <v>1</v>
      </c>
      <c r="S1497" s="23" t="n">
        <f>O1497*R1497</f>
        <v>3</v>
      </c>
      <c r="T1497" s="23" t="n">
        <f>MIN(P1497,S1497)</f>
        <v>3</v>
      </c>
      <c r="U1497" s="23" t="n">
        <f>O1497-S1497</f>
        <v>0</v>
      </c>
      <c r="V1497" s="23" t="n">
        <f>MAX(P1497-O1497,0)</f>
        <v>0</v>
      </c>
    </row>
    <row r="1498">
      <c r="A1498" s="19" t="str">
        <v>英国区</v>
      </c>
      <c r="B1498" s="19" t="str">
        <v>伯明翰9号仓</v>
      </c>
      <c r="C1498" s="19" t="str">
        <v>入库组</v>
      </c>
      <c r="D1498" s="21" t="n">
        <v>46136</v>
      </c>
      <c r="E1498" s="19" t="str">
        <v>2026-04</v>
      </c>
      <c r="F1498" s="19" t="str">
        <v>操作员</v>
      </c>
      <c r="G1498" s="19" t="str">
        <v>英国区07:00-15:30 / UK 07:00-15:30</v>
      </c>
      <c r="H1498" s="19" t="str">
        <v>S000274</v>
      </c>
      <c r="I1498" s="19" t="str">
        <v>Jobsworth Recruitment Solutions Limited</v>
      </c>
      <c r="J1498" s="23" t="n">
        <v>4</v>
      </c>
      <c r="K1498" s="23" t="n">
        <v>0</v>
      </c>
      <c r="L1498" s="23" t="n">
        <f>J1498+K1498</f>
        <v>4</v>
      </c>
      <c r="M1498" s="23" t="n">
        <v>4</v>
      </c>
      <c r="N1498" s="23" t="n">
        <v>4</v>
      </c>
      <c r="O1498" s="23" t="n">
        <v>1</v>
      </c>
      <c r="P1498" s="23" t="n">
        <v>1</v>
      </c>
      <c r="Q1498" s="23" t="n">
        <f>MIN(O1498,P1498)</f>
        <v>1</v>
      </c>
      <c r="R1498" s="25" t="n">
        <f>IF(M1498=0,0,MIN(1,L1498/M1498))</f>
        <v>1</v>
      </c>
      <c r="S1498" s="23" t="n">
        <f>O1498*R1498</f>
        <v>1</v>
      </c>
      <c r="T1498" s="23" t="n">
        <f>MIN(P1498,S1498)</f>
        <v>1</v>
      </c>
      <c r="U1498" s="23" t="n">
        <f>O1498-S1498</f>
        <v>0</v>
      </c>
      <c r="V1498" s="23" t="n">
        <f>MAX(P1498-O1498,0)</f>
        <v>0</v>
      </c>
    </row>
    <row r="1499">
      <c r="A1499" s="19" t="str">
        <v>英国区</v>
      </c>
      <c r="B1499" s="19" t="str">
        <v>伯明翰9号仓</v>
      </c>
      <c r="C1499" s="19" t="str">
        <v>入库组</v>
      </c>
      <c r="D1499" s="21" t="n">
        <v>46136</v>
      </c>
      <c r="E1499" s="19" t="str">
        <v>2026-04</v>
      </c>
      <c r="F1499" s="19" t="str">
        <v>操作员</v>
      </c>
      <c r="G1499" s="19" t="str">
        <v>英国区09:00-17:30 / UK 09:00-17:30</v>
      </c>
      <c r="H1499" s="19" t="str">
        <v>S000013</v>
      </c>
      <c r="I1499" s="19" t="str">
        <v>FT Recruitment</v>
      </c>
      <c r="J1499" s="23" t="n">
        <v>4</v>
      </c>
      <c r="K1499" s="23" t="n">
        <v>0</v>
      </c>
      <c r="L1499" s="23" t="n">
        <f>J1499+K1499</f>
        <v>4</v>
      </c>
      <c r="M1499" s="23" t="n">
        <v>4</v>
      </c>
      <c r="N1499" s="23" t="n">
        <v>2</v>
      </c>
      <c r="O1499" s="23" t="n">
        <v>4</v>
      </c>
      <c r="P1499" s="23" t="n">
        <v>2</v>
      </c>
      <c r="Q1499" s="23" t="n">
        <f>MIN(O1499,P1499)</f>
        <v>2</v>
      </c>
      <c r="R1499" s="25" t="n">
        <f>IF(M1499=0,0,MIN(1,L1499/M1499))</f>
        <v>1</v>
      </c>
      <c r="S1499" s="23" t="n">
        <f>O1499*R1499</f>
        <v>4</v>
      </c>
      <c r="T1499" s="23" t="n">
        <f>MIN(P1499,S1499)</f>
        <v>2</v>
      </c>
      <c r="U1499" s="23" t="n">
        <f>O1499-S1499</f>
        <v>0</v>
      </c>
      <c r="V1499" s="23" t="n">
        <f>MAX(P1499-O1499,0)</f>
        <v>0</v>
      </c>
    </row>
    <row r="1500">
      <c r="A1500" s="19" t="str">
        <v>英国区</v>
      </c>
      <c r="B1500" s="19" t="str">
        <v>伯明翰9号仓</v>
      </c>
      <c r="C1500" s="19" t="str">
        <v>入库组</v>
      </c>
      <c r="D1500" s="21" t="n">
        <v>46170</v>
      </c>
      <c r="E1500" s="19" t="str">
        <v>2026-05</v>
      </c>
      <c r="F1500" s="19" t="str">
        <v>交运员 3.5T</v>
      </c>
      <c r="G1500" s="19" t="str">
        <v>英国区07:00-15:30 / UK 07:00-15:30</v>
      </c>
      <c r="H1500" s="19" t="str">
        <v>S000007</v>
      </c>
      <c r="I1500" s="19" t="str">
        <v>Kenect</v>
      </c>
      <c r="J1500" s="23" t="n">
        <v>4</v>
      </c>
      <c r="K1500" s="23" t="n">
        <v>0</v>
      </c>
      <c r="L1500" s="23" t="n">
        <f>J1500+K1500</f>
        <v>4</v>
      </c>
      <c r="M1500" s="23" t="n">
        <v>4</v>
      </c>
      <c r="N1500" s="23" t="n">
        <v>4</v>
      </c>
      <c r="O1500" s="23" t="n">
        <v>2</v>
      </c>
      <c r="P1500" s="23" t="n">
        <v>2</v>
      </c>
      <c r="Q1500" s="23" t="n">
        <f>MIN(O1500,P1500)</f>
        <v>2</v>
      </c>
      <c r="R1500" s="25" t="n">
        <f>IF(M1500=0,0,MIN(1,L1500/M1500))</f>
        <v>1</v>
      </c>
      <c r="S1500" s="23" t="n">
        <f>O1500*R1500</f>
        <v>2</v>
      </c>
      <c r="T1500" s="23" t="n">
        <f>MIN(P1500,S1500)</f>
        <v>2</v>
      </c>
      <c r="U1500" s="23" t="n">
        <f>O1500-S1500</f>
        <v>0</v>
      </c>
      <c r="V1500" s="23" t="n">
        <f>MAX(P1500-O1500,0)</f>
        <v>0</v>
      </c>
    </row>
    <row r="1501">
      <c r="A1501" s="19" t="str">
        <v>英国区</v>
      </c>
      <c r="B1501" s="19" t="str">
        <v>伯明翰9号仓</v>
      </c>
      <c r="C1501" s="19" t="str">
        <v>入库组</v>
      </c>
      <c r="D1501" s="21" t="n">
        <v>46170</v>
      </c>
      <c r="E1501" s="19" t="str">
        <v>2026-05</v>
      </c>
      <c r="F1501" s="19" t="str">
        <v>交运员 3.5T</v>
      </c>
      <c r="G1501" s="19" t="str">
        <v>英国区07:00-15:30 / UK 07:00-15:30</v>
      </c>
      <c r="H1501" s="19" t="str">
        <v>S000013</v>
      </c>
      <c r="I1501" s="19" t="str">
        <v>FT Recruitment</v>
      </c>
      <c r="J1501" s="23" t="n">
        <v>4</v>
      </c>
      <c r="K1501" s="23" t="n">
        <v>0</v>
      </c>
      <c r="L1501" s="23" t="n">
        <f>J1501+K1501</f>
        <v>4</v>
      </c>
      <c r="M1501" s="23" t="n">
        <v>4</v>
      </c>
      <c r="N1501" s="23" t="n">
        <v>4</v>
      </c>
      <c r="O1501" s="23" t="n">
        <v>2</v>
      </c>
      <c r="P1501" s="23" t="n">
        <v>2</v>
      </c>
      <c r="Q1501" s="23" t="n">
        <f>MIN(O1501,P1501)</f>
        <v>2</v>
      </c>
      <c r="R1501" s="25" t="n">
        <f>IF(M1501=0,0,MIN(1,L1501/M1501))</f>
        <v>1</v>
      </c>
      <c r="S1501" s="23" t="n">
        <f>O1501*R1501</f>
        <v>2</v>
      </c>
      <c r="T1501" s="23" t="n">
        <f>MIN(P1501,S1501)</f>
        <v>2</v>
      </c>
      <c r="U1501" s="23" t="n">
        <f>O1501-S1501</f>
        <v>0</v>
      </c>
      <c r="V1501" s="23" t="n">
        <f>MAX(P1501-O1501,0)</f>
        <v>0</v>
      </c>
    </row>
    <row r="1502">
      <c r="A1502" s="19" t="str">
        <v>英国区</v>
      </c>
      <c r="B1502" s="19" t="str">
        <v>伯明翰9号仓</v>
      </c>
      <c r="C1502" s="19" t="str">
        <v>入库组</v>
      </c>
      <c r="D1502" s="21" t="n">
        <v>46185</v>
      </c>
      <c r="E1502" s="19" t="str">
        <v>2026-06</v>
      </c>
      <c r="F1502" s="19" t="str">
        <v>操作员</v>
      </c>
      <c r="G1502" s="19" t="str">
        <v>英国区07:00-15:30 / UK 07:00-15:30</v>
      </c>
      <c r="H1502" s="19" t="str">
        <v>S000013</v>
      </c>
      <c r="I1502" s="19" t="str">
        <v>FT Recruitment</v>
      </c>
      <c r="J1502" s="23" t="n">
        <v>3</v>
      </c>
      <c r="K1502" s="23" t="n">
        <v>0</v>
      </c>
      <c r="L1502" s="23" t="n">
        <f>J1502+K1502</f>
        <v>3</v>
      </c>
      <c r="M1502" s="23" t="n">
        <v>3</v>
      </c>
      <c r="N1502" s="23" t="n">
        <v>1</v>
      </c>
      <c r="O1502" s="23" t="n">
        <v>3</v>
      </c>
      <c r="P1502" s="23" t="n">
        <v>1</v>
      </c>
      <c r="Q1502" s="23" t="n">
        <f>MIN(O1502,P1502)</f>
        <v>1</v>
      </c>
      <c r="R1502" s="25" t="n">
        <f>IF(M1502=0,0,MIN(1,L1502/M1502))</f>
        <v>1</v>
      </c>
      <c r="S1502" s="23" t="n">
        <f>O1502*R1502</f>
        <v>3</v>
      </c>
      <c r="T1502" s="23" t="n">
        <f>MIN(P1502,S1502)</f>
        <v>1</v>
      </c>
      <c r="U1502" s="23" t="n">
        <f>O1502-S1502</f>
        <v>0</v>
      </c>
      <c r="V1502" s="23" t="n">
        <f>MAX(P1502-O1502,0)</f>
        <v>0</v>
      </c>
    </row>
    <row r="1503">
      <c r="A1503" s="19" t="str">
        <v>英国区</v>
      </c>
      <c r="B1503" s="19" t="str">
        <v>伯明翰9号仓</v>
      </c>
      <c r="C1503" s="19" t="str">
        <v>入库组</v>
      </c>
      <c r="D1503" s="21" t="n">
        <v>46188</v>
      </c>
      <c r="E1503" s="19" t="str">
        <v>2026-06</v>
      </c>
      <c r="F1503" s="19" t="str">
        <v>操作员</v>
      </c>
      <c r="G1503" s="19" t="str">
        <v>英国区07:00-15:30 / UK 07:00-15:30</v>
      </c>
      <c r="H1503" s="19" t="str">
        <v>S000013</v>
      </c>
      <c r="I1503" s="19" t="str">
        <v>FT Recruitment</v>
      </c>
      <c r="J1503" s="23" t="n">
        <v>5</v>
      </c>
      <c r="K1503" s="23" t="n">
        <v>0</v>
      </c>
      <c r="L1503" s="23" t="n">
        <f>J1503+K1503</f>
        <v>5</v>
      </c>
      <c r="M1503" s="23" t="n">
        <v>5</v>
      </c>
      <c r="N1503" s="23" t="n">
        <v>3</v>
      </c>
      <c r="O1503" s="23" t="n">
        <v>5</v>
      </c>
      <c r="P1503" s="23" t="n">
        <v>3</v>
      </c>
      <c r="Q1503" s="23" t="n">
        <f>MIN(O1503,P1503)</f>
        <v>3</v>
      </c>
      <c r="R1503" s="25" t="n">
        <f>IF(M1503=0,0,MIN(1,L1503/M1503))</f>
        <v>1</v>
      </c>
      <c r="S1503" s="23" t="n">
        <f>O1503*R1503</f>
        <v>5</v>
      </c>
      <c r="T1503" s="23" t="n">
        <f>MIN(P1503,S1503)</f>
        <v>3</v>
      </c>
      <c r="U1503" s="23" t="n">
        <f>O1503-S1503</f>
        <v>0</v>
      </c>
      <c r="V1503" s="23" t="n">
        <f>MAX(P1503-O1503,0)</f>
        <v>0</v>
      </c>
    </row>
    <row r="1504">
      <c r="A1504" s="19" t="str">
        <v>英国区</v>
      </c>
      <c r="B1504" s="19" t="str">
        <v>伯明翰9号仓</v>
      </c>
      <c r="C1504" s="19" t="str">
        <v>入库组</v>
      </c>
      <c r="D1504" s="21" t="n">
        <v>46192</v>
      </c>
      <c r="E1504" s="19" t="str">
        <v>2026-06</v>
      </c>
      <c r="F1504" s="19" t="str">
        <v>操作员</v>
      </c>
      <c r="G1504" s="19" t="str">
        <v>英国区07:00-15:30 / UK 07:00-15:30</v>
      </c>
      <c r="H1504" s="19" t="str">
        <v>S000274</v>
      </c>
      <c r="I1504" s="19" t="str">
        <v>Jobsworth Recruitment Solutions Limited</v>
      </c>
      <c r="J1504" s="23" t="n">
        <v>2</v>
      </c>
      <c r="K1504" s="23" t="n">
        <v>0</v>
      </c>
      <c r="L1504" s="23" t="n">
        <f>J1504+K1504</f>
        <v>2</v>
      </c>
      <c r="M1504" s="23" t="n">
        <v>2</v>
      </c>
      <c r="N1504" s="23" t="n">
        <v>2</v>
      </c>
      <c r="O1504" s="23" t="n">
        <v>2</v>
      </c>
      <c r="P1504" s="23" t="n">
        <v>2</v>
      </c>
      <c r="Q1504" s="23" t="n">
        <f>MIN(O1504,P1504)</f>
        <v>2</v>
      </c>
      <c r="R1504" s="25" t="n">
        <f>IF(M1504=0,0,MIN(1,L1504/M1504))</f>
        <v>1</v>
      </c>
      <c r="S1504" s="23" t="n">
        <f>O1504*R1504</f>
        <v>2</v>
      </c>
      <c r="T1504" s="23" t="n">
        <f>MIN(P1504,S1504)</f>
        <v>2</v>
      </c>
      <c r="U1504" s="23" t="n">
        <f>O1504-S1504</f>
        <v>0</v>
      </c>
      <c r="V1504" s="23" t="n">
        <f>MAX(P1504-O1504,0)</f>
        <v>0</v>
      </c>
    </row>
    <row r="1505">
      <c r="A1505" s="19" t="str">
        <v>英国区</v>
      </c>
      <c r="B1505" s="19" t="str">
        <v>伯明翰9号仓</v>
      </c>
      <c r="C1505" s="19" t="str">
        <v>入库组</v>
      </c>
      <c r="D1505" s="21" t="n">
        <v>46197</v>
      </c>
      <c r="E1505" s="19" t="str">
        <v>2026-06</v>
      </c>
      <c r="F1505" s="19" t="str">
        <v>操作员</v>
      </c>
      <c r="G1505" s="19" t="str">
        <v>英国区07:00-15:30 / UK 07:00-15:30</v>
      </c>
      <c r="H1505" s="19" t="str">
        <v>S000013</v>
      </c>
      <c r="I1505" s="19" t="str">
        <v>FT Recruitment</v>
      </c>
      <c r="J1505" s="23" t="n">
        <v>3</v>
      </c>
      <c r="K1505" s="23" t="n">
        <v>0</v>
      </c>
      <c r="L1505" s="23" t="n">
        <f>J1505+K1505</f>
        <v>3</v>
      </c>
      <c r="M1505" s="23" t="n">
        <v>3</v>
      </c>
      <c r="N1505" s="23" t="n">
        <v>3</v>
      </c>
      <c r="O1505" s="23" t="n">
        <v>2</v>
      </c>
      <c r="P1505" s="23" t="n">
        <v>2</v>
      </c>
      <c r="Q1505" s="23" t="n">
        <f>MIN(O1505,P1505)</f>
        <v>2</v>
      </c>
      <c r="R1505" s="25" t="n">
        <f>IF(M1505=0,0,MIN(1,L1505/M1505))</f>
        <v>1</v>
      </c>
      <c r="S1505" s="23" t="n">
        <f>O1505*R1505</f>
        <v>2</v>
      </c>
      <c r="T1505" s="23" t="n">
        <f>MIN(P1505,S1505)</f>
        <v>2</v>
      </c>
      <c r="U1505" s="23" t="n">
        <f>O1505-S1505</f>
        <v>0</v>
      </c>
      <c r="V1505" s="23" t="n">
        <f>MAX(P1505-O1505,0)</f>
        <v>0</v>
      </c>
    </row>
    <row r="1506">
      <c r="A1506" s="19" t="str">
        <v>英国区</v>
      </c>
      <c r="B1506" s="19" t="str">
        <v>伯明翰9号仓</v>
      </c>
      <c r="C1506" s="19" t="str">
        <v>入库组</v>
      </c>
      <c r="D1506" s="21" t="n">
        <v>46197</v>
      </c>
      <c r="E1506" s="19" t="str">
        <v>2026-06</v>
      </c>
      <c r="F1506" s="19" t="str">
        <v>操作员</v>
      </c>
      <c r="G1506" s="19" t="str">
        <v>英国区07:00-15:30 / UK 07:00-15:30</v>
      </c>
      <c r="H1506" s="19" t="str">
        <v>S000274</v>
      </c>
      <c r="I1506" s="19" t="str">
        <v>Jobsworth Recruitment Solutions Limited</v>
      </c>
      <c r="J1506" s="23" t="n">
        <v>3</v>
      </c>
      <c r="K1506" s="23" t="n">
        <v>0</v>
      </c>
      <c r="L1506" s="23" t="n">
        <f>J1506+K1506</f>
        <v>3</v>
      </c>
      <c r="M1506" s="23" t="n">
        <v>3</v>
      </c>
      <c r="N1506" s="23" t="n">
        <v>3</v>
      </c>
      <c r="O1506" s="23" t="n">
        <v>1</v>
      </c>
      <c r="P1506" s="23" t="n">
        <v>1</v>
      </c>
      <c r="Q1506" s="23" t="n">
        <f>MIN(O1506,P1506)</f>
        <v>1</v>
      </c>
      <c r="R1506" s="25" t="n">
        <f>IF(M1506=0,0,MIN(1,L1506/M1506))</f>
        <v>1</v>
      </c>
      <c r="S1506" s="23" t="n">
        <f>O1506*R1506</f>
        <v>1</v>
      </c>
      <c r="T1506" s="23" t="n">
        <f>MIN(P1506,S1506)</f>
        <v>1</v>
      </c>
      <c r="U1506" s="23" t="n">
        <f>O1506-S1506</f>
        <v>0</v>
      </c>
      <c r="V1506" s="23" t="n">
        <f>MAX(P1506-O1506,0)</f>
        <v>0</v>
      </c>
    </row>
    <row r="1507">
      <c r="A1507" s="19" t="str">
        <v>英国区</v>
      </c>
      <c r="B1507" s="19" t="str">
        <v>伯明翰9号仓</v>
      </c>
      <c r="C1507" s="19" t="str">
        <v>入库组</v>
      </c>
      <c r="D1507" s="21" t="n">
        <v>46198</v>
      </c>
      <c r="E1507" s="19" t="str">
        <v>2026-06</v>
      </c>
      <c r="F1507" s="19" t="str">
        <v>操作员</v>
      </c>
      <c r="G1507" s="19" t="str">
        <v>英国区07:00-15:30 / UK 07:00-15:30</v>
      </c>
      <c r="H1507" s="19" t="str">
        <v>S000274</v>
      </c>
      <c r="I1507" s="19" t="str">
        <v>Jobsworth Recruitment Solutions Limited</v>
      </c>
      <c r="J1507" s="23" t="n">
        <v>1</v>
      </c>
      <c r="K1507" s="23" t="n">
        <v>0</v>
      </c>
      <c r="L1507" s="23" t="n">
        <f>J1507+K1507</f>
        <v>1</v>
      </c>
      <c r="M1507" s="23" t="n">
        <v>1</v>
      </c>
      <c r="N1507" s="23" t="n">
        <v>1</v>
      </c>
      <c r="O1507" s="23" t="n">
        <v>1</v>
      </c>
      <c r="P1507" s="23" t="n">
        <v>1</v>
      </c>
      <c r="Q1507" s="23" t="n">
        <f>MIN(O1507,P1507)</f>
        <v>1</v>
      </c>
      <c r="R1507" s="25" t="n">
        <f>IF(M1507=0,0,MIN(1,L1507/M1507))</f>
        <v>1</v>
      </c>
      <c r="S1507" s="23" t="n">
        <f>O1507*R1507</f>
        <v>1</v>
      </c>
      <c r="T1507" s="23" t="n">
        <f>MIN(P1507,S1507)</f>
        <v>1</v>
      </c>
      <c r="U1507" s="23" t="n">
        <f>O1507-S1507</f>
        <v>0</v>
      </c>
      <c r="V1507" s="23" t="n">
        <f>MAX(P1507-O1507,0)</f>
        <v>0</v>
      </c>
    </row>
    <row r="1508">
      <c r="A1508" s="19" t="str">
        <v>英国区</v>
      </c>
      <c r="B1508" s="19" t="str">
        <v>伯明翰9号仓</v>
      </c>
      <c r="C1508" s="19" t="str">
        <v>入库组</v>
      </c>
      <c r="D1508" s="21" t="n">
        <v>46199</v>
      </c>
      <c r="E1508" s="19" t="str">
        <v>2026-06</v>
      </c>
      <c r="F1508" s="19" t="str">
        <v>操作员</v>
      </c>
      <c r="G1508" s="19" t="str">
        <v>英国区07:00-15:30 / UK 07:00-15:30</v>
      </c>
      <c r="H1508" s="19" t="str">
        <v>S000274</v>
      </c>
      <c r="I1508" s="19" t="str">
        <v>Jobsworth Recruitment Solutions Limited</v>
      </c>
      <c r="J1508" s="23" t="n">
        <v>1</v>
      </c>
      <c r="K1508" s="23" t="n">
        <v>0</v>
      </c>
      <c r="L1508" s="23" t="n">
        <f>J1508+K1508</f>
        <v>1</v>
      </c>
      <c r="M1508" s="23" t="n">
        <v>1</v>
      </c>
      <c r="N1508" s="23" t="n">
        <v>1</v>
      </c>
      <c r="O1508" s="23" t="n">
        <v>1</v>
      </c>
      <c r="P1508" s="23" t="n">
        <v>1</v>
      </c>
      <c r="Q1508" s="23" t="n">
        <f>MIN(O1508,P1508)</f>
        <v>1</v>
      </c>
      <c r="R1508" s="25" t="n">
        <f>IF(M1508=0,0,MIN(1,L1508/M1508))</f>
        <v>1</v>
      </c>
      <c r="S1508" s="23" t="n">
        <f>O1508*R1508</f>
        <v>1</v>
      </c>
      <c r="T1508" s="23" t="n">
        <f>MIN(P1508,S1508)</f>
        <v>1</v>
      </c>
      <c r="U1508" s="23" t="n">
        <f>O1508-S1508</f>
        <v>0</v>
      </c>
      <c r="V1508" s="23" t="n">
        <f>MAX(P1508-O1508,0)</f>
        <v>0</v>
      </c>
    </row>
    <row r="1509">
      <c r="A1509" s="19" t="str">
        <v>英国区</v>
      </c>
      <c r="B1509" s="19" t="str">
        <v>伯明翰9号仓</v>
      </c>
      <c r="C1509" s="19" t="str">
        <v>入库组</v>
      </c>
      <c r="D1509" s="21" t="n">
        <v>46202</v>
      </c>
      <c r="E1509" s="19" t="str">
        <v>2026-06</v>
      </c>
      <c r="F1509" s="19" t="str">
        <v>操作员</v>
      </c>
      <c r="G1509" s="19" t="str">
        <v>英国区07:00-15:30 / UK 07:00-15:30</v>
      </c>
      <c r="H1509" s="19" t="str">
        <v>S000013</v>
      </c>
      <c r="I1509" s="19" t="str">
        <v>FT Recruitment</v>
      </c>
      <c r="J1509" s="23" t="n">
        <v>3</v>
      </c>
      <c r="K1509" s="23" t="n">
        <v>0</v>
      </c>
      <c r="L1509" s="23" t="n">
        <f>J1509+K1509</f>
        <v>3</v>
      </c>
      <c r="M1509" s="23" t="n">
        <v>3</v>
      </c>
      <c r="N1509" s="23" t="n">
        <v>3</v>
      </c>
      <c r="O1509" s="23" t="n">
        <v>2</v>
      </c>
      <c r="P1509" s="23" t="n">
        <v>2</v>
      </c>
      <c r="Q1509" s="23" t="n">
        <f>MIN(O1509,P1509)</f>
        <v>2</v>
      </c>
      <c r="R1509" s="25" t="n">
        <f>IF(M1509=0,0,MIN(1,L1509/M1509))</f>
        <v>1</v>
      </c>
      <c r="S1509" s="23" t="n">
        <f>O1509*R1509</f>
        <v>2</v>
      </c>
      <c r="T1509" s="23" t="n">
        <f>MIN(P1509,S1509)</f>
        <v>2</v>
      </c>
      <c r="U1509" s="23" t="n">
        <f>O1509-S1509</f>
        <v>0</v>
      </c>
      <c r="V1509" s="23" t="n">
        <f>MAX(P1509-O1509,0)</f>
        <v>0</v>
      </c>
    </row>
    <row r="1510">
      <c r="A1510" s="19" t="str">
        <v>英国区</v>
      </c>
      <c r="B1510" s="19" t="str">
        <v>伯明翰9号仓</v>
      </c>
      <c r="C1510" s="19" t="str">
        <v>入库组</v>
      </c>
      <c r="D1510" s="21" t="n">
        <v>46202</v>
      </c>
      <c r="E1510" s="19" t="str">
        <v>2026-06</v>
      </c>
      <c r="F1510" s="19" t="str">
        <v>操作员</v>
      </c>
      <c r="G1510" s="19" t="str">
        <v>英国区07:00-15:30 / UK 07:00-15:30</v>
      </c>
      <c r="H1510" s="19" t="str">
        <v>S000274</v>
      </c>
      <c r="I1510" s="19" t="str">
        <v>Jobsworth Recruitment Solutions Limited</v>
      </c>
      <c r="J1510" s="23" t="n">
        <v>3</v>
      </c>
      <c r="K1510" s="23" t="n">
        <v>0</v>
      </c>
      <c r="L1510" s="23" t="n">
        <f>J1510+K1510</f>
        <v>3</v>
      </c>
      <c r="M1510" s="23" t="n">
        <v>3</v>
      </c>
      <c r="N1510" s="23" t="n">
        <v>3</v>
      </c>
      <c r="O1510" s="23" t="n">
        <v>1</v>
      </c>
      <c r="P1510" s="23" t="n">
        <v>1</v>
      </c>
      <c r="Q1510" s="23" t="n">
        <f>MIN(O1510,P1510)</f>
        <v>1</v>
      </c>
      <c r="R1510" s="25" t="n">
        <f>IF(M1510=0,0,MIN(1,L1510/M1510))</f>
        <v>1</v>
      </c>
      <c r="S1510" s="23" t="n">
        <f>O1510*R1510</f>
        <v>1</v>
      </c>
      <c r="T1510" s="23" t="n">
        <f>MIN(P1510,S1510)</f>
        <v>1</v>
      </c>
      <c r="U1510" s="23" t="n">
        <f>O1510-S1510</f>
        <v>0</v>
      </c>
      <c r="V1510" s="23" t="n">
        <f>MAX(P1510-O1510,0)</f>
        <v>0</v>
      </c>
    </row>
    <row r="1511">
      <c r="A1511" s="19" t="str">
        <v>英国区</v>
      </c>
      <c r="B1511" s="19" t="str">
        <v>伯明翰9号仓</v>
      </c>
      <c r="C1511" s="19" t="str">
        <v>入库组</v>
      </c>
      <c r="D1511" s="21" t="n">
        <v>46203</v>
      </c>
      <c r="E1511" s="19" t="str">
        <v>2026-06</v>
      </c>
      <c r="F1511" s="19" t="str">
        <v>操作员</v>
      </c>
      <c r="G1511" s="19" t="str">
        <v>英国区07:00-15:30 / UK 07:00-15:30</v>
      </c>
      <c r="H1511" s="19" t="str">
        <v>S000007</v>
      </c>
      <c r="I1511" s="19" t="str">
        <v>Kenect</v>
      </c>
      <c r="J1511" s="23" t="n">
        <v>2</v>
      </c>
      <c r="K1511" s="23" t="n">
        <v>0</v>
      </c>
      <c r="L1511" s="23" t="n">
        <f>J1511+K1511</f>
        <v>2</v>
      </c>
      <c r="M1511" s="23" t="n">
        <v>2</v>
      </c>
      <c r="N1511" s="23" t="n">
        <v>2</v>
      </c>
      <c r="O1511" s="23" t="n">
        <v>2</v>
      </c>
      <c r="P1511" s="23" t="n">
        <v>2</v>
      </c>
      <c r="Q1511" s="23" t="n">
        <f>MIN(O1511,P1511)</f>
        <v>2</v>
      </c>
      <c r="R1511" s="25" t="n">
        <f>IF(M1511=0,0,MIN(1,L1511/M1511))</f>
        <v>1</v>
      </c>
      <c r="S1511" s="23" t="n">
        <f>O1511*R1511</f>
        <v>2</v>
      </c>
      <c r="T1511" s="23" t="n">
        <f>MIN(P1511,S1511)</f>
        <v>2</v>
      </c>
      <c r="U1511" s="23" t="n">
        <f>O1511-S1511</f>
        <v>0</v>
      </c>
      <c r="V1511" s="23" t="n">
        <f>MAX(P1511-O1511,0)</f>
        <v>0</v>
      </c>
    </row>
    <row r="1512">
      <c r="A1512" s="19" t="str">
        <v>英国区</v>
      </c>
      <c r="B1512" s="19" t="str">
        <v>伯明翰9号仓</v>
      </c>
      <c r="C1512" s="19" t="str">
        <v>包装组</v>
      </c>
      <c r="D1512" s="21" t="n">
        <v>46136</v>
      </c>
      <c r="E1512" s="19" t="str">
        <v>2026-04</v>
      </c>
      <c r="F1512" s="19" t="str">
        <v>操作员</v>
      </c>
      <c r="G1512" s="19" t="str">
        <v>英国区09:00-17:30 / UK 09:00-17:30</v>
      </c>
      <c r="H1512" s="19" t="str">
        <v>S000007</v>
      </c>
      <c r="I1512" s="19" t="str">
        <v>Kenect</v>
      </c>
      <c r="J1512" s="23" t="n">
        <v>1</v>
      </c>
      <c r="K1512" s="23" t="n">
        <v>0</v>
      </c>
      <c r="L1512" s="23" t="n">
        <f>J1512+K1512</f>
        <v>1</v>
      </c>
      <c r="M1512" s="23" t="n">
        <v>1</v>
      </c>
      <c r="N1512" s="23" t="n">
        <v>1</v>
      </c>
      <c r="O1512" s="23" t="n">
        <v>1</v>
      </c>
      <c r="P1512" s="23" t="n">
        <v>1</v>
      </c>
      <c r="Q1512" s="23" t="n">
        <f>MIN(O1512,P1512)</f>
        <v>1</v>
      </c>
      <c r="R1512" s="25" t="n">
        <f>IF(M1512=0,0,MIN(1,L1512/M1512))</f>
        <v>1</v>
      </c>
      <c r="S1512" s="23" t="n">
        <f>O1512*R1512</f>
        <v>1</v>
      </c>
      <c r="T1512" s="23" t="n">
        <f>MIN(P1512,S1512)</f>
        <v>1</v>
      </c>
      <c r="U1512" s="23" t="n">
        <f>O1512-S1512</f>
        <v>0</v>
      </c>
      <c r="V1512" s="23" t="n">
        <f>MAX(P1512-O1512,0)</f>
        <v>0</v>
      </c>
    </row>
    <row r="1513">
      <c r="A1513" s="19" t="str">
        <v>英国区</v>
      </c>
      <c r="B1513" s="19" t="str">
        <v>伯明翰9号仓</v>
      </c>
      <c r="C1513" s="19" t="str">
        <v>拣货组</v>
      </c>
      <c r="D1513" s="21" t="n">
        <v>46132</v>
      </c>
      <c r="E1513" s="19" t="str">
        <v>2026-04</v>
      </c>
      <c r="F1513" s="19" t="str">
        <v>操作员</v>
      </c>
      <c r="G1513" s="19" t="str">
        <v>英国区09:00-17:30 / UK 09:00-17:30</v>
      </c>
      <c r="H1513" s="19" t="str">
        <v>S000013</v>
      </c>
      <c r="I1513" s="19" t="str">
        <v>FT Recruitment</v>
      </c>
      <c r="J1513" s="23" t="n">
        <v>1</v>
      </c>
      <c r="K1513" s="23" t="n">
        <v>0</v>
      </c>
      <c r="L1513" s="23" t="n">
        <f>J1513+K1513</f>
        <v>1</v>
      </c>
      <c r="M1513" s="23" t="n">
        <v>1</v>
      </c>
      <c r="N1513" s="23" t="n">
        <v>1</v>
      </c>
      <c r="O1513" s="23" t="n">
        <v>1</v>
      </c>
      <c r="P1513" s="23" t="n">
        <v>1</v>
      </c>
      <c r="Q1513" s="23" t="n">
        <f>MIN(O1513,P1513)</f>
        <v>1</v>
      </c>
      <c r="R1513" s="25" t="n">
        <f>IF(M1513=0,0,MIN(1,L1513/M1513))</f>
        <v>1</v>
      </c>
      <c r="S1513" s="23" t="n">
        <f>O1513*R1513</f>
        <v>1</v>
      </c>
      <c r="T1513" s="23" t="n">
        <f>MIN(P1513,S1513)</f>
        <v>1</v>
      </c>
      <c r="U1513" s="23" t="n">
        <f>O1513-S1513</f>
        <v>0</v>
      </c>
      <c r="V1513" s="23" t="n">
        <f>MAX(P1513-O1513,0)</f>
        <v>0</v>
      </c>
    </row>
    <row r="1514">
      <c r="A1514" s="19" t="str">
        <v>西班牙区</v>
      </c>
      <c r="B1514" s="19" t="str">
        <v>马德里1号仓</v>
      </c>
      <c r="C1514" s="19" t="str">
        <v>交运组</v>
      </c>
      <c r="D1514" s="21" t="n">
        <v>46191</v>
      </c>
      <c r="E1514" s="19" t="str">
        <v>2026-06</v>
      </c>
      <c r="F1514" s="19" t="str">
        <v>交运员Class 1</v>
      </c>
      <c r="G1514" s="19" t="str">
        <v>西班牙周末白班班次（8:00--17:00）</v>
      </c>
      <c r="H1514" s="19" t="str">
        <v>S000303</v>
      </c>
      <c r="I1514" s="19" t="str">
        <v>FLEXIPLAN ETT S.A.</v>
      </c>
      <c r="J1514" s="23" t="n">
        <v>1</v>
      </c>
      <c r="K1514" s="23" t="n">
        <v>0</v>
      </c>
      <c r="L1514" s="23" t="n">
        <f>J1514+K1514</f>
        <v>1</v>
      </c>
      <c r="M1514" s="23" t="n">
        <v>1</v>
      </c>
      <c r="N1514" s="23" t="n">
        <v>1</v>
      </c>
      <c r="O1514" s="23" t="n">
        <v>1</v>
      </c>
      <c r="P1514" s="23" t="n">
        <v>1</v>
      </c>
      <c r="Q1514" s="23" t="n">
        <f>MIN(O1514,P1514)</f>
        <v>1</v>
      </c>
      <c r="R1514" s="25" t="n">
        <f>IF(M1514=0,0,MIN(1,L1514/M1514))</f>
        <v>1</v>
      </c>
      <c r="S1514" s="23" t="n">
        <f>O1514*R1514</f>
        <v>1</v>
      </c>
      <c r="T1514" s="23" t="n">
        <f>MIN(P1514,S1514)</f>
        <v>1</v>
      </c>
      <c r="U1514" s="23" t="n">
        <f>O1514-S1514</f>
        <v>0</v>
      </c>
      <c r="V1514" s="23" t="n">
        <f>MAX(P1514-O1514,0)</f>
        <v>0</v>
      </c>
    </row>
    <row r="1515">
      <c r="A1515" s="19" t="str">
        <v>西班牙区</v>
      </c>
      <c r="B1515" s="19" t="str">
        <v>马德里1号仓</v>
      </c>
      <c r="C1515" s="19" t="str">
        <v>交运组</v>
      </c>
      <c r="D1515" s="21" t="n">
        <v>46199</v>
      </c>
      <c r="E1515" s="19" t="str">
        <v>2026-06</v>
      </c>
      <c r="F1515" s="19" t="str">
        <v>操作员</v>
      </c>
      <c r="G1515" s="19" t="str">
        <v>西班牙区09:00-18:00 / ES 09:00-18:00</v>
      </c>
      <c r="H1515" s="19" t="str">
        <v>S000303</v>
      </c>
      <c r="I1515" s="19" t="str">
        <v>FLEXIPLAN ETT S.A.</v>
      </c>
      <c r="J1515" s="23" t="n">
        <v>1</v>
      </c>
      <c r="K1515" s="23" t="n">
        <v>0</v>
      </c>
      <c r="L1515" s="23" t="n">
        <f>J1515+K1515</f>
        <v>1</v>
      </c>
      <c r="M1515" s="23" t="n">
        <v>1</v>
      </c>
      <c r="N1515" s="23" t="n">
        <v>1</v>
      </c>
      <c r="O1515" s="23" t="n">
        <v>1</v>
      </c>
      <c r="P1515" s="23" t="n">
        <v>1</v>
      </c>
      <c r="Q1515" s="23" t="n">
        <f>MIN(O1515,P1515)</f>
        <v>1</v>
      </c>
      <c r="R1515" s="25" t="n">
        <f>IF(M1515=0,0,MIN(1,L1515/M1515))</f>
        <v>1</v>
      </c>
      <c r="S1515" s="23" t="n">
        <f>O1515*R1515</f>
        <v>1</v>
      </c>
      <c r="T1515" s="23" t="n">
        <f>MIN(P1515,S1515)</f>
        <v>1</v>
      </c>
      <c r="U1515" s="23" t="n">
        <f>O1515-S1515</f>
        <v>0</v>
      </c>
      <c r="V1515" s="23" t="n">
        <f>MAX(P1515-O1515,0)</f>
        <v>0</v>
      </c>
    </row>
    <row r="1516">
      <c r="A1516" s="19" t="str">
        <v>西班牙区</v>
      </c>
      <c r="B1516" s="19" t="str">
        <v>马德里1号仓</v>
      </c>
      <c r="C1516" s="19" t="str">
        <v>入库组</v>
      </c>
      <c r="D1516" s="21" t="n">
        <v>46183</v>
      </c>
      <c r="E1516" s="19" t="str">
        <v>2026-06</v>
      </c>
      <c r="F1516" s="19" t="str">
        <v>叉车司机</v>
      </c>
      <c r="G1516" s="19" t="str">
        <v>西班牙区09:00-18:00 / ES 09:00-18:00</v>
      </c>
      <c r="H1516" s="19" t="str">
        <v>S000303</v>
      </c>
      <c r="I1516" s="19" t="str">
        <v>FLEXIPLAN ETT S.A.</v>
      </c>
      <c r="J1516" s="23" t="n">
        <v>1</v>
      </c>
      <c r="K1516" s="23" t="n">
        <v>0</v>
      </c>
      <c r="L1516" s="23" t="n">
        <f>J1516+K1516</f>
        <v>1</v>
      </c>
      <c r="M1516" s="23" t="n">
        <v>1</v>
      </c>
      <c r="N1516" s="23" t="n">
        <v>1</v>
      </c>
      <c r="O1516" s="23" t="n">
        <v>1</v>
      </c>
      <c r="P1516" s="23" t="n">
        <v>1</v>
      </c>
      <c r="Q1516" s="23" t="n">
        <f>MIN(O1516,P1516)</f>
        <v>1</v>
      </c>
      <c r="R1516" s="25" t="n">
        <f>IF(M1516=0,0,MIN(1,L1516/M1516))</f>
        <v>1</v>
      </c>
      <c r="S1516" s="23" t="n">
        <f>O1516*R1516</f>
        <v>1</v>
      </c>
      <c r="T1516" s="23" t="n">
        <f>MIN(P1516,S1516)</f>
        <v>1</v>
      </c>
      <c r="U1516" s="23" t="n">
        <f>O1516-S1516</f>
        <v>0</v>
      </c>
      <c r="V1516" s="23" t="n">
        <f>MAX(P1516-O1516,0)</f>
        <v>0</v>
      </c>
    </row>
    <row r="1517">
      <c r="A1517" s="19" t="str">
        <v>西班牙区</v>
      </c>
      <c r="B1517" s="19" t="str">
        <v>马德里1号仓</v>
      </c>
      <c r="C1517" s="19" t="str">
        <v>入库组</v>
      </c>
      <c r="D1517" s="21" t="n">
        <v>46184</v>
      </c>
      <c r="E1517" s="19" t="str">
        <v>2026-06</v>
      </c>
      <c r="F1517" s="19" t="str">
        <v>叉车司机</v>
      </c>
      <c r="G1517" s="19" t="str">
        <v>西班牙区09:00-18:00 / ES 09:00-18:00</v>
      </c>
      <c r="H1517" s="19" t="str">
        <v>S000303</v>
      </c>
      <c r="I1517" s="19" t="str">
        <v>FLEXIPLAN ETT S.A.</v>
      </c>
      <c r="J1517" s="23" t="n">
        <v>1</v>
      </c>
      <c r="K1517" s="23" t="n">
        <v>0</v>
      </c>
      <c r="L1517" s="23" t="n">
        <f>J1517+K1517</f>
        <v>1</v>
      </c>
      <c r="M1517" s="23" t="n">
        <v>1</v>
      </c>
      <c r="N1517" s="23" t="n">
        <v>1</v>
      </c>
      <c r="O1517" s="23" t="n">
        <v>1</v>
      </c>
      <c r="P1517" s="23" t="n">
        <v>1</v>
      </c>
      <c r="Q1517" s="23" t="n">
        <f>MIN(O1517,P1517)</f>
        <v>1</v>
      </c>
      <c r="R1517" s="25" t="n">
        <f>IF(M1517=0,0,MIN(1,L1517/M1517))</f>
        <v>1</v>
      </c>
      <c r="S1517" s="23" t="n">
        <f>O1517*R1517</f>
        <v>1</v>
      </c>
      <c r="T1517" s="23" t="n">
        <f>MIN(P1517,S1517)</f>
        <v>1</v>
      </c>
      <c r="U1517" s="23" t="n">
        <f>O1517-S1517</f>
        <v>0</v>
      </c>
      <c r="V1517" s="23" t="n">
        <f>MAX(P1517-O1517,0)</f>
        <v>0</v>
      </c>
    </row>
    <row r="1518">
      <c r="A1518" s="19" t="str">
        <v>西班牙区</v>
      </c>
      <c r="B1518" s="19" t="str">
        <v>马德里1号仓</v>
      </c>
      <c r="C1518" s="19" t="str">
        <v>入库组</v>
      </c>
      <c r="D1518" s="21" t="n">
        <v>46189</v>
      </c>
      <c r="E1518" s="19" t="str">
        <v>2026-06</v>
      </c>
      <c r="F1518" s="19" t="str">
        <v>操作员</v>
      </c>
      <c r="G1518" s="19" t="str">
        <v>西班牙区09:00-18:00 / ES 09:00-18:00</v>
      </c>
      <c r="H1518" s="19" t="str">
        <v>S000303</v>
      </c>
      <c r="I1518" s="19" t="str">
        <v>FLEXIPLAN ETT S.A.</v>
      </c>
      <c r="J1518" s="23" t="n">
        <v>1</v>
      </c>
      <c r="K1518" s="23" t="n">
        <v>0</v>
      </c>
      <c r="L1518" s="23" t="n">
        <f>J1518+K1518</f>
        <v>1</v>
      </c>
      <c r="M1518" s="23" t="n">
        <v>1</v>
      </c>
      <c r="N1518" s="23" t="n">
        <v>1</v>
      </c>
      <c r="O1518" s="23" t="n">
        <v>1</v>
      </c>
      <c r="P1518" s="23" t="n">
        <v>1</v>
      </c>
      <c r="Q1518" s="23" t="n">
        <f>MIN(O1518,P1518)</f>
        <v>1</v>
      </c>
      <c r="R1518" s="25" t="n">
        <f>IF(M1518=0,0,MIN(1,L1518/M1518))</f>
        <v>1</v>
      </c>
      <c r="S1518" s="23" t="n">
        <f>O1518*R1518</f>
        <v>1</v>
      </c>
      <c r="T1518" s="23" t="n">
        <f>MIN(P1518,S1518)</f>
        <v>1</v>
      </c>
      <c r="U1518" s="23" t="n">
        <f>O1518-S1518</f>
        <v>0</v>
      </c>
      <c r="V1518" s="23" t="n">
        <f>MAX(P1518-O1518,0)</f>
        <v>0</v>
      </c>
    </row>
    <row r="1519">
      <c r="A1519" s="19" t="str">
        <v>西班牙区</v>
      </c>
      <c r="B1519" s="19" t="str">
        <v>马德里1号仓</v>
      </c>
      <c r="C1519" s="19" t="str">
        <v>包装组</v>
      </c>
      <c r="D1519" s="21" t="n">
        <v>46146</v>
      </c>
      <c r="E1519" s="19" t="str">
        <v>2026-05</v>
      </c>
      <c r="F1519" s="19" t="str">
        <v>操作员</v>
      </c>
      <c r="G1519" s="19" t="str">
        <v>西班牙区09:00-18:00 / ES 09:00-18:00</v>
      </c>
      <c r="H1519" s="19" t="str">
        <v>S000303</v>
      </c>
      <c r="I1519" s="19" t="str">
        <v>FLEXIPLAN ETT S.A.</v>
      </c>
      <c r="J1519" s="23" t="n">
        <v>1</v>
      </c>
      <c r="K1519" s="23" t="n">
        <v>0</v>
      </c>
      <c r="L1519" s="23" t="n">
        <f>J1519+K1519</f>
        <v>1</v>
      </c>
      <c r="M1519" s="23" t="n">
        <v>1</v>
      </c>
      <c r="N1519" s="23" t="n">
        <v>1</v>
      </c>
      <c r="O1519" s="23" t="n">
        <v>1</v>
      </c>
      <c r="P1519" s="23" t="n">
        <v>1</v>
      </c>
      <c r="Q1519" s="23" t="n">
        <f>MIN(O1519,P1519)</f>
        <v>1</v>
      </c>
      <c r="R1519" s="25" t="n">
        <f>IF(M1519=0,0,MIN(1,L1519/M1519))</f>
        <v>1</v>
      </c>
      <c r="S1519" s="23" t="n">
        <f>O1519*R1519</f>
        <v>1</v>
      </c>
      <c r="T1519" s="23" t="n">
        <f>MIN(P1519,S1519)</f>
        <v>1</v>
      </c>
      <c r="U1519" s="23" t="n">
        <f>O1519-S1519</f>
        <v>0</v>
      </c>
      <c r="V1519" s="23" t="n">
        <f>MAX(P1519-O1519,0)</f>
        <v>0</v>
      </c>
    </row>
    <row r="1520">
      <c r="A1520" s="19" t="str">
        <v>西班牙区</v>
      </c>
      <c r="B1520" s="19" t="str">
        <v>马德里1号仓</v>
      </c>
      <c r="C1520" s="19" t="str">
        <v>拣货组</v>
      </c>
      <c r="D1520" s="21" t="n">
        <v>46114</v>
      </c>
      <c r="E1520" s="19" t="str">
        <v>2026-04</v>
      </c>
      <c r="F1520" s="19" t="str">
        <v>叉车司机</v>
      </c>
      <c r="G1520" s="19" t="str">
        <v>西班牙区09:00-18:00 / ES 09:00-18:00</v>
      </c>
      <c r="H1520" s="19" t="str">
        <v>S000303</v>
      </c>
      <c r="I1520" s="19" t="str">
        <v>FLEXIPLAN ETT S.A.</v>
      </c>
      <c r="J1520" s="23" t="n">
        <v>1</v>
      </c>
      <c r="K1520" s="23" t="n">
        <v>0</v>
      </c>
      <c r="L1520" s="23" t="n">
        <f>J1520+K1520</f>
        <v>1</v>
      </c>
      <c r="M1520" s="23" t="n">
        <v>1</v>
      </c>
      <c r="N1520" s="23" t="n">
        <v>1</v>
      </c>
      <c r="O1520" s="23" t="n">
        <v>1</v>
      </c>
      <c r="P1520" s="23" t="n">
        <v>1</v>
      </c>
      <c r="Q1520" s="23" t="n">
        <f>MIN(O1520,P1520)</f>
        <v>1</v>
      </c>
      <c r="R1520" s="25" t="n">
        <f>IF(M1520=0,0,MIN(1,L1520/M1520))</f>
        <v>1</v>
      </c>
      <c r="S1520" s="23" t="n">
        <f>O1520*R1520</f>
        <v>1</v>
      </c>
      <c r="T1520" s="23" t="n">
        <f>MIN(P1520,S1520)</f>
        <v>1</v>
      </c>
      <c r="U1520" s="23" t="n">
        <f>O1520-S1520</f>
        <v>0</v>
      </c>
      <c r="V1520" s="23" t="n">
        <f>MAX(P1520-O1520,0)</f>
        <v>0</v>
      </c>
    </row>
    <row r="1521">
      <c r="A1521" s="19" t="str">
        <v>西班牙区</v>
      </c>
      <c r="B1521" s="19" t="str">
        <v>马德里1号仓</v>
      </c>
      <c r="C1521" s="19" t="str">
        <v>拣货组</v>
      </c>
      <c r="D1521" s="21" t="n">
        <v>46119</v>
      </c>
      <c r="E1521" s="19" t="str">
        <v>2026-04</v>
      </c>
      <c r="F1521" s="19" t="str">
        <v>叉车司机</v>
      </c>
      <c r="G1521" s="19" t="str">
        <v>西班牙区09:00-18:00 / ES 09:00-18:00</v>
      </c>
      <c r="H1521" s="19" t="str">
        <v>S000303</v>
      </c>
      <c r="I1521" s="19" t="str">
        <v>FLEXIPLAN ETT S.A.</v>
      </c>
      <c r="J1521" s="23" t="n">
        <v>1</v>
      </c>
      <c r="K1521" s="23" t="n">
        <v>0</v>
      </c>
      <c r="L1521" s="23" t="n">
        <f>J1521+K1521</f>
        <v>1</v>
      </c>
      <c r="M1521" s="23" t="n">
        <v>1</v>
      </c>
      <c r="N1521" s="23" t="n">
        <v>1</v>
      </c>
      <c r="O1521" s="23" t="n">
        <v>1</v>
      </c>
      <c r="P1521" s="23" t="n">
        <v>1</v>
      </c>
      <c r="Q1521" s="23" t="n">
        <f>MIN(O1521,P1521)</f>
        <v>1</v>
      </c>
      <c r="R1521" s="25" t="n">
        <f>IF(M1521=0,0,MIN(1,L1521/M1521))</f>
        <v>1</v>
      </c>
      <c r="S1521" s="23" t="n">
        <f>O1521*R1521</f>
        <v>1</v>
      </c>
      <c r="T1521" s="23" t="n">
        <f>MIN(P1521,S1521)</f>
        <v>1</v>
      </c>
      <c r="U1521" s="23" t="n">
        <f>O1521-S1521</f>
        <v>0</v>
      </c>
      <c r="V1521" s="23" t="n">
        <f>MAX(P1521-O1521,0)</f>
        <v>0</v>
      </c>
    </row>
    <row r="1522">
      <c r="A1522" s="19" t="str">
        <v>西班牙区</v>
      </c>
      <c r="B1522" s="19" t="str">
        <v>马德里1号仓</v>
      </c>
      <c r="C1522" s="19" t="str">
        <v>拣货组</v>
      </c>
      <c r="D1522" s="21" t="n">
        <v>46126</v>
      </c>
      <c r="E1522" s="19" t="str">
        <v>2026-04</v>
      </c>
      <c r="F1522" s="19" t="str">
        <v>叉车司机</v>
      </c>
      <c r="G1522" s="19" t="str">
        <v>西班牙区07:00-16:00 / ES 07:00-16:00</v>
      </c>
      <c r="H1522" s="19" t="str">
        <v>S000303</v>
      </c>
      <c r="I1522" s="19" t="str">
        <v>FLEXIPLAN ETT S.A.</v>
      </c>
      <c r="J1522" s="23" t="n">
        <v>1</v>
      </c>
      <c r="K1522" s="23" t="n">
        <v>0</v>
      </c>
      <c r="L1522" s="23" t="n">
        <f>J1522+K1522</f>
        <v>1</v>
      </c>
      <c r="M1522" s="23" t="n">
        <v>1</v>
      </c>
      <c r="N1522" s="23" t="n">
        <v>1</v>
      </c>
      <c r="O1522" s="23" t="n">
        <v>1</v>
      </c>
      <c r="P1522" s="23" t="n">
        <v>1</v>
      </c>
      <c r="Q1522" s="23" t="n">
        <f>MIN(O1522,P1522)</f>
        <v>1</v>
      </c>
      <c r="R1522" s="25" t="n">
        <f>IF(M1522=0,0,MIN(1,L1522/M1522))</f>
        <v>1</v>
      </c>
      <c r="S1522" s="23" t="n">
        <f>O1522*R1522</f>
        <v>1</v>
      </c>
      <c r="T1522" s="23" t="n">
        <f>MIN(P1522,S1522)</f>
        <v>1</v>
      </c>
      <c r="U1522" s="23" t="n">
        <f>O1522-S1522</f>
        <v>0</v>
      </c>
      <c r="V1522" s="23" t="n">
        <f>MAX(P1522-O1522,0)</f>
        <v>0</v>
      </c>
    </row>
    <row r="1523">
      <c r="A1523" s="19" t="str">
        <v>西班牙区</v>
      </c>
      <c r="B1523" s="19" t="str">
        <v>马德里1号仓</v>
      </c>
      <c r="C1523" s="19" t="str">
        <v>拣货组</v>
      </c>
      <c r="D1523" s="21" t="n">
        <v>46128</v>
      </c>
      <c r="E1523" s="19" t="str">
        <v>2026-04</v>
      </c>
      <c r="F1523" s="19" t="str">
        <v>叉车司机</v>
      </c>
      <c r="G1523" s="19" t="str">
        <v>西班牙区09:00-18:00 / ES 09:00-18:00</v>
      </c>
      <c r="H1523" s="19" t="str">
        <v>S000303</v>
      </c>
      <c r="I1523" s="19" t="str">
        <v>FLEXIPLAN ETT S.A.</v>
      </c>
      <c r="J1523" s="23" t="n">
        <v>1</v>
      </c>
      <c r="K1523" s="23" t="n">
        <v>0</v>
      </c>
      <c r="L1523" s="23" t="n">
        <f>J1523+K1523</f>
        <v>1</v>
      </c>
      <c r="M1523" s="23" t="n">
        <v>1</v>
      </c>
      <c r="N1523" s="23" t="n">
        <v>1</v>
      </c>
      <c r="O1523" s="23" t="n">
        <v>1</v>
      </c>
      <c r="P1523" s="23" t="n">
        <v>1</v>
      </c>
      <c r="Q1523" s="23" t="n">
        <f>MIN(O1523,P1523)</f>
        <v>1</v>
      </c>
      <c r="R1523" s="25" t="n">
        <f>IF(M1523=0,0,MIN(1,L1523/M1523))</f>
        <v>1</v>
      </c>
      <c r="S1523" s="23" t="n">
        <f>O1523*R1523</f>
        <v>1</v>
      </c>
      <c r="T1523" s="23" t="n">
        <f>MIN(P1523,S1523)</f>
        <v>1</v>
      </c>
      <c r="U1523" s="23" t="n">
        <f>O1523-S1523</f>
        <v>0</v>
      </c>
      <c r="V1523" s="23" t="n">
        <f>MAX(P1523-O1523,0)</f>
        <v>0</v>
      </c>
    </row>
    <row r="1524">
      <c r="A1524" s="19" t="str">
        <v>西班牙区</v>
      </c>
      <c r="B1524" s="19" t="str">
        <v>马德里1号仓</v>
      </c>
      <c r="C1524" s="19" t="str">
        <v>拣货组</v>
      </c>
      <c r="D1524" s="21" t="n">
        <v>46142</v>
      </c>
      <c r="E1524" s="19" t="str">
        <v>2026-04</v>
      </c>
      <c r="F1524" s="19" t="str">
        <v>叉车司机</v>
      </c>
      <c r="G1524" s="19" t="str">
        <v>西班牙区07:00-16:00 / ES 07:00-16:00</v>
      </c>
      <c r="H1524" s="19" t="str">
        <v>S000303</v>
      </c>
      <c r="I1524" s="19" t="str">
        <v>FLEXIPLAN ETT S.A.</v>
      </c>
      <c r="J1524" s="23" t="n">
        <v>1</v>
      </c>
      <c r="K1524" s="23" t="n">
        <v>0</v>
      </c>
      <c r="L1524" s="23" t="n">
        <f>J1524+K1524</f>
        <v>1</v>
      </c>
      <c r="M1524" s="23" t="n">
        <v>1</v>
      </c>
      <c r="N1524" s="23" t="n">
        <v>1</v>
      </c>
      <c r="O1524" s="23" t="n">
        <v>1</v>
      </c>
      <c r="P1524" s="23" t="n">
        <v>1</v>
      </c>
      <c r="Q1524" s="23" t="n">
        <f>MIN(O1524,P1524)</f>
        <v>1</v>
      </c>
      <c r="R1524" s="25" t="n">
        <f>IF(M1524=0,0,MIN(1,L1524/M1524))</f>
        <v>1</v>
      </c>
      <c r="S1524" s="23" t="n">
        <f>O1524*R1524</f>
        <v>1</v>
      </c>
      <c r="T1524" s="23" t="n">
        <f>MIN(P1524,S1524)</f>
        <v>1</v>
      </c>
      <c r="U1524" s="23" t="n">
        <f>O1524-S1524</f>
        <v>0</v>
      </c>
      <c r="V1524" s="23" t="n">
        <f>MAX(P1524-O1524,0)</f>
        <v>0</v>
      </c>
    </row>
    <row r="1525">
      <c r="A1525" s="19" t="str">
        <v>西班牙区</v>
      </c>
      <c r="B1525" s="19" t="str">
        <v>马德里1号仓</v>
      </c>
      <c r="C1525" s="19" t="str">
        <v>拣货组</v>
      </c>
      <c r="D1525" s="21" t="n">
        <v>46143</v>
      </c>
      <c r="E1525" s="19" t="str">
        <v>2026-05</v>
      </c>
      <c r="F1525" s="19" t="str">
        <v>叉车司机</v>
      </c>
      <c r="G1525" s="19" t="str">
        <v>西班牙区07:00-16:00 / ES 07:00-16:00</v>
      </c>
      <c r="H1525" s="19" t="str">
        <v>S000303</v>
      </c>
      <c r="I1525" s="19" t="str">
        <v>FLEXIPLAN ETT S.A.</v>
      </c>
      <c r="J1525" s="23" t="n">
        <v>1</v>
      </c>
      <c r="K1525" s="23" t="n">
        <v>0</v>
      </c>
      <c r="L1525" s="23" t="n">
        <f>J1525+K1525</f>
        <v>1</v>
      </c>
      <c r="M1525" s="23" t="n">
        <v>1</v>
      </c>
      <c r="N1525" s="23" t="n">
        <v>1</v>
      </c>
      <c r="O1525" s="23" t="n">
        <v>1</v>
      </c>
      <c r="P1525" s="23" t="n">
        <v>1</v>
      </c>
      <c r="Q1525" s="23" t="n">
        <f>MIN(O1525,P1525)</f>
        <v>1</v>
      </c>
      <c r="R1525" s="25" t="n">
        <f>IF(M1525=0,0,MIN(1,L1525/M1525))</f>
        <v>1</v>
      </c>
      <c r="S1525" s="23" t="n">
        <f>O1525*R1525</f>
        <v>1</v>
      </c>
      <c r="T1525" s="23" t="n">
        <f>MIN(P1525,S1525)</f>
        <v>1</v>
      </c>
      <c r="U1525" s="23" t="n">
        <f>O1525-S1525</f>
        <v>0</v>
      </c>
      <c r="V1525" s="23" t="n">
        <f>MAX(P1525-O1525,0)</f>
        <v>0</v>
      </c>
    </row>
    <row r="1526">
      <c r="A1526" s="19" t="str">
        <v>西班牙区</v>
      </c>
      <c r="B1526" s="19" t="str">
        <v>马德里1号仓</v>
      </c>
      <c r="C1526" s="19" t="str">
        <v>拣货组</v>
      </c>
      <c r="D1526" s="21" t="n">
        <v>46144</v>
      </c>
      <c r="E1526" s="19" t="str">
        <v>2026-05</v>
      </c>
      <c r="F1526" s="19" t="str">
        <v>叉车司机</v>
      </c>
      <c r="G1526" s="19" t="str">
        <v>西班牙区07:00-16:00 / ES 07:00-16:00</v>
      </c>
      <c r="H1526" s="19" t="str">
        <v>S000303</v>
      </c>
      <c r="I1526" s="19" t="str">
        <v>FLEXIPLAN ETT S.A.</v>
      </c>
      <c r="J1526" s="23" t="n">
        <v>1</v>
      </c>
      <c r="K1526" s="23" t="n">
        <v>0</v>
      </c>
      <c r="L1526" s="23" t="n">
        <f>J1526+K1526</f>
        <v>1</v>
      </c>
      <c r="M1526" s="23" t="n">
        <v>1</v>
      </c>
      <c r="N1526" s="23" t="n">
        <v>1</v>
      </c>
      <c r="O1526" s="23" t="n">
        <v>1</v>
      </c>
      <c r="P1526" s="23" t="n">
        <v>1</v>
      </c>
      <c r="Q1526" s="23" t="n">
        <f>MIN(O1526,P1526)</f>
        <v>1</v>
      </c>
      <c r="R1526" s="25" t="n">
        <f>IF(M1526=0,0,MIN(1,L1526/M1526))</f>
        <v>1</v>
      </c>
      <c r="S1526" s="23" t="n">
        <f>O1526*R1526</f>
        <v>1</v>
      </c>
      <c r="T1526" s="23" t="n">
        <f>MIN(P1526,S1526)</f>
        <v>1</v>
      </c>
      <c r="U1526" s="23" t="n">
        <f>O1526-S1526</f>
        <v>0</v>
      </c>
      <c r="V1526" s="23" t="n">
        <f>MAX(P1526-O1526,0)</f>
        <v>0</v>
      </c>
    </row>
    <row r="1527">
      <c r="A1527" s="19" t="str">
        <v>西班牙区</v>
      </c>
      <c r="B1527" s="19" t="str">
        <v>马德里1号仓</v>
      </c>
      <c r="C1527" s="19" t="str">
        <v>拣货组</v>
      </c>
      <c r="D1527" s="21" t="n">
        <v>46145</v>
      </c>
      <c r="E1527" s="19" t="str">
        <v>2026-05</v>
      </c>
      <c r="F1527" s="19" t="str">
        <v>叉车司机</v>
      </c>
      <c r="G1527" s="19" t="str">
        <v>西班牙区07:00-16:00 / ES 07:00-16:00</v>
      </c>
      <c r="H1527" s="19" t="str">
        <v>S000303</v>
      </c>
      <c r="I1527" s="19" t="str">
        <v>FLEXIPLAN ETT S.A.</v>
      </c>
      <c r="J1527" s="23" t="n">
        <v>1</v>
      </c>
      <c r="K1527" s="23" t="n">
        <v>0</v>
      </c>
      <c r="L1527" s="23" t="n">
        <f>J1527+K1527</f>
        <v>1</v>
      </c>
      <c r="M1527" s="23" t="n">
        <v>1</v>
      </c>
      <c r="N1527" s="23" t="n">
        <v>1</v>
      </c>
      <c r="O1527" s="23" t="n">
        <v>1</v>
      </c>
      <c r="P1527" s="23" t="n">
        <v>1</v>
      </c>
      <c r="Q1527" s="23" t="n">
        <f>MIN(O1527,P1527)</f>
        <v>1</v>
      </c>
      <c r="R1527" s="25" t="n">
        <f>IF(M1527=0,0,MIN(1,L1527/M1527))</f>
        <v>1</v>
      </c>
      <c r="S1527" s="23" t="n">
        <f>O1527*R1527</f>
        <v>1</v>
      </c>
      <c r="T1527" s="23" t="n">
        <f>MIN(P1527,S1527)</f>
        <v>1</v>
      </c>
      <c r="U1527" s="23" t="n">
        <f>O1527-S1527</f>
        <v>0</v>
      </c>
      <c r="V1527" s="23" t="n">
        <f>MAX(P1527-O1527,0)</f>
        <v>0</v>
      </c>
    </row>
    <row r="1528">
      <c r="A1528" s="19" t="str">
        <v>西班牙区</v>
      </c>
      <c r="B1528" s="19" t="str">
        <v>马德里1号仓</v>
      </c>
      <c r="C1528" s="19" t="str">
        <v>拣货组</v>
      </c>
      <c r="D1528" s="21" t="n">
        <v>46146</v>
      </c>
      <c r="E1528" s="19" t="str">
        <v>2026-05</v>
      </c>
      <c r="F1528" s="19" t="str">
        <v>叉车司机</v>
      </c>
      <c r="G1528" s="19" t="str">
        <v>西班牙区07:00-16:00 / ES 07:00-16:00</v>
      </c>
      <c r="H1528" s="19" t="str">
        <v>S000303</v>
      </c>
      <c r="I1528" s="19" t="str">
        <v>FLEXIPLAN ETT S.A.</v>
      </c>
      <c r="J1528" s="23" t="n">
        <v>1</v>
      </c>
      <c r="K1528" s="23" t="n">
        <v>0</v>
      </c>
      <c r="L1528" s="23" t="n">
        <f>J1528+K1528</f>
        <v>1</v>
      </c>
      <c r="M1528" s="23" t="n">
        <v>1</v>
      </c>
      <c r="N1528" s="23" t="n">
        <v>1</v>
      </c>
      <c r="O1528" s="23" t="n">
        <v>1</v>
      </c>
      <c r="P1528" s="23" t="n">
        <v>1</v>
      </c>
      <c r="Q1528" s="23" t="n">
        <f>MIN(O1528,P1528)</f>
        <v>1</v>
      </c>
      <c r="R1528" s="25" t="n">
        <f>IF(M1528=0,0,MIN(1,L1528/M1528))</f>
        <v>1</v>
      </c>
      <c r="S1528" s="23" t="n">
        <f>O1528*R1528</f>
        <v>1</v>
      </c>
      <c r="T1528" s="23" t="n">
        <f>MIN(P1528,S1528)</f>
        <v>1</v>
      </c>
      <c r="U1528" s="23" t="n">
        <f>O1528-S1528</f>
        <v>0</v>
      </c>
      <c r="V1528" s="23" t="n">
        <f>MAX(P1528-O1528,0)</f>
        <v>0</v>
      </c>
    </row>
    <row r="1529">
      <c r="A1529" s="19" t="str">
        <v>西班牙区</v>
      </c>
      <c r="B1529" s="19" t="str">
        <v>马德里1号仓</v>
      </c>
      <c r="C1529" s="19" t="str">
        <v>拣货组</v>
      </c>
      <c r="D1529" s="21" t="n">
        <v>46147</v>
      </c>
      <c r="E1529" s="19" t="str">
        <v>2026-05</v>
      </c>
      <c r="F1529" s="19" t="str">
        <v>叉车司机</v>
      </c>
      <c r="G1529" s="19" t="str">
        <v>西班牙区07:00-16:00 / ES 07:00-16:00</v>
      </c>
      <c r="H1529" s="19" t="str">
        <v>S000303</v>
      </c>
      <c r="I1529" s="19" t="str">
        <v>FLEXIPLAN ETT S.A.</v>
      </c>
      <c r="J1529" s="23" t="n">
        <v>1</v>
      </c>
      <c r="K1529" s="23" t="n">
        <v>0</v>
      </c>
      <c r="L1529" s="23" t="n">
        <f>J1529+K1529</f>
        <v>1</v>
      </c>
      <c r="M1529" s="23" t="n">
        <v>1</v>
      </c>
      <c r="N1529" s="23" t="n">
        <v>1</v>
      </c>
      <c r="O1529" s="23" t="n">
        <v>1</v>
      </c>
      <c r="P1529" s="23" t="n">
        <v>1</v>
      </c>
      <c r="Q1529" s="23" t="n">
        <f>MIN(O1529,P1529)</f>
        <v>1</v>
      </c>
      <c r="R1529" s="25" t="n">
        <f>IF(M1529=0,0,MIN(1,L1529/M1529))</f>
        <v>1</v>
      </c>
      <c r="S1529" s="23" t="n">
        <f>O1529*R1529</f>
        <v>1</v>
      </c>
      <c r="T1529" s="23" t="n">
        <f>MIN(P1529,S1529)</f>
        <v>1</v>
      </c>
      <c r="U1529" s="23" t="n">
        <f>O1529-S1529</f>
        <v>0</v>
      </c>
      <c r="V1529" s="23" t="n">
        <f>MAX(P1529-O1529,0)</f>
        <v>0</v>
      </c>
    </row>
    <row r="1530">
      <c r="A1530" s="19" t="str">
        <v>西班牙区</v>
      </c>
      <c r="B1530" s="19" t="str">
        <v>马德里1号仓</v>
      </c>
      <c r="C1530" s="19" t="str">
        <v>拣货组</v>
      </c>
      <c r="D1530" s="21" t="n">
        <v>46148</v>
      </c>
      <c r="E1530" s="19" t="str">
        <v>2026-05</v>
      </c>
      <c r="F1530" s="19" t="str">
        <v>叉车司机</v>
      </c>
      <c r="G1530" s="19" t="str">
        <v>西班牙区07:00-16:00 / ES 07:00-16:00</v>
      </c>
      <c r="H1530" s="19" t="str">
        <v>S000303</v>
      </c>
      <c r="I1530" s="19" t="str">
        <v>FLEXIPLAN ETT S.A.</v>
      </c>
      <c r="J1530" s="23" t="n">
        <v>1</v>
      </c>
      <c r="K1530" s="23" t="n">
        <v>0</v>
      </c>
      <c r="L1530" s="23" t="n">
        <f>J1530+K1530</f>
        <v>1</v>
      </c>
      <c r="M1530" s="23" t="n">
        <v>1</v>
      </c>
      <c r="N1530" s="23" t="n">
        <v>1</v>
      </c>
      <c r="O1530" s="23" t="n">
        <v>1</v>
      </c>
      <c r="P1530" s="23" t="n">
        <v>1</v>
      </c>
      <c r="Q1530" s="23" t="n">
        <f>MIN(O1530,P1530)</f>
        <v>1</v>
      </c>
      <c r="R1530" s="25" t="n">
        <f>IF(M1530=0,0,MIN(1,L1530/M1530))</f>
        <v>1</v>
      </c>
      <c r="S1530" s="23" t="n">
        <f>O1530*R1530</f>
        <v>1</v>
      </c>
      <c r="T1530" s="23" t="n">
        <f>MIN(P1530,S1530)</f>
        <v>1</v>
      </c>
      <c r="U1530" s="23" t="n">
        <f>O1530-S1530</f>
        <v>0</v>
      </c>
      <c r="V1530" s="23" t="n">
        <f>MAX(P1530-O1530,0)</f>
        <v>0</v>
      </c>
    </row>
    <row r="1531">
      <c r="A1531" s="19" t="str">
        <v>西班牙区</v>
      </c>
      <c r="B1531" s="19" t="str">
        <v>马德里1号仓</v>
      </c>
      <c r="C1531" s="19" t="str">
        <v>拣货组</v>
      </c>
      <c r="D1531" s="21" t="n">
        <v>46149</v>
      </c>
      <c r="E1531" s="19" t="str">
        <v>2026-05</v>
      </c>
      <c r="F1531" s="19" t="str">
        <v>叉车司机</v>
      </c>
      <c r="G1531" s="19" t="str">
        <v>西班牙区07:00-16:00 / ES 07:00-16:00</v>
      </c>
      <c r="H1531" s="19" t="str">
        <v>S000303</v>
      </c>
      <c r="I1531" s="19" t="str">
        <v>FLEXIPLAN ETT S.A.</v>
      </c>
      <c r="J1531" s="23" t="n">
        <v>1</v>
      </c>
      <c r="K1531" s="23" t="n">
        <v>0</v>
      </c>
      <c r="L1531" s="23" t="n">
        <f>J1531+K1531</f>
        <v>1</v>
      </c>
      <c r="M1531" s="23" t="n">
        <v>1</v>
      </c>
      <c r="N1531" s="23" t="n">
        <v>1</v>
      </c>
      <c r="O1531" s="23" t="n">
        <v>1</v>
      </c>
      <c r="P1531" s="23" t="n">
        <v>1</v>
      </c>
      <c r="Q1531" s="23" t="n">
        <f>MIN(O1531,P1531)</f>
        <v>1</v>
      </c>
      <c r="R1531" s="25" t="n">
        <f>IF(M1531=0,0,MIN(1,L1531/M1531))</f>
        <v>1</v>
      </c>
      <c r="S1531" s="23" t="n">
        <f>O1531*R1531</f>
        <v>1</v>
      </c>
      <c r="T1531" s="23" t="n">
        <f>MIN(P1531,S1531)</f>
        <v>1</v>
      </c>
      <c r="U1531" s="23" t="n">
        <f>O1531-S1531</f>
        <v>0</v>
      </c>
      <c r="V1531" s="23" t="n">
        <f>MAX(P1531-O1531,0)</f>
        <v>0</v>
      </c>
    </row>
    <row r="1532">
      <c r="A1532" s="19" t="str">
        <v>西班牙区</v>
      </c>
      <c r="B1532" s="19" t="str">
        <v>马德里1号仓</v>
      </c>
      <c r="C1532" s="19" t="str">
        <v>拣货组</v>
      </c>
      <c r="D1532" s="21" t="n">
        <v>46149</v>
      </c>
      <c r="E1532" s="19" t="str">
        <v>2026-05</v>
      </c>
      <c r="F1532" s="19" t="str">
        <v>叉车司机</v>
      </c>
      <c r="G1532" s="19" t="str">
        <v>西班牙区09:00-18:00 / ES 09:00-18:00</v>
      </c>
      <c r="H1532" s="19" t="str">
        <v>S000303</v>
      </c>
      <c r="I1532" s="19" t="str">
        <v>FLEXIPLAN ETT S.A.</v>
      </c>
      <c r="J1532" s="23" t="n">
        <v>1</v>
      </c>
      <c r="K1532" s="23" t="n">
        <v>0</v>
      </c>
      <c r="L1532" s="23" t="n">
        <f>J1532+K1532</f>
        <v>1</v>
      </c>
      <c r="M1532" s="23" t="n">
        <v>1</v>
      </c>
      <c r="N1532" s="23" t="n">
        <v>1</v>
      </c>
      <c r="O1532" s="23" t="n">
        <v>1</v>
      </c>
      <c r="P1532" s="23" t="n">
        <v>1</v>
      </c>
      <c r="Q1532" s="23" t="n">
        <f>MIN(O1532,P1532)</f>
        <v>1</v>
      </c>
      <c r="R1532" s="25" t="n">
        <f>IF(M1532=0,0,MIN(1,L1532/M1532))</f>
        <v>1</v>
      </c>
      <c r="S1532" s="23" t="n">
        <f>O1532*R1532</f>
        <v>1</v>
      </c>
      <c r="T1532" s="23" t="n">
        <f>MIN(P1532,S1532)</f>
        <v>1</v>
      </c>
      <c r="U1532" s="23" t="n">
        <f>O1532-S1532</f>
        <v>0</v>
      </c>
      <c r="V1532" s="23" t="n">
        <f>MAX(P1532-O1532,0)</f>
        <v>0</v>
      </c>
    </row>
    <row r="1533">
      <c r="A1533" s="19" t="str">
        <v>西班牙区</v>
      </c>
      <c r="B1533" s="19" t="str">
        <v>马德里1号仓</v>
      </c>
      <c r="C1533" s="19" t="str">
        <v>拣货组</v>
      </c>
      <c r="D1533" s="21" t="n">
        <v>46150</v>
      </c>
      <c r="E1533" s="19" t="str">
        <v>2026-05</v>
      </c>
      <c r="F1533" s="19" t="str">
        <v>叉车司机</v>
      </c>
      <c r="G1533" s="19" t="str">
        <v>西班牙区07:00-16:00 / ES 07:00-16:00</v>
      </c>
      <c r="H1533" s="19" t="str">
        <v>S000303</v>
      </c>
      <c r="I1533" s="19" t="str">
        <v>FLEXIPLAN ETT S.A.</v>
      </c>
      <c r="J1533" s="23" t="n">
        <v>1</v>
      </c>
      <c r="K1533" s="23" t="n">
        <v>0</v>
      </c>
      <c r="L1533" s="23" t="n">
        <f>J1533+K1533</f>
        <v>1</v>
      </c>
      <c r="M1533" s="23" t="n">
        <v>1</v>
      </c>
      <c r="N1533" s="23" t="n">
        <v>1</v>
      </c>
      <c r="O1533" s="23" t="n">
        <v>1</v>
      </c>
      <c r="P1533" s="23" t="n">
        <v>1</v>
      </c>
      <c r="Q1533" s="23" t="n">
        <f>MIN(O1533,P1533)</f>
        <v>1</v>
      </c>
      <c r="R1533" s="25" t="n">
        <f>IF(M1533=0,0,MIN(1,L1533/M1533))</f>
        <v>1</v>
      </c>
      <c r="S1533" s="23" t="n">
        <f>O1533*R1533</f>
        <v>1</v>
      </c>
      <c r="T1533" s="23" t="n">
        <f>MIN(P1533,S1533)</f>
        <v>1</v>
      </c>
      <c r="U1533" s="23" t="n">
        <f>O1533-S1533</f>
        <v>0</v>
      </c>
      <c r="V1533" s="23" t="n">
        <f>MAX(P1533-O1533,0)</f>
        <v>0</v>
      </c>
    </row>
    <row r="1534">
      <c r="A1534" s="19" t="str">
        <v>西班牙区</v>
      </c>
      <c r="B1534" s="19" t="str">
        <v>马德里1号仓</v>
      </c>
      <c r="C1534" s="19" t="str">
        <v>拣货组</v>
      </c>
      <c r="D1534" s="21" t="n">
        <v>46151</v>
      </c>
      <c r="E1534" s="19" t="str">
        <v>2026-05</v>
      </c>
      <c r="F1534" s="19" t="str">
        <v>叉车司机</v>
      </c>
      <c r="G1534" s="19" t="str">
        <v>西班牙区07:00-16:00 / ES 07:00-16:00</v>
      </c>
      <c r="H1534" s="19" t="str">
        <v>S000303</v>
      </c>
      <c r="I1534" s="19" t="str">
        <v>FLEXIPLAN ETT S.A.</v>
      </c>
      <c r="J1534" s="23" t="n">
        <v>1</v>
      </c>
      <c r="K1534" s="23" t="n">
        <v>0</v>
      </c>
      <c r="L1534" s="23" t="n">
        <f>J1534+K1534</f>
        <v>1</v>
      </c>
      <c r="M1534" s="23" t="n">
        <v>1</v>
      </c>
      <c r="N1534" s="23" t="n">
        <v>1</v>
      </c>
      <c r="O1534" s="23" t="n">
        <v>1</v>
      </c>
      <c r="P1534" s="23" t="n">
        <v>1</v>
      </c>
      <c r="Q1534" s="23" t="n">
        <f>MIN(O1534,P1534)</f>
        <v>1</v>
      </c>
      <c r="R1534" s="25" t="n">
        <f>IF(M1534=0,0,MIN(1,L1534/M1534))</f>
        <v>1</v>
      </c>
      <c r="S1534" s="23" t="n">
        <f>O1534*R1534</f>
        <v>1</v>
      </c>
      <c r="T1534" s="23" t="n">
        <f>MIN(P1534,S1534)</f>
        <v>1</v>
      </c>
      <c r="U1534" s="23" t="n">
        <f>O1534-S1534</f>
        <v>0</v>
      </c>
      <c r="V1534" s="23" t="n">
        <f>MAX(P1534-O1534,0)</f>
        <v>0</v>
      </c>
    </row>
    <row r="1535">
      <c r="A1535" s="19" t="str">
        <v>西班牙区</v>
      </c>
      <c r="B1535" s="19" t="str">
        <v>马德里1号仓</v>
      </c>
      <c r="C1535" s="19" t="str">
        <v>拣货组</v>
      </c>
      <c r="D1535" s="21" t="n">
        <v>46152</v>
      </c>
      <c r="E1535" s="19" t="str">
        <v>2026-05</v>
      </c>
      <c r="F1535" s="19" t="str">
        <v>叉车司机</v>
      </c>
      <c r="G1535" s="19" t="str">
        <v>西班牙区07:00-16:00 / ES 07:00-16:00</v>
      </c>
      <c r="H1535" s="19" t="str">
        <v>S000303</v>
      </c>
      <c r="I1535" s="19" t="str">
        <v>FLEXIPLAN ETT S.A.</v>
      </c>
      <c r="J1535" s="23" t="n">
        <v>1</v>
      </c>
      <c r="K1535" s="23" t="n">
        <v>0</v>
      </c>
      <c r="L1535" s="23" t="n">
        <f>J1535+K1535</f>
        <v>1</v>
      </c>
      <c r="M1535" s="23" t="n">
        <v>1</v>
      </c>
      <c r="N1535" s="23" t="n">
        <v>1</v>
      </c>
      <c r="O1535" s="23" t="n">
        <v>1</v>
      </c>
      <c r="P1535" s="23" t="n">
        <v>1</v>
      </c>
      <c r="Q1535" s="23" t="n">
        <f>MIN(O1535,P1535)</f>
        <v>1</v>
      </c>
      <c r="R1535" s="25" t="n">
        <f>IF(M1535=0,0,MIN(1,L1535/M1535))</f>
        <v>1</v>
      </c>
      <c r="S1535" s="23" t="n">
        <f>O1535*R1535</f>
        <v>1</v>
      </c>
      <c r="T1535" s="23" t="n">
        <f>MIN(P1535,S1535)</f>
        <v>1</v>
      </c>
      <c r="U1535" s="23" t="n">
        <f>O1535-S1535</f>
        <v>0</v>
      </c>
      <c r="V1535" s="23" t="n">
        <f>MAX(P1535-O1535,0)</f>
        <v>0</v>
      </c>
    </row>
    <row r="1536">
      <c r="A1536" s="19" t="str">
        <v>西班牙区</v>
      </c>
      <c r="B1536" s="19" t="str">
        <v>马德里1号仓</v>
      </c>
      <c r="C1536" s="19" t="str">
        <v>拣货组</v>
      </c>
      <c r="D1536" s="21" t="n">
        <v>46153</v>
      </c>
      <c r="E1536" s="19" t="str">
        <v>2026-05</v>
      </c>
      <c r="F1536" s="19" t="str">
        <v>叉车司机</v>
      </c>
      <c r="G1536" s="19" t="str">
        <v>西班牙区07:00-16:00 / ES 07:00-16:00</v>
      </c>
      <c r="H1536" s="19" t="str">
        <v>S000303</v>
      </c>
      <c r="I1536" s="19" t="str">
        <v>FLEXIPLAN ETT S.A.</v>
      </c>
      <c r="J1536" s="23" t="n">
        <v>1</v>
      </c>
      <c r="K1536" s="23" t="n">
        <v>0</v>
      </c>
      <c r="L1536" s="23" t="n">
        <f>J1536+K1536</f>
        <v>1</v>
      </c>
      <c r="M1536" s="23" t="n">
        <v>1</v>
      </c>
      <c r="N1536" s="23" t="n">
        <v>1</v>
      </c>
      <c r="O1536" s="23" t="n">
        <v>1</v>
      </c>
      <c r="P1536" s="23" t="n">
        <v>1</v>
      </c>
      <c r="Q1536" s="23" t="n">
        <f>MIN(O1536,P1536)</f>
        <v>1</v>
      </c>
      <c r="R1536" s="25" t="n">
        <f>IF(M1536=0,0,MIN(1,L1536/M1536))</f>
        <v>1</v>
      </c>
      <c r="S1536" s="23" t="n">
        <f>O1536*R1536</f>
        <v>1</v>
      </c>
      <c r="T1536" s="23" t="n">
        <f>MIN(P1536,S1536)</f>
        <v>1</v>
      </c>
      <c r="U1536" s="23" t="n">
        <f>O1536-S1536</f>
        <v>0</v>
      </c>
      <c r="V1536" s="23" t="n">
        <f>MAX(P1536-O1536,0)</f>
        <v>0</v>
      </c>
    </row>
    <row r="1537">
      <c r="A1537" s="19" t="str">
        <v>西班牙区</v>
      </c>
      <c r="B1537" s="19" t="str">
        <v>马德里1号仓</v>
      </c>
      <c r="C1537" s="19" t="str">
        <v>拣货组</v>
      </c>
      <c r="D1537" s="21" t="n">
        <v>46154</v>
      </c>
      <c r="E1537" s="19" t="str">
        <v>2026-05</v>
      </c>
      <c r="F1537" s="19" t="str">
        <v>叉车司机</v>
      </c>
      <c r="G1537" s="19" t="str">
        <v>西班牙区07:00-16:00 / ES 07:00-16:00</v>
      </c>
      <c r="H1537" s="19" t="str">
        <v>S000303</v>
      </c>
      <c r="I1537" s="19" t="str">
        <v>FLEXIPLAN ETT S.A.</v>
      </c>
      <c r="J1537" s="23" t="n">
        <v>1</v>
      </c>
      <c r="K1537" s="23" t="n">
        <v>0</v>
      </c>
      <c r="L1537" s="23" t="n">
        <f>J1537+K1537</f>
        <v>1</v>
      </c>
      <c r="M1537" s="23" t="n">
        <v>1</v>
      </c>
      <c r="N1537" s="23" t="n">
        <v>1</v>
      </c>
      <c r="O1537" s="23" t="n">
        <v>1</v>
      </c>
      <c r="P1537" s="23" t="n">
        <v>1</v>
      </c>
      <c r="Q1537" s="23" t="n">
        <f>MIN(O1537,P1537)</f>
        <v>1</v>
      </c>
      <c r="R1537" s="25" t="n">
        <f>IF(M1537=0,0,MIN(1,L1537/M1537))</f>
        <v>1</v>
      </c>
      <c r="S1537" s="23" t="n">
        <f>O1537*R1537</f>
        <v>1</v>
      </c>
      <c r="T1537" s="23" t="n">
        <f>MIN(P1537,S1537)</f>
        <v>1</v>
      </c>
      <c r="U1537" s="23" t="n">
        <f>O1537-S1537</f>
        <v>0</v>
      </c>
      <c r="V1537" s="23" t="n">
        <f>MAX(P1537-O1537,0)</f>
        <v>0</v>
      </c>
    </row>
    <row r="1538">
      <c r="A1538" s="19" t="str">
        <v>西班牙区</v>
      </c>
      <c r="B1538" s="19" t="str">
        <v>马德里1号仓</v>
      </c>
      <c r="C1538" s="19" t="str">
        <v>拣货组</v>
      </c>
      <c r="D1538" s="21" t="n">
        <v>46155</v>
      </c>
      <c r="E1538" s="19" t="str">
        <v>2026-05</v>
      </c>
      <c r="F1538" s="19" t="str">
        <v>叉车司机</v>
      </c>
      <c r="G1538" s="19" t="str">
        <v>西班牙区07:00-16:00 / ES 07:00-16:00</v>
      </c>
      <c r="H1538" s="19" t="str">
        <v>S000303</v>
      </c>
      <c r="I1538" s="19" t="str">
        <v>FLEXIPLAN ETT S.A.</v>
      </c>
      <c r="J1538" s="23" t="n">
        <v>1</v>
      </c>
      <c r="K1538" s="23" t="n">
        <v>0</v>
      </c>
      <c r="L1538" s="23" t="n">
        <f>J1538+K1538</f>
        <v>1</v>
      </c>
      <c r="M1538" s="23" t="n">
        <v>1</v>
      </c>
      <c r="N1538" s="23" t="n">
        <v>1</v>
      </c>
      <c r="O1538" s="23" t="n">
        <v>1</v>
      </c>
      <c r="P1538" s="23" t="n">
        <v>1</v>
      </c>
      <c r="Q1538" s="23" t="n">
        <f>MIN(O1538,P1538)</f>
        <v>1</v>
      </c>
      <c r="R1538" s="25" t="n">
        <f>IF(M1538=0,0,MIN(1,L1538/M1538))</f>
        <v>1</v>
      </c>
      <c r="S1538" s="23" t="n">
        <f>O1538*R1538</f>
        <v>1</v>
      </c>
      <c r="T1538" s="23" t="n">
        <f>MIN(P1538,S1538)</f>
        <v>1</v>
      </c>
      <c r="U1538" s="23" t="n">
        <f>O1538-S1538</f>
        <v>0</v>
      </c>
      <c r="V1538" s="23" t="n">
        <f>MAX(P1538-O1538,0)</f>
        <v>0</v>
      </c>
    </row>
    <row r="1539">
      <c r="A1539" s="19" t="str">
        <v>西班牙区</v>
      </c>
      <c r="B1539" s="19" t="str">
        <v>马德里1号仓</v>
      </c>
      <c r="C1539" s="19" t="str">
        <v>拣货组</v>
      </c>
      <c r="D1539" s="21" t="n">
        <v>46156</v>
      </c>
      <c r="E1539" s="19" t="str">
        <v>2026-05</v>
      </c>
      <c r="F1539" s="19" t="str">
        <v>叉车司机</v>
      </c>
      <c r="G1539" s="19" t="str">
        <v>西班牙区07:00-16:00 / ES 07:00-16:00</v>
      </c>
      <c r="H1539" s="19" t="str">
        <v>S000303</v>
      </c>
      <c r="I1539" s="19" t="str">
        <v>FLEXIPLAN ETT S.A.</v>
      </c>
      <c r="J1539" s="23" t="n">
        <v>1</v>
      </c>
      <c r="K1539" s="23" t="n">
        <v>0</v>
      </c>
      <c r="L1539" s="23" t="n">
        <f>J1539+K1539</f>
        <v>1</v>
      </c>
      <c r="M1539" s="23" t="n">
        <v>1</v>
      </c>
      <c r="N1539" s="23" t="n">
        <v>1</v>
      </c>
      <c r="O1539" s="23" t="n">
        <v>1</v>
      </c>
      <c r="P1539" s="23" t="n">
        <v>1</v>
      </c>
      <c r="Q1539" s="23" t="n">
        <f>MIN(O1539,P1539)</f>
        <v>1</v>
      </c>
      <c r="R1539" s="25" t="n">
        <f>IF(M1539=0,0,MIN(1,L1539/M1539))</f>
        <v>1</v>
      </c>
      <c r="S1539" s="23" t="n">
        <f>O1539*R1539</f>
        <v>1</v>
      </c>
      <c r="T1539" s="23" t="n">
        <f>MIN(P1539,S1539)</f>
        <v>1</v>
      </c>
      <c r="U1539" s="23" t="n">
        <f>O1539-S1539</f>
        <v>0</v>
      </c>
      <c r="V1539" s="23" t="n">
        <f>MAX(P1539-O1539,0)</f>
        <v>0</v>
      </c>
    </row>
    <row r="1540">
      <c r="A1540" s="19" t="str">
        <v>西班牙区</v>
      </c>
      <c r="B1540" s="19" t="str">
        <v>马德里1号仓</v>
      </c>
      <c r="C1540" s="19" t="str">
        <v>拣货组</v>
      </c>
      <c r="D1540" s="21" t="n">
        <v>46177</v>
      </c>
      <c r="E1540" s="19" t="str">
        <v>2026-06</v>
      </c>
      <c r="F1540" s="19" t="str">
        <v>叉车司机</v>
      </c>
      <c r="G1540" s="19" t="str">
        <v>西班牙区09:00-18:00 / ES 09:00-18:00</v>
      </c>
      <c r="H1540" s="19" t="str">
        <v>S000303</v>
      </c>
      <c r="I1540" s="19" t="str">
        <v>FLEXIPLAN ETT S.A.</v>
      </c>
      <c r="J1540" s="23" t="n">
        <v>1</v>
      </c>
      <c r="K1540" s="23" t="n">
        <v>0</v>
      </c>
      <c r="L1540" s="23" t="n">
        <f>J1540+K1540</f>
        <v>1</v>
      </c>
      <c r="M1540" s="23" t="n">
        <v>1</v>
      </c>
      <c r="N1540" s="23" t="n">
        <v>1</v>
      </c>
      <c r="O1540" s="23" t="n">
        <v>1</v>
      </c>
      <c r="P1540" s="23" t="n">
        <v>1</v>
      </c>
      <c r="Q1540" s="23" t="n">
        <f>MIN(O1540,P1540)</f>
        <v>1</v>
      </c>
      <c r="R1540" s="25" t="n">
        <f>IF(M1540=0,0,MIN(1,L1540/M1540))</f>
        <v>1</v>
      </c>
      <c r="S1540" s="23" t="n">
        <f>O1540*R1540</f>
        <v>1</v>
      </c>
      <c r="T1540" s="23" t="n">
        <f>MIN(P1540,S1540)</f>
        <v>1</v>
      </c>
      <c r="U1540" s="23" t="n">
        <f>O1540-S1540</f>
        <v>0</v>
      </c>
      <c r="V1540" s="23" t="n">
        <f>MAX(P1540-O1540,0)</f>
        <v>0</v>
      </c>
    </row>
    <row r="1541">
      <c r="A1541" s="19" t="str">
        <v>西班牙区</v>
      </c>
      <c r="B1541" s="19" t="str">
        <v>马德里2号仓</v>
      </c>
      <c r="C1541" s="19" t="str">
        <v>理货组</v>
      </c>
      <c r="D1541" s="21" t="n">
        <v>46199</v>
      </c>
      <c r="E1541" s="19" t="str">
        <v>2026-06</v>
      </c>
      <c r="F1541" s="19" t="str">
        <v>保洁员</v>
      </c>
      <c r="G1541" s="19" t="str">
        <v>西班牙区09:00-18:00 / ES 09:00-18:00</v>
      </c>
      <c r="H1541" s="19" t="str">
        <v>S000303</v>
      </c>
      <c r="I1541" s="19" t="str">
        <v>FLEXIPLAN ETT S.A.</v>
      </c>
      <c r="J1541" s="23" t="n">
        <v>1</v>
      </c>
      <c r="K1541" s="23" t="n">
        <v>0</v>
      </c>
      <c r="L1541" s="23" t="n">
        <f>J1541+K1541</f>
        <v>1</v>
      </c>
      <c r="M1541" s="23" t="n">
        <v>1</v>
      </c>
      <c r="N1541" s="23" t="n">
        <v>1</v>
      </c>
      <c r="O1541" s="23" t="n">
        <v>1</v>
      </c>
      <c r="P1541" s="23" t="n">
        <v>1</v>
      </c>
      <c r="Q1541" s="23" t="n">
        <f>MIN(O1541,P1541)</f>
        <v>1</v>
      </c>
      <c r="R1541" s="25" t="n">
        <f>IF(M1541=0,0,MIN(1,L1541/M1541))</f>
        <v>1</v>
      </c>
      <c r="S1541" s="23" t="n">
        <f>O1541*R1541</f>
        <v>1</v>
      </c>
      <c r="T1541" s="23" t="n">
        <f>MIN(P1541,S1541)</f>
        <v>1</v>
      </c>
      <c r="U1541" s="23" t="n">
        <f>O1541-S1541</f>
        <v>0</v>
      </c>
      <c r="V1541" s="23" t="n">
        <f>MAX(P1541-O1541,0)</f>
        <v>0</v>
      </c>
    </row>
  </sheetData>
  <mergeCells>
    <mergeCell ref="A1:V1"/>
    <mergeCell ref="A2:V2"/>
  </mergeCells>
  <conditionalFormatting sqref="U5:U1541">
    <cfRule type="cellIs" dxfId="0" priority="1" operator="greaterThan">
      <formula>0</formula>
    </cfRule>
  </conditionalFormatting>
  <conditionalFormatting sqref="V5:V1541">
    <cfRule type="cellIs" dxfId="1" priority="2" operator="greaterThan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64714ac0ddaf4b73"/>
  </tableParts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20" hidden="0" customWidth="1"/>
    <col min="3" max="3" width="12" hidden="0" customWidth="1"/>
    <col min="4" max="4" width="12" hidden="0" customWidth="1"/>
    <col min="5" max="5" width="10" hidden="0" customWidth="1"/>
    <col min="6" max="6" width="14" hidden="0" customWidth="1"/>
    <col min="7" max="7" width="32" hidden="0" customWidth="1"/>
    <col min="8" max="8" width="11" hidden="0" customWidth="1"/>
    <col min="9" max="9" width="9" hidden="0" customWidth="1"/>
    <col min="10" max="10" width="11" hidden="0" customWidth="1"/>
    <col min="11" max="11" width="10" hidden="0" customWidth="1"/>
    <col min="12" max="12" width="10" hidden="0" customWidth="1"/>
    <col min="13" max="13" width="12" hidden="0" customWidth="1"/>
    <col min="14" max="14" width="13" hidden="0" customWidth="1"/>
    <col min="15" max="15" width="13" hidden="0" customWidth="1"/>
    <col min="16" max="16" width="11" hidden="0" customWidth="1"/>
    <col min="17" max="17" width="12" hidden="0" customWidth="1"/>
    <col min="18" max="18" width="11" hidden="0" customWidth="1"/>
    <col min="19" max="19" width="11" hidden="0" customWidth="1"/>
  </cols>
  <sheetData>
    <row r="1" ht="34" customHeight="1">
      <c r="A1" s="4" t="str">
        <v>仓库单元底表：需求、发单、派遣与HR分配质量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38" customHeight="1">
      <c r="A2" s="8" t="str">
        <v>原子颗粒度为区域×仓库×组×日期×工种×班次。需求满足和超发均先在本页逐单元封顶或计算，再向上汇总。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ht="32" customHeight="1">
      <c r="A4" s="14" t="str">
        <v>区域</v>
      </c>
      <c r="B4" s="14" t="str">
        <v>仓库</v>
      </c>
      <c r="C4" s="14" t="str">
        <v>组</v>
      </c>
      <c r="D4" s="14" t="str">
        <v>日期</v>
      </c>
      <c r="E4" s="14" t="str">
        <v>月份</v>
      </c>
      <c r="F4" s="14" t="str">
        <v>工种</v>
      </c>
      <c r="G4" s="14" t="str">
        <v>班次</v>
      </c>
      <c r="H4" s="14" t="str">
        <v>原始需求</v>
      </c>
      <c r="I4" s="14" t="str">
        <v>补员</v>
      </c>
      <c r="J4" s="14" t="str">
        <v>真实需求</v>
      </c>
      <c r="K4" s="14" t="str">
        <v>总发单</v>
      </c>
      <c r="L4" s="14" t="str">
        <v>总派遣</v>
      </c>
      <c r="M4" s="14" t="str">
        <v>发单覆盖量</v>
      </c>
      <c r="N4" s="14" t="str">
        <v>仓库有效满足</v>
      </c>
      <c r="O4" s="14" t="str">
        <v>责任折算因子</v>
      </c>
      <c r="P4" s="14" t="str">
        <v>超发人日</v>
      </c>
      <c r="Q4" s="14" t="str">
        <v>零需求发单</v>
      </c>
      <c r="R4" s="14" t="str">
        <v>少发人日</v>
      </c>
      <c r="S4" s="14" t="str">
        <v>冗余派遣</v>
      </c>
    </row>
    <row r="5">
      <c r="A5" s="18" t="str">
        <v>德国区</v>
      </c>
      <c r="B5" s="18" t="str">
        <v>杜塞尔多夫10号仓</v>
      </c>
      <c r="C5" s="18" t="str">
        <v>交运组</v>
      </c>
      <c r="D5" s="20" t="n">
        <v>46141</v>
      </c>
      <c r="E5" s="18" t="str">
        <v>2026-04</v>
      </c>
      <c r="F5" s="18" t="str">
        <v>操作员</v>
      </c>
      <c r="G5" s="18" t="str">
        <v>德国区-灵活班次 / DE FLEX</v>
      </c>
      <c r="H5" s="22" t="n">
        <v>6</v>
      </c>
      <c r="I5" s="22" t="n">
        <v>0</v>
      </c>
      <c r="J5" s="22" t="n">
        <f>H5+I5</f>
        <v>6</v>
      </c>
      <c r="K5" s="22" t="n">
        <v>7</v>
      </c>
      <c r="L5" s="22" t="n">
        <v>3</v>
      </c>
      <c r="M5" s="22" t="n">
        <f>MIN(K5,J5)</f>
        <v>6</v>
      </c>
      <c r="N5" s="22" t="n">
        <f>MIN(L5,J5)</f>
        <v>3</v>
      </c>
      <c r="O5" s="24" t="n">
        <f>IF(K5=0,0,MIN(1,J5/K5))</f>
        <v>0.8571428571428571</v>
      </c>
      <c r="P5" s="22" t="n">
        <f>IF(J5&gt;0,MAX(K5-J5,0),0)</f>
        <v>1</v>
      </c>
      <c r="Q5" s="22" t="n">
        <f>IF(J5=0,K5,0)</f>
        <v>0</v>
      </c>
      <c r="R5" s="22" t="n">
        <f>MAX(J5-K5,0)</f>
        <v>0</v>
      </c>
      <c r="S5" s="22" t="n">
        <f>IF(J5&gt;0,MAX(L5-J5,0),L5)</f>
        <v>0</v>
      </c>
    </row>
    <row r="6">
      <c r="A6" s="19" t="str">
        <v>德国区</v>
      </c>
      <c r="B6" s="19" t="str">
        <v>杜塞尔多夫10号仓</v>
      </c>
      <c r="C6" s="19" t="str">
        <v>交运组</v>
      </c>
      <c r="D6" s="21" t="n">
        <v>46142</v>
      </c>
      <c r="E6" s="19" t="str">
        <v>2026-04</v>
      </c>
      <c r="F6" s="19" t="str">
        <v>操作员</v>
      </c>
      <c r="G6" s="19" t="str">
        <v>德国区-灵活班次 / DE FLEX</v>
      </c>
      <c r="H6" s="23" t="n">
        <v>1</v>
      </c>
      <c r="I6" s="23" t="n">
        <v>0</v>
      </c>
      <c r="J6" s="23" t="n">
        <f>H6+I6</f>
        <v>1</v>
      </c>
      <c r="K6" s="23" t="n">
        <v>1</v>
      </c>
      <c r="L6" s="23" t="n">
        <v>0</v>
      </c>
      <c r="M6" s="23" t="n">
        <f>MIN(K6,J6)</f>
        <v>1</v>
      </c>
      <c r="N6" s="23" t="n">
        <f>MIN(L6,J6)</f>
        <v>0</v>
      </c>
      <c r="O6" s="25" t="n">
        <f>IF(K6=0,0,MIN(1,J6/K6))</f>
        <v>1</v>
      </c>
      <c r="P6" s="23" t="n">
        <f>IF(J6&gt;0,MAX(K6-J6,0),0)</f>
        <v>0</v>
      </c>
      <c r="Q6" s="23" t="n">
        <f>IF(J6=0,K6,0)</f>
        <v>0</v>
      </c>
      <c r="R6" s="23" t="n">
        <f>MAX(J6-K6,0)</f>
        <v>0</v>
      </c>
      <c r="S6" s="23" t="n">
        <f>IF(J6&gt;0,MAX(L6-J6,0),L6)</f>
        <v>0</v>
      </c>
    </row>
    <row r="7">
      <c r="A7" s="19" t="str">
        <v>德国区</v>
      </c>
      <c r="B7" s="19" t="str">
        <v>杜塞尔多夫10号仓</v>
      </c>
      <c r="C7" s="19" t="str">
        <v>交运组</v>
      </c>
      <c r="D7" s="21" t="n">
        <v>46147</v>
      </c>
      <c r="E7" s="19" t="str">
        <v>2026-05</v>
      </c>
      <c r="F7" s="19" t="str">
        <v>操作员</v>
      </c>
      <c r="G7" s="19" t="str">
        <v>德国区-灵活班次 / DE FLEX</v>
      </c>
      <c r="H7" s="23" t="n">
        <v>2</v>
      </c>
      <c r="I7" s="23" t="n">
        <v>0</v>
      </c>
      <c r="J7" s="23" t="n">
        <f>H7+I7</f>
        <v>2</v>
      </c>
      <c r="K7" s="23" t="n">
        <v>3</v>
      </c>
      <c r="L7" s="23" t="n">
        <v>3</v>
      </c>
      <c r="M7" s="23" t="n">
        <f>MIN(K7,J7)</f>
        <v>2</v>
      </c>
      <c r="N7" s="23" t="n">
        <f>MIN(L7,J7)</f>
        <v>2</v>
      </c>
      <c r="O7" s="25" t="n">
        <f>IF(K7=0,0,MIN(1,J7/K7))</f>
        <v>0.6666666666666666</v>
      </c>
      <c r="P7" s="23" t="n">
        <f>IF(J7&gt;0,MAX(K7-J7,0),0)</f>
        <v>1</v>
      </c>
      <c r="Q7" s="23" t="n">
        <f>IF(J7=0,K7,0)</f>
        <v>0</v>
      </c>
      <c r="R7" s="23" t="n">
        <f>MAX(J7-K7,0)</f>
        <v>0</v>
      </c>
      <c r="S7" s="23" t="n">
        <f>IF(J7&gt;0,MAX(L7-J7,0),L7)</f>
        <v>1</v>
      </c>
    </row>
    <row r="8">
      <c r="A8" s="19" t="str">
        <v>德国区</v>
      </c>
      <c r="B8" s="19" t="str">
        <v>杜塞尔多夫10号仓</v>
      </c>
      <c r="C8" s="19" t="str">
        <v>交运组</v>
      </c>
      <c r="D8" s="21" t="n">
        <v>46148</v>
      </c>
      <c r="E8" s="19" t="str">
        <v>2026-05</v>
      </c>
      <c r="F8" s="19" t="str">
        <v>操作员</v>
      </c>
      <c r="G8" s="19" t="str">
        <v>德国区-灵活班次 / DE FLEX</v>
      </c>
      <c r="H8" s="23" t="n">
        <v>2</v>
      </c>
      <c r="I8" s="23" t="n">
        <v>0</v>
      </c>
      <c r="J8" s="23" t="n">
        <f>H8+I8</f>
        <v>2</v>
      </c>
      <c r="K8" s="23" t="n">
        <v>3</v>
      </c>
      <c r="L8" s="23" t="n">
        <v>2</v>
      </c>
      <c r="M8" s="23" t="n">
        <f>MIN(K8,J8)</f>
        <v>2</v>
      </c>
      <c r="N8" s="23" t="n">
        <f>MIN(L8,J8)</f>
        <v>2</v>
      </c>
      <c r="O8" s="25" t="n">
        <f>IF(K8=0,0,MIN(1,J8/K8))</f>
        <v>0.6666666666666666</v>
      </c>
      <c r="P8" s="23" t="n">
        <f>IF(J8&gt;0,MAX(K8-J8,0),0)</f>
        <v>1</v>
      </c>
      <c r="Q8" s="23" t="n">
        <f>IF(J8=0,K8,0)</f>
        <v>0</v>
      </c>
      <c r="R8" s="23" t="n">
        <f>MAX(J8-K8,0)</f>
        <v>0</v>
      </c>
      <c r="S8" s="23" t="n">
        <f>IF(J8&gt;0,MAX(L8-J8,0),L8)</f>
        <v>0</v>
      </c>
    </row>
    <row r="9">
      <c r="A9" s="19" t="str">
        <v>德国区</v>
      </c>
      <c r="B9" s="19" t="str">
        <v>杜塞尔多夫10号仓</v>
      </c>
      <c r="C9" s="19" t="str">
        <v>交运组</v>
      </c>
      <c r="D9" s="21" t="n">
        <v>46149</v>
      </c>
      <c r="E9" s="19" t="str">
        <v>2026-05</v>
      </c>
      <c r="F9" s="19" t="str">
        <v>操作员</v>
      </c>
      <c r="G9" s="19" t="str">
        <v>德国区-灵活班次 / DE FLEX</v>
      </c>
      <c r="H9" s="23" t="n">
        <v>2</v>
      </c>
      <c r="I9" s="23" t="n">
        <v>0</v>
      </c>
      <c r="J9" s="23" t="n">
        <f>H9+I9</f>
        <v>2</v>
      </c>
      <c r="K9" s="23" t="n">
        <v>3</v>
      </c>
      <c r="L9" s="23" t="n">
        <v>3</v>
      </c>
      <c r="M9" s="23" t="n">
        <f>MIN(K9,J9)</f>
        <v>2</v>
      </c>
      <c r="N9" s="23" t="n">
        <f>MIN(L9,J9)</f>
        <v>2</v>
      </c>
      <c r="O9" s="25" t="n">
        <f>IF(K9=0,0,MIN(1,J9/K9))</f>
        <v>0.6666666666666666</v>
      </c>
      <c r="P9" s="23" t="n">
        <f>IF(J9&gt;0,MAX(K9-J9,0),0)</f>
        <v>1</v>
      </c>
      <c r="Q9" s="23" t="n">
        <f>IF(J9=0,K9,0)</f>
        <v>0</v>
      </c>
      <c r="R9" s="23" t="n">
        <f>MAX(J9-K9,0)</f>
        <v>0</v>
      </c>
      <c r="S9" s="23" t="n">
        <f>IF(J9&gt;0,MAX(L9-J9,0),L9)</f>
        <v>1</v>
      </c>
    </row>
    <row r="10">
      <c r="A10" s="19" t="str">
        <v>德国区</v>
      </c>
      <c r="B10" s="19" t="str">
        <v>杜塞尔多夫10号仓</v>
      </c>
      <c r="C10" s="19" t="str">
        <v>交运组</v>
      </c>
      <c r="D10" s="21" t="n">
        <v>46150</v>
      </c>
      <c r="E10" s="19" t="str">
        <v>2026-05</v>
      </c>
      <c r="F10" s="19" t="str">
        <v>操作员</v>
      </c>
      <c r="G10" s="19" t="str">
        <v>德国区-灵活班次 / DE FLEX</v>
      </c>
      <c r="H10" s="23" t="n">
        <v>2</v>
      </c>
      <c r="I10" s="23" t="n">
        <v>0</v>
      </c>
      <c r="J10" s="23" t="n">
        <f>H10+I10</f>
        <v>2</v>
      </c>
      <c r="K10" s="23" t="n">
        <v>4</v>
      </c>
      <c r="L10" s="23" t="n">
        <v>2</v>
      </c>
      <c r="M10" s="23" t="n">
        <f>MIN(K10,J10)</f>
        <v>2</v>
      </c>
      <c r="N10" s="23" t="n">
        <f>MIN(L10,J10)</f>
        <v>2</v>
      </c>
      <c r="O10" s="25" t="n">
        <f>IF(K10=0,0,MIN(1,J10/K10))</f>
        <v>0.5</v>
      </c>
      <c r="P10" s="23" t="n">
        <f>IF(J10&gt;0,MAX(K10-J10,0),0)</f>
        <v>2</v>
      </c>
      <c r="Q10" s="23" t="n">
        <f>IF(J10=0,K10,0)</f>
        <v>0</v>
      </c>
      <c r="R10" s="23" t="n">
        <f>MAX(J10-K10,0)</f>
        <v>0</v>
      </c>
      <c r="S10" s="23" t="n">
        <f>IF(J10&gt;0,MAX(L10-J10,0),L10)</f>
        <v>0</v>
      </c>
    </row>
    <row r="11">
      <c r="A11" s="19" t="str">
        <v>德国区</v>
      </c>
      <c r="B11" s="19" t="str">
        <v>杜塞尔多夫10号仓</v>
      </c>
      <c r="C11" s="19" t="str">
        <v>交运组</v>
      </c>
      <c r="D11" s="21" t="n">
        <v>46169</v>
      </c>
      <c r="E11" s="19" t="str">
        <v>2026-05</v>
      </c>
      <c r="F11" s="19" t="str">
        <v>操作员</v>
      </c>
      <c r="G11" s="19" t="str">
        <v>德国区-灵活班次 / DE FLEX</v>
      </c>
      <c r="H11" s="23" t="n">
        <v>2</v>
      </c>
      <c r="I11" s="23" t="n">
        <v>0</v>
      </c>
      <c r="J11" s="23" t="n">
        <f>H11+I11</f>
        <v>2</v>
      </c>
      <c r="K11" s="23" t="n">
        <v>3</v>
      </c>
      <c r="L11" s="23" t="n">
        <v>2</v>
      </c>
      <c r="M11" s="23" t="n">
        <f>MIN(K11,J11)</f>
        <v>2</v>
      </c>
      <c r="N11" s="23" t="n">
        <f>MIN(L11,J11)</f>
        <v>2</v>
      </c>
      <c r="O11" s="25" t="n">
        <f>IF(K11=0,0,MIN(1,J11/K11))</f>
        <v>0.6666666666666666</v>
      </c>
      <c r="P11" s="23" t="n">
        <f>IF(J11&gt;0,MAX(K11-J11,0),0)</f>
        <v>1</v>
      </c>
      <c r="Q11" s="23" t="n">
        <f>IF(J11=0,K11,0)</f>
        <v>0</v>
      </c>
      <c r="R11" s="23" t="n">
        <f>MAX(J11-K11,0)</f>
        <v>0</v>
      </c>
      <c r="S11" s="23" t="n">
        <f>IF(J11&gt;0,MAX(L11-J11,0),L11)</f>
        <v>0</v>
      </c>
    </row>
    <row r="12">
      <c r="A12" s="19" t="str">
        <v>德国区</v>
      </c>
      <c r="B12" s="19" t="str">
        <v>杜塞尔多夫10号仓</v>
      </c>
      <c r="C12" s="19" t="str">
        <v>交运组</v>
      </c>
      <c r="D12" s="21" t="n">
        <v>46170</v>
      </c>
      <c r="E12" s="19" t="str">
        <v>2026-05</v>
      </c>
      <c r="F12" s="19" t="str">
        <v>操作员</v>
      </c>
      <c r="G12" s="19" t="str">
        <v>德国区-灵活班次 / DE FLEX</v>
      </c>
      <c r="H12" s="23" t="n">
        <v>2</v>
      </c>
      <c r="I12" s="23" t="n">
        <v>0</v>
      </c>
      <c r="J12" s="23" t="n">
        <f>H12+I12</f>
        <v>2</v>
      </c>
      <c r="K12" s="23" t="n">
        <v>3</v>
      </c>
      <c r="L12" s="23" t="n">
        <v>1</v>
      </c>
      <c r="M12" s="23" t="n">
        <f>MIN(K12,J12)</f>
        <v>2</v>
      </c>
      <c r="N12" s="23" t="n">
        <f>MIN(L12,J12)</f>
        <v>1</v>
      </c>
      <c r="O12" s="25" t="n">
        <f>IF(K12=0,0,MIN(1,J12/K12))</f>
        <v>0.6666666666666666</v>
      </c>
      <c r="P12" s="23" t="n">
        <f>IF(J12&gt;0,MAX(K12-J12,0),0)</f>
        <v>1</v>
      </c>
      <c r="Q12" s="23" t="n">
        <f>IF(J12=0,K12,0)</f>
        <v>0</v>
      </c>
      <c r="R12" s="23" t="n">
        <f>MAX(J12-K12,0)</f>
        <v>0</v>
      </c>
      <c r="S12" s="23" t="n">
        <f>IF(J12&gt;0,MAX(L12-J12,0),L12)</f>
        <v>0</v>
      </c>
    </row>
    <row r="13">
      <c r="A13" s="19" t="str">
        <v>德国区</v>
      </c>
      <c r="B13" s="19" t="str">
        <v>杜塞尔多夫10号仓</v>
      </c>
      <c r="C13" s="19" t="str">
        <v>交运组</v>
      </c>
      <c r="D13" s="21" t="n">
        <v>46171</v>
      </c>
      <c r="E13" s="19" t="str">
        <v>2026-05</v>
      </c>
      <c r="F13" s="19" t="str">
        <v>操作员</v>
      </c>
      <c r="G13" s="19" t="str">
        <v>德国区-灵活班次 / DE FLEX</v>
      </c>
      <c r="H13" s="23" t="n">
        <v>4</v>
      </c>
      <c r="I13" s="23" t="n">
        <v>0</v>
      </c>
      <c r="J13" s="23" t="n">
        <f>H13+I13</f>
        <v>4</v>
      </c>
      <c r="K13" s="23" t="n">
        <v>5</v>
      </c>
      <c r="L13" s="23" t="n">
        <v>5</v>
      </c>
      <c r="M13" s="23" t="n">
        <f>MIN(K13,J13)</f>
        <v>4</v>
      </c>
      <c r="N13" s="23" t="n">
        <f>MIN(L13,J13)</f>
        <v>4</v>
      </c>
      <c r="O13" s="25" t="n">
        <f>IF(K13=0,0,MIN(1,J13/K13))</f>
        <v>0.8</v>
      </c>
      <c r="P13" s="23" t="n">
        <f>IF(J13&gt;0,MAX(K13-J13,0),0)</f>
        <v>1</v>
      </c>
      <c r="Q13" s="23" t="n">
        <f>IF(J13=0,K13,0)</f>
        <v>0</v>
      </c>
      <c r="R13" s="23" t="n">
        <f>MAX(J13-K13,0)</f>
        <v>0</v>
      </c>
      <c r="S13" s="23" t="n">
        <f>IF(J13&gt;0,MAX(L13-J13,0),L13)</f>
        <v>1</v>
      </c>
    </row>
    <row r="14">
      <c r="A14" s="19" t="str">
        <v>德国区</v>
      </c>
      <c r="B14" s="19" t="str">
        <v>杜塞尔多夫10号仓</v>
      </c>
      <c r="C14" s="19" t="str">
        <v>交运组</v>
      </c>
      <c r="D14" s="21" t="n">
        <v>46185</v>
      </c>
      <c r="E14" s="19" t="str">
        <v>2026-06</v>
      </c>
      <c r="F14" s="19" t="str">
        <v>操作员</v>
      </c>
      <c r="G14" s="19" t="str">
        <v>德国区-灵活班次 / DE FLEX</v>
      </c>
      <c r="H14" s="23" t="n">
        <v>10</v>
      </c>
      <c r="I14" s="23" t="n">
        <v>0</v>
      </c>
      <c r="J14" s="23" t="n">
        <f>H14+I14</f>
        <v>10</v>
      </c>
      <c r="K14" s="23" t="n">
        <v>0</v>
      </c>
      <c r="L14" s="23" t="n">
        <v>0</v>
      </c>
      <c r="M14" s="23" t="n">
        <f>MIN(K14,J14)</f>
        <v>0</v>
      </c>
      <c r="N14" s="23" t="n">
        <f>MIN(L14,J14)</f>
        <v>0</v>
      </c>
      <c r="O14" s="25" t="n">
        <f>IF(K14=0,0,MIN(1,J14/K14))</f>
        <v>0</v>
      </c>
      <c r="P14" s="23" t="n">
        <f>IF(J14&gt;0,MAX(K14-J14,0),0)</f>
        <v>0</v>
      </c>
      <c r="Q14" s="23" t="n">
        <f>IF(J14=0,K14,0)</f>
        <v>0</v>
      </c>
      <c r="R14" s="23" t="n">
        <f>MAX(J14-K14,0)</f>
        <v>10</v>
      </c>
      <c r="S14" s="23" t="n">
        <f>IF(J14&gt;0,MAX(L14-J14,0),L14)</f>
        <v>0</v>
      </c>
    </row>
    <row r="15">
      <c r="A15" s="19" t="str">
        <v>德国区</v>
      </c>
      <c r="B15" s="19" t="str">
        <v>杜塞尔多夫10号仓</v>
      </c>
      <c r="C15" s="19" t="str">
        <v>交运组</v>
      </c>
      <c r="D15" s="21" t="n">
        <v>46189</v>
      </c>
      <c r="E15" s="19" t="str">
        <v>2026-06</v>
      </c>
      <c r="F15" s="19" t="str">
        <v>操作员</v>
      </c>
      <c r="G15" s="19" t="str">
        <v>德国区-灵活班次 / DE FLEX</v>
      </c>
      <c r="H15" s="23" t="n">
        <v>4</v>
      </c>
      <c r="I15" s="23" t="n">
        <v>0</v>
      </c>
      <c r="J15" s="23" t="n">
        <f>H15+I15</f>
        <v>4</v>
      </c>
      <c r="K15" s="23" t="n">
        <v>6</v>
      </c>
      <c r="L15" s="23" t="n">
        <v>4</v>
      </c>
      <c r="M15" s="23" t="n">
        <f>MIN(K15,J15)</f>
        <v>4</v>
      </c>
      <c r="N15" s="23" t="n">
        <f>MIN(L15,J15)</f>
        <v>4</v>
      </c>
      <c r="O15" s="25" t="n">
        <f>IF(K15=0,0,MIN(1,J15/K15))</f>
        <v>0.6666666666666666</v>
      </c>
      <c r="P15" s="23" t="n">
        <f>IF(J15&gt;0,MAX(K15-J15,0),0)</f>
        <v>2</v>
      </c>
      <c r="Q15" s="23" t="n">
        <f>IF(J15=0,K15,0)</f>
        <v>0</v>
      </c>
      <c r="R15" s="23" t="n">
        <f>MAX(J15-K15,0)</f>
        <v>0</v>
      </c>
      <c r="S15" s="23" t="n">
        <f>IF(J15&gt;0,MAX(L15-J15,0),L15)</f>
        <v>0</v>
      </c>
    </row>
    <row r="16">
      <c r="A16" s="19" t="str">
        <v>德国区</v>
      </c>
      <c r="B16" s="19" t="str">
        <v>杜塞尔多夫10号仓</v>
      </c>
      <c r="C16" s="19" t="str">
        <v>交运组</v>
      </c>
      <c r="D16" s="21" t="n">
        <v>46190</v>
      </c>
      <c r="E16" s="19" t="str">
        <v>2026-06</v>
      </c>
      <c r="F16" s="19" t="str">
        <v>操作员</v>
      </c>
      <c r="G16" s="19" t="str">
        <v>德国区-灵活班次 / DE FLEX</v>
      </c>
      <c r="H16" s="23" t="n">
        <v>4</v>
      </c>
      <c r="I16" s="23" t="n">
        <v>0</v>
      </c>
      <c r="J16" s="23" t="n">
        <f>H16+I16</f>
        <v>4</v>
      </c>
      <c r="K16" s="23" t="n">
        <v>4</v>
      </c>
      <c r="L16" s="23" t="n">
        <v>4</v>
      </c>
      <c r="M16" s="23" t="n">
        <f>MIN(K16,J16)</f>
        <v>4</v>
      </c>
      <c r="N16" s="23" t="n">
        <f>MIN(L16,J16)</f>
        <v>4</v>
      </c>
      <c r="O16" s="25" t="n">
        <f>IF(K16=0,0,MIN(1,J16/K16))</f>
        <v>1</v>
      </c>
      <c r="P16" s="23" t="n">
        <f>IF(J16&gt;0,MAX(K16-J16,0),0)</f>
        <v>0</v>
      </c>
      <c r="Q16" s="23" t="n">
        <f>IF(J16=0,K16,0)</f>
        <v>0</v>
      </c>
      <c r="R16" s="23" t="n">
        <f>MAX(J16-K16,0)</f>
        <v>0</v>
      </c>
      <c r="S16" s="23" t="n">
        <f>IF(J16&gt;0,MAX(L16-J16,0),L16)</f>
        <v>0</v>
      </c>
    </row>
    <row r="17">
      <c r="A17" s="19" t="str">
        <v>德国区</v>
      </c>
      <c r="B17" s="19" t="str">
        <v>杜塞尔多夫10号仓</v>
      </c>
      <c r="C17" s="19" t="str">
        <v>交运组</v>
      </c>
      <c r="D17" s="21" t="n">
        <v>46191</v>
      </c>
      <c r="E17" s="19" t="str">
        <v>2026-06</v>
      </c>
      <c r="F17" s="19" t="str">
        <v>操作员</v>
      </c>
      <c r="G17" s="19" t="str">
        <v>德国区-灵活班次 / DE FLEX</v>
      </c>
      <c r="H17" s="23" t="n">
        <v>2</v>
      </c>
      <c r="I17" s="23" t="n">
        <v>0</v>
      </c>
      <c r="J17" s="23" t="n">
        <f>H17+I17</f>
        <v>2</v>
      </c>
      <c r="K17" s="23" t="n">
        <v>2</v>
      </c>
      <c r="L17" s="23" t="n">
        <v>2</v>
      </c>
      <c r="M17" s="23" t="n">
        <f>MIN(K17,J17)</f>
        <v>2</v>
      </c>
      <c r="N17" s="23" t="n">
        <f>MIN(L17,J17)</f>
        <v>2</v>
      </c>
      <c r="O17" s="25" t="n">
        <f>IF(K17=0,0,MIN(1,J17/K17))</f>
        <v>1</v>
      </c>
      <c r="P17" s="23" t="n">
        <f>IF(J17&gt;0,MAX(K17-J17,0),0)</f>
        <v>0</v>
      </c>
      <c r="Q17" s="23" t="n">
        <f>IF(J17=0,K17,0)</f>
        <v>0</v>
      </c>
      <c r="R17" s="23" t="n">
        <f>MAX(J17-K17,0)</f>
        <v>0</v>
      </c>
      <c r="S17" s="23" t="n">
        <f>IF(J17&gt;0,MAX(L17-J17,0),L17)</f>
        <v>0</v>
      </c>
    </row>
    <row r="18">
      <c r="A18" s="19" t="str">
        <v>德国区</v>
      </c>
      <c r="B18" s="19" t="str">
        <v>杜塞尔多夫10号仓</v>
      </c>
      <c r="C18" s="19" t="str">
        <v>交运组</v>
      </c>
      <c r="D18" s="21" t="n">
        <v>46192</v>
      </c>
      <c r="E18" s="19" t="str">
        <v>2026-06</v>
      </c>
      <c r="F18" s="19" t="str">
        <v>操作员</v>
      </c>
      <c r="G18" s="19" t="str">
        <v>德国区10仓8点班次</v>
      </c>
      <c r="H18" s="23" t="n">
        <v>5</v>
      </c>
      <c r="I18" s="23" t="n">
        <v>0</v>
      </c>
      <c r="J18" s="23" t="n">
        <f>H18+I18</f>
        <v>5</v>
      </c>
      <c r="K18" s="23" t="n">
        <v>6</v>
      </c>
      <c r="L18" s="23" t="n">
        <v>3</v>
      </c>
      <c r="M18" s="23" t="n">
        <f>MIN(K18,J18)</f>
        <v>5</v>
      </c>
      <c r="N18" s="23" t="n">
        <f>MIN(L18,J18)</f>
        <v>3</v>
      </c>
      <c r="O18" s="25" t="n">
        <f>IF(K18=0,0,MIN(1,J18/K18))</f>
        <v>0.8333333333333334</v>
      </c>
      <c r="P18" s="23" t="n">
        <f>IF(J18&gt;0,MAX(K18-J18,0),0)</f>
        <v>1</v>
      </c>
      <c r="Q18" s="23" t="n">
        <f>IF(J18=0,K18,0)</f>
        <v>0</v>
      </c>
      <c r="R18" s="23" t="n">
        <f>MAX(J18-K18,0)</f>
        <v>0</v>
      </c>
      <c r="S18" s="23" t="n">
        <f>IF(J18&gt;0,MAX(L18-J18,0),L18)</f>
        <v>0</v>
      </c>
    </row>
    <row r="19">
      <c r="A19" s="19" t="str">
        <v>德国区</v>
      </c>
      <c r="B19" s="19" t="str">
        <v>杜塞尔多夫10号仓</v>
      </c>
      <c r="C19" s="19" t="str">
        <v>交运组</v>
      </c>
      <c r="D19" s="21" t="n">
        <v>46192</v>
      </c>
      <c r="E19" s="19" t="str">
        <v>2026-06</v>
      </c>
      <c r="F19" s="19" t="str">
        <v>操作员</v>
      </c>
      <c r="G19" s="19" t="str">
        <v>德国区7点班次</v>
      </c>
      <c r="H19" s="23" t="n">
        <v>3</v>
      </c>
      <c r="I19" s="23" t="n">
        <v>0</v>
      </c>
      <c r="J19" s="23" t="n">
        <f>H19+I19</f>
        <v>3</v>
      </c>
      <c r="K19" s="23" t="n">
        <v>4</v>
      </c>
      <c r="L19" s="23" t="n">
        <v>2</v>
      </c>
      <c r="M19" s="23" t="n">
        <f>MIN(K19,J19)</f>
        <v>3</v>
      </c>
      <c r="N19" s="23" t="n">
        <f>MIN(L19,J19)</f>
        <v>2</v>
      </c>
      <c r="O19" s="25" t="n">
        <f>IF(K19=0,0,MIN(1,J19/K19))</f>
        <v>0.75</v>
      </c>
      <c r="P19" s="23" t="n">
        <f>IF(J19&gt;0,MAX(K19-J19,0),0)</f>
        <v>1</v>
      </c>
      <c r="Q19" s="23" t="n">
        <f>IF(J19=0,K19,0)</f>
        <v>0</v>
      </c>
      <c r="R19" s="23" t="n">
        <f>MAX(J19-K19,0)</f>
        <v>0</v>
      </c>
      <c r="S19" s="23" t="n">
        <f>IF(J19&gt;0,MAX(L19-J19,0),L19)</f>
        <v>0</v>
      </c>
    </row>
    <row r="20">
      <c r="A20" s="19" t="str">
        <v>德国区</v>
      </c>
      <c r="B20" s="19" t="str">
        <v>杜塞尔多夫10号仓</v>
      </c>
      <c r="C20" s="19" t="str">
        <v>交运组</v>
      </c>
      <c r="D20" s="21" t="n">
        <v>46196</v>
      </c>
      <c r="E20" s="19" t="str">
        <v>2026-06</v>
      </c>
      <c r="F20" s="19" t="str">
        <v>操作员</v>
      </c>
      <c r="G20" s="19" t="str">
        <v>德国区-灵活班次 / DE FLEX</v>
      </c>
      <c r="H20" s="23" t="n">
        <v>10</v>
      </c>
      <c r="I20" s="23" t="n">
        <v>0</v>
      </c>
      <c r="J20" s="23" t="n">
        <f>H20+I20</f>
        <v>10</v>
      </c>
      <c r="K20" s="23" t="n">
        <v>6</v>
      </c>
      <c r="L20" s="23" t="n">
        <v>6</v>
      </c>
      <c r="M20" s="23" t="n">
        <f>MIN(K20,J20)</f>
        <v>6</v>
      </c>
      <c r="N20" s="23" t="n">
        <f>MIN(L20,J20)</f>
        <v>6</v>
      </c>
      <c r="O20" s="25" t="n">
        <f>IF(K20=0,0,MIN(1,J20/K20))</f>
        <v>1</v>
      </c>
      <c r="P20" s="23" t="n">
        <f>IF(J20&gt;0,MAX(K20-J20,0),0)</f>
        <v>0</v>
      </c>
      <c r="Q20" s="23" t="n">
        <f>IF(J20=0,K20,0)</f>
        <v>0</v>
      </c>
      <c r="R20" s="23" t="n">
        <f>MAX(J20-K20,0)</f>
        <v>4</v>
      </c>
      <c r="S20" s="23" t="n">
        <f>IF(J20&gt;0,MAX(L20-J20,0),L20)</f>
        <v>0</v>
      </c>
    </row>
    <row r="21">
      <c r="A21" s="19" t="str">
        <v>德国区</v>
      </c>
      <c r="B21" s="19" t="str">
        <v>杜塞尔多夫10号仓</v>
      </c>
      <c r="C21" s="19" t="str">
        <v>交运组</v>
      </c>
      <c r="D21" s="21" t="n">
        <v>46197</v>
      </c>
      <c r="E21" s="19" t="str">
        <v>2026-06</v>
      </c>
      <c r="F21" s="19" t="str">
        <v>操作员</v>
      </c>
      <c r="G21" s="19" t="str">
        <v>德国区-灵活班次 / DE FLEX</v>
      </c>
      <c r="H21" s="23" t="n">
        <v>5</v>
      </c>
      <c r="I21" s="23" t="n">
        <v>0</v>
      </c>
      <c r="J21" s="23" t="n">
        <f>H21+I21</f>
        <v>5</v>
      </c>
      <c r="K21" s="23" t="n">
        <v>6</v>
      </c>
      <c r="L21" s="23" t="n">
        <v>4</v>
      </c>
      <c r="M21" s="23" t="n">
        <f>MIN(K21,J21)</f>
        <v>5</v>
      </c>
      <c r="N21" s="23" t="n">
        <f>MIN(L21,J21)</f>
        <v>4</v>
      </c>
      <c r="O21" s="25" t="n">
        <f>IF(K21=0,0,MIN(1,J21/K21))</f>
        <v>0.8333333333333334</v>
      </c>
      <c r="P21" s="23" t="n">
        <f>IF(J21&gt;0,MAX(K21-J21,0),0)</f>
        <v>1</v>
      </c>
      <c r="Q21" s="23" t="n">
        <f>IF(J21=0,K21,0)</f>
        <v>0</v>
      </c>
      <c r="R21" s="23" t="n">
        <f>MAX(J21-K21,0)</f>
        <v>0</v>
      </c>
      <c r="S21" s="23" t="n">
        <f>IF(J21&gt;0,MAX(L21-J21,0),L21)</f>
        <v>0</v>
      </c>
    </row>
    <row r="22">
      <c r="A22" s="19" t="str">
        <v>德国区</v>
      </c>
      <c r="B22" s="19" t="str">
        <v>杜塞尔多夫10号仓</v>
      </c>
      <c r="C22" s="19" t="str">
        <v>交运组</v>
      </c>
      <c r="D22" s="21" t="n">
        <v>46197</v>
      </c>
      <c r="E22" s="19" t="str">
        <v>2026-06</v>
      </c>
      <c r="F22" s="19" t="str">
        <v>操作员</v>
      </c>
      <c r="G22" s="19" t="str">
        <v>德国区7点班次</v>
      </c>
      <c r="H22" s="23" t="n">
        <v>5</v>
      </c>
      <c r="I22" s="23" t="n">
        <v>0</v>
      </c>
      <c r="J22" s="23" t="n">
        <f>H22+I22</f>
        <v>5</v>
      </c>
      <c r="K22" s="23" t="n">
        <v>5</v>
      </c>
      <c r="L22" s="23" t="n">
        <v>5</v>
      </c>
      <c r="M22" s="23" t="n">
        <f>MIN(K22,J22)</f>
        <v>5</v>
      </c>
      <c r="N22" s="23" t="n">
        <f>MIN(L22,J22)</f>
        <v>5</v>
      </c>
      <c r="O22" s="25" t="n">
        <f>IF(K22=0,0,MIN(1,J22/K22))</f>
        <v>1</v>
      </c>
      <c r="P22" s="23" t="n">
        <f>IF(J22&gt;0,MAX(K22-J22,0),0)</f>
        <v>0</v>
      </c>
      <c r="Q22" s="23" t="n">
        <f>IF(J22=0,K22,0)</f>
        <v>0</v>
      </c>
      <c r="R22" s="23" t="n">
        <f>MAX(J22-K22,0)</f>
        <v>0</v>
      </c>
      <c r="S22" s="23" t="n">
        <f>IF(J22&gt;0,MAX(L22-J22,0),L22)</f>
        <v>0</v>
      </c>
    </row>
    <row r="23">
      <c r="A23" s="19" t="str">
        <v>德国区</v>
      </c>
      <c r="B23" s="19" t="str">
        <v>杜塞尔多夫10号仓</v>
      </c>
      <c r="C23" s="19" t="str">
        <v>交运组</v>
      </c>
      <c r="D23" s="21" t="n">
        <v>46198</v>
      </c>
      <c r="E23" s="19" t="str">
        <v>2026-06</v>
      </c>
      <c r="F23" s="19" t="str">
        <v>操作员</v>
      </c>
      <c r="G23" s="19" t="str">
        <v>德国区7点班次</v>
      </c>
      <c r="H23" s="23" t="n">
        <v>3</v>
      </c>
      <c r="I23" s="23" t="n">
        <v>0</v>
      </c>
      <c r="J23" s="23" t="n">
        <f>H23+I23</f>
        <v>3</v>
      </c>
      <c r="K23" s="23" t="n">
        <v>3</v>
      </c>
      <c r="L23" s="23" t="n">
        <v>3</v>
      </c>
      <c r="M23" s="23" t="n">
        <f>MIN(K23,J23)</f>
        <v>3</v>
      </c>
      <c r="N23" s="23" t="n">
        <f>MIN(L23,J23)</f>
        <v>3</v>
      </c>
      <c r="O23" s="25" t="n">
        <f>IF(K23=0,0,MIN(1,J23/K23))</f>
        <v>1</v>
      </c>
      <c r="P23" s="23" t="n">
        <f>IF(J23&gt;0,MAX(K23-J23,0),0)</f>
        <v>0</v>
      </c>
      <c r="Q23" s="23" t="n">
        <f>IF(J23=0,K23,0)</f>
        <v>0</v>
      </c>
      <c r="R23" s="23" t="n">
        <f>MAX(J23-K23,0)</f>
        <v>0</v>
      </c>
      <c r="S23" s="23" t="n">
        <f>IF(J23&gt;0,MAX(L23-J23,0),L23)</f>
        <v>0</v>
      </c>
    </row>
    <row r="24">
      <c r="A24" s="19" t="str">
        <v>德国区</v>
      </c>
      <c r="B24" s="19" t="str">
        <v>杜塞尔多夫10号仓</v>
      </c>
      <c r="C24" s="19" t="str">
        <v>交运组</v>
      </c>
      <c r="D24" s="21" t="n">
        <v>46199</v>
      </c>
      <c r="E24" s="19" t="str">
        <v>2026-06</v>
      </c>
      <c r="F24" s="19" t="str">
        <v>操作员</v>
      </c>
      <c r="G24" s="19" t="str">
        <v>德国区-灵活班次 / DE FLEX</v>
      </c>
      <c r="H24" s="23" t="n">
        <v>5</v>
      </c>
      <c r="I24" s="23" t="n">
        <v>0</v>
      </c>
      <c r="J24" s="23" t="n">
        <f>H24+I24</f>
        <v>5</v>
      </c>
      <c r="K24" s="23" t="n">
        <v>5</v>
      </c>
      <c r="L24" s="23" t="n">
        <v>2</v>
      </c>
      <c r="M24" s="23" t="n">
        <f>MIN(K24,J24)</f>
        <v>5</v>
      </c>
      <c r="N24" s="23" t="n">
        <f>MIN(L24,J24)</f>
        <v>2</v>
      </c>
      <c r="O24" s="25" t="n">
        <f>IF(K24=0,0,MIN(1,J24/K24))</f>
        <v>1</v>
      </c>
      <c r="P24" s="23" t="n">
        <f>IF(J24&gt;0,MAX(K24-J24,0),0)</f>
        <v>0</v>
      </c>
      <c r="Q24" s="23" t="n">
        <f>IF(J24=0,K24,0)</f>
        <v>0</v>
      </c>
      <c r="R24" s="23" t="n">
        <f>MAX(J24-K24,0)</f>
        <v>0</v>
      </c>
      <c r="S24" s="23" t="n">
        <f>IF(J24&gt;0,MAX(L24-J24,0),L24)</f>
        <v>0</v>
      </c>
    </row>
    <row r="25">
      <c r="A25" s="19" t="str">
        <v>德国区</v>
      </c>
      <c r="B25" s="19" t="str">
        <v>杜塞尔多夫10号仓</v>
      </c>
      <c r="C25" s="19" t="str">
        <v>交运组</v>
      </c>
      <c r="D25" s="21" t="n">
        <v>46199</v>
      </c>
      <c r="E25" s="19" t="str">
        <v>2026-06</v>
      </c>
      <c r="F25" s="19" t="str">
        <v>操作员</v>
      </c>
      <c r="G25" s="19" t="str">
        <v>德国区7点班次</v>
      </c>
      <c r="H25" s="23" t="n">
        <v>3</v>
      </c>
      <c r="I25" s="23" t="n">
        <v>0</v>
      </c>
      <c r="J25" s="23" t="n">
        <f>H25+I25</f>
        <v>3</v>
      </c>
      <c r="K25" s="23" t="n">
        <v>3</v>
      </c>
      <c r="L25" s="23" t="n">
        <v>3</v>
      </c>
      <c r="M25" s="23" t="n">
        <f>MIN(K25,J25)</f>
        <v>3</v>
      </c>
      <c r="N25" s="23" t="n">
        <f>MIN(L25,J25)</f>
        <v>3</v>
      </c>
      <c r="O25" s="25" t="n">
        <f>IF(K25=0,0,MIN(1,J25/K25))</f>
        <v>1</v>
      </c>
      <c r="P25" s="23" t="n">
        <f>IF(J25&gt;0,MAX(K25-J25,0),0)</f>
        <v>0</v>
      </c>
      <c r="Q25" s="23" t="n">
        <f>IF(J25=0,K25,0)</f>
        <v>0</v>
      </c>
      <c r="R25" s="23" t="n">
        <f>MAX(J25-K25,0)</f>
        <v>0</v>
      </c>
      <c r="S25" s="23" t="n">
        <f>IF(J25&gt;0,MAX(L25-J25,0),L25)</f>
        <v>0</v>
      </c>
    </row>
    <row r="26">
      <c r="A26" s="19" t="str">
        <v>德国区</v>
      </c>
      <c r="B26" s="19" t="str">
        <v>杜塞尔多夫10号仓</v>
      </c>
      <c r="C26" s="19" t="str">
        <v>入库组</v>
      </c>
      <c r="D26" s="21" t="n">
        <v>46135</v>
      </c>
      <c r="E26" s="19" t="str">
        <v>2026-04</v>
      </c>
      <c r="F26" s="19" t="str">
        <v>操作员</v>
      </c>
      <c r="G26" s="19" t="str">
        <v>德国区-灵活班次 / DE FLEX</v>
      </c>
      <c r="H26" s="23" t="n">
        <v>2</v>
      </c>
      <c r="I26" s="23" t="n">
        <v>0</v>
      </c>
      <c r="J26" s="23" t="n">
        <f>H26+I26</f>
        <v>2</v>
      </c>
      <c r="K26" s="23" t="n">
        <v>2</v>
      </c>
      <c r="L26" s="23" t="n">
        <v>2</v>
      </c>
      <c r="M26" s="23" t="n">
        <f>MIN(K26,J26)</f>
        <v>2</v>
      </c>
      <c r="N26" s="23" t="n">
        <f>MIN(L26,J26)</f>
        <v>2</v>
      </c>
      <c r="O26" s="25" t="n">
        <f>IF(K26=0,0,MIN(1,J26/K26))</f>
        <v>1</v>
      </c>
      <c r="P26" s="23" t="n">
        <f>IF(J26&gt;0,MAX(K26-J26,0),0)</f>
        <v>0</v>
      </c>
      <c r="Q26" s="23" t="n">
        <f>IF(J26=0,K26,0)</f>
        <v>0</v>
      </c>
      <c r="R26" s="23" t="n">
        <f>MAX(J26-K26,0)</f>
        <v>0</v>
      </c>
      <c r="S26" s="23" t="n">
        <f>IF(J26&gt;0,MAX(L26-J26,0),L26)</f>
        <v>0</v>
      </c>
    </row>
    <row r="27">
      <c r="A27" s="19" t="str">
        <v>德国区</v>
      </c>
      <c r="B27" s="19" t="str">
        <v>杜塞尔多夫10号仓</v>
      </c>
      <c r="C27" s="19" t="str">
        <v>入库组</v>
      </c>
      <c r="D27" s="21" t="n">
        <v>46136</v>
      </c>
      <c r="E27" s="19" t="str">
        <v>2026-04</v>
      </c>
      <c r="F27" s="19" t="str">
        <v>操作员</v>
      </c>
      <c r="G27" s="19" t="str">
        <v>德国区-灵活班次 / DE FLEX</v>
      </c>
      <c r="H27" s="23" t="n">
        <v>2</v>
      </c>
      <c r="I27" s="23" t="n">
        <v>0</v>
      </c>
      <c r="J27" s="23" t="n">
        <f>H27+I27</f>
        <v>2</v>
      </c>
      <c r="K27" s="23" t="n">
        <v>2</v>
      </c>
      <c r="L27" s="23" t="n">
        <v>2</v>
      </c>
      <c r="M27" s="23" t="n">
        <f>MIN(K27,J27)</f>
        <v>2</v>
      </c>
      <c r="N27" s="23" t="n">
        <f>MIN(L27,J27)</f>
        <v>2</v>
      </c>
      <c r="O27" s="25" t="n">
        <f>IF(K27=0,0,MIN(1,J27/K27))</f>
        <v>1</v>
      </c>
      <c r="P27" s="23" t="n">
        <f>IF(J27&gt;0,MAX(K27-J27,0),0)</f>
        <v>0</v>
      </c>
      <c r="Q27" s="23" t="n">
        <f>IF(J27=0,K27,0)</f>
        <v>0</v>
      </c>
      <c r="R27" s="23" t="n">
        <f>MAX(J27-K27,0)</f>
        <v>0</v>
      </c>
      <c r="S27" s="23" t="n">
        <f>IF(J27&gt;0,MAX(L27-J27,0),L27)</f>
        <v>0</v>
      </c>
    </row>
    <row r="28">
      <c r="A28" s="19" t="str">
        <v>德国区</v>
      </c>
      <c r="B28" s="19" t="str">
        <v>杜塞尔多夫10号仓</v>
      </c>
      <c r="C28" s="19" t="str">
        <v>入库组</v>
      </c>
      <c r="D28" s="21" t="n">
        <v>46157</v>
      </c>
      <c r="E28" s="19" t="str">
        <v>2026-05</v>
      </c>
      <c r="F28" s="19" t="str">
        <v>操作员</v>
      </c>
      <c r="G28" s="19" t="str">
        <v>德国区-灵活班次 / DE FLEX</v>
      </c>
      <c r="H28" s="23" t="n">
        <v>1</v>
      </c>
      <c r="I28" s="23" t="n">
        <v>0</v>
      </c>
      <c r="J28" s="23" t="n">
        <f>H28+I28</f>
        <v>1</v>
      </c>
      <c r="K28" s="23" t="n">
        <v>1</v>
      </c>
      <c r="L28" s="23" t="n">
        <v>1</v>
      </c>
      <c r="M28" s="23" t="n">
        <f>MIN(K28,J28)</f>
        <v>1</v>
      </c>
      <c r="N28" s="23" t="n">
        <f>MIN(L28,J28)</f>
        <v>1</v>
      </c>
      <c r="O28" s="25" t="n">
        <f>IF(K28=0,0,MIN(1,J28/K28))</f>
        <v>1</v>
      </c>
      <c r="P28" s="23" t="n">
        <f>IF(J28&gt;0,MAX(K28-J28,0),0)</f>
        <v>0</v>
      </c>
      <c r="Q28" s="23" t="n">
        <f>IF(J28=0,K28,0)</f>
        <v>0</v>
      </c>
      <c r="R28" s="23" t="n">
        <f>MAX(J28-K28,0)</f>
        <v>0</v>
      </c>
      <c r="S28" s="23" t="n">
        <f>IF(J28&gt;0,MAX(L28-J28,0),L28)</f>
        <v>0</v>
      </c>
    </row>
    <row r="29">
      <c r="A29" s="19" t="str">
        <v>德国区</v>
      </c>
      <c r="B29" s="19" t="str">
        <v>杜塞尔多夫10号仓</v>
      </c>
      <c r="C29" s="19" t="str">
        <v>入库组</v>
      </c>
      <c r="D29" s="21" t="n">
        <v>46160</v>
      </c>
      <c r="E29" s="19" t="str">
        <v>2026-05</v>
      </c>
      <c r="F29" s="19" t="str">
        <v>操作员</v>
      </c>
      <c r="G29" s="19" t="str">
        <v>德国区-灵活班次 / DE FLEX</v>
      </c>
      <c r="H29" s="23" t="n">
        <v>1</v>
      </c>
      <c r="I29" s="23" t="n">
        <v>0</v>
      </c>
      <c r="J29" s="23" t="n">
        <f>H29+I29</f>
        <v>1</v>
      </c>
      <c r="K29" s="23" t="n">
        <v>2</v>
      </c>
      <c r="L29" s="23" t="n">
        <v>1</v>
      </c>
      <c r="M29" s="23" t="n">
        <f>MIN(K29,J29)</f>
        <v>1</v>
      </c>
      <c r="N29" s="23" t="n">
        <f>MIN(L29,J29)</f>
        <v>1</v>
      </c>
      <c r="O29" s="25" t="n">
        <f>IF(K29=0,0,MIN(1,J29/K29))</f>
        <v>0.5</v>
      </c>
      <c r="P29" s="23" t="n">
        <f>IF(J29&gt;0,MAX(K29-J29,0),0)</f>
        <v>1</v>
      </c>
      <c r="Q29" s="23" t="n">
        <f>IF(J29=0,K29,0)</f>
        <v>0</v>
      </c>
      <c r="R29" s="23" t="n">
        <f>MAX(J29-K29,0)</f>
        <v>0</v>
      </c>
      <c r="S29" s="23" t="n">
        <f>IF(J29&gt;0,MAX(L29-J29,0),L29)</f>
        <v>0</v>
      </c>
    </row>
    <row r="30">
      <c r="A30" s="19" t="str">
        <v>德国区</v>
      </c>
      <c r="B30" s="19" t="str">
        <v>杜塞尔多夫10号仓</v>
      </c>
      <c r="C30" s="19" t="str">
        <v>入库组</v>
      </c>
      <c r="D30" s="21" t="n">
        <v>46175</v>
      </c>
      <c r="E30" s="19" t="str">
        <v>2026-06</v>
      </c>
      <c r="F30" s="19" t="str">
        <v>操作员</v>
      </c>
      <c r="G30" s="19" t="str">
        <v>德国区-灵活班次 / DE FLEX</v>
      </c>
      <c r="H30" s="23" t="n">
        <v>2</v>
      </c>
      <c r="I30" s="23" t="n">
        <v>3</v>
      </c>
      <c r="J30" s="23" t="n">
        <f>H30+I30</f>
        <v>5</v>
      </c>
      <c r="K30" s="23" t="n">
        <v>3</v>
      </c>
      <c r="L30" s="23" t="n">
        <v>3</v>
      </c>
      <c r="M30" s="23" t="n">
        <f>MIN(K30,J30)</f>
        <v>3</v>
      </c>
      <c r="N30" s="23" t="n">
        <f>MIN(L30,J30)</f>
        <v>3</v>
      </c>
      <c r="O30" s="25" t="n">
        <f>IF(K30=0,0,MIN(1,J30/K30))</f>
        <v>1</v>
      </c>
      <c r="P30" s="23" t="n">
        <f>IF(J30&gt;0,MAX(K30-J30,0),0)</f>
        <v>0</v>
      </c>
      <c r="Q30" s="23" t="n">
        <f>IF(J30=0,K30,0)</f>
        <v>0</v>
      </c>
      <c r="R30" s="23" t="n">
        <f>MAX(J30-K30,0)</f>
        <v>2</v>
      </c>
      <c r="S30" s="23" t="n">
        <f>IF(J30&gt;0,MAX(L30-J30,0),L30)</f>
        <v>0</v>
      </c>
    </row>
    <row r="31">
      <c r="A31" s="19" t="str">
        <v>德国区</v>
      </c>
      <c r="B31" s="19" t="str">
        <v>杜塞尔多夫10号仓</v>
      </c>
      <c r="C31" s="19" t="str">
        <v>入库组</v>
      </c>
      <c r="D31" s="21" t="n">
        <v>46185</v>
      </c>
      <c r="E31" s="19" t="str">
        <v>2026-06</v>
      </c>
      <c r="F31" s="19" t="str">
        <v>操作员</v>
      </c>
      <c r="G31" s="19" t="str">
        <v>德国区7点班次</v>
      </c>
      <c r="H31" s="23" t="n">
        <v>2</v>
      </c>
      <c r="I31" s="23" t="n">
        <v>0</v>
      </c>
      <c r="J31" s="23" t="n">
        <f>H31+I31</f>
        <v>2</v>
      </c>
      <c r="K31" s="23" t="n">
        <v>0</v>
      </c>
      <c r="L31" s="23" t="n">
        <v>0</v>
      </c>
      <c r="M31" s="23" t="n">
        <f>MIN(K31,J31)</f>
        <v>0</v>
      </c>
      <c r="N31" s="23" t="n">
        <f>MIN(L31,J31)</f>
        <v>0</v>
      </c>
      <c r="O31" s="25" t="n">
        <f>IF(K31=0,0,MIN(1,J31/K31))</f>
        <v>0</v>
      </c>
      <c r="P31" s="23" t="n">
        <f>IF(J31&gt;0,MAX(K31-J31,0),0)</f>
        <v>0</v>
      </c>
      <c r="Q31" s="23" t="n">
        <f>IF(J31=0,K31,0)</f>
        <v>0</v>
      </c>
      <c r="R31" s="23" t="n">
        <f>MAX(J31-K31,0)</f>
        <v>2</v>
      </c>
      <c r="S31" s="23" t="n">
        <f>IF(J31&gt;0,MAX(L31-J31,0),L31)</f>
        <v>0</v>
      </c>
    </row>
    <row r="32">
      <c r="A32" s="19" t="str">
        <v>德国区</v>
      </c>
      <c r="B32" s="19" t="str">
        <v>杜塞尔多夫10号仓</v>
      </c>
      <c r="C32" s="19" t="str">
        <v>包装组</v>
      </c>
      <c r="D32" s="21" t="n">
        <v>46139</v>
      </c>
      <c r="E32" s="19" t="str">
        <v>2026-04</v>
      </c>
      <c r="F32" s="19" t="str">
        <v>操作员</v>
      </c>
      <c r="G32" s="19" t="str">
        <v>德国区-灵活班次 / DE FLEX</v>
      </c>
      <c r="H32" s="23" t="n">
        <v>2</v>
      </c>
      <c r="I32" s="23" t="n">
        <v>0</v>
      </c>
      <c r="J32" s="23" t="n">
        <f>H32+I32</f>
        <v>2</v>
      </c>
      <c r="K32" s="23" t="n">
        <v>2</v>
      </c>
      <c r="L32" s="23" t="n">
        <v>2</v>
      </c>
      <c r="M32" s="23" t="n">
        <f>MIN(K32,J32)</f>
        <v>2</v>
      </c>
      <c r="N32" s="23" t="n">
        <f>MIN(L32,J32)</f>
        <v>2</v>
      </c>
      <c r="O32" s="25" t="n">
        <f>IF(K32=0,0,MIN(1,J32/K32))</f>
        <v>1</v>
      </c>
      <c r="P32" s="23" t="n">
        <f>IF(J32&gt;0,MAX(K32-J32,0),0)</f>
        <v>0</v>
      </c>
      <c r="Q32" s="23" t="n">
        <f>IF(J32=0,K32,0)</f>
        <v>0</v>
      </c>
      <c r="R32" s="23" t="n">
        <f>MAX(J32-K32,0)</f>
        <v>0</v>
      </c>
      <c r="S32" s="23" t="n">
        <f>IF(J32&gt;0,MAX(L32-J32,0),L32)</f>
        <v>0</v>
      </c>
    </row>
    <row r="33">
      <c r="A33" s="19" t="str">
        <v>德国区</v>
      </c>
      <c r="B33" s="19" t="str">
        <v>杜塞尔多夫10号仓</v>
      </c>
      <c r="C33" s="19" t="str">
        <v>包装组</v>
      </c>
      <c r="D33" s="21" t="n">
        <v>46142</v>
      </c>
      <c r="E33" s="19" t="str">
        <v>2026-04</v>
      </c>
      <c r="F33" s="19" t="str">
        <v>操作员</v>
      </c>
      <c r="G33" s="19" t="str">
        <v>德国区-灵活班次 / DE FLEX</v>
      </c>
      <c r="H33" s="23" t="n">
        <v>2</v>
      </c>
      <c r="I33" s="23" t="n">
        <v>0</v>
      </c>
      <c r="J33" s="23" t="n">
        <f>H33+I33</f>
        <v>2</v>
      </c>
      <c r="K33" s="23" t="n">
        <v>2</v>
      </c>
      <c r="L33" s="23" t="n">
        <v>2</v>
      </c>
      <c r="M33" s="23" t="n">
        <f>MIN(K33,J33)</f>
        <v>2</v>
      </c>
      <c r="N33" s="23" t="n">
        <f>MIN(L33,J33)</f>
        <v>2</v>
      </c>
      <c r="O33" s="25" t="n">
        <f>IF(K33=0,0,MIN(1,J33/K33))</f>
        <v>1</v>
      </c>
      <c r="P33" s="23" t="n">
        <f>IF(J33&gt;0,MAX(K33-J33,0),0)</f>
        <v>0</v>
      </c>
      <c r="Q33" s="23" t="n">
        <f>IF(J33=0,K33,0)</f>
        <v>0</v>
      </c>
      <c r="R33" s="23" t="n">
        <f>MAX(J33-K33,0)</f>
        <v>0</v>
      </c>
      <c r="S33" s="23" t="n">
        <f>IF(J33&gt;0,MAX(L33-J33,0),L33)</f>
        <v>0</v>
      </c>
    </row>
    <row r="34">
      <c r="A34" s="19" t="str">
        <v>德国区</v>
      </c>
      <c r="B34" s="19" t="str">
        <v>杜塞尔多夫10号仓</v>
      </c>
      <c r="C34" s="19" t="str">
        <v>理货组</v>
      </c>
      <c r="D34" s="21" t="n">
        <v>46160</v>
      </c>
      <c r="E34" s="19" t="str">
        <v>2026-05</v>
      </c>
      <c r="F34" s="19" t="str">
        <v>保洁员</v>
      </c>
      <c r="G34" s="19" t="str">
        <v>德国区-灵活班次 / DE FLEX</v>
      </c>
      <c r="H34" s="23" t="n">
        <v>1</v>
      </c>
      <c r="I34" s="23" t="n">
        <v>0</v>
      </c>
      <c r="J34" s="23" t="n">
        <f>H34+I34</f>
        <v>1</v>
      </c>
      <c r="K34" s="23" t="n">
        <v>1</v>
      </c>
      <c r="L34" s="23" t="n">
        <v>1</v>
      </c>
      <c r="M34" s="23" t="n">
        <f>MIN(K34,J34)</f>
        <v>1</v>
      </c>
      <c r="N34" s="23" t="n">
        <f>MIN(L34,J34)</f>
        <v>1</v>
      </c>
      <c r="O34" s="25" t="n">
        <f>IF(K34=0,0,MIN(1,J34/K34))</f>
        <v>1</v>
      </c>
      <c r="P34" s="23" t="n">
        <f>IF(J34&gt;0,MAX(K34-J34,0),0)</f>
        <v>0</v>
      </c>
      <c r="Q34" s="23" t="n">
        <f>IF(J34=0,K34,0)</f>
        <v>0</v>
      </c>
      <c r="R34" s="23" t="n">
        <f>MAX(J34-K34,0)</f>
        <v>0</v>
      </c>
      <c r="S34" s="23" t="n">
        <f>IF(J34&gt;0,MAX(L34-J34,0),L34)</f>
        <v>0</v>
      </c>
    </row>
    <row r="35">
      <c r="A35" s="19" t="str">
        <v>德国区</v>
      </c>
      <c r="B35" s="19" t="str">
        <v>杜塞尔多夫10号仓</v>
      </c>
      <c r="C35" s="19" t="str">
        <v>理货组</v>
      </c>
      <c r="D35" s="21" t="n">
        <v>46169</v>
      </c>
      <c r="E35" s="19" t="str">
        <v>2026-05</v>
      </c>
      <c r="F35" s="19" t="str">
        <v>保洁员</v>
      </c>
      <c r="G35" s="19" t="str">
        <v>德国区-灵活班次 / DE FLEX</v>
      </c>
      <c r="H35" s="23" t="n">
        <v>1</v>
      </c>
      <c r="I35" s="23" t="n">
        <v>0</v>
      </c>
      <c r="J35" s="23" t="n">
        <f>H35+I35</f>
        <v>1</v>
      </c>
      <c r="K35" s="23" t="n">
        <v>1</v>
      </c>
      <c r="L35" s="23" t="n">
        <v>1</v>
      </c>
      <c r="M35" s="23" t="n">
        <f>MIN(K35,J35)</f>
        <v>1</v>
      </c>
      <c r="N35" s="23" t="n">
        <f>MIN(L35,J35)</f>
        <v>1</v>
      </c>
      <c r="O35" s="25" t="n">
        <f>IF(K35=0,0,MIN(1,J35/K35))</f>
        <v>1</v>
      </c>
      <c r="P35" s="23" t="n">
        <f>IF(J35&gt;0,MAX(K35-J35,0),0)</f>
        <v>0</v>
      </c>
      <c r="Q35" s="23" t="n">
        <f>IF(J35=0,K35,0)</f>
        <v>0</v>
      </c>
      <c r="R35" s="23" t="n">
        <f>MAX(J35-K35,0)</f>
        <v>0</v>
      </c>
      <c r="S35" s="23" t="n">
        <f>IF(J35&gt;0,MAX(L35-J35,0),L35)</f>
        <v>0</v>
      </c>
    </row>
    <row r="36">
      <c r="A36" s="19" t="str">
        <v>德国区</v>
      </c>
      <c r="B36" s="19" t="str">
        <v>杜塞尔多夫11号仓</v>
      </c>
      <c r="C36" s="19" t="str">
        <v>交运组</v>
      </c>
      <c r="D36" s="21" t="n">
        <v>46136</v>
      </c>
      <c r="E36" s="19" t="str">
        <v>2026-04</v>
      </c>
      <c r="F36" s="19" t="str">
        <v>操作员</v>
      </c>
      <c r="G36" s="19" t="str">
        <v>德国区-灵活班次 / DE FLEX</v>
      </c>
      <c r="H36" s="23" t="n">
        <v>1</v>
      </c>
      <c r="I36" s="23" t="n">
        <v>0</v>
      </c>
      <c r="J36" s="23" t="n">
        <f>H36+I36</f>
        <v>1</v>
      </c>
      <c r="K36" s="23" t="n">
        <v>1</v>
      </c>
      <c r="L36" s="23" t="n">
        <v>1</v>
      </c>
      <c r="M36" s="23" t="n">
        <f>MIN(K36,J36)</f>
        <v>1</v>
      </c>
      <c r="N36" s="23" t="n">
        <f>MIN(L36,J36)</f>
        <v>1</v>
      </c>
      <c r="O36" s="25" t="n">
        <f>IF(K36=0,0,MIN(1,J36/K36))</f>
        <v>1</v>
      </c>
      <c r="P36" s="23" t="n">
        <f>IF(J36&gt;0,MAX(K36-J36,0),0)</f>
        <v>0</v>
      </c>
      <c r="Q36" s="23" t="n">
        <f>IF(J36=0,K36,0)</f>
        <v>0</v>
      </c>
      <c r="R36" s="23" t="n">
        <f>MAX(J36-K36,0)</f>
        <v>0</v>
      </c>
      <c r="S36" s="23" t="n">
        <f>IF(J36&gt;0,MAX(L36-J36,0),L36)</f>
        <v>0</v>
      </c>
    </row>
    <row r="37">
      <c r="A37" s="19" t="str">
        <v>德国区</v>
      </c>
      <c r="B37" s="19" t="str">
        <v>杜塞尔多夫11号仓</v>
      </c>
      <c r="C37" s="19" t="str">
        <v>交运组</v>
      </c>
      <c r="D37" s="21" t="n">
        <v>46139</v>
      </c>
      <c r="E37" s="19" t="str">
        <v>2026-04</v>
      </c>
      <c r="F37" s="19" t="str">
        <v>操作员</v>
      </c>
      <c r="G37" s="19" t="str">
        <v>德国区-灵活班次 / DE FLEX</v>
      </c>
      <c r="H37" s="23" t="n">
        <v>4</v>
      </c>
      <c r="I37" s="23" t="n">
        <v>0</v>
      </c>
      <c r="J37" s="23" t="n">
        <f>H37+I37</f>
        <v>4</v>
      </c>
      <c r="K37" s="23" t="n">
        <v>4</v>
      </c>
      <c r="L37" s="23" t="n">
        <v>4</v>
      </c>
      <c r="M37" s="23" t="n">
        <f>MIN(K37,J37)</f>
        <v>4</v>
      </c>
      <c r="N37" s="23" t="n">
        <f>MIN(L37,J37)</f>
        <v>4</v>
      </c>
      <c r="O37" s="25" t="n">
        <f>IF(K37=0,0,MIN(1,J37/K37))</f>
        <v>1</v>
      </c>
      <c r="P37" s="23" t="n">
        <f>IF(J37&gt;0,MAX(K37-J37,0),0)</f>
        <v>0</v>
      </c>
      <c r="Q37" s="23" t="n">
        <f>IF(J37=0,K37,0)</f>
        <v>0</v>
      </c>
      <c r="R37" s="23" t="n">
        <f>MAX(J37-K37,0)</f>
        <v>0</v>
      </c>
      <c r="S37" s="23" t="n">
        <f>IF(J37&gt;0,MAX(L37-J37,0),L37)</f>
        <v>0</v>
      </c>
    </row>
    <row r="38">
      <c r="A38" s="19" t="str">
        <v>德国区</v>
      </c>
      <c r="B38" s="19" t="str">
        <v>杜塞尔多夫11号仓</v>
      </c>
      <c r="C38" s="19" t="str">
        <v>交运组</v>
      </c>
      <c r="D38" s="21" t="n">
        <v>46141</v>
      </c>
      <c r="E38" s="19" t="str">
        <v>2026-04</v>
      </c>
      <c r="F38" s="19" t="str">
        <v>操作员</v>
      </c>
      <c r="G38" s="19" t="str">
        <v>德国区-灵活班次 / DE FLEX</v>
      </c>
      <c r="H38" s="23" t="n">
        <v>2</v>
      </c>
      <c r="I38" s="23" t="n">
        <v>0</v>
      </c>
      <c r="J38" s="23" t="n">
        <f>H38+I38</f>
        <v>2</v>
      </c>
      <c r="K38" s="23" t="n">
        <v>2</v>
      </c>
      <c r="L38" s="23" t="n">
        <v>1</v>
      </c>
      <c r="M38" s="23" t="n">
        <f>MIN(K38,J38)</f>
        <v>2</v>
      </c>
      <c r="N38" s="23" t="n">
        <f>MIN(L38,J38)</f>
        <v>1</v>
      </c>
      <c r="O38" s="25" t="n">
        <f>IF(K38=0,0,MIN(1,J38/K38))</f>
        <v>1</v>
      </c>
      <c r="P38" s="23" t="n">
        <f>IF(J38&gt;0,MAX(K38-J38,0),0)</f>
        <v>0</v>
      </c>
      <c r="Q38" s="23" t="n">
        <f>IF(J38=0,K38,0)</f>
        <v>0</v>
      </c>
      <c r="R38" s="23" t="n">
        <f>MAX(J38-K38,0)</f>
        <v>0</v>
      </c>
      <c r="S38" s="23" t="n">
        <f>IF(J38&gt;0,MAX(L38-J38,0),L38)</f>
        <v>0</v>
      </c>
    </row>
    <row r="39">
      <c r="A39" s="19" t="str">
        <v>德国区</v>
      </c>
      <c r="B39" s="19" t="str">
        <v>杜塞尔多夫11号仓</v>
      </c>
      <c r="C39" s="19" t="str">
        <v>交运组</v>
      </c>
      <c r="D39" s="21" t="n">
        <v>46147</v>
      </c>
      <c r="E39" s="19" t="str">
        <v>2026-05</v>
      </c>
      <c r="F39" s="19" t="str">
        <v>操作员</v>
      </c>
      <c r="G39" s="19" t="str">
        <v>德国区-灵活班次 / DE FLEX</v>
      </c>
      <c r="H39" s="23" t="n">
        <v>3</v>
      </c>
      <c r="I39" s="23" t="n">
        <v>0</v>
      </c>
      <c r="J39" s="23" t="n">
        <f>H39+I39</f>
        <v>3</v>
      </c>
      <c r="K39" s="23" t="n">
        <v>0</v>
      </c>
      <c r="L39" s="23" t="n">
        <v>0</v>
      </c>
      <c r="M39" s="23" t="n">
        <f>MIN(K39,J39)</f>
        <v>0</v>
      </c>
      <c r="N39" s="23" t="n">
        <f>MIN(L39,J39)</f>
        <v>0</v>
      </c>
      <c r="O39" s="25" t="n">
        <f>IF(K39=0,0,MIN(1,J39/K39))</f>
        <v>0</v>
      </c>
      <c r="P39" s="23" t="n">
        <f>IF(J39&gt;0,MAX(K39-J39,0),0)</f>
        <v>0</v>
      </c>
      <c r="Q39" s="23" t="n">
        <f>IF(J39=0,K39,0)</f>
        <v>0</v>
      </c>
      <c r="R39" s="23" t="n">
        <f>MAX(J39-K39,0)</f>
        <v>3</v>
      </c>
      <c r="S39" s="23" t="n">
        <f>IF(J39&gt;0,MAX(L39-J39,0),L39)</f>
        <v>0</v>
      </c>
    </row>
    <row r="40">
      <c r="A40" s="19" t="str">
        <v>德国区</v>
      </c>
      <c r="B40" s="19" t="str">
        <v>杜塞尔多夫11号仓</v>
      </c>
      <c r="C40" s="19" t="str">
        <v>交运组</v>
      </c>
      <c r="D40" s="21" t="n">
        <v>46148</v>
      </c>
      <c r="E40" s="19" t="str">
        <v>2026-05</v>
      </c>
      <c r="F40" s="19" t="str">
        <v>操作员</v>
      </c>
      <c r="G40" s="19" t="str">
        <v>德国区-灵活班次 / DE FLEX</v>
      </c>
      <c r="H40" s="23" t="n">
        <v>3</v>
      </c>
      <c r="I40" s="23" t="n">
        <v>0</v>
      </c>
      <c r="J40" s="23" t="n">
        <f>H40+I40</f>
        <v>3</v>
      </c>
      <c r="K40" s="23" t="n">
        <v>3</v>
      </c>
      <c r="L40" s="23" t="n">
        <v>3</v>
      </c>
      <c r="M40" s="23" t="n">
        <f>MIN(K40,J40)</f>
        <v>3</v>
      </c>
      <c r="N40" s="23" t="n">
        <f>MIN(L40,J40)</f>
        <v>3</v>
      </c>
      <c r="O40" s="25" t="n">
        <f>IF(K40=0,0,MIN(1,J40/K40))</f>
        <v>1</v>
      </c>
      <c r="P40" s="23" t="n">
        <f>IF(J40&gt;0,MAX(K40-J40,0),0)</f>
        <v>0</v>
      </c>
      <c r="Q40" s="23" t="n">
        <f>IF(J40=0,K40,0)</f>
        <v>0</v>
      </c>
      <c r="R40" s="23" t="n">
        <f>MAX(J40-K40,0)</f>
        <v>0</v>
      </c>
      <c r="S40" s="23" t="n">
        <f>IF(J40&gt;0,MAX(L40-J40,0),L40)</f>
        <v>0</v>
      </c>
    </row>
    <row r="41">
      <c r="A41" s="19" t="str">
        <v>德国区</v>
      </c>
      <c r="B41" s="19" t="str">
        <v>杜塞尔多夫11号仓</v>
      </c>
      <c r="C41" s="19" t="str">
        <v>交运组</v>
      </c>
      <c r="D41" s="21" t="n">
        <v>46149</v>
      </c>
      <c r="E41" s="19" t="str">
        <v>2026-05</v>
      </c>
      <c r="F41" s="19" t="str">
        <v>操作员</v>
      </c>
      <c r="G41" s="19" t="str">
        <v>德国区-灵活班次 / DE FLEX</v>
      </c>
      <c r="H41" s="23" t="n">
        <v>3</v>
      </c>
      <c r="I41" s="23" t="n">
        <v>0</v>
      </c>
      <c r="J41" s="23" t="n">
        <f>H41+I41</f>
        <v>3</v>
      </c>
      <c r="K41" s="23" t="n">
        <v>3</v>
      </c>
      <c r="L41" s="23" t="n">
        <v>3</v>
      </c>
      <c r="M41" s="23" t="n">
        <f>MIN(K41,J41)</f>
        <v>3</v>
      </c>
      <c r="N41" s="23" t="n">
        <f>MIN(L41,J41)</f>
        <v>3</v>
      </c>
      <c r="O41" s="25" t="n">
        <f>IF(K41=0,0,MIN(1,J41/K41))</f>
        <v>1</v>
      </c>
      <c r="P41" s="23" t="n">
        <f>IF(J41&gt;0,MAX(K41-J41,0),0)</f>
        <v>0</v>
      </c>
      <c r="Q41" s="23" t="n">
        <f>IF(J41=0,K41,0)</f>
        <v>0</v>
      </c>
      <c r="R41" s="23" t="n">
        <f>MAX(J41-K41,0)</f>
        <v>0</v>
      </c>
      <c r="S41" s="23" t="n">
        <f>IF(J41&gt;0,MAX(L41-J41,0),L41)</f>
        <v>0</v>
      </c>
    </row>
    <row r="42">
      <c r="A42" s="19" t="str">
        <v>德国区</v>
      </c>
      <c r="B42" s="19" t="str">
        <v>杜塞尔多夫11号仓</v>
      </c>
      <c r="C42" s="19" t="str">
        <v>交运组</v>
      </c>
      <c r="D42" s="21" t="n">
        <v>46150</v>
      </c>
      <c r="E42" s="19" t="str">
        <v>2026-05</v>
      </c>
      <c r="F42" s="19" t="str">
        <v>操作员</v>
      </c>
      <c r="G42" s="19" t="str">
        <v>德国区-灵活班次 / DE FLEX</v>
      </c>
      <c r="H42" s="23" t="n">
        <v>3</v>
      </c>
      <c r="I42" s="23" t="n">
        <v>0</v>
      </c>
      <c r="J42" s="23" t="n">
        <f>H42+I42</f>
        <v>3</v>
      </c>
      <c r="K42" s="23" t="n">
        <v>0</v>
      </c>
      <c r="L42" s="23" t="n">
        <v>0</v>
      </c>
      <c r="M42" s="23" t="n">
        <f>MIN(K42,J42)</f>
        <v>0</v>
      </c>
      <c r="N42" s="23" t="n">
        <f>MIN(L42,J42)</f>
        <v>0</v>
      </c>
      <c r="O42" s="25" t="n">
        <f>IF(K42=0,0,MIN(1,J42/K42))</f>
        <v>0</v>
      </c>
      <c r="P42" s="23" t="n">
        <f>IF(J42&gt;0,MAX(K42-J42,0),0)</f>
        <v>0</v>
      </c>
      <c r="Q42" s="23" t="n">
        <f>IF(J42=0,K42,0)</f>
        <v>0</v>
      </c>
      <c r="R42" s="23" t="n">
        <f>MAX(J42-K42,0)</f>
        <v>3</v>
      </c>
      <c r="S42" s="23" t="n">
        <f>IF(J42&gt;0,MAX(L42-J42,0),L42)</f>
        <v>0</v>
      </c>
    </row>
    <row r="43">
      <c r="A43" s="19" t="str">
        <v>德国区</v>
      </c>
      <c r="B43" s="19" t="str">
        <v>杜塞尔多夫11号仓</v>
      </c>
      <c r="C43" s="19" t="str">
        <v>交运组</v>
      </c>
      <c r="D43" s="21" t="n">
        <v>46151</v>
      </c>
      <c r="E43" s="19" t="str">
        <v>2026-05</v>
      </c>
      <c r="F43" s="19" t="str">
        <v>操作员</v>
      </c>
      <c r="G43" s="19" t="str">
        <v>德国区-灵活班次 / DE FLEX</v>
      </c>
      <c r="H43" s="23" t="n">
        <v>3</v>
      </c>
      <c r="I43" s="23" t="n">
        <v>0</v>
      </c>
      <c r="J43" s="23" t="n">
        <f>H43+I43</f>
        <v>3</v>
      </c>
      <c r="K43" s="23" t="n">
        <v>0</v>
      </c>
      <c r="L43" s="23" t="n">
        <v>0</v>
      </c>
      <c r="M43" s="23" t="n">
        <f>MIN(K43,J43)</f>
        <v>0</v>
      </c>
      <c r="N43" s="23" t="n">
        <f>MIN(L43,J43)</f>
        <v>0</v>
      </c>
      <c r="O43" s="25" t="n">
        <f>IF(K43=0,0,MIN(1,J43/K43))</f>
        <v>0</v>
      </c>
      <c r="P43" s="23" t="n">
        <f>IF(J43&gt;0,MAX(K43-J43,0),0)</f>
        <v>0</v>
      </c>
      <c r="Q43" s="23" t="n">
        <f>IF(J43=0,K43,0)</f>
        <v>0</v>
      </c>
      <c r="R43" s="23" t="n">
        <f>MAX(J43-K43,0)</f>
        <v>3</v>
      </c>
      <c r="S43" s="23" t="n">
        <f>IF(J43&gt;0,MAX(L43-J43,0),L43)</f>
        <v>0</v>
      </c>
    </row>
    <row r="44">
      <c r="A44" s="19" t="str">
        <v>德国区</v>
      </c>
      <c r="B44" s="19" t="str">
        <v>杜塞尔多夫11号仓</v>
      </c>
      <c r="C44" s="19" t="str">
        <v>交运组</v>
      </c>
      <c r="D44" s="21" t="n">
        <v>46161</v>
      </c>
      <c r="E44" s="19" t="str">
        <v>2026-05</v>
      </c>
      <c r="F44" s="19" t="str">
        <v>操作员</v>
      </c>
      <c r="G44" s="19" t="str">
        <v>德国区-灵活班次 / DE FLEX</v>
      </c>
      <c r="H44" s="23" t="n">
        <v>2</v>
      </c>
      <c r="I44" s="23" t="n">
        <v>0</v>
      </c>
      <c r="J44" s="23" t="n">
        <f>H44+I44</f>
        <v>2</v>
      </c>
      <c r="K44" s="23" t="n">
        <v>2</v>
      </c>
      <c r="L44" s="23" t="n">
        <v>2</v>
      </c>
      <c r="M44" s="23" t="n">
        <f>MIN(K44,J44)</f>
        <v>2</v>
      </c>
      <c r="N44" s="23" t="n">
        <f>MIN(L44,J44)</f>
        <v>2</v>
      </c>
      <c r="O44" s="25" t="n">
        <f>IF(K44=0,0,MIN(1,J44/K44))</f>
        <v>1</v>
      </c>
      <c r="P44" s="23" t="n">
        <f>IF(J44&gt;0,MAX(K44-J44,0),0)</f>
        <v>0</v>
      </c>
      <c r="Q44" s="23" t="n">
        <f>IF(J44=0,K44,0)</f>
        <v>0</v>
      </c>
      <c r="R44" s="23" t="n">
        <f>MAX(J44-K44,0)</f>
        <v>0</v>
      </c>
      <c r="S44" s="23" t="n">
        <f>IF(J44&gt;0,MAX(L44-J44,0),L44)</f>
        <v>0</v>
      </c>
    </row>
    <row r="45">
      <c r="A45" s="19" t="str">
        <v>德国区</v>
      </c>
      <c r="B45" s="19" t="str">
        <v>杜塞尔多夫11号仓</v>
      </c>
      <c r="C45" s="19" t="str">
        <v>交运组</v>
      </c>
      <c r="D45" s="21" t="n">
        <v>46165</v>
      </c>
      <c r="E45" s="19" t="str">
        <v>2026-05</v>
      </c>
      <c r="F45" s="19" t="str">
        <v>操作员</v>
      </c>
      <c r="G45" s="19" t="str">
        <v>德国区-灵活班次 / DE FLEX</v>
      </c>
      <c r="H45" s="23" t="n">
        <v>3</v>
      </c>
      <c r="I45" s="23" t="n">
        <v>0</v>
      </c>
      <c r="J45" s="23" t="n">
        <f>H45+I45</f>
        <v>3</v>
      </c>
      <c r="K45" s="23" t="n">
        <v>3</v>
      </c>
      <c r="L45" s="23" t="n">
        <v>3</v>
      </c>
      <c r="M45" s="23" t="n">
        <f>MIN(K45,J45)</f>
        <v>3</v>
      </c>
      <c r="N45" s="23" t="n">
        <f>MIN(L45,J45)</f>
        <v>3</v>
      </c>
      <c r="O45" s="25" t="n">
        <f>IF(K45=0,0,MIN(1,J45/K45))</f>
        <v>1</v>
      </c>
      <c r="P45" s="23" t="n">
        <f>IF(J45&gt;0,MAX(K45-J45,0),0)</f>
        <v>0</v>
      </c>
      <c r="Q45" s="23" t="n">
        <f>IF(J45=0,K45,0)</f>
        <v>0</v>
      </c>
      <c r="R45" s="23" t="n">
        <f>MAX(J45-K45,0)</f>
        <v>0</v>
      </c>
      <c r="S45" s="23" t="n">
        <f>IF(J45&gt;0,MAX(L45-J45,0),L45)</f>
        <v>0</v>
      </c>
    </row>
    <row r="46">
      <c r="A46" s="19" t="str">
        <v>德国区</v>
      </c>
      <c r="B46" s="19" t="str">
        <v>杜塞尔多夫11号仓</v>
      </c>
      <c r="C46" s="19" t="str">
        <v>交运组</v>
      </c>
      <c r="D46" s="21" t="n">
        <v>46169</v>
      </c>
      <c r="E46" s="19" t="str">
        <v>2026-05</v>
      </c>
      <c r="F46" s="19" t="str">
        <v>操作员</v>
      </c>
      <c r="G46" s="19" t="str">
        <v>德国区-灵活班次 / DE FLEX</v>
      </c>
      <c r="H46" s="23" t="n">
        <v>3</v>
      </c>
      <c r="I46" s="23" t="n">
        <v>0</v>
      </c>
      <c r="J46" s="23" t="n">
        <f>H46+I46</f>
        <v>3</v>
      </c>
      <c r="K46" s="23" t="n">
        <v>3</v>
      </c>
      <c r="L46" s="23" t="n">
        <v>3</v>
      </c>
      <c r="M46" s="23" t="n">
        <f>MIN(K46,J46)</f>
        <v>3</v>
      </c>
      <c r="N46" s="23" t="n">
        <f>MIN(L46,J46)</f>
        <v>3</v>
      </c>
      <c r="O46" s="25" t="n">
        <f>IF(K46=0,0,MIN(1,J46/K46))</f>
        <v>1</v>
      </c>
      <c r="P46" s="23" t="n">
        <f>IF(J46&gt;0,MAX(K46-J46,0),0)</f>
        <v>0</v>
      </c>
      <c r="Q46" s="23" t="n">
        <f>IF(J46=0,K46,0)</f>
        <v>0</v>
      </c>
      <c r="R46" s="23" t="n">
        <f>MAX(J46-K46,0)</f>
        <v>0</v>
      </c>
      <c r="S46" s="23" t="n">
        <f>IF(J46&gt;0,MAX(L46-J46,0),L46)</f>
        <v>0</v>
      </c>
    </row>
    <row r="47">
      <c r="A47" s="19" t="str">
        <v>德国区</v>
      </c>
      <c r="B47" s="19" t="str">
        <v>杜塞尔多夫11号仓</v>
      </c>
      <c r="C47" s="19" t="str">
        <v>交运组</v>
      </c>
      <c r="D47" s="21" t="n">
        <v>46171</v>
      </c>
      <c r="E47" s="19" t="str">
        <v>2026-05</v>
      </c>
      <c r="F47" s="19" t="str">
        <v>操作员</v>
      </c>
      <c r="G47" s="19" t="str">
        <v>德国区-灵活班次 / DE FLEX</v>
      </c>
      <c r="H47" s="23" t="n">
        <v>3</v>
      </c>
      <c r="I47" s="23" t="n">
        <v>0</v>
      </c>
      <c r="J47" s="23" t="n">
        <f>H47+I47</f>
        <v>3</v>
      </c>
      <c r="K47" s="23" t="n">
        <v>3</v>
      </c>
      <c r="L47" s="23" t="n">
        <v>3</v>
      </c>
      <c r="M47" s="23" t="n">
        <f>MIN(K47,J47)</f>
        <v>3</v>
      </c>
      <c r="N47" s="23" t="n">
        <f>MIN(L47,J47)</f>
        <v>3</v>
      </c>
      <c r="O47" s="25" t="n">
        <f>IF(K47=0,0,MIN(1,J47/K47))</f>
        <v>1</v>
      </c>
      <c r="P47" s="23" t="n">
        <f>IF(J47&gt;0,MAX(K47-J47,0),0)</f>
        <v>0</v>
      </c>
      <c r="Q47" s="23" t="n">
        <f>IF(J47=0,K47,0)</f>
        <v>0</v>
      </c>
      <c r="R47" s="23" t="n">
        <f>MAX(J47-K47,0)</f>
        <v>0</v>
      </c>
      <c r="S47" s="23" t="n">
        <f>IF(J47&gt;0,MAX(L47-J47,0),L47)</f>
        <v>0</v>
      </c>
    </row>
    <row r="48">
      <c r="A48" s="19" t="str">
        <v>德国区</v>
      </c>
      <c r="B48" s="19" t="str">
        <v>杜塞尔多夫11号仓</v>
      </c>
      <c r="C48" s="19" t="str">
        <v>交运组</v>
      </c>
      <c r="D48" s="21" t="n">
        <v>46175</v>
      </c>
      <c r="E48" s="19" t="str">
        <v>2026-06</v>
      </c>
      <c r="F48" s="19" t="str">
        <v>操作员</v>
      </c>
      <c r="G48" s="19" t="str">
        <v>德国区-灵活班次 / DE FLEX</v>
      </c>
      <c r="H48" s="23" t="n">
        <v>4</v>
      </c>
      <c r="I48" s="23" t="n">
        <v>0</v>
      </c>
      <c r="J48" s="23" t="n">
        <f>H48+I48</f>
        <v>4</v>
      </c>
      <c r="K48" s="23" t="n">
        <v>4</v>
      </c>
      <c r="L48" s="23" t="n">
        <v>4</v>
      </c>
      <c r="M48" s="23" t="n">
        <f>MIN(K48,J48)</f>
        <v>4</v>
      </c>
      <c r="N48" s="23" t="n">
        <f>MIN(L48,J48)</f>
        <v>4</v>
      </c>
      <c r="O48" s="25" t="n">
        <f>IF(K48=0,0,MIN(1,J48/K48))</f>
        <v>1</v>
      </c>
      <c r="P48" s="23" t="n">
        <f>IF(J48&gt;0,MAX(K48-J48,0),0)</f>
        <v>0</v>
      </c>
      <c r="Q48" s="23" t="n">
        <f>IF(J48=0,K48,0)</f>
        <v>0</v>
      </c>
      <c r="R48" s="23" t="n">
        <f>MAX(J48-K48,0)</f>
        <v>0</v>
      </c>
      <c r="S48" s="23" t="n">
        <f>IF(J48&gt;0,MAX(L48-J48,0),L48)</f>
        <v>0</v>
      </c>
    </row>
    <row r="49">
      <c r="A49" s="19" t="str">
        <v>德国区</v>
      </c>
      <c r="B49" s="19" t="str">
        <v>杜塞尔多夫11号仓</v>
      </c>
      <c r="C49" s="19" t="str">
        <v>交运组</v>
      </c>
      <c r="D49" s="21" t="n">
        <v>46176</v>
      </c>
      <c r="E49" s="19" t="str">
        <v>2026-06</v>
      </c>
      <c r="F49" s="19" t="str">
        <v>操作员</v>
      </c>
      <c r="G49" s="19" t="str">
        <v>德国区-灵活班次 / DE FLEX</v>
      </c>
      <c r="H49" s="23" t="n">
        <v>5</v>
      </c>
      <c r="I49" s="23" t="n">
        <v>0</v>
      </c>
      <c r="J49" s="23" t="n">
        <f>H49+I49</f>
        <v>5</v>
      </c>
      <c r="K49" s="23" t="n">
        <v>6</v>
      </c>
      <c r="L49" s="23" t="n">
        <v>2</v>
      </c>
      <c r="M49" s="23" t="n">
        <f>MIN(K49,J49)</f>
        <v>5</v>
      </c>
      <c r="N49" s="23" t="n">
        <f>MIN(L49,J49)</f>
        <v>2</v>
      </c>
      <c r="O49" s="25" t="n">
        <f>IF(K49=0,0,MIN(1,J49/K49))</f>
        <v>0.8333333333333334</v>
      </c>
      <c r="P49" s="23" t="n">
        <f>IF(J49&gt;0,MAX(K49-J49,0),0)</f>
        <v>1</v>
      </c>
      <c r="Q49" s="23" t="n">
        <f>IF(J49=0,K49,0)</f>
        <v>0</v>
      </c>
      <c r="R49" s="23" t="n">
        <f>MAX(J49-K49,0)</f>
        <v>0</v>
      </c>
      <c r="S49" s="23" t="n">
        <f>IF(J49&gt;0,MAX(L49-J49,0),L49)</f>
        <v>0</v>
      </c>
    </row>
    <row r="50">
      <c r="A50" s="19" t="str">
        <v>德国区</v>
      </c>
      <c r="B50" s="19" t="str">
        <v>杜塞尔多夫11号仓</v>
      </c>
      <c r="C50" s="19" t="str">
        <v>交运组</v>
      </c>
      <c r="D50" s="21" t="n">
        <v>46178</v>
      </c>
      <c r="E50" s="19" t="str">
        <v>2026-06</v>
      </c>
      <c r="F50" s="19" t="str">
        <v>操作员</v>
      </c>
      <c r="G50" s="19" t="str">
        <v>德国区-灵活班次 / DE FLEX</v>
      </c>
      <c r="H50" s="23" t="n">
        <v>6</v>
      </c>
      <c r="I50" s="23" t="n">
        <v>0</v>
      </c>
      <c r="J50" s="23" t="n">
        <f>H50+I50</f>
        <v>6</v>
      </c>
      <c r="K50" s="23" t="n">
        <v>6</v>
      </c>
      <c r="L50" s="23" t="n">
        <v>5</v>
      </c>
      <c r="M50" s="23" t="n">
        <f>MIN(K50,J50)</f>
        <v>6</v>
      </c>
      <c r="N50" s="23" t="n">
        <f>MIN(L50,J50)</f>
        <v>5</v>
      </c>
      <c r="O50" s="25" t="n">
        <f>IF(K50=0,0,MIN(1,J50/K50))</f>
        <v>1</v>
      </c>
      <c r="P50" s="23" t="n">
        <f>IF(J50&gt;0,MAX(K50-J50,0),0)</f>
        <v>0</v>
      </c>
      <c r="Q50" s="23" t="n">
        <f>IF(J50=0,K50,0)</f>
        <v>0</v>
      </c>
      <c r="R50" s="23" t="n">
        <f>MAX(J50-K50,0)</f>
        <v>0</v>
      </c>
      <c r="S50" s="23" t="n">
        <f>IF(J50&gt;0,MAX(L50-J50,0),L50)</f>
        <v>0</v>
      </c>
    </row>
    <row r="51">
      <c r="A51" s="19" t="str">
        <v>德国区</v>
      </c>
      <c r="B51" s="19" t="str">
        <v>杜塞尔多夫11号仓</v>
      </c>
      <c r="C51" s="19" t="str">
        <v>交运组</v>
      </c>
      <c r="D51" s="21" t="n">
        <v>46183</v>
      </c>
      <c r="E51" s="19" t="str">
        <v>2026-06</v>
      </c>
      <c r="F51" s="19" t="str">
        <v>操作员</v>
      </c>
      <c r="G51" s="19" t="str">
        <v>德国区-灵活班次 / DE FLEX</v>
      </c>
      <c r="H51" s="23" t="n">
        <v>6</v>
      </c>
      <c r="I51" s="23" t="n">
        <v>0</v>
      </c>
      <c r="J51" s="23" t="n">
        <f>H51+I51</f>
        <v>6</v>
      </c>
      <c r="K51" s="23" t="n">
        <v>6</v>
      </c>
      <c r="L51" s="23" t="n">
        <v>1</v>
      </c>
      <c r="M51" s="23" t="n">
        <f>MIN(K51,J51)</f>
        <v>6</v>
      </c>
      <c r="N51" s="23" t="n">
        <f>MIN(L51,J51)</f>
        <v>1</v>
      </c>
      <c r="O51" s="25" t="n">
        <f>IF(K51=0,0,MIN(1,J51/K51))</f>
        <v>1</v>
      </c>
      <c r="P51" s="23" t="n">
        <f>IF(J51&gt;0,MAX(K51-J51,0),0)</f>
        <v>0</v>
      </c>
      <c r="Q51" s="23" t="n">
        <f>IF(J51=0,K51,0)</f>
        <v>0</v>
      </c>
      <c r="R51" s="23" t="n">
        <f>MAX(J51-K51,0)</f>
        <v>0</v>
      </c>
      <c r="S51" s="23" t="n">
        <f>IF(J51&gt;0,MAX(L51-J51,0),L51)</f>
        <v>0</v>
      </c>
    </row>
    <row r="52">
      <c r="A52" s="19" t="str">
        <v>德国区</v>
      </c>
      <c r="B52" s="19" t="str">
        <v>杜塞尔多夫11号仓</v>
      </c>
      <c r="C52" s="19" t="str">
        <v>交运组</v>
      </c>
      <c r="D52" s="21" t="n">
        <v>46184</v>
      </c>
      <c r="E52" s="19" t="str">
        <v>2026-06</v>
      </c>
      <c r="F52" s="19" t="str">
        <v>操作员</v>
      </c>
      <c r="G52" s="19" t="str">
        <v>德国区-灵活班次 / DE FLEX</v>
      </c>
      <c r="H52" s="23" t="n">
        <v>3</v>
      </c>
      <c r="I52" s="23" t="n">
        <v>0</v>
      </c>
      <c r="J52" s="23" t="n">
        <f>H52+I52</f>
        <v>3</v>
      </c>
      <c r="K52" s="23" t="n">
        <v>3</v>
      </c>
      <c r="L52" s="23" t="n">
        <v>3</v>
      </c>
      <c r="M52" s="23" t="n">
        <f>MIN(K52,J52)</f>
        <v>3</v>
      </c>
      <c r="N52" s="23" t="n">
        <f>MIN(L52,J52)</f>
        <v>3</v>
      </c>
      <c r="O52" s="25" t="n">
        <f>IF(K52=0,0,MIN(1,J52/K52))</f>
        <v>1</v>
      </c>
      <c r="P52" s="23" t="n">
        <f>IF(J52&gt;0,MAX(K52-J52,0),0)</f>
        <v>0</v>
      </c>
      <c r="Q52" s="23" t="n">
        <f>IF(J52=0,K52,0)</f>
        <v>0</v>
      </c>
      <c r="R52" s="23" t="n">
        <f>MAX(J52-K52,0)</f>
        <v>0</v>
      </c>
      <c r="S52" s="23" t="n">
        <f>IF(J52&gt;0,MAX(L52-J52,0),L52)</f>
        <v>0</v>
      </c>
    </row>
    <row r="53">
      <c r="A53" s="19" t="str">
        <v>德国区</v>
      </c>
      <c r="B53" s="19" t="str">
        <v>杜塞尔多夫11号仓</v>
      </c>
      <c r="C53" s="19" t="str">
        <v>交运组</v>
      </c>
      <c r="D53" s="21" t="n">
        <v>46185</v>
      </c>
      <c r="E53" s="19" t="str">
        <v>2026-06</v>
      </c>
      <c r="F53" s="19" t="str">
        <v>操作员</v>
      </c>
      <c r="G53" s="19" t="str">
        <v>德国区-灵活班次 / DE FLEX</v>
      </c>
      <c r="H53" s="23" t="n">
        <v>2</v>
      </c>
      <c r="I53" s="23" t="n">
        <v>0</v>
      </c>
      <c r="J53" s="23" t="n">
        <f>H53+I53</f>
        <v>2</v>
      </c>
      <c r="K53" s="23" t="n">
        <v>2</v>
      </c>
      <c r="L53" s="23" t="n">
        <v>0</v>
      </c>
      <c r="M53" s="23" t="n">
        <f>MIN(K53,J53)</f>
        <v>2</v>
      </c>
      <c r="N53" s="23" t="n">
        <f>MIN(L53,J53)</f>
        <v>0</v>
      </c>
      <c r="O53" s="25" t="n">
        <f>IF(K53=0,0,MIN(1,J53/K53))</f>
        <v>1</v>
      </c>
      <c r="P53" s="23" t="n">
        <f>IF(J53&gt;0,MAX(K53-J53,0),0)</f>
        <v>0</v>
      </c>
      <c r="Q53" s="23" t="n">
        <f>IF(J53=0,K53,0)</f>
        <v>0</v>
      </c>
      <c r="R53" s="23" t="n">
        <f>MAX(J53-K53,0)</f>
        <v>0</v>
      </c>
      <c r="S53" s="23" t="n">
        <f>IF(J53&gt;0,MAX(L53-J53,0),L53)</f>
        <v>0</v>
      </c>
    </row>
    <row r="54">
      <c r="A54" s="19" t="str">
        <v>德国区</v>
      </c>
      <c r="B54" s="19" t="str">
        <v>杜塞尔多夫11号仓</v>
      </c>
      <c r="C54" s="19" t="str">
        <v>交运组</v>
      </c>
      <c r="D54" s="21" t="n">
        <v>46188</v>
      </c>
      <c r="E54" s="19" t="str">
        <v>2026-06</v>
      </c>
      <c r="F54" s="19" t="str">
        <v>操作员</v>
      </c>
      <c r="G54" s="19" t="str">
        <v>德国区-灵活班次 / DE FLEX</v>
      </c>
      <c r="H54" s="23" t="n">
        <v>2</v>
      </c>
      <c r="I54" s="23" t="n">
        <v>0</v>
      </c>
      <c r="J54" s="23" t="n">
        <f>H54+I54</f>
        <v>2</v>
      </c>
      <c r="K54" s="23" t="n">
        <v>3</v>
      </c>
      <c r="L54" s="23" t="n">
        <v>3</v>
      </c>
      <c r="M54" s="23" t="n">
        <f>MIN(K54,J54)</f>
        <v>2</v>
      </c>
      <c r="N54" s="23" t="n">
        <f>MIN(L54,J54)</f>
        <v>2</v>
      </c>
      <c r="O54" s="25" t="n">
        <f>IF(K54=0,0,MIN(1,J54/K54))</f>
        <v>0.6666666666666666</v>
      </c>
      <c r="P54" s="23" t="n">
        <f>IF(J54&gt;0,MAX(K54-J54,0),0)</f>
        <v>1</v>
      </c>
      <c r="Q54" s="23" t="n">
        <f>IF(J54=0,K54,0)</f>
        <v>0</v>
      </c>
      <c r="R54" s="23" t="n">
        <f>MAX(J54-K54,0)</f>
        <v>0</v>
      </c>
      <c r="S54" s="23" t="n">
        <f>IF(J54&gt;0,MAX(L54-J54,0),L54)</f>
        <v>1</v>
      </c>
    </row>
    <row r="55">
      <c r="A55" s="19" t="str">
        <v>德国区</v>
      </c>
      <c r="B55" s="19" t="str">
        <v>杜塞尔多夫11号仓</v>
      </c>
      <c r="C55" s="19" t="str">
        <v>交运组</v>
      </c>
      <c r="D55" s="21" t="n">
        <v>46189</v>
      </c>
      <c r="E55" s="19" t="str">
        <v>2026-06</v>
      </c>
      <c r="F55" s="19" t="str">
        <v>操作员</v>
      </c>
      <c r="G55" s="19" t="str">
        <v>德国区-灵活班次 / DE FLEX</v>
      </c>
      <c r="H55" s="23" t="n">
        <v>2</v>
      </c>
      <c r="I55" s="23" t="n">
        <v>0</v>
      </c>
      <c r="J55" s="23" t="n">
        <f>H55+I55</f>
        <v>2</v>
      </c>
      <c r="K55" s="23" t="n">
        <v>5</v>
      </c>
      <c r="L55" s="23" t="n">
        <v>5</v>
      </c>
      <c r="M55" s="23" t="n">
        <f>MIN(K55,J55)</f>
        <v>2</v>
      </c>
      <c r="N55" s="23" t="n">
        <f>MIN(L55,J55)</f>
        <v>2</v>
      </c>
      <c r="O55" s="25" t="n">
        <f>IF(K55=0,0,MIN(1,J55/K55))</f>
        <v>0.4</v>
      </c>
      <c r="P55" s="23" t="n">
        <f>IF(J55&gt;0,MAX(K55-J55,0),0)</f>
        <v>3</v>
      </c>
      <c r="Q55" s="23" t="n">
        <f>IF(J55=0,K55,0)</f>
        <v>0</v>
      </c>
      <c r="R55" s="23" t="n">
        <f>MAX(J55-K55,0)</f>
        <v>0</v>
      </c>
      <c r="S55" s="23" t="n">
        <f>IF(J55&gt;0,MAX(L55-J55,0),L55)</f>
        <v>3</v>
      </c>
    </row>
    <row r="56">
      <c r="A56" s="19" t="str">
        <v>德国区</v>
      </c>
      <c r="B56" s="19" t="str">
        <v>杜塞尔多夫11号仓</v>
      </c>
      <c r="C56" s="19" t="str">
        <v>交运组</v>
      </c>
      <c r="D56" s="21" t="n">
        <v>46190</v>
      </c>
      <c r="E56" s="19" t="str">
        <v>2026-06</v>
      </c>
      <c r="F56" s="19" t="str">
        <v>操作员</v>
      </c>
      <c r="G56" s="19" t="str">
        <v>德国区-灵活班次 / DE FLEX</v>
      </c>
      <c r="H56" s="23" t="n">
        <v>2</v>
      </c>
      <c r="I56" s="23" t="n">
        <v>0</v>
      </c>
      <c r="J56" s="23" t="n">
        <f>H56+I56</f>
        <v>2</v>
      </c>
      <c r="K56" s="23" t="n">
        <v>3</v>
      </c>
      <c r="L56" s="23" t="n">
        <v>3</v>
      </c>
      <c r="M56" s="23" t="n">
        <f>MIN(K56,J56)</f>
        <v>2</v>
      </c>
      <c r="N56" s="23" t="n">
        <f>MIN(L56,J56)</f>
        <v>2</v>
      </c>
      <c r="O56" s="25" t="n">
        <f>IF(K56=0,0,MIN(1,J56/K56))</f>
        <v>0.6666666666666666</v>
      </c>
      <c r="P56" s="23" t="n">
        <f>IF(J56&gt;0,MAX(K56-J56,0),0)</f>
        <v>1</v>
      </c>
      <c r="Q56" s="23" t="n">
        <f>IF(J56=0,K56,0)</f>
        <v>0</v>
      </c>
      <c r="R56" s="23" t="n">
        <f>MAX(J56-K56,0)</f>
        <v>0</v>
      </c>
      <c r="S56" s="23" t="n">
        <f>IF(J56&gt;0,MAX(L56-J56,0),L56)</f>
        <v>1</v>
      </c>
    </row>
    <row r="57">
      <c r="A57" s="19" t="str">
        <v>德国区</v>
      </c>
      <c r="B57" s="19" t="str">
        <v>杜塞尔多夫11号仓</v>
      </c>
      <c r="C57" s="19" t="str">
        <v>交运组</v>
      </c>
      <c r="D57" s="21" t="n">
        <v>46191</v>
      </c>
      <c r="E57" s="19" t="str">
        <v>2026-06</v>
      </c>
      <c r="F57" s="19" t="str">
        <v>操作员</v>
      </c>
      <c r="G57" s="19" t="str">
        <v>德国区-灵活班次 / DE FLEX</v>
      </c>
      <c r="H57" s="23" t="n">
        <v>2</v>
      </c>
      <c r="I57" s="23" t="n">
        <v>0</v>
      </c>
      <c r="J57" s="23" t="n">
        <f>H57+I57</f>
        <v>2</v>
      </c>
      <c r="K57" s="23" t="n">
        <v>4</v>
      </c>
      <c r="L57" s="23" t="n">
        <v>4</v>
      </c>
      <c r="M57" s="23" t="n">
        <f>MIN(K57,J57)</f>
        <v>2</v>
      </c>
      <c r="N57" s="23" t="n">
        <f>MIN(L57,J57)</f>
        <v>2</v>
      </c>
      <c r="O57" s="25" t="n">
        <f>IF(K57=0,0,MIN(1,J57/K57))</f>
        <v>0.5</v>
      </c>
      <c r="P57" s="23" t="n">
        <f>IF(J57&gt;0,MAX(K57-J57,0),0)</f>
        <v>2</v>
      </c>
      <c r="Q57" s="23" t="n">
        <f>IF(J57=0,K57,0)</f>
        <v>0</v>
      </c>
      <c r="R57" s="23" t="n">
        <f>MAX(J57-K57,0)</f>
        <v>0</v>
      </c>
      <c r="S57" s="23" t="n">
        <f>IF(J57&gt;0,MAX(L57-J57,0),L57)</f>
        <v>2</v>
      </c>
    </row>
    <row r="58">
      <c r="A58" s="19" t="str">
        <v>德国区</v>
      </c>
      <c r="B58" s="19" t="str">
        <v>杜塞尔多夫11号仓</v>
      </c>
      <c r="C58" s="19" t="str">
        <v>交运组</v>
      </c>
      <c r="D58" s="21" t="n">
        <v>46192</v>
      </c>
      <c r="E58" s="19" t="str">
        <v>2026-06</v>
      </c>
      <c r="F58" s="19" t="str">
        <v>操作员</v>
      </c>
      <c r="G58" s="19" t="str">
        <v>德国区-灵活班次 / DE FLEX</v>
      </c>
      <c r="H58" s="23" t="n">
        <v>2</v>
      </c>
      <c r="I58" s="23" t="n">
        <v>0</v>
      </c>
      <c r="J58" s="23" t="n">
        <f>H58+I58</f>
        <v>2</v>
      </c>
      <c r="K58" s="23" t="n">
        <v>0</v>
      </c>
      <c r="L58" s="23" t="n">
        <v>0</v>
      </c>
      <c r="M58" s="23" t="n">
        <f>MIN(K58,J58)</f>
        <v>0</v>
      </c>
      <c r="N58" s="23" t="n">
        <f>MIN(L58,J58)</f>
        <v>0</v>
      </c>
      <c r="O58" s="25" t="n">
        <f>IF(K58=0,0,MIN(1,J58/K58))</f>
        <v>0</v>
      </c>
      <c r="P58" s="23" t="n">
        <f>IF(J58&gt;0,MAX(K58-J58,0),0)</f>
        <v>0</v>
      </c>
      <c r="Q58" s="23" t="n">
        <f>IF(J58=0,K58,0)</f>
        <v>0</v>
      </c>
      <c r="R58" s="23" t="n">
        <f>MAX(J58-K58,0)</f>
        <v>2</v>
      </c>
      <c r="S58" s="23" t="n">
        <f>IF(J58&gt;0,MAX(L58-J58,0),L58)</f>
        <v>0</v>
      </c>
    </row>
    <row r="59">
      <c r="A59" s="19" t="str">
        <v>德国区</v>
      </c>
      <c r="B59" s="19" t="str">
        <v>杜塞尔多夫11号仓</v>
      </c>
      <c r="C59" s="19" t="str">
        <v>交运组</v>
      </c>
      <c r="D59" s="21" t="n">
        <v>46198</v>
      </c>
      <c r="E59" s="19" t="str">
        <v>2026-06</v>
      </c>
      <c r="F59" s="19" t="str">
        <v>操作员</v>
      </c>
      <c r="G59" s="19" t="str">
        <v>德国区-灵活班次 / DE FLEX</v>
      </c>
      <c r="H59" s="23" t="n">
        <v>3</v>
      </c>
      <c r="I59" s="23" t="n">
        <v>0</v>
      </c>
      <c r="J59" s="23" t="n">
        <f>H59+I59</f>
        <v>3</v>
      </c>
      <c r="K59" s="23" t="n">
        <v>0</v>
      </c>
      <c r="L59" s="23" t="n">
        <v>0</v>
      </c>
      <c r="M59" s="23" t="n">
        <f>MIN(K59,J59)</f>
        <v>0</v>
      </c>
      <c r="N59" s="23" t="n">
        <f>MIN(L59,J59)</f>
        <v>0</v>
      </c>
      <c r="O59" s="25" t="n">
        <f>IF(K59=0,0,MIN(1,J59/K59))</f>
        <v>0</v>
      </c>
      <c r="P59" s="23" t="n">
        <f>IF(J59&gt;0,MAX(K59-J59,0),0)</f>
        <v>0</v>
      </c>
      <c r="Q59" s="23" t="n">
        <f>IF(J59=0,K59,0)</f>
        <v>0</v>
      </c>
      <c r="R59" s="23" t="n">
        <f>MAX(J59-K59,0)</f>
        <v>3</v>
      </c>
      <c r="S59" s="23" t="n">
        <f>IF(J59&gt;0,MAX(L59-J59,0),L59)</f>
        <v>0</v>
      </c>
    </row>
    <row r="60">
      <c r="A60" s="19" t="str">
        <v>德国区</v>
      </c>
      <c r="B60" s="19" t="str">
        <v>杜塞尔多夫11号仓</v>
      </c>
      <c r="C60" s="19" t="str">
        <v>交运组</v>
      </c>
      <c r="D60" s="21" t="n">
        <v>46199</v>
      </c>
      <c r="E60" s="19" t="str">
        <v>2026-06</v>
      </c>
      <c r="F60" s="19" t="str">
        <v>操作员</v>
      </c>
      <c r="G60" s="19" t="str">
        <v>德国区-灵活班次 / DE FLEX</v>
      </c>
      <c r="H60" s="23" t="n">
        <v>2</v>
      </c>
      <c r="I60" s="23" t="n">
        <v>0</v>
      </c>
      <c r="J60" s="23" t="n">
        <f>H60+I60</f>
        <v>2</v>
      </c>
      <c r="K60" s="23" t="n">
        <v>5</v>
      </c>
      <c r="L60" s="23" t="n">
        <v>5</v>
      </c>
      <c r="M60" s="23" t="n">
        <f>MIN(K60,J60)</f>
        <v>2</v>
      </c>
      <c r="N60" s="23" t="n">
        <f>MIN(L60,J60)</f>
        <v>2</v>
      </c>
      <c r="O60" s="25" t="n">
        <f>IF(K60=0,0,MIN(1,J60/K60))</f>
        <v>0.4</v>
      </c>
      <c r="P60" s="23" t="n">
        <f>IF(J60&gt;0,MAX(K60-J60,0),0)</f>
        <v>3</v>
      </c>
      <c r="Q60" s="23" t="n">
        <f>IF(J60=0,K60,0)</f>
        <v>0</v>
      </c>
      <c r="R60" s="23" t="n">
        <f>MAX(J60-K60,0)</f>
        <v>0</v>
      </c>
      <c r="S60" s="23" t="n">
        <f>IF(J60&gt;0,MAX(L60-J60,0),L60)</f>
        <v>3</v>
      </c>
    </row>
    <row r="61">
      <c r="A61" s="19" t="str">
        <v>德国区</v>
      </c>
      <c r="B61" s="19" t="str">
        <v>杜塞尔多夫11号仓</v>
      </c>
      <c r="C61" s="19" t="str">
        <v>交运组</v>
      </c>
      <c r="D61" s="21" t="n">
        <v>46202</v>
      </c>
      <c r="E61" s="19" t="str">
        <v>2026-06</v>
      </c>
      <c r="F61" s="19" t="str">
        <v>操作员</v>
      </c>
      <c r="G61" s="19" t="str">
        <v>德国区-灵活班次 / DE FLEX</v>
      </c>
      <c r="H61" s="23" t="n">
        <v>5</v>
      </c>
      <c r="I61" s="23" t="n">
        <v>0</v>
      </c>
      <c r="J61" s="23" t="n">
        <f>H61+I61</f>
        <v>5</v>
      </c>
      <c r="K61" s="23" t="n">
        <v>5</v>
      </c>
      <c r="L61" s="23" t="n">
        <v>4</v>
      </c>
      <c r="M61" s="23" t="n">
        <f>MIN(K61,J61)</f>
        <v>5</v>
      </c>
      <c r="N61" s="23" t="n">
        <f>MIN(L61,J61)</f>
        <v>4</v>
      </c>
      <c r="O61" s="25" t="n">
        <f>IF(K61=0,0,MIN(1,J61/K61))</f>
        <v>1</v>
      </c>
      <c r="P61" s="23" t="n">
        <f>IF(J61&gt;0,MAX(K61-J61,0),0)</f>
        <v>0</v>
      </c>
      <c r="Q61" s="23" t="n">
        <f>IF(J61=0,K61,0)</f>
        <v>0</v>
      </c>
      <c r="R61" s="23" t="n">
        <f>MAX(J61-K61,0)</f>
        <v>0</v>
      </c>
      <c r="S61" s="23" t="n">
        <f>IF(J61&gt;0,MAX(L61-J61,0),L61)</f>
        <v>0</v>
      </c>
    </row>
    <row r="62">
      <c r="A62" s="19" t="str">
        <v>德国区</v>
      </c>
      <c r="B62" s="19" t="str">
        <v>杜塞尔多夫11号仓</v>
      </c>
      <c r="C62" s="19" t="str">
        <v>交运组</v>
      </c>
      <c r="D62" s="21" t="n">
        <v>46203</v>
      </c>
      <c r="E62" s="19" t="str">
        <v>2026-06</v>
      </c>
      <c r="F62" s="19" t="str">
        <v>操作员</v>
      </c>
      <c r="G62" s="19" t="str">
        <v>德国区-灵活班次 / DE FLEX</v>
      </c>
      <c r="H62" s="23" t="n">
        <v>5</v>
      </c>
      <c r="I62" s="23" t="n">
        <v>0</v>
      </c>
      <c r="J62" s="23" t="n">
        <f>H62+I62</f>
        <v>5</v>
      </c>
      <c r="K62" s="23" t="n">
        <v>5</v>
      </c>
      <c r="L62" s="23" t="n">
        <v>4</v>
      </c>
      <c r="M62" s="23" t="n">
        <f>MIN(K62,J62)</f>
        <v>5</v>
      </c>
      <c r="N62" s="23" t="n">
        <f>MIN(L62,J62)</f>
        <v>4</v>
      </c>
      <c r="O62" s="25" t="n">
        <f>IF(K62=0,0,MIN(1,J62/K62))</f>
        <v>1</v>
      </c>
      <c r="P62" s="23" t="n">
        <f>IF(J62&gt;0,MAX(K62-J62,0),0)</f>
        <v>0</v>
      </c>
      <c r="Q62" s="23" t="n">
        <f>IF(J62=0,K62,0)</f>
        <v>0</v>
      </c>
      <c r="R62" s="23" t="n">
        <f>MAX(J62-K62,0)</f>
        <v>0</v>
      </c>
      <c r="S62" s="23" t="n">
        <f>IF(J62&gt;0,MAX(L62-J62,0),L62)</f>
        <v>0</v>
      </c>
    </row>
    <row r="63">
      <c r="A63" s="19" t="str">
        <v>德国区</v>
      </c>
      <c r="B63" s="19" t="str">
        <v>杜塞尔多夫11号仓</v>
      </c>
      <c r="C63" s="19" t="str">
        <v>入库组</v>
      </c>
      <c r="D63" s="21" t="n">
        <v>46135</v>
      </c>
      <c r="E63" s="19" t="str">
        <v>2026-04</v>
      </c>
      <c r="F63" s="19" t="str">
        <v>操作员</v>
      </c>
      <c r="G63" s="19" t="str">
        <v>德国区-灵活班次 / DE FLEX</v>
      </c>
      <c r="H63" s="23" t="n">
        <v>1</v>
      </c>
      <c r="I63" s="23" t="n">
        <v>0</v>
      </c>
      <c r="J63" s="23" t="n">
        <f>H63+I63</f>
        <v>1</v>
      </c>
      <c r="K63" s="23" t="n">
        <v>1</v>
      </c>
      <c r="L63" s="23" t="n">
        <v>1</v>
      </c>
      <c r="M63" s="23" t="n">
        <f>MIN(K63,J63)</f>
        <v>1</v>
      </c>
      <c r="N63" s="23" t="n">
        <f>MIN(L63,J63)</f>
        <v>1</v>
      </c>
      <c r="O63" s="25" t="n">
        <f>IF(K63=0,0,MIN(1,J63/K63))</f>
        <v>1</v>
      </c>
      <c r="P63" s="23" t="n">
        <f>IF(J63&gt;0,MAX(K63-J63,0),0)</f>
        <v>0</v>
      </c>
      <c r="Q63" s="23" t="n">
        <f>IF(J63=0,K63,0)</f>
        <v>0</v>
      </c>
      <c r="R63" s="23" t="n">
        <f>MAX(J63-K63,0)</f>
        <v>0</v>
      </c>
      <c r="S63" s="23" t="n">
        <f>IF(J63&gt;0,MAX(L63-J63,0),L63)</f>
        <v>0</v>
      </c>
    </row>
    <row r="64">
      <c r="A64" s="19" t="str">
        <v>德国区</v>
      </c>
      <c r="B64" s="19" t="str">
        <v>杜塞尔多夫11号仓</v>
      </c>
      <c r="C64" s="19" t="str">
        <v>入库组</v>
      </c>
      <c r="D64" s="21" t="n">
        <v>46160</v>
      </c>
      <c r="E64" s="19" t="str">
        <v>2026-05</v>
      </c>
      <c r="F64" s="19" t="str">
        <v>操作员</v>
      </c>
      <c r="G64" s="19" t="str">
        <v>德国区-灵活班次 / DE FLEX</v>
      </c>
      <c r="H64" s="23" t="n">
        <v>1</v>
      </c>
      <c r="I64" s="23" t="n">
        <v>0</v>
      </c>
      <c r="J64" s="23" t="n">
        <f>H64+I64</f>
        <v>1</v>
      </c>
      <c r="K64" s="23" t="n">
        <v>1</v>
      </c>
      <c r="L64" s="23" t="n">
        <v>1</v>
      </c>
      <c r="M64" s="23" t="n">
        <f>MIN(K64,J64)</f>
        <v>1</v>
      </c>
      <c r="N64" s="23" t="n">
        <f>MIN(L64,J64)</f>
        <v>1</v>
      </c>
      <c r="O64" s="25" t="n">
        <f>IF(K64=0,0,MIN(1,J64/K64))</f>
        <v>1</v>
      </c>
      <c r="P64" s="23" t="n">
        <f>IF(J64&gt;0,MAX(K64-J64,0),0)</f>
        <v>0</v>
      </c>
      <c r="Q64" s="23" t="n">
        <f>IF(J64=0,K64,0)</f>
        <v>0</v>
      </c>
      <c r="R64" s="23" t="n">
        <f>MAX(J64-K64,0)</f>
        <v>0</v>
      </c>
      <c r="S64" s="23" t="n">
        <f>IF(J64&gt;0,MAX(L64-J64,0),L64)</f>
        <v>0</v>
      </c>
    </row>
    <row r="65">
      <c r="A65" s="19" t="str">
        <v>德国区</v>
      </c>
      <c r="B65" s="19" t="str">
        <v>杜塞尔多夫11号仓</v>
      </c>
      <c r="C65" s="19" t="str">
        <v>入库组</v>
      </c>
      <c r="D65" s="21" t="n">
        <v>46162</v>
      </c>
      <c r="E65" s="19" t="str">
        <v>2026-05</v>
      </c>
      <c r="F65" s="19" t="str">
        <v>操作员</v>
      </c>
      <c r="G65" s="19" t="str">
        <v>德国区-灵活班次 / DE FLEX</v>
      </c>
      <c r="H65" s="23" t="n">
        <v>1</v>
      </c>
      <c r="I65" s="23" t="n">
        <v>0</v>
      </c>
      <c r="J65" s="23" t="n">
        <f>H65+I65</f>
        <v>1</v>
      </c>
      <c r="K65" s="23" t="n">
        <v>1</v>
      </c>
      <c r="L65" s="23" t="n">
        <v>1</v>
      </c>
      <c r="M65" s="23" t="n">
        <f>MIN(K65,J65)</f>
        <v>1</v>
      </c>
      <c r="N65" s="23" t="n">
        <f>MIN(L65,J65)</f>
        <v>1</v>
      </c>
      <c r="O65" s="25" t="n">
        <f>IF(K65=0,0,MIN(1,J65/K65))</f>
        <v>1</v>
      </c>
      <c r="P65" s="23" t="n">
        <f>IF(J65&gt;0,MAX(K65-J65,0),0)</f>
        <v>0</v>
      </c>
      <c r="Q65" s="23" t="n">
        <f>IF(J65=0,K65,0)</f>
        <v>0</v>
      </c>
      <c r="R65" s="23" t="n">
        <f>MAX(J65-K65,0)</f>
        <v>0</v>
      </c>
      <c r="S65" s="23" t="n">
        <f>IF(J65&gt;0,MAX(L65-J65,0),L65)</f>
        <v>0</v>
      </c>
    </row>
    <row r="66">
      <c r="A66" s="19" t="str">
        <v>德国区</v>
      </c>
      <c r="B66" s="19" t="str">
        <v>杜塞尔多夫11号仓</v>
      </c>
      <c r="C66" s="19" t="str">
        <v>入库组</v>
      </c>
      <c r="D66" s="21" t="n">
        <v>46170</v>
      </c>
      <c r="E66" s="19" t="str">
        <v>2026-05</v>
      </c>
      <c r="F66" s="19" t="str">
        <v>操作员</v>
      </c>
      <c r="G66" s="19" t="str">
        <v>德国区-灵活班次 / DE FLEX</v>
      </c>
      <c r="H66" s="23" t="n">
        <v>1</v>
      </c>
      <c r="I66" s="23" t="n">
        <v>0</v>
      </c>
      <c r="J66" s="23" t="n">
        <f>H66+I66</f>
        <v>1</v>
      </c>
      <c r="K66" s="23" t="n">
        <v>1</v>
      </c>
      <c r="L66" s="23" t="n">
        <v>1</v>
      </c>
      <c r="M66" s="23" t="n">
        <f>MIN(K66,J66)</f>
        <v>1</v>
      </c>
      <c r="N66" s="23" t="n">
        <f>MIN(L66,J66)</f>
        <v>1</v>
      </c>
      <c r="O66" s="25" t="n">
        <f>IF(K66=0,0,MIN(1,J66/K66))</f>
        <v>1</v>
      </c>
      <c r="P66" s="23" t="n">
        <f>IF(J66&gt;0,MAX(K66-J66,0),0)</f>
        <v>0</v>
      </c>
      <c r="Q66" s="23" t="n">
        <f>IF(J66=0,K66,0)</f>
        <v>0</v>
      </c>
      <c r="R66" s="23" t="n">
        <f>MAX(J66-K66,0)</f>
        <v>0</v>
      </c>
      <c r="S66" s="23" t="n">
        <f>IF(J66&gt;0,MAX(L66-J66,0),L66)</f>
        <v>0</v>
      </c>
    </row>
    <row r="67">
      <c r="A67" s="19" t="str">
        <v>德国区</v>
      </c>
      <c r="B67" s="19" t="str">
        <v>杜塞尔多夫11号仓</v>
      </c>
      <c r="C67" s="19" t="str">
        <v>入库组</v>
      </c>
      <c r="D67" s="21" t="n">
        <v>46171</v>
      </c>
      <c r="E67" s="19" t="str">
        <v>2026-05</v>
      </c>
      <c r="F67" s="19" t="str">
        <v>操作员</v>
      </c>
      <c r="G67" s="19" t="str">
        <v>德国区-灵活班次 / DE FLEX</v>
      </c>
      <c r="H67" s="23" t="n">
        <v>4</v>
      </c>
      <c r="I67" s="23" t="n">
        <v>0</v>
      </c>
      <c r="J67" s="23" t="n">
        <f>H67+I67</f>
        <v>4</v>
      </c>
      <c r="K67" s="23" t="n">
        <v>4</v>
      </c>
      <c r="L67" s="23" t="n">
        <v>4</v>
      </c>
      <c r="M67" s="23" t="n">
        <f>MIN(K67,J67)</f>
        <v>4</v>
      </c>
      <c r="N67" s="23" t="n">
        <f>MIN(L67,J67)</f>
        <v>4</v>
      </c>
      <c r="O67" s="25" t="n">
        <f>IF(K67=0,0,MIN(1,J67/K67))</f>
        <v>1</v>
      </c>
      <c r="P67" s="23" t="n">
        <f>IF(J67&gt;0,MAX(K67-J67,0),0)</f>
        <v>0</v>
      </c>
      <c r="Q67" s="23" t="n">
        <f>IF(J67=0,K67,0)</f>
        <v>0</v>
      </c>
      <c r="R67" s="23" t="n">
        <f>MAX(J67-K67,0)</f>
        <v>0</v>
      </c>
      <c r="S67" s="23" t="n">
        <f>IF(J67&gt;0,MAX(L67-J67,0),L67)</f>
        <v>0</v>
      </c>
    </row>
    <row r="68">
      <c r="A68" s="19" t="str">
        <v>德国区</v>
      </c>
      <c r="B68" s="19" t="str">
        <v>杜塞尔多夫11号仓</v>
      </c>
      <c r="C68" s="19" t="str">
        <v>入库组</v>
      </c>
      <c r="D68" s="21" t="n">
        <v>46175</v>
      </c>
      <c r="E68" s="19" t="str">
        <v>2026-06</v>
      </c>
      <c r="F68" s="19" t="str">
        <v>操作员</v>
      </c>
      <c r="G68" s="19" t="str">
        <v>德国区-灵活班次 / DE FLEX</v>
      </c>
      <c r="H68" s="23" t="n">
        <v>3</v>
      </c>
      <c r="I68" s="23" t="n">
        <v>0</v>
      </c>
      <c r="J68" s="23" t="n">
        <f>H68+I68</f>
        <v>3</v>
      </c>
      <c r="K68" s="23" t="n">
        <v>3</v>
      </c>
      <c r="L68" s="23" t="n">
        <v>3</v>
      </c>
      <c r="M68" s="23" t="n">
        <f>MIN(K68,J68)</f>
        <v>3</v>
      </c>
      <c r="N68" s="23" t="n">
        <f>MIN(L68,J68)</f>
        <v>3</v>
      </c>
      <c r="O68" s="25" t="n">
        <f>IF(K68=0,0,MIN(1,J68/K68))</f>
        <v>1</v>
      </c>
      <c r="P68" s="23" t="n">
        <f>IF(J68&gt;0,MAX(K68-J68,0),0)</f>
        <v>0</v>
      </c>
      <c r="Q68" s="23" t="n">
        <f>IF(J68=0,K68,0)</f>
        <v>0</v>
      </c>
      <c r="R68" s="23" t="n">
        <f>MAX(J68-K68,0)</f>
        <v>0</v>
      </c>
      <c r="S68" s="23" t="n">
        <f>IF(J68&gt;0,MAX(L68-J68,0),L68)</f>
        <v>0</v>
      </c>
    </row>
    <row r="69">
      <c r="A69" s="19" t="str">
        <v>德国区</v>
      </c>
      <c r="B69" s="19" t="str">
        <v>杜塞尔多夫11号仓</v>
      </c>
      <c r="C69" s="19" t="str">
        <v>入库组</v>
      </c>
      <c r="D69" s="21" t="n">
        <v>46182</v>
      </c>
      <c r="E69" s="19" t="str">
        <v>2026-06</v>
      </c>
      <c r="F69" s="19" t="str">
        <v>操作员</v>
      </c>
      <c r="G69" s="19" t="str">
        <v>德国区-灵活班次 / DE FLEX</v>
      </c>
      <c r="H69" s="23" t="n">
        <v>4</v>
      </c>
      <c r="I69" s="23" t="n">
        <v>0</v>
      </c>
      <c r="J69" s="23" t="n">
        <f>H69+I69</f>
        <v>4</v>
      </c>
      <c r="K69" s="23" t="n">
        <v>4</v>
      </c>
      <c r="L69" s="23" t="n">
        <v>4</v>
      </c>
      <c r="M69" s="23" t="n">
        <f>MIN(K69,J69)</f>
        <v>4</v>
      </c>
      <c r="N69" s="23" t="n">
        <f>MIN(L69,J69)</f>
        <v>4</v>
      </c>
      <c r="O69" s="25" t="n">
        <f>IF(K69=0,0,MIN(1,J69/K69))</f>
        <v>1</v>
      </c>
      <c r="P69" s="23" t="n">
        <f>IF(J69&gt;0,MAX(K69-J69,0),0)</f>
        <v>0</v>
      </c>
      <c r="Q69" s="23" t="n">
        <f>IF(J69=0,K69,0)</f>
        <v>0</v>
      </c>
      <c r="R69" s="23" t="n">
        <f>MAX(J69-K69,0)</f>
        <v>0</v>
      </c>
      <c r="S69" s="23" t="n">
        <f>IF(J69&gt;0,MAX(L69-J69,0),L69)</f>
        <v>0</v>
      </c>
    </row>
    <row r="70">
      <c r="A70" s="19" t="str">
        <v>德国区</v>
      </c>
      <c r="B70" s="19" t="str">
        <v>杜塞尔多夫11号仓</v>
      </c>
      <c r="C70" s="19" t="str">
        <v>入库组</v>
      </c>
      <c r="D70" s="21" t="n">
        <v>46188</v>
      </c>
      <c r="E70" s="19" t="str">
        <v>2026-06</v>
      </c>
      <c r="F70" s="19" t="str">
        <v>操作员</v>
      </c>
      <c r="G70" s="19" t="str">
        <v>德国区-灵活班次 / DE FLEX</v>
      </c>
      <c r="H70" s="23" t="n">
        <v>2</v>
      </c>
      <c r="I70" s="23" t="n">
        <v>0</v>
      </c>
      <c r="J70" s="23" t="n">
        <f>H70+I70</f>
        <v>2</v>
      </c>
      <c r="K70" s="23" t="n">
        <v>0</v>
      </c>
      <c r="L70" s="23" t="n">
        <v>0</v>
      </c>
      <c r="M70" s="23" t="n">
        <f>MIN(K70,J70)</f>
        <v>0</v>
      </c>
      <c r="N70" s="23" t="n">
        <f>MIN(L70,J70)</f>
        <v>0</v>
      </c>
      <c r="O70" s="25" t="n">
        <f>IF(K70=0,0,MIN(1,J70/K70))</f>
        <v>0</v>
      </c>
      <c r="P70" s="23" t="n">
        <f>IF(J70&gt;0,MAX(K70-J70,0),0)</f>
        <v>0</v>
      </c>
      <c r="Q70" s="23" t="n">
        <f>IF(J70=0,K70,0)</f>
        <v>0</v>
      </c>
      <c r="R70" s="23" t="n">
        <f>MAX(J70-K70,0)</f>
        <v>2</v>
      </c>
      <c r="S70" s="23" t="n">
        <f>IF(J70&gt;0,MAX(L70-J70,0),L70)</f>
        <v>0</v>
      </c>
    </row>
    <row r="71">
      <c r="A71" s="19" t="str">
        <v>德国区</v>
      </c>
      <c r="B71" s="19" t="str">
        <v>杜塞尔多夫11号仓</v>
      </c>
      <c r="C71" s="19" t="str">
        <v>入库组</v>
      </c>
      <c r="D71" s="21" t="n">
        <v>46189</v>
      </c>
      <c r="E71" s="19" t="str">
        <v>2026-06</v>
      </c>
      <c r="F71" s="19" t="str">
        <v>操作员</v>
      </c>
      <c r="G71" s="19" t="str">
        <v>德国区-灵活班次 / DE FLEX</v>
      </c>
      <c r="H71" s="23" t="n">
        <v>3</v>
      </c>
      <c r="I71" s="23" t="n">
        <v>0</v>
      </c>
      <c r="J71" s="23" t="n">
        <f>H71+I71</f>
        <v>3</v>
      </c>
      <c r="K71" s="23" t="n">
        <v>5</v>
      </c>
      <c r="L71" s="23" t="n">
        <v>5</v>
      </c>
      <c r="M71" s="23" t="n">
        <f>MIN(K71,J71)</f>
        <v>3</v>
      </c>
      <c r="N71" s="23" t="n">
        <f>MIN(L71,J71)</f>
        <v>3</v>
      </c>
      <c r="O71" s="25" t="n">
        <f>IF(K71=0,0,MIN(1,J71/K71))</f>
        <v>0.6</v>
      </c>
      <c r="P71" s="23" t="n">
        <f>IF(J71&gt;0,MAX(K71-J71,0),0)</f>
        <v>2</v>
      </c>
      <c r="Q71" s="23" t="n">
        <f>IF(J71=0,K71,0)</f>
        <v>0</v>
      </c>
      <c r="R71" s="23" t="n">
        <f>MAX(J71-K71,0)</f>
        <v>0</v>
      </c>
      <c r="S71" s="23" t="n">
        <f>IF(J71&gt;0,MAX(L71-J71,0),L71)</f>
        <v>2</v>
      </c>
    </row>
    <row r="72">
      <c r="A72" s="19" t="str">
        <v>德国区</v>
      </c>
      <c r="B72" s="19" t="str">
        <v>杜塞尔多夫11号仓</v>
      </c>
      <c r="C72" s="19" t="str">
        <v>入库组</v>
      </c>
      <c r="D72" s="21" t="n">
        <v>46190</v>
      </c>
      <c r="E72" s="19" t="str">
        <v>2026-06</v>
      </c>
      <c r="F72" s="19" t="str">
        <v>操作员</v>
      </c>
      <c r="G72" s="19" t="str">
        <v>德国区-灵活班次 / DE FLEX</v>
      </c>
      <c r="H72" s="23" t="n">
        <v>3</v>
      </c>
      <c r="I72" s="23" t="n">
        <v>0</v>
      </c>
      <c r="J72" s="23" t="n">
        <f>H72+I72</f>
        <v>3</v>
      </c>
      <c r="K72" s="23" t="n">
        <v>3</v>
      </c>
      <c r="L72" s="23" t="n">
        <v>2</v>
      </c>
      <c r="M72" s="23" t="n">
        <f>MIN(K72,J72)</f>
        <v>3</v>
      </c>
      <c r="N72" s="23" t="n">
        <f>MIN(L72,J72)</f>
        <v>2</v>
      </c>
      <c r="O72" s="25" t="n">
        <f>IF(K72=0,0,MIN(1,J72/K72))</f>
        <v>1</v>
      </c>
      <c r="P72" s="23" t="n">
        <f>IF(J72&gt;0,MAX(K72-J72,0),0)</f>
        <v>0</v>
      </c>
      <c r="Q72" s="23" t="n">
        <f>IF(J72=0,K72,0)</f>
        <v>0</v>
      </c>
      <c r="R72" s="23" t="n">
        <f>MAX(J72-K72,0)</f>
        <v>0</v>
      </c>
      <c r="S72" s="23" t="n">
        <f>IF(J72&gt;0,MAX(L72-J72,0),L72)</f>
        <v>0</v>
      </c>
    </row>
    <row r="73">
      <c r="A73" s="19" t="str">
        <v>德国区</v>
      </c>
      <c r="B73" s="19" t="str">
        <v>杜塞尔多夫11号仓</v>
      </c>
      <c r="C73" s="19" t="str">
        <v>入库组</v>
      </c>
      <c r="D73" s="21" t="n">
        <v>46191</v>
      </c>
      <c r="E73" s="19" t="str">
        <v>2026-06</v>
      </c>
      <c r="F73" s="19" t="str">
        <v>操作员</v>
      </c>
      <c r="G73" s="19" t="str">
        <v>德国区-灵活班次 / DE FLEX</v>
      </c>
      <c r="H73" s="23" t="n">
        <v>3</v>
      </c>
      <c r="I73" s="23" t="n">
        <v>0</v>
      </c>
      <c r="J73" s="23" t="n">
        <f>H73+I73</f>
        <v>3</v>
      </c>
      <c r="K73" s="23" t="n">
        <v>1</v>
      </c>
      <c r="L73" s="23" t="n">
        <v>1</v>
      </c>
      <c r="M73" s="23" t="n">
        <f>MIN(K73,J73)</f>
        <v>1</v>
      </c>
      <c r="N73" s="23" t="n">
        <f>MIN(L73,J73)</f>
        <v>1</v>
      </c>
      <c r="O73" s="25" t="n">
        <f>IF(K73=0,0,MIN(1,J73/K73))</f>
        <v>1</v>
      </c>
      <c r="P73" s="23" t="n">
        <f>IF(J73&gt;0,MAX(K73-J73,0),0)</f>
        <v>0</v>
      </c>
      <c r="Q73" s="23" t="n">
        <f>IF(J73=0,K73,0)</f>
        <v>0</v>
      </c>
      <c r="R73" s="23" t="n">
        <f>MAX(J73-K73,0)</f>
        <v>2</v>
      </c>
      <c r="S73" s="23" t="n">
        <f>IF(J73&gt;0,MAX(L73-J73,0),L73)</f>
        <v>0</v>
      </c>
    </row>
    <row r="74">
      <c r="A74" s="19" t="str">
        <v>德国区</v>
      </c>
      <c r="B74" s="19" t="str">
        <v>杜塞尔多夫11号仓</v>
      </c>
      <c r="C74" s="19" t="str">
        <v>入库组</v>
      </c>
      <c r="D74" s="21" t="n">
        <v>46192</v>
      </c>
      <c r="E74" s="19" t="str">
        <v>2026-06</v>
      </c>
      <c r="F74" s="19" t="str">
        <v>操作员</v>
      </c>
      <c r="G74" s="19" t="str">
        <v>德国区-灵活班次 / DE FLEX</v>
      </c>
      <c r="H74" s="23" t="n">
        <v>3</v>
      </c>
      <c r="I74" s="23" t="n">
        <v>0</v>
      </c>
      <c r="J74" s="23" t="n">
        <f>H74+I74</f>
        <v>3</v>
      </c>
      <c r="K74" s="23" t="n">
        <v>0</v>
      </c>
      <c r="L74" s="23" t="n">
        <v>0</v>
      </c>
      <c r="M74" s="23" t="n">
        <f>MIN(K74,J74)</f>
        <v>0</v>
      </c>
      <c r="N74" s="23" t="n">
        <f>MIN(L74,J74)</f>
        <v>0</v>
      </c>
      <c r="O74" s="25" t="n">
        <f>IF(K74=0,0,MIN(1,J74/K74))</f>
        <v>0</v>
      </c>
      <c r="P74" s="23" t="n">
        <f>IF(J74&gt;0,MAX(K74-J74,0),0)</f>
        <v>0</v>
      </c>
      <c r="Q74" s="23" t="n">
        <f>IF(J74=0,K74,0)</f>
        <v>0</v>
      </c>
      <c r="R74" s="23" t="n">
        <f>MAX(J74-K74,0)</f>
        <v>3</v>
      </c>
      <c r="S74" s="23" t="n">
        <f>IF(J74&gt;0,MAX(L74-J74,0),L74)</f>
        <v>0</v>
      </c>
    </row>
    <row r="75">
      <c r="A75" s="19" t="str">
        <v>德国区</v>
      </c>
      <c r="B75" s="19" t="str">
        <v>杜塞尔多夫11号仓</v>
      </c>
      <c r="C75" s="19" t="str">
        <v>入库组</v>
      </c>
      <c r="D75" s="21" t="n">
        <v>46193</v>
      </c>
      <c r="E75" s="19" t="str">
        <v>2026-06</v>
      </c>
      <c r="F75" s="19" t="str">
        <v>操作员</v>
      </c>
      <c r="G75" s="19" t="str">
        <v>德国区-灵活班次 / DE FLEX</v>
      </c>
      <c r="H75" s="23" t="n">
        <v>3</v>
      </c>
      <c r="I75" s="23" t="n">
        <v>0</v>
      </c>
      <c r="J75" s="23" t="n">
        <f>H75+I75</f>
        <v>3</v>
      </c>
      <c r="K75" s="23" t="n">
        <v>0</v>
      </c>
      <c r="L75" s="23" t="n">
        <v>0</v>
      </c>
      <c r="M75" s="23" t="n">
        <f>MIN(K75,J75)</f>
        <v>0</v>
      </c>
      <c r="N75" s="23" t="n">
        <f>MIN(L75,J75)</f>
        <v>0</v>
      </c>
      <c r="O75" s="25" t="n">
        <f>IF(K75=0,0,MIN(1,J75/K75))</f>
        <v>0</v>
      </c>
      <c r="P75" s="23" t="n">
        <f>IF(J75&gt;0,MAX(K75-J75,0),0)</f>
        <v>0</v>
      </c>
      <c r="Q75" s="23" t="n">
        <f>IF(J75=0,K75,0)</f>
        <v>0</v>
      </c>
      <c r="R75" s="23" t="n">
        <f>MAX(J75-K75,0)</f>
        <v>3</v>
      </c>
      <c r="S75" s="23" t="n">
        <f>IF(J75&gt;0,MAX(L75-J75,0),L75)</f>
        <v>0</v>
      </c>
    </row>
    <row r="76">
      <c r="A76" s="19" t="str">
        <v>德国区</v>
      </c>
      <c r="B76" s="19" t="str">
        <v>杜塞尔多夫11号仓</v>
      </c>
      <c r="C76" s="19" t="str">
        <v>售后组</v>
      </c>
      <c r="D76" s="21" t="n">
        <v>46146</v>
      </c>
      <c r="E76" s="19" t="str">
        <v>2026-05</v>
      </c>
      <c r="F76" s="19" t="str">
        <v>操作员</v>
      </c>
      <c r="G76" s="19" t="str">
        <v>德国区-灵活班次 / DE FLEX</v>
      </c>
      <c r="H76" s="23" t="n">
        <v>1</v>
      </c>
      <c r="I76" s="23" t="n">
        <v>0</v>
      </c>
      <c r="J76" s="23" t="n">
        <f>H76+I76</f>
        <v>1</v>
      </c>
      <c r="K76" s="23" t="n">
        <v>1</v>
      </c>
      <c r="L76" s="23" t="n">
        <v>0</v>
      </c>
      <c r="M76" s="23" t="n">
        <f>MIN(K76,J76)</f>
        <v>1</v>
      </c>
      <c r="N76" s="23" t="n">
        <f>MIN(L76,J76)</f>
        <v>0</v>
      </c>
      <c r="O76" s="25" t="n">
        <f>IF(K76=0,0,MIN(1,J76/K76))</f>
        <v>1</v>
      </c>
      <c r="P76" s="23" t="n">
        <f>IF(J76&gt;0,MAX(K76-J76,0),0)</f>
        <v>0</v>
      </c>
      <c r="Q76" s="23" t="n">
        <f>IF(J76=0,K76,0)</f>
        <v>0</v>
      </c>
      <c r="R76" s="23" t="n">
        <f>MAX(J76-K76,0)</f>
        <v>0</v>
      </c>
      <c r="S76" s="23" t="n">
        <f>IF(J76&gt;0,MAX(L76-J76,0),L76)</f>
        <v>0</v>
      </c>
    </row>
    <row r="77">
      <c r="A77" s="19" t="str">
        <v>德国区</v>
      </c>
      <c r="B77" s="19" t="str">
        <v>杜塞尔多夫11号仓</v>
      </c>
      <c r="C77" s="19" t="str">
        <v>售后组</v>
      </c>
      <c r="D77" s="21" t="n">
        <v>46188</v>
      </c>
      <c r="E77" s="19" t="str">
        <v>2026-06</v>
      </c>
      <c r="F77" s="19" t="str">
        <v>操作员</v>
      </c>
      <c r="G77" s="19" t="str">
        <v>德国区-灵活班次 / DE FLEX</v>
      </c>
      <c r="H77" s="23" t="n">
        <v>1</v>
      </c>
      <c r="I77" s="23" t="n">
        <v>0</v>
      </c>
      <c r="J77" s="23" t="n">
        <f>H77+I77</f>
        <v>1</v>
      </c>
      <c r="K77" s="23" t="n">
        <v>0</v>
      </c>
      <c r="L77" s="23" t="n">
        <v>0</v>
      </c>
      <c r="M77" s="23" t="n">
        <f>MIN(K77,J77)</f>
        <v>0</v>
      </c>
      <c r="N77" s="23" t="n">
        <f>MIN(L77,J77)</f>
        <v>0</v>
      </c>
      <c r="O77" s="25" t="n">
        <f>IF(K77=0,0,MIN(1,J77/K77))</f>
        <v>0</v>
      </c>
      <c r="P77" s="23" t="n">
        <f>IF(J77&gt;0,MAX(K77-J77,0),0)</f>
        <v>0</v>
      </c>
      <c r="Q77" s="23" t="n">
        <f>IF(J77=0,K77,0)</f>
        <v>0</v>
      </c>
      <c r="R77" s="23" t="n">
        <f>MAX(J77-K77,0)</f>
        <v>1</v>
      </c>
      <c r="S77" s="23" t="n">
        <f>IF(J77&gt;0,MAX(L77-J77,0),L77)</f>
        <v>0</v>
      </c>
    </row>
    <row r="78">
      <c r="A78" s="19" t="str">
        <v>德国区</v>
      </c>
      <c r="B78" s="19" t="str">
        <v>杜塞尔多夫11号仓</v>
      </c>
      <c r="C78" s="19" t="str">
        <v>拣货组</v>
      </c>
      <c r="D78" s="21" t="n">
        <v>46190</v>
      </c>
      <c r="E78" s="19" t="str">
        <v>2026-06</v>
      </c>
      <c r="F78" s="19" t="str">
        <v>操作员</v>
      </c>
      <c r="G78" s="19" t="str">
        <v>德国区-灵活班次 / DE FLEX</v>
      </c>
      <c r="H78" s="23" t="n">
        <v>3</v>
      </c>
      <c r="I78" s="23" t="n">
        <v>0</v>
      </c>
      <c r="J78" s="23" t="n">
        <f>H78+I78</f>
        <v>3</v>
      </c>
      <c r="K78" s="23" t="n">
        <v>3</v>
      </c>
      <c r="L78" s="23" t="n">
        <v>3</v>
      </c>
      <c r="M78" s="23" t="n">
        <f>MIN(K78,J78)</f>
        <v>3</v>
      </c>
      <c r="N78" s="23" t="n">
        <f>MIN(L78,J78)</f>
        <v>3</v>
      </c>
      <c r="O78" s="25" t="n">
        <f>IF(K78=0,0,MIN(1,J78/K78))</f>
        <v>1</v>
      </c>
      <c r="P78" s="23" t="n">
        <f>IF(J78&gt;0,MAX(K78-J78,0),0)</f>
        <v>0</v>
      </c>
      <c r="Q78" s="23" t="n">
        <f>IF(J78=0,K78,0)</f>
        <v>0</v>
      </c>
      <c r="R78" s="23" t="n">
        <f>MAX(J78-K78,0)</f>
        <v>0</v>
      </c>
      <c r="S78" s="23" t="n">
        <f>IF(J78&gt;0,MAX(L78-J78,0),L78)</f>
        <v>0</v>
      </c>
    </row>
    <row r="79">
      <c r="A79" s="19" t="str">
        <v>德国区</v>
      </c>
      <c r="B79" s="19" t="str">
        <v>杜塞尔多夫12号仓</v>
      </c>
      <c r="C79" s="19" t="str">
        <v>交运组</v>
      </c>
      <c r="D79" s="21" t="n">
        <v>46132</v>
      </c>
      <c r="E79" s="19" t="str">
        <v>2026-04</v>
      </c>
      <c r="F79" s="19" t="str">
        <v>操作员</v>
      </c>
      <c r="G79" s="19" t="str">
        <v>德国区-灵活班次 / DE FLEX</v>
      </c>
      <c r="H79" s="23" t="n">
        <v>0</v>
      </c>
      <c r="I79" s="23" t="n">
        <v>0</v>
      </c>
      <c r="J79" s="23" t="n">
        <f>H79+I79</f>
        <v>0</v>
      </c>
      <c r="K79" s="23" t="n">
        <v>2</v>
      </c>
      <c r="L79" s="23" t="n">
        <v>2</v>
      </c>
      <c r="M79" s="23" t="n">
        <f>MIN(K79,J79)</f>
        <v>0</v>
      </c>
      <c r="N79" s="23" t="n">
        <f>MIN(L79,J79)</f>
        <v>0</v>
      </c>
      <c r="O79" s="25" t="n">
        <f>IF(K79=0,0,MIN(1,J79/K79))</f>
        <v>0</v>
      </c>
      <c r="P79" s="23" t="n">
        <f>IF(J79&gt;0,MAX(K79-J79,0),0)</f>
        <v>0</v>
      </c>
      <c r="Q79" s="23" t="n">
        <f>IF(J79=0,K79,0)</f>
        <v>2</v>
      </c>
      <c r="R79" s="23" t="n">
        <f>MAX(J79-K79,0)</f>
        <v>0</v>
      </c>
      <c r="S79" s="23" t="n">
        <f>IF(J79&gt;0,MAX(L79-J79,0),L79)</f>
        <v>2</v>
      </c>
    </row>
    <row r="80">
      <c r="A80" s="19" t="str">
        <v>德国区</v>
      </c>
      <c r="B80" s="19" t="str">
        <v>杜塞尔多夫12号仓</v>
      </c>
      <c r="C80" s="19" t="str">
        <v>交运组</v>
      </c>
      <c r="D80" s="21" t="n">
        <v>46134</v>
      </c>
      <c r="E80" s="19" t="str">
        <v>2026-04</v>
      </c>
      <c r="F80" s="19" t="str">
        <v>操作员</v>
      </c>
      <c r="G80" s="19" t="str">
        <v>德国区-灵活班次 / DE FLEX</v>
      </c>
      <c r="H80" s="23" t="n">
        <v>2</v>
      </c>
      <c r="I80" s="23" t="n">
        <v>0</v>
      </c>
      <c r="J80" s="23" t="n">
        <f>H80+I80</f>
        <v>2</v>
      </c>
      <c r="K80" s="23" t="n">
        <v>2</v>
      </c>
      <c r="L80" s="23" t="n">
        <v>2</v>
      </c>
      <c r="M80" s="23" t="n">
        <f>MIN(K80,J80)</f>
        <v>2</v>
      </c>
      <c r="N80" s="23" t="n">
        <f>MIN(L80,J80)</f>
        <v>2</v>
      </c>
      <c r="O80" s="25" t="n">
        <f>IF(K80=0,0,MIN(1,J80/K80))</f>
        <v>1</v>
      </c>
      <c r="P80" s="23" t="n">
        <f>IF(J80&gt;0,MAX(K80-J80,0),0)</f>
        <v>0</v>
      </c>
      <c r="Q80" s="23" t="n">
        <f>IF(J80=0,K80,0)</f>
        <v>0</v>
      </c>
      <c r="R80" s="23" t="n">
        <f>MAX(J80-K80,0)</f>
        <v>0</v>
      </c>
      <c r="S80" s="23" t="n">
        <f>IF(J80&gt;0,MAX(L80-J80,0),L80)</f>
        <v>0</v>
      </c>
    </row>
    <row r="81">
      <c r="A81" s="19" t="str">
        <v>德国区</v>
      </c>
      <c r="B81" s="19" t="str">
        <v>杜塞尔多夫12号仓</v>
      </c>
      <c r="C81" s="19" t="str">
        <v>交运组</v>
      </c>
      <c r="D81" s="21" t="n">
        <v>46153</v>
      </c>
      <c r="E81" s="19" t="str">
        <v>2026-05</v>
      </c>
      <c r="F81" s="19" t="str">
        <v>操作员</v>
      </c>
      <c r="G81" s="19" t="str">
        <v>德国区-灵活班次 / DE FLEX</v>
      </c>
      <c r="H81" s="23" t="n">
        <v>2</v>
      </c>
      <c r="I81" s="23" t="n">
        <v>0</v>
      </c>
      <c r="J81" s="23" t="n">
        <f>H81+I81</f>
        <v>2</v>
      </c>
      <c r="K81" s="23" t="n">
        <v>0</v>
      </c>
      <c r="L81" s="23" t="n">
        <v>0</v>
      </c>
      <c r="M81" s="23" t="n">
        <f>MIN(K81,J81)</f>
        <v>0</v>
      </c>
      <c r="N81" s="23" t="n">
        <f>MIN(L81,J81)</f>
        <v>0</v>
      </c>
      <c r="O81" s="25" t="n">
        <f>IF(K81=0,0,MIN(1,J81/K81))</f>
        <v>0</v>
      </c>
      <c r="P81" s="23" t="n">
        <f>IF(J81&gt;0,MAX(K81-J81,0),0)</f>
        <v>0</v>
      </c>
      <c r="Q81" s="23" t="n">
        <f>IF(J81=0,K81,0)</f>
        <v>0</v>
      </c>
      <c r="R81" s="23" t="n">
        <f>MAX(J81-K81,0)</f>
        <v>2</v>
      </c>
      <c r="S81" s="23" t="n">
        <f>IF(J81&gt;0,MAX(L81-J81,0),L81)</f>
        <v>0</v>
      </c>
    </row>
    <row r="82">
      <c r="A82" s="19" t="str">
        <v>德国区</v>
      </c>
      <c r="B82" s="19" t="str">
        <v>杜塞尔多夫12号仓</v>
      </c>
      <c r="C82" s="19" t="str">
        <v>交运组</v>
      </c>
      <c r="D82" s="21" t="n">
        <v>46160</v>
      </c>
      <c r="E82" s="19" t="str">
        <v>2026-05</v>
      </c>
      <c r="F82" s="19" t="str">
        <v>操作员</v>
      </c>
      <c r="G82" s="19" t="str">
        <v>德国区-灵活班次 / DE FLEX</v>
      </c>
      <c r="H82" s="23" t="n">
        <v>3</v>
      </c>
      <c r="I82" s="23" t="n">
        <v>0</v>
      </c>
      <c r="J82" s="23" t="n">
        <f>H82+I82</f>
        <v>3</v>
      </c>
      <c r="K82" s="23" t="n">
        <v>3</v>
      </c>
      <c r="L82" s="23" t="n">
        <v>3</v>
      </c>
      <c r="M82" s="23" t="n">
        <f>MIN(K82,J82)</f>
        <v>3</v>
      </c>
      <c r="N82" s="23" t="n">
        <f>MIN(L82,J82)</f>
        <v>3</v>
      </c>
      <c r="O82" s="25" t="n">
        <f>IF(K82=0,0,MIN(1,J82/K82))</f>
        <v>1</v>
      </c>
      <c r="P82" s="23" t="n">
        <f>IF(J82&gt;0,MAX(K82-J82,0),0)</f>
        <v>0</v>
      </c>
      <c r="Q82" s="23" t="n">
        <f>IF(J82=0,K82,0)</f>
        <v>0</v>
      </c>
      <c r="R82" s="23" t="n">
        <f>MAX(J82-K82,0)</f>
        <v>0</v>
      </c>
      <c r="S82" s="23" t="n">
        <f>IF(J82&gt;0,MAX(L82-J82,0),L82)</f>
        <v>0</v>
      </c>
    </row>
    <row r="83">
      <c r="A83" s="19" t="str">
        <v>德国区</v>
      </c>
      <c r="B83" s="19" t="str">
        <v>杜塞尔多夫12号仓</v>
      </c>
      <c r="C83" s="19" t="str">
        <v>交运组</v>
      </c>
      <c r="D83" s="21" t="n">
        <v>46161</v>
      </c>
      <c r="E83" s="19" t="str">
        <v>2026-05</v>
      </c>
      <c r="F83" s="19" t="str">
        <v>操作员</v>
      </c>
      <c r="G83" s="19" t="str">
        <v>德国区-灵活班次 / DE FLEX</v>
      </c>
      <c r="H83" s="23" t="n">
        <v>3</v>
      </c>
      <c r="I83" s="23" t="n">
        <v>0</v>
      </c>
      <c r="J83" s="23" t="n">
        <f>H83+I83</f>
        <v>3</v>
      </c>
      <c r="K83" s="23" t="n">
        <v>3</v>
      </c>
      <c r="L83" s="23" t="n">
        <v>3</v>
      </c>
      <c r="M83" s="23" t="n">
        <f>MIN(K83,J83)</f>
        <v>3</v>
      </c>
      <c r="N83" s="23" t="n">
        <f>MIN(L83,J83)</f>
        <v>3</v>
      </c>
      <c r="O83" s="25" t="n">
        <f>IF(K83=0,0,MIN(1,J83/K83))</f>
        <v>1</v>
      </c>
      <c r="P83" s="23" t="n">
        <f>IF(J83&gt;0,MAX(K83-J83,0),0)</f>
        <v>0</v>
      </c>
      <c r="Q83" s="23" t="n">
        <f>IF(J83=0,K83,0)</f>
        <v>0</v>
      </c>
      <c r="R83" s="23" t="n">
        <f>MAX(J83-K83,0)</f>
        <v>0</v>
      </c>
      <c r="S83" s="23" t="n">
        <f>IF(J83&gt;0,MAX(L83-J83,0),L83)</f>
        <v>0</v>
      </c>
    </row>
    <row r="84">
      <c r="A84" s="19" t="str">
        <v>德国区</v>
      </c>
      <c r="B84" s="19" t="str">
        <v>杜塞尔多夫12号仓</v>
      </c>
      <c r="C84" s="19" t="str">
        <v>交运组</v>
      </c>
      <c r="D84" s="21" t="n">
        <v>46168</v>
      </c>
      <c r="E84" s="19" t="str">
        <v>2026-05</v>
      </c>
      <c r="F84" s="19" t="str">
        <v>操作员</v>
      </c>
      <c r="G84" s="19" t="str">
        <v>德国区-灵活班次 / DE FLEX</v>
      </c>
      <c r="H84" s="23" t="n">
        <v>2</v>
      </c>
      <c r="I84" s="23" t="n">
        <v>0</v>
      </c>
      <c r="J84" s="23" t="n">
        <f>H84+I84</f>
        <v>2</v>
      </c>
      <c r="K84" s="23" t="n">
        <v>2</v>
      </c>
      <c r="L84" s="23" t="n">
        <v>2</v>
      </c>
      <c r="M84" s="23" t="n">
        <f>MIN(K84,J84)</f>
        <v>2</v>
      </c>
      <c r="N84" s="23" t="n">
        <f>MIN(L84,J84)</f>
        <v>2</v>
      </c>
      <c r="O84" s="25" t="n">
        <f>IF(K84=0,0,MIN(1,J84/K84))</f>
        <v>1</v>
      </c>
      <c r="P84" s="23" t="n">
        <f>IF(J84&gt;0,MAX(K84-J84,0),0)</f>
        <v>0</v>
      </c>
      <c r="Q84" s="23" t="n">
        <f>IF(J84=0,K84,0)</f>
        <v>0</v>
      </c>
      <c r="R84" s="23" t="n">
        <f>MAX(J84-K84,0)</f>
        <v>0</v>
      </c>
      <c r="S84" s="23" t="n">
        <f>IF(J84&gt;0,MAX(L84-J84,0),L84)</f>
        <v>0</v>
      </c>
    </row>
    <row r="85">
      <c r="A85" s="19" t="str">
        <v>德国区</v>
      </c>
      <c r="B85" s="19" t="str">
        <v>杜塞尔多夫12号仓</v>
      </c>
      <c r="C85" s="19" t="str">
        <v>交运组</v>
      </c>
      <c r="D85" s="21" t="n">
        <v>46169</v>
      </c>
      <c r="E85" s="19" t="str">
        <v>2026-05</v>
      </c>
      <c r="F85" s="19" t="str">
        <v>操作员</v>
      </c>
      <c r="G85" s="19" t="str">
        <v>德国区-灵活班次 / DE FLEX</v>
      </c>
      <c r="H85" s="23" t="n">
        <v>2</v>
      </c>
      <c r="I85" s="23" t="n">
        <v>0</v>
      </c>
      <c r="J85" s="23" t="n">
        <f>H85+I85</f>
        <v>2</v>
      </c>
      <c r="K85" s="23" t="n">
        <v>2</v>
      </c>
      <c r="L85" s="23" t="n">
        <v>2</v>
      </c>
      <c r="M85" s="23" t="n">
        <f>MIN(K85,J85)</f>
        <v>2</v>
      </c>
      <c r="N85" s="23" t="n">
        <f>MIN(L85,J85)</f>
        <v>2</v>
      </c>
      <c r="O85" s="25" t="n">
        <f>IF(K85=0,0,MIN(1,J85/K85))</f>
        <v>1</v>
      </c>
      <c r="P85" s="23" t="n">
        <f>IF(J85&gt;0,MAX(K85-J85,0),0)</f>
        <v>0</v>
      </c>
      <c r="Q85" s="23" t="n">
        <f>IF(J85=0,K85,0)</f>
        <v>0</v>
      </c>
      <c r="R85" s="23" t="n">
        <f>MAX(J85-K85,0)</f>
        <v>0</v>
      </c>
      <c r="S85" s="23" t="n">
        <f>IF(J85&gt;0,MAX(L85-J85,0),L85)</f>
        <v>0</v>
      </c>
    </row>
    <row r="86">
      <c r="A86" s="19" t="str">
        <v>德国区</v>
      </c>
      <c r="B86" s="19" t="str">
        <v>杜塞尔多夫12号仓</v>
      </c>
      <c r="C86" s="19" t="str">
        <v>入库组</v>
      </c>
      <c r="D86" s="21" t="n">
        <v>46181</v>
      </c>
      <c r="E86" s="19" t="str">
        <v>2026-06</v>
      </c>
      <c r="F86" s="19" t="str">
        <v>操作员</v>
      </c>
      <c r="G86" s="19" t="str">
        <v>德国区8:30班次（12仓）</v>
      </c>
      <c r="H86" s="23" t="n">
        <v>3</v>
      </c>
      <c r="I86" s="23" t="n">
        <v>0</v>
      </c>
      <c r="J86" s="23" t="n">
        <f>H86+I86</f>
        <v>3</v>
      </c>
      <c r="K86" s="23" t="n">
        <v>4</v>
      </c>
      <c r="L86" s="23" t="n">
        <v>4</v>
      </c>
      <c r="M86" s="23" t="n">
        <f>MIN(K86,J86)</f>
        <v>3</v>
      </c>
      <c r="N86" s="23" t="n">
        <f>MIN(L86,J86)</f>
        <v>3</v>
      </c>
      <c r="O86" s="25" t="n">
        <f>IF(K86=0,0,MIN(1,J86/K86))</f>
        <v>0.75</v>
      </c>
      <c r="P86" s="23" t="n">
        <f>IF(J86&gt;0,MAX(K86-J86,0),0)</f>
        <v>1</v>
      </c>
      <c r="Q86" s="23" t="n">
        <f>IF(J86=0,K86,0)</f>
        <v>0</v>
      </c>
      <c r="R86" s="23" t="n">
        <f>MAX(J86-K86,0)</f>
        <v>0</v>
      </c>
      <c r="S86" s="23" t="n">
        <f>IF(J86&gt;0,MAX(L86-J86,0),L86)</f>
        <v>1</v>
      </c>
    </row>
    <row r="87">
      <c r="A87" s="19" t="str">
        <v>德国区</v>
      </c>
      <c r="B87" s="19" t="str">
        <v>杜塞尔多夫12号仓</v>
      </c>
      <c r="C87" s="19" t="str">
        <v>入库组</v>
      </c>
      <c r="D87" s="21" t="n">
        <v>46182</v>
      </c>
      <c r="E87" s="19" t="str">
        <v>2026-06</v>
      </c>
      <c r="F87" s="19" t="str">
        <v>操作员</v>
      </c>
      <c r="G87" s="19" t="str">
        <v>德国区8:30班次（12仓）</v>
      </c>
      <c r="H87" s="23" t="n">
        <v>3</v>
      </c>
      <c r="I87" s="23" t="n">
        <v>0</v>
      </c>
      <c r="J87" s="23" t="n">
        <f>H87+I87</f>
        <v>3</v>
      </c>
      <c r="K87" s="23" t="n">
        <v>4</v>
      </c>
      <c r="L87" s="23" t="n">
        <v>4</v>
      </c>
      <c r="M87" s="23" t="n">
        <f>MIN(K87,J87)</f>
        <v>3</v>
      </c>
      <c r="N87" s="23" t="n">
        <f>MIN(L87,J87)</f>
        <v>3</v>
      </c>
      <c r="O87" s="25" t="n">
        <f>IF(K87=0,0,MIN(1,J87/K87))</f>
        <v>0.75</v>
      </c>
      <c r="P87" s="23" t="n">
        <f>IF(J87&gt;0,MAX(K87-J87,0),0)</f>
        <v>1</v>
      </c>
      <c r="Q87" s="23" t="n">
        <f>IF(J87=0,K87,0)</f>
        <v>0</v>
      </c>
      <c r="R87" s="23" t="n">
        <f>MAX(J87-K87,0)</f>
        <v>0</v>
      </c>
      <c r="S87" s="23" t="n">
        <f>IF(J87&gt;0,MAX(L87-J87,0),L87)</f>
        <v>1</v>
      </c>
    </row>
    <row r="88">
      <c r="A88" s="19" t="str">
        <v>德国区</v>
      </c>
      <c r="B88" s="19" t="str">
        <v>杜塞尔多夫12号仓</v>
      </c>
      <c r="C88" s="19" t="str">
        <v>包装组</v>
      </c>
      <c r="D88" s="21" t="n">
        <v>46133</v>
      </c>
      <c r="E88" s="19" t="str">
        <v>2026-04</v>
      </c>
      <c r="F88" s="19" t="str">
        <v>操作员</v>
      </c>
      <c r="G88" s="19" t="str">
        <v>德国区-灵活班次 / DE FLEX</v>
      </c>
      <c r="H88" s="23" t="n">
        <v>1</v>
      </c>
      <c r="I88" s="23" t="n">
        <v>0</v>
      </c>
      <c r="J88" s="23" t="n">
        <f>H88+I88</f>
        <v>1</v>
      </c>
      <c r="K88" s="23" t="n">
        <v>1</v>
      </c>
      <c r="L88" s="23" t="n">
        <v>1</v>
      </c>
      <c r="M88" s="23" t="n">
        <f>MIN(K88,J88)</f>
        <v>1</v>
      </c>
      <c r="N88" s="23" t="n">
        <f>MIN(L88,J88)</f>
        <v>1</v>
      </c>
      <c r="O88" s="25" t="n">
        <f>IF(K88=0,0,MIN(1,J88/K88))</f>
        <v>1</v>
      </c>
      <c r="P88" s="23" t="n">
        <f>IF(J88&gt;0,MAX(K88-J88,0),0)</f>
        <v>0</v>
      </c>
      <c r="Q88" s="23" t="n">
        <f>IF(J88=0,K88,0)</f>
        <v>0</v>
      </c>
      <c r="R88" s="23" t="n">
        <f>MAX(J88-K88,0)</f>
        <v>0</v>
      </c>
      <c r="S88" s="23" t="n">
        <f>IF(J88&gt;0,MAX(L88-J88,0),L88)</f>
        <v>0</v>
      </c>
    </row>
    <row r="89">
      <c r="A89" s="19" t="str">
        <v>德国区</v>
      </c>
      <c r="B89" s="19" t="str">
        <v>杜塞尔多夫12号仓</v>
      </c>
      <c r="C89" s="19" t="str">
        <v>包装组</v>
      </c>
      <c r="D89" s="21" t="n">
        <v>46182</v>
      </c>
      <c r="E89" s="19" t="str">
        <v>2026-06</v>
      </c>
      <c r="F89" s="19" t="str">
        <v>操作员</v>
      </c>
      <c r="G89" s="19" t="str">
        <v>德国区-灵活班次 / DE FLEX</v>
      </c>
      <c r="H89" s="23" t="n">
        <v>1</v>
      </c>
      <c r="I89" s="23" t="n">
        <v>0</v>
      </c>
      <c r="J89" s="23" t="n">
        <f>H89+I89</f>
        <v>1</v>
      </c>
      <c r="K89" s="23" t="n">
        <v>1</v>
      </c>
      <c r="L89" s="23" t="n">
        <v>1</v>
      </c>
      <c r="M89" s="23" t="n">
        <f>MIN(K89,J89)</f>
        <v>1</v>
      </c>
      <c r="N89" s="23" t="n">
        <f>MIN(L89,J89)</f>
        <v>1</v>
      </c>
      <c r="O89" s="25" t="n">
        <f>IF(K89=0,0,MIN(1,J89/K89))</f>
        <v>1</v>
      </c>
      <c r="P89" s="23" t="n">
        <f>IF(J89&gt;0,MAX(K89-J89,0),0)</f>
        <v>0</v>
      </c>
      <c r="Q89" s="23" t="n">
        <f>IF(J89=0,K89,0)</f>
        <v>0</v>
      </c>
      <c r="R89" s="23" t="n">
        <f>MAX(J89-K89,0)</f>
        <v>0</v>
      </c>
      <c r="S89" s="23" t="n">
        <f>IF(J89&gt;0,MAX(L89-J89,0),L89)</f>
        <v>0</v>
      </c>
    </row>
    <row r="90">
      <c r="A90" s="19" t="str">
        <v>德国区</v>
      </c>
      <c r="B90" s="19" t="str">
        <v>杜塞尔多夫12号仓</v>
      </c>
      <c r="C90" s="19" t="str">
        <v>售后组</v>
      </c>
      <c r="D90" s="21" t="n">
        <v>46150</v>
      </c>
      <c r="E90" s="19" t="str">
        <v>2026-05</v>
      </c>
      <c r="F90" s="19" t="str">
        <v>售后处理员</v>
      </c>
      <c r="G90" s="19" t="str">
        <v>德国区-灵活班次 / DE FLEX</v>
      </c>
      <c r="H90" s="23" t="n">
        <v>2</v>
      </c>
      <c r="I90" s="23" t="n">
        <v>0</v>
      </c>
      <c r="J90" s="23" t="n">
        <f>H90+I90</f>
        <v>2</v>
      </c>
      <c r="K90" s="23" t="n">
        <v>0</v>
      </c>
      <c r="L90" s="23" t="n">
        <v>0</v>
      </c>
      <c r="M90" s="23" t="n">
        <f>MIN(K90,J90)</f>
        <v>0</v>
      </c>
      <c r="N90" s="23" t="n">
        <f>MIN(L90,J90)</f>
        <v>0</v>
      </c>
      <c r="O90" s="25" t="n">
        <f>IF(K90=0,0,MIN(1,J90/K90))</f>
        <v>0</v>
      </c>
      <c r="P90" s="23" t="n">
        <f>IF(J90&gt;0,MAX(K90-J90,0),0)</f>
        <v>0</v>
      </c>
      <c r="Q90" s="23" t="n">
        <f>IF(J90=0,K90,0)</f>
        <v>0</v>
      </c>
      <c r="R90" s="23" t="n">
        <f>MAX(J90-K90,0)</f>
        <v>2</v>
      </c>
      <c r="S90" s="23" t="n">
        <f>IF(J90&gt;0,MAX(L90-J90,0),L90)</f>
        <v>0</v>
      </c>
    </row>
    <row r="91">
      <c r="A91" s="19" t="str">
        <v>德国区</v>
      </c>
      <c r="B91" s="19" t="str">
        <v>杜塞尔多夫12号仓</v>
      </c>
      <c r="C91" s="19" t="str">
        <v>售后组</v>
      </c>
      <c r="D91" s="21" t="n">
        <v>46161</v>
      </c>
      <c r="E91" s="19" t="str">
        <v>2026-05</v>
      </c>
      <c r="F91" s="19" t="str">
        <v>售后处理员</v>
      </c>
      <c r="G91" s="19" t="str">
        <v>德国区-灵活班次 / DE FLEX</v>
      </c>
      <c r="H91" s="23" t="n">
        <v>3</v>
      </c>
      <c r="I91" s="23" t="n">
        <v>0</v>
      </c>
      <c r="J91" s="23" t="n">
        <f>H91+I91</f>
        <v>3</v>
      </c>
      <c r="K91" s="23" t="n">
        <v>6</v>
      </c>
      <c r="L91" s="23" t="n">
        <v>5</v>
      </c>
      <c r="M91" s="23" t="n">
        <f>MIN(K91,J91)</f>
        <v>3</v>
      </c>
      <c r="N91" s="23" t="n">
        <f>MIN(L91,J91)</f>
        <v>3</v>
      </c>
      <c r="O91" s="25" t="n">
        <f>IF(K91=0,0,MIN(1,J91/K91))</f>
        <v>0.5</v>
      </c>
      <c r="P91" s="23" t="n">
        <f>IF(J91&gt;0,MAX(K91-J91,0),0)</f>
        <v>3</v>
      </c>
      <c r="Q91" s="23" t="n">
        <f>IF(J91=0,K91,0)</f>
        <v>0</v>
      </c>
      <c r="R91" s="23" t="n">
        <f>MAX(J91-K91,0)</f>
        <v>0</v>
      </c>
      <c r="S91" s="23" t="n">
        <f>IF(J91&gt;0,MAX(L91-J91,0),L91)</f>
        <v>2</v>
      </c>
    </row>
    <row r="92">
      <c r="A92" s="19" t="str">
        <v>德国区</v>
      </c>
      <c r="B92" s="19" t="str">
        <v>杜塞尔多夫12号仓</v>
      </c>
      <c r="C92" s="19" t="str">
        <v>售后组</v>
      </c>
      <c r="D92" s="21" t="n">
        <v>46174</v>
      </c>
      <c r="E92" s="19" t="str">
        <v>2026-06</v>
      </c>
      <c r="F92" s="19" t="str">
        <v>操作员</v>
      </c>
      <c r="G92" s="19" t="str">
        <v>德国区-灵活班次 / DE FLEX</v>
      </c>
      <c r="H92" s="23" t="n">
        <v>2</v>
      </c>
      <c r="I92" s="23" t="n">
        <v>0</v>
      </c>
      <c r="J92" s="23" t="n">
        <f>H92+I92</f>
        <v>2</v>
      </c>
      <c r="K92" s="23" t="n">
        <v>2</v>
      </c>
      <c r="L92" s="23" t="n">
        <v>2</v>
      </c>
      <c r="M92" s="23" t="n">
        <f>MIN(K92,J92)</f>
        <v>2</v>
      </c>
      <c r="N92" s="23" t="n">
        <f>MIN(L92,J92)</f>
        <v>2</v>
      </c>
      <c r="O92" s="25" t="n">
        <f>IF(K92=0,0,MIN(1,J92/K92))</f>
        <v>1</v>
      </c>
      <c r="P92" s="23" t="n">
        <f>IF(J92&gt;0,MAX(K92-J92,0),0)</f>
        <v>0</v>
      </c>
      <c r="Q92" s="23" t="n">
        <f>IF(J92=0,K92,0)</f>
        <v>0</v>
      </c>
      <c r="R92" s="23" t="n">
        <f>MAX(J92-K92,0)</f>
        <v>0</v>
      </c>
      <c r="S92" s="23" t="n">
        <f>IF(J92&gt;0,MAX(L92-J92,0),L92)</f>
        <v>0</v>
      </c>
    </row>
    <row r="93">
      <c r="A93" s="19" t="str">
        <v>德国区</v>
      </c>
      <c r="B93" s="19" t="str">
        <v>杜塞尔多夫12号仓</v>
      </c>
      <c r="C93" s="19" t="str">
        <v>大疆组</v>
      </c>
      <c r="D93" s="21" t="n">
        <v>46141</v>
      </c>
      <c r="E93" s="19" t="str">
        <v>2026-04</v>
      </c>
      <c r="F93" s="19" t="str">
        <v>操作员</v>
      </c>
      <c r="G93" s="19" t="str">
        <v>德国区-灵活班次 / DE FLEX</v>
      </c>
      <c r="H93" s="23" t="n">
        <v>1</v>
      </c>
      <c r="I93" s="23" t="n">
        <v>0</v>
      </c>
      <c r="J93" s="23" t="n">
        <f>H93+I93</f>
        <v>1</v>
      </c>
      <c r="K93" s="23" t="n">
        <v>1</v>
      </c>
      <c r="L93" s="23" t="n">
        <v>0</v>
      </c>
      <c r="M93" s="23" t="n">
        <f>MIN(K93,J93)</f>
        <v>1</v>
      </c>
      <c r="N93" s="23" t="n">
        <f>MIN(L93,J93)</f>
        <v>0</v>
      </c>
      <c r="O93" s="25" t="n">
        <f>IF(K93=0,0,MIN(1,J93/K93))</f>
        <v>1</v>
      </c>
      <c r="P93" s="23" t="n">
        <f>IF(J93&gt;0,MAX(K93-J93,0),0)</f>
        <v>0</v>
      </c>
      <c r="Q93" s="23" t="n">
        <f>IF(J93=0,K93,0)</f>
        <v>0</v>
      </c>
      <c r="R93" s="23" t="n">
        <f>MAX(J93-K93,0)</f>
        <v>0</v>
      </c>
      <c r="S93" s="23" t="n">
        <f>IF(J93&gt;0,MAX(L93-J93,0),L93)</f>
        <v>0</v>
      </c>
    </row>
    <row r="94">
      <c r="A94" s="19" t="str">
        <v>德国区</v>
      </c>
      <c r="B94" s="19" t="str">
        <v>杜塞尔多夫12号仓</v>
      </c>
      <c r="C94" s="19" t="str">
        <v>大疆组</v>
      </c>
      <c r="D94" s="21" t="n">
        <v>46142</v>
      </c>
      <c r="E94" s="19" t="str">
        <v>2026-04</v>
      </c>
      <c r="F94" s="19" t="str">
        <v>操作员</v>
      </c>
      <c r="G94" s="19" t="str">
        <v>德国区-灵活班次 / DE FLEX</v>
      </c>
      <c r="H94" s="23" t="n">
        <v>1</v>
      </c>
      <c r="I94" s="23" t="n">
        <v>0</v>
      </c>
      <c r="J94" s="23" t="n">
        <f>H94+I94</f>
        <v>1</v>
      </c>
      <c r="K94" s="23" t="n">
        <v>1</v>
      </c>
      <c r="L94" s="23" t="n">
        <v>1</v>
      </c>
      <c r="M94" s="23" t="n">
        <f>MIN(K94,J94)</f>
        <v>1</v>
      </c>
      <c r="N94" s="23" t="n">
        <f>MIN(L94,J94)</f>
        <v>1</v>
      </c>
      <c r="O94" s="25" t="n">
        <f>IF(K94=0,0,MIN(1,J94/K94))</f>
        <v>1</v>
      </c>
      <c r="P94" s="23" t="n">
        <f>IF(J94&gt;0,MAX(K94-J94,0),0)</f>
        <v>0</v>
      </c>
      <c r="Q94" s="23" t="n">
        <f>IF(J94=0,K94,0)</f>
        <v>0</v>
      </c>
      <c r="R94" s="23" t="n">
        <f>MAX(J94-K94,0)</f>
        <v>0</v>
      </c>
      <c r="S94" s="23" t="n">
        <f>IF(J94&gt;0,MAX(L94-J94,0),L94)</f>
        <v>0</v>
      </c>
    </row>
    <row r="95">
      <c r="A95" s="19" t="str">
        <v>德国区</v>
      </c>
      <c r="B95" s="19" t="str">
        <v>杜塞尔多夫12号仓</v>
      </c>
      <c r="C95" s="19" t="str">
        <v>大疆组</v>
      </c>
      <c r="D95" s="21" t="n">
        <v>46182</v>
      </c>
      <c r="E95" s="19" t="str">
        <v>2026-06</v>
      </c>
      <c r="F95" s="19" t="str">
        <v>操作员</v>
      </c>
      <c r="G95" s="19" t="str">
        <v>德国区8:30班次（12仓）</v>
      </c>
      <c r="H95" s="23" t="n">
        <v>1</v>
      </c>
      <c r="I95" s="23" t="n">
        <v>0</v>
      </c>
      <c r="J95" s="23" t="n">
        <f>H95+I95</f>
        <v>1</v>
      </c>
      <c r="K95" s="23" t="n">
        <v>1</v>
      </c>
      <c r="L95" s="23" t="n">
        <v>1</v>
      </c>
      <c r="M95" s="23" t="n">
        <f>MIN(K95,J95)</f>
        <v>1</v>
      </c>
      <c r="N95" s="23" t="n">
        <f>MIN(L95,J95)</f>
        <v>1</v>
      </c>
      <c r="O95" s="25" t="n">
        <f>IF(K95=0,0,MIN(1,J95/K95))</f>
        <v>1</v>
      </c>
      <c r="P95" s="23" t="n">
        <f>IF(J95&gt;0,MAX(K95-J95,0),0)</f>
        <v>0</v>
      </c>
      <c r="Q95" s="23" t="n">
        <f>IF(J95=0,K95,0)</f>
        <v>0</v>
      </c>
      <c r="R95" s="23" t="n">
        <f>MAX(J95-K95,0)</f>
        <v>0</v>
      </c>
      <c r="S95" s="23" t="n">
        <f>IF(J95&gt;0,MAX(L95-J95,0),L95)</f>
        <v>0</v>
      </c>
    </row>
    <row r="96">
      <c r="A96" s="19" t="str">
        <v>德国区</v>
      </c>
      <c r="B96" s="19" t="str">
        <v>杜塞尔多夫12号仓</v>
      </c>
      <c r="C96" s="19" t="str">
        <v>大疆组</v>
      </c>
      <c r="D96" s="21" t="n">
        <v>46183</v>
      </c>
      <c r="E96" s="19" t="str">
        <v>2026-06</v>
      </c>
      <c r="F96" s="19" t="str">
        <v>操作员</v>
      </c>
      <c r="G96" s="19" t="str">
        <v>德国区8:30班次（12仓）</v>
      </c>
      <c r="H96" s="23" t="n">
        <v>1</v>
      </c>
      <c r="I96" s="23" t="n">
        <v>0</v>
      </c>
      <c r="J96" s="23" t="n">
        <f>H96+I96</f>
        <v>1</v>
      </c>
      <c r="K96" s="23" t="n">
        <v>1</v>
      </c>
      <c r="L96" s="23" t="n">
        <v>1</v>
      </c>
      <c r="M96" s="23" t="n">
        <f>MIN(K96,J96)</f>
        <v>1</v>
      </c>
      <c r="N96" s="23" t="n">
        <f>MIN(L96,J96)</f>
        <v>1</v>
      </c>
      <c r="O96" s="25" t="n">
        <f>IF(K96=0,0,MIN(1,J96/K96))</f>
        <v>1</v>
      </c>
      <c r="P96" s="23" t="n">
        <f>IF(J96&gt;0,MAX(K96-J96,0),0)</f>
        <v>0</v>
      </c>
      <c r="Q96" s="23" t="n">
        <f>IF(J96=0,K96,0)</f>
        <v>0</v>
      </c>
      <c r="R96" s="23" t="n">
        <f>MAX(J96-K96,0)</f>
        <v>0</v>
      </c>
      <c r="S96" s="23" t="n">
        <f>IF(J96&gt;0,MAX(L96-J96,0),L96)</f>
        <v>0</v>
      </c>
    </row>
    <row r="97">
      <c r="A97" s="19" t="str">
        <v>德国区</v>
      </c>
      <c r="B97" s="19" t="str">
        <v>杜塞尔多夫12号仓</v>
      </c>
      <c r="C97" s="19" t="str">
        <v>大疆组</v>
      </c>
      <c r="D97" s="21" t="n">
        <v>46189</v>
      </c>
      <c r="E97" s="19" t="str">
        <v>2026-06</v>
      </c>
      <c r="F97" s="19" t="str">
        <v>操作员</v>
      </c>
      <c r="G97" s="19" t="str">
        <v>德国区8:30班次（12仓）</v>
      </c>
      <c r="H97" s="23" t="n">
        <v>1</v>
      </c>
      <c r="I97" s="23" t="n">
        <v>0</v>
      </c>
      <c r="J97" s="23" t="n">
        <f>H97+I97</f>
        <v>1</v>
      </c>
      <c r="K97" s="23" t="n">
        <v>1</v>
      </c>
      <c r="L97" s="23" t="n">
        <v>1</v>
      </c>
      <c r="M97" s="23" t="n">
        <f>MIN(K97,J97)</f>
        <v>1</v>
      </c>
      <c r="N97" s="23" t="n">
        <f>MIN(L97,J97)</f>
        <v>1</v>
      </c>
      <c r="O97" s="25" t="n">
        <f>IF(K97=0,0,MIN(1,J97/K97))</f>
        <v>1</v>
      </c>
      <c r="P97" s="23" t="n">
        <f>IF(J97&gt;0,MAX(K97-J97,0),0)</f>
        <v>0</v>
      </c>
      <c r="Q97" s="23" t="n">
        <f>IF(J97=0,K97,0)</f>
        <v>0</v>
      </c>
      <c r="R97" s="23" t="n">
        <f>MAX(J97-K97,0)</f>
        <v>0</v>
      </c>
      <c r="S97" s="23" t="n">
        <f>IF(J97&gt;0,MAX(L97-J97,0),L97)</f>
        <v>0</v>
      </c>
    </row>
    <row r="98">
      <c r="A98" s="19" t="str">
        <v>德国区</v>
      </c>
      <c r="B98" s="19" t="str">
        <v>杜塞尔多夫12号仓</v>
      </c>
      <c r="C98" s="19" t="str">
        <v>大疆组</v>
      </c>
      <c r="D98" s="21" t="n">
        <v>46190</v>
      </c>
      <c r="E98" s="19" t="str">
        <v>2026-06</v>
      </c>
      <c r="F98" s="19" t="str">
        <v>操作员</v>
      </c>
      <c r="G98" s="19" t="str">
        <v>德国区8:30班次（12仓）</v>
      </c>
      <c r="H98" s="23" t="n">
        <v>1</v>
      </c>
      <c r="I98" s="23" t="n">
        <v>0</v>
      </c>
      <c r="J98" s="23" t="n">
        <f>H98+I98</f>
        <v>1</v>
      </c>
      <c r="K98" s="23" t="n">
        <v>1</v>
      </c>
      <c r="L98" s="23" t="n">
        <v>1</v>
      </c>
      <c r="M98" s="23" t="n">
        <f>MIN(K98,J98)</f>
        <v>1</v>
      </c>
      <c r="N98" s="23" t="n">
        <f>MIN(L98,J98)</f>
        <v>1</v>
      </c>
      <c r="O98" s="25" t="n">
        <f>IF(K98=0,0,MIN(1,J98/K98))</f>
        <v>1</v>
      </c>
      <c r="P98" s="23" t="n">
        <f>IF(J98&gt;0,MAX(K98-J98,0),0)</f>
        <v>0</v>
      </c>
      <c r="Q98" s="23" t="n">
        <f>IF(J98=0,K98,0)</f>
        <v>0</v>
      </c>
      <c r="R98" s="23" t="n">
        <f>MAX(J98-K98,0)</f>
        <v>0</v>
      </c>
      <c r="S98" s="23" t="n">
        <f>IF(J98&gt;0,MAX(L98-J98,0),L98)</f>
        <v>0</v>
      </c>
    </row>
    <row r="99">
      <c r="A99" s="19" t="str">
        <v>德国区</v>
      </c>
      <c r="B99" s="19" t="str">
        <v>杜塞尔多夫12号仓</v>
      </c>
      <c r="C99" s="19" t="str">
        <v>大疆组</v>
      </c>
      <c r="D99" s="21" t="n">
        <v>46196</v>
      </c>
      <c r="E99" s="19" t="str">
        <v>2026-06</v>
      </c>
      <c r="F99" s="19" t="str">
        <v>操作员</v>
      </c>
      <c r="G99" s="19" t="str">
        <v>德国区8:30班次（12仓）</v>
      </c>
      <c r="H99" s="23" t="n">
        <v>1</v>
      </c>
      <c r="I99" s="23" t="n">
        <v>0</v>
      </c>
      <c r="J99" s="23" t="n">
        <f>H99+I99</f>
        <v>1</v>
      </c>
      <c r="K99" s="23" t="n">
        <v>1</v>
      </c>
      <c r="L99" s="23" t="n">
        <v>1</v>
      </c>
      <c r="M99" s="23" t="n">
        <f>MIN(K99,J99)</f>
        <v>1</v>
      </c>
      <c r="N99" s="23" t="n">
        <f>MIN(L99,J99)</f>
        <v>1</v>
      </c>
      <c r="O99" s="25" t="n">
        <f>IF(K99=0,0,MIN(1,J99/K99))</f>
        <v>1</v>
      </c>
      <c r="P99" s="23" t="n">
        <f>IF(J99&gt;0,MAX(K99-J99,0),0)</f>
        <v>0</v>
      </c>
      <c r="Q99" s="23" t="n">
        <f>IF(J99=0,K99,0)</f>
        <v>0</v>
      </c>
      <c r="R99" s="23" t="n">
        <f>MAX(J99-K99,0)</f>
        <v>0</v>
      </c>
      <c r="S99" s="23" t="n">
        <f>IF(J99&gt;0,MAX(L99-J99,0),L99)</f>
        <v>0</v>
      </c>
    </row>
    <row r="100">
      <c r="A100" s="19" t="str">
        <v>德国区</v>
      </c>
      <c r="B100" s="19" t="str">
        <v>杜塞尔多夫12号仓</v>
      </c>
      <c r="C100" s="19" t="str">
        <v>大疆组</v>
      </c>
      <c r="D100" s="21" t="n">
        <v>46197</v>
      </c>
      <c r="E100" s="19" t="str">
        <v>2026-06</v>
      </c>
      <c r="F100" s="19" t="str">
        <v>操作员</v>
      </c>
      <c r="G100" s="19" t="str">
        <v>德国区8:30班次（12仓）</v>
      </c>
      <c r="H100" s="23" t="n">
        <v>1</v>
      </c>
      <c r="I100" s="23" t="n">
        <v>0</v>
      </c>
      <c r="J100" s="23" t="n">
        <f>H100+I100</f>
        <v>1</v>
      </c>
      <c r="K100" s="23" t="n">
        <v>1</v>
      </c>
      <c r="L100" s="23" t="n">
        <v>1</v>
      </c>
      <c r="M100" s="23" t="n">
        <f>MIN(K100,J100)</f>
        <v>1</v>
      </c>
      <c r="N100" s="23" t="n">
        <f>MIN(L100,J100)</f>
        <v>1</v>
      </c>
      <c r="O100" s="25" t="n">
        <f>IF(K100=0,0,MIN(1,J100/K100))</f>
        <v>1</v>
      </c>
      <c r="P100" s="23" t="n">
        <f>IF(J100&gt;0,MAX(K100-J100,0),0)</f>
        <v>0</v>
      </c>
      <c r="Q100" s="23" t="n">
        <f>IF(J100=0,K100,0)</f>
        <v>0</v>
      </c>
      <c r="R100" s="23" t="n">
        <f>MAX(J100-K100,0)</f>
        <v>0</v>
      </c>
      <c r="S100" s="23" t="n">
        <f>IF(J100&gt;0,MAX(L100-J100,0),L100)</f>
        <v>0</v>
      </c>
    </row>
    <row r="101">
      <c r="A101" s="19" t="str">
        <v>德国区</v>
      </c>
      <c r="B101" s="19" t="str">
        <v>杜塞尔多夫12号仓</v>
      </c>
      <c r="C101" s="19" t="str">
        <v>拓竹组</v>
      </c>
      <c r="D101" s="21" t="n">
        <v>46146</v>
      </c>
      <c r="E101" s="19" t="str">
        <v>2026-05</v>
      </c>
      <c r="F101" s="19" t="str">
        <v>操作员</v>
      </c>
      <c r="G101" s="19" t="str">
        <v>德国区-灵活班次 / DE FLEX</v>
      </c>
      <c r="H101" s="23" t="n">
        <v>2</v>
      </c>
      <c r="I101" s="23" t="n">
        <v>0</v>
      </c>
      <c r="J101" s="23" t="n">
        <f>H101+I101</f>
        <v>2</v>
      </c>
      <c r="K101" s="23" t="n">
        <v>2</v>
      </c>
      <c r="L101" s="23" t="n">
        <v>2</v>
      </c>
      <c r="M101" s="23" t="n">
        <f>MIN(K101,J101)</f>
        <v>2</v>
      </c>
      <c r="N101" s="23" t="n">
        <f>MIN(L101,J101)</f>
        <v>2</v>
      </c>
      <c r="O101" s="25" t="n">
        <f>IF(K101=0,0,MIN(1,J101/K101))</f>
        <v>1</v>
      </c>
      <c r="P101" s="23" t="n">
        <f>IF(J101&gt;0,MAX(K101-J101,0),0)</f>
        <v>0</v>
      </c>
      <c r="Q101" s="23" t="n">
        <f>IF(J101=0,K101,0)</f>
        <v>0</v>
      </c>
      <c r="R101" s="23" t="n">
        <f>MAX(J101-K101,0)</f>
        <v>0</v>
      </c>
      <c r="S101" s="23" t="n">
        <f>IF(J101&gt;0,MAX(L101-J101,0),L101)</f>
        <v>0</v>
      </c>
    </row>
    <row r="102">
      <c r="A102" s="19" t="str">
        <v>德国区</v>
      </c>
      <c r="B102" s="19" t="str">
        <v>杜塞尔多夫12号仓</v>
      </c>
      <c r="C102" s="19" t="str">
        <v>拓竹组</v>
      </c>
      <c r="D102" s="21" t="n">
        <v>46160</v>
      </c>
      <c r="E102" s="19" t="str">
        <v>2026-05</v>
      </c>
      <c r="F102" s="19" t="str">
        <v>操作员</v>
      </c>
      <c r="G102" s="19" t="str">
        <v>德国区-灵活班次 / DE FLEX</v>
      </c>
      <c r="H102" s="23" t="n">
        <v>5</v>
      </c>
      <c r="I102" s="23" t="n">
        <v>0</v>
      </c>
      <c r="J102" s="23" t="n">
        <f>H102+I102</f>
        <v>5</v>
      </c>
      <c r="K102" s="23" t="n">
        <v>6</v>
      </c>
      <c r="L102" s="23" t="n">
        <v>6</v>
      </c>
      <c r="M102" s="23" t="n">
        <f>MIN(K102,J102)</f>
        <v>5</v>
      </c>
      <c r="N102" s="23" t="n">
        <f>MIN(L102,J102)</f>
        <v>5</v>
      </c>
      <c r="O102" s="25" t="n">
        <f>IF(K102=0,0,MIN(1,J102/K102))</f>
        <v>0.8333333333333334</v>
      </c>
      <c r="P102" s="23" t="n">
        <f>IF(J102&gt;0,MAX(K102-J102,0),0)</f>
        <v>1</v>
      </c>
      <c r="Q102" s="23" t="n">
        <f>IF(J102=0,K102,0)</f>
        <v>0</v>
      </c>
      <c r="R102" s="23" t="n">
        <f>MAX(J102-K102,0)</f>
        <v>0</v>
      </c>
      <c r="S102" s="23" t="n">
        <f>IF(J102&gt;0,MAX(L102-J102,0),L102)</f>
        <v>1</v>
      </c>
    </row>
    <row r="103">
      <c r="A103" s="19" t="str">
        <v>德国区</v>
      </c>
      <c r="B103" s="19" t="str">
        <v>杜塞尔多夫12号仓</v>
      </c>
      <c r="C103" s="19" t="str">
        <v>拓竹组</v>
      </c>
      <c r="D103" s="21" t="n">
        <v>46161</v>
      </c>
      <c r="E103" s="19" t="str">
        <v>2026-05</v>
      </c>
      <c r="F103" s="19" t="str">
        <v>操作员</v>
      </c>
      <c r="G103" s="19" t="str">
        <v>德国区-灵活班次 / DE FLEX</v>
      </c>
      <c r="H103" s="23" t="n">
        <v>5</v>
      </c>
      <c r="I103" s="23" t="n">
        <v>0</v>
      </c>
      <c r="J103" s="23" t="n">
        <f>H103+I103</f>
        <v>5</v>
      </c>
      <c r="K103" s="23" t="n">
        <v>6</v>
      </c>
      <c r="L103" s="23" t="n">
        <v>6</v>
      </c>
      <c r="M103" s="23" t="n">
        <f>MIN(K103,J103)</f>
        <v>5</v>
      </c>
      <c r="N103" s="23" t="n">
        <f>MIN(L103,J103)</f>
        <v>5</v>
      </c>
      <c r="O103" s="25" t="n">
        <f>IF(K103=0,0,MIN(1,J103/K103))</f>
        <v>0.8333333333333334</v>
      </c>
      <c r="P103" s="23" t="n">
        <f>IF(J103&gt;0,MAX(K103-J103,0),0)</f>
        <v>1</v>
      </c>
      <c r="Q103" s="23" t="n">
        <f>IF(J103=0,K103,0)</f>
        <v>0</v>
      </c>
      <c r="R103" s="23" t="n">
        <f>MAX(J103-K103,0)</f>
        <v>0</v>
      </c>
      <c r="S103" s="23" t="n">
        <f>IF(J103&gt;0,MAX(L103-J103,0),L103)</f>
        <v>1</v>
      </c>
    </row>
    <row r="104">
      <c r="A104" s="19" t="str">
        <v>德国区</v>
      </c>
      <c r="B104" s="19" t="str">
        <v>杜塞尔多夫12号仓</v>
      </c>
      <c r="C104" s="19" t="str">
        <v>拓竹组</v>
      </c>
      <c r="D104" s="21" t="n">
        <v>46162</v>
      </c>
      <c r="E104" s="19" t="str">
        <v>2026-05</v>
      </c>
      <c r="F104" s="19" t="str">
        <v>操作员</v>
      </c>
      <c r="G104" s="19" t="str">
        <v>德国区-灵活班次 / DE FLEX</v>
      </c>
      <c r="H104" s="23" t="n">
        <v>5</v>
      </c>
      <c r="I104" s="23" t="n">
        <v>0</v>
      </c>
      <c r="J104" s="23" t="n">
        <f>H104+I104</f>
        <v>5</v>
      </c>
      <c r="K104" s="23" t="n">
        <v>5</v>
      </c>
      <c r="L104" s="23" t="n">
        <v>5</v>
      </c>
      <c r="M104" s="23" t="n">
        <f>MIN(K104,J104)</f>
        <v>5</v>
      </c>
      <c r="N104" s="23" t="n">
        <f>MIN(L104,J104)</f>
        <v>5</v>
      </c>
      <c r="O104" s="25" t="n">
        <f>IF(K104=0,0,MIN(1,J104/K104))</f>
        <v>1</v>
      </c>
      <c r="P104" s="23" t="n">
        <f>IF(J104&gt;0,MAX(K104-J104,0),0)</f>
        <v>0</v>
      </c>
      <c r="Q104" s="23" t="n">
        <f>IF(J104=0,K104,0)</f>
        <v>0</v>
      </c>
      <c r="R104" s="23" t="n">
        <f>MAX(J104-K104,0)</f>
        <v>0</v>
      </c>
      <c r="S104" s="23" t="n">
        <f>IF(J104&gt;0,MAX(L104-J104,0),L104)</f>
        <v>0</v>
      </c>
    </row>
    <row r="105">
      <c r="A105" s="19" t="str">
        <v>德国区</v>
      </c>
      <c r="B105" s="19" t="str">
        <v>杜塞尔多夫12号仓</v>
      </c>
      <c r="C105" s="19" t="str">
        <v>拓竹组</v>
      </c>
      <c r="D105" s="21" t="n">
        <v>46163</v>
      </c>
      <c r="E105" s="19" t="str">
        <v>2026-05</v>
      </c>
      <c r="F105" s="19" t="str">
        <v>操作员</v>
      </c>
      <c r="G105" s="19" t="str">
        <v>德国区-灵活班次 / DE FLEX</v>
      </c>
      <c r="H105" s="23" t="n">
        <v>5</v>
      </c>
      <c r="I105" s="23" t="n">
        <v>0</v>
      </c>
      <c r="J105" s="23" t="n">
        <f>H105+I105</f>
        <v>5</v>
      </c>
      <c r="K105" s="23" t="n">
        <v>5</v>
      </c>
      <c r="L105" s="23" t="n">
        <v>5</v>
      </c>
      <c r="M105" s="23" t="n">
        <f>MIN(K105,J105)</f>
        <v>5</v>
      </c>
      <c r="N105" s="23" t="n">
        <f>MIN(L105,J105)</f>
        <v>5</v>
      </c>
      <c r="O105" s="25" t="n">
        <f>IF(K105=0,0,MIN(1,J105/K105))</f>
        <v>1</v>
      </c>
      <c r="P105" s="23" t="n">
        <f>IF(J105&gt;0,MAX(K105-J105,0),0)</f>
        <v>0</v>
      </c>
      <c r="Q105" s="23" t="n">
        <f>IF(J105=0,K105,0)</f>
        <v>0</v>
      </c>
      <c r="R105" s="23" t="n">
        <f>MAX(J105-K105,0)</f>
        <v>0</v>
      </c>
      <c r="S105" s="23" t="n">
        <f>IF(J105&gt;0,MAX(L105-J105,0),L105)</f>
        <v>0</v>
      </c>
    </row>
    <row r="106">
      <c r="A106" s="19" t="str">
        <v>德国区</v>
      </c>
      <c r="B106" s="19" t="str">
        <v>杜塞尔多夫12号仓</v>
      </c>
      <c r="C106" s="19" t="str">
        <v>拓竹组</v>
      </c>
      <c r="D106" s="21" t="n">
        <v>46164</v>
      </c>
      <c r="E106" s="19" t="str">
        <v>2026-05</v>
      </c>
      <c r="F106" s="19" t="str">
        <v>操作员</v>
      </c>
      <c r="G106" s="19" t="str">
        <v>德国区-灵活班次 / DE FLEX</v>
      </c>
      <c r="H106" s="23" t="n">
        <v>5</v>
      </c>
      <c r="I106" s="23" t="n">
        <v>0</v>
      </c>
      <c r="J106" s="23" t="n">
        <f>H106+I106</f>
        <v>5</v>
      </c>
      <c r="K106" s="23" t="n">
        <v>5</v>
      </c>
      <c r="L106" s="23" t="n">
        <v>5</v>
      </c>
      <c r="M106" s="23" t="n">
        <f>MIN(K106,J106)</f>
        <v>5</v>
      </c>
      <c r="N106" s="23" t="n">
        <f>MIN(L106,J106)</f>
        <v>5</v>
      </c>
      <c r="O106" s="25" t="n">
        <f>IF(K106=0,0,MIN(1,J106/K106))</f>
        <v>1</v>
      </c>
      <c r="P106" s="23" t="n">
        <f>IF(J106&gt;0,MAX(K106-J106,0),0)</f>
        <v>0</v>
      </c>
      <c r="Q106" s="23" t="n">
        <f>IF(J106=0,K106,0)</f>
        <v>0</v>
      </c>
      <c r="R106" s="23" t="n">
        <f>MAX(J106-K106,0)</f>
        <v>0</v>
      </c>
      <c r="S106" s="23" t="n">
        <f>IF(J106&gt;0,MAX(L106-J106,0),L106)</f>
        <v>0</v>
      </c>
    </row>
    <row r="107">
      <c r="A107" s="19" t="str">
        <v>德国区</v>
      </c>
      <c r="B107" s="19" t="str">
        <v>杜塞尔多夫12号仓</v>
      </c>
      <c r="C107" s="19" t="str">
        <v>拓竹组</v>
      </c>
      <c r="D107" s="21" t="n">
        <v>46169</v>
      </c>
      <c r="E107" s="19" t="str">
        <v>2026-05</v>
      </c>
      <c r="F107" s="19" t="str">
        <v>操作员</v>
      </c>
      <c r="G107" s="19" t="str">
        <v>德国区-灵活班次 / DE FLEX</v>
      </c>
      <c r="H107" s="23" t="n">
        <v>8</v>
      </c>
      <c r="I107" s="23" t="n">
        <v>0</v>
      </c>
      <c r="J107" s="23" t="n">
        <f>H107+I107</f>
        <v>8</v>
      </c>
      <c r="K107" s="23" t="n">
        <v>13</v>
      </c>
      <c r="L107" s="23" t="n">
        <v>13</v>
      </c>
      <c r="M107" s="23" t="n">
        <f>MIN(K107,J107)</f>
        <v>8</v>
      </c>
      <c r="N107" s="23" t="n">
        <f>MIN(L107,J107)</f>
        <v>8</v>
      </c>
      <c r="O107" s="25" t="n">
        <f>IF(K107=0,0,MIN(1,J107/K107))</f>
        <v>0.6153846153846154</v>
      </c>
      <c r="P107" s="23" t="n">
        <f>IF(J107&gt;0,MAX(K107-J107,0),0)</f>
        <v>5</v>
      </c>
      <c r="Q107" s="23" t="n">
        <f>IF(J107=0,K107,0)</f>
        <v>0</v>
      </c>
      <c r="R107" s="23" t="n">
        <f>MAX(J107-K107,0)</f>
        <v>0</v>
      </c>
      <c r="S107" s="23" t="n">
        <f>IF(J107&gt;0,MAX(L107-J107,0),L107)</f>
        <v>5</v>
      </c>
    </row>
    <row r="108">
      <c r="A108" s="19" t="str">
        <v>德国区</v>
      </c>
      <c r="B108" s="19" t="str">
        <v>杜塞尔多夫12号仓</v>
      </c>
      <c r="C108" s="19" t="str">
        <v>拓竹组</v>
      </c>
      <c r="D108" s="21" t="n">
        <v>46170</v>
      </c>
      <c r="E108" s="19" t="str">
        <v>2026-05</v>
      </c>
      <c r="F108" s="19" t="str">
        <v>操作员</v>
      </c>
      <c r="G108" s="19" t="str">
        <v>德国区-灵活班次 / DE FLEX</v>
      </c>
      <c r="H108" s="23" t="n">
        <v>8</v>
      </c>
      <c r="I108" s="23" t="n">
        <v>0</v>
      </c>
      <c r="J108" s="23" t="n">
        <f>H108+I108</f>
        <v>8</v>
      </c>
      <c r="K108" s="23" t="n">
        <v>13</v>
      </c>
      <c r="L108" s="23" t="n">
        <v>13</v>
      </c>
      <c r="M108" s="23" t="n">
        <f>MIN(K108,J108)</f>
        <v>8</v>
      </c>
      <c r="N108" s="23" t="n">
        <f>MIN(L108,J108)</f>
        <v>8</v>
      </c>
      <c r="O108" s="25" t="n">
        <f>IF(K108=0,0,MIN(1,J108/K108))</f>
        <v>0.6153846153846154</v>
      </c>
      <c r="P108" s="23" t="n">
        <f>IF(J108&gt;0,MAX(K108-J108,0),0)</f>
        <v>5</v>
      </c>
      <c r="Q108" s="23" t="n">
        <f>IF(J108=0,K108,0)</f>
        <v>0</v>
      </c>
      <c r="R108" s="23" t="n">
        <f>MAX(J108-K108,0)</f>
        <v>0</v>
      </c>
      <c r="S108" s="23" t="n">
        <f>IF(J108&gt;0,MAX(L108-J108,0),L108)</f>
        <v>5</v>
      </c>
    </row>
    <row r="109">
      <c r="A109" s="19" t="str">
        <v>德国区</v>
      </c>
      <c r="B109" s="19" t="str">
        <v>杜塞尔多夫12号仓</v>
      </c>
      <c r="C109" s="19" t="str">
        <v>拓竹组</v>
      </c>
      <c r="D109" s="21" t="n">
        <v>46171</v>
      </c>
      <c r="E109" s="19" t="str">
        <v>2026-05</v>
      </c>
      <c r="F109" s="19" t="str">
        <v>操作员</v>
      </c>
      <c r="G109" s="19" t="str">
        <v>德国区-灵活班次 / DE FLEX</v>
      </c>
      <c r="H109" s="23" t="n">
        <v>9</v>
      </c>
      <c r="I109" s="23" t="n">
        <v>0</v>
      </c>
      <c r="J109" s="23" t="n">
        <f>H109+I109</f>
        <v>9</v>
      </c>
      <c r="K109" s="23" t="n">
        <v>15</v>
      </c>
      <c r="L109" s="23" t="n">
        <v>15</v>
      </c>
      <c r="M109" s="23" t="n">
        <f>MIN(K109,J109)</f>
        <v>9</v>
      </c>
      <c r="N109" s="23" t="n">
        <f>MIN(L109,J109)</f>
        <v>9</v>
      </c>
      <c r="O109" s="25" t="n">
        <f>IF(K109=0,0,MIN(1,J109/K109))</f>
        <v>0.6</v>
      </c>
      <c r="P109" s="23" t="n">
        <f>IF(J109&gt;0,MAX(K109-J109,0),0)</f>
        <v>6</v>
      </c>
      <c r="Q109" s="23" t="n">
        <f>IF(J109=0,K109,0)</f>
        <v>0</v>
      </c>
      <c r="R109" s="23" t="n">
        <f>MAX(J109-K109,0)</f>
        <v>0</v>
      </c>
      <c r="S109" s="23" t="n">
        <f>IF(J109&gt;0,MAX(L109-J109,0),L109)</f>
        <v>6</v>
      </c>
    </row>
    <row r="110">
      <c r="A110" s="19" t="str">
        <v>德国区</v>
      </c>
      <c r="B110" s="19" t="str">
        <v>杜塞尔多夫12号仓</v>
      </c>
      <c r="C110" s="19" t="str">
        <v>拓竹组</v>
      </c>
      <c r="D110" s="21" t="n">
        <v>46181</v>
      </c>
      <c r="E110" s="19" t="str">
        <v>2026-06</v>
      </c>
      <c r="F110" s="19" t="str">
        <v>操作员</v>
      </c>
      <c r="G110" s="19" t="str">
        <v>德国区-灵活班次 / DE FLEX</v>
      </c>
      <c r="H110" s="23" t="n">
        <v>5</v>
      </c>
      <c r="I110" s="23" t="n">
        <v>0</v>
      </c>
      <c r="J110" s="23" t="n">
        <f>H110+I110</f>
        <v>5</v>
      </c>
      <c r="K110" s="23" t="n">
        <v>5</v>
      </c>
      <c r="L110" s="23" t="n">
        <v>5</v>
      </c>
      <c r="M110" s="23" t="n">
        <f>MIN(K110,J110)</f>
        <v>5</v>
      </c>
      <c r="N110" s="23" t="n">
        <f>MIN(L110,J110)</f>
        <v>5</v>
      </c>
      <c r="O110" s="25" t="n">
        <f>IF(K110=0,0,MIN(1,J110/K110))</f>
        <v>1</v>
      </c>
      <c r="P110" s="23" t="n">
        <f>IF(J110&gt;0,MAX(K110-J110,0),0)</f>
        <v>0</v>
      </c>
      <c r="Q110" s="23" t="n">
        <f>IF(J110=0,K110,0)</f>
        <v>0</v>
      </c>
      <c r="R110" s="23" t="n">
        <f>MAX(J110-K110,0)</f>
        <v>0</v>
      </c>
      <c r="S110" s="23" t="n">
        <f>IF(J110&gt;0,MAX(L110-J110,0),L110)</f>
        <v>0</v>
      </c>
    </row>
    <row r="111">
      <c r="A111" s="19" t="str">
        <v>德国区</v>
      </c>
      <c r="B111" s="19" t="str">
        <v>杜塞尔多夫12号仓</v>
      </c>
      <c r="C111" s="19" t="str">
        <v>拓竹组</v>
      </c>
      <c r="D111" s="21" t="n">
        <v>46182</v>
      </c>
      <c r="E111" s="19" t="str">
        <v>2026-06</v>
      </c>
      <c r="F111" s="19" t="str">
        <v>操作员</v>
      </c>
      <c r="G111" s="19" t="str">
        <v>德国区-灵活班次 / DE FLEX</v>
      </c>
      <c r="H111" s="23" t="n">
        <v>5</v>
      </c>
      <c r="I111" s="23" t="n">
        <v>0</v>
      </c>
      <c r="J111" s="23" t="n">
        <f>H111+I111</f>
        <v>5</v>
      </c>
      <c r="K111" s="23" t="n">
        <v>5</v>
      </c>
      <c r="L111" s="23" t="n">
        <v>5</v>
      </c>
      <c r="M111" s="23" t="n">
        <f>MIN(K111,J111)</f>
        <v>5</v>
      </c>
      <c r="N111" s="23" t="n">
        <f>MIN(L111,J111)</f>
        <v>5</v>
      </c>
      <c r="O111" s="25" t="n">
        <f>IF(K111=0,0,MIN(1,J111/K111))</f>
        <v>1</v>
      </c>
      <c r="P111" s="23" t="n">
        <f>IF(J111&gt;0,MAX(K111-J111,0),0)</f>
        <v>0</v>
      </c>
      <c r="Q111" s="23" t="n">
        <f>IF(J111=0,K111,0)</f>
        <v>0</v>
      </c>
      <c r="R111" s="23" t="n">
        <f>MAX(J111-K111,0)</f>
        <v>0</v>
      </c>
      <c r="S111" s="23" t="n">
        <f>IF(J111&gt;0,MAX(L111-J111,0),L111)</f>
        <v>0</v>
      </c>
    </row>
    <row r="112">
      <c r="A112" s="19" t="str">
        <v>德国区</v>
      </c>
      <c r="B112" s="19" t="str">
        <v>杜塞尔多夫12号仓</v>
      </c>
      <c r="C112" s="19" t="str">
        <v>拓竹组</v>
      </c>
      <c r="D112" s="21" t="n">
        <v>46188</v>
      </c>
      <c r="E112" s="19" t="str">
        <v>2026-06</v>
      </c>
      <c r="F112" s="19" t="str">
        <v>操作员</v>
      </c>
      <c r="G112" s="19" t="str">
        <v>拓竹大促2:00班次</v>
      </c>
      <c r="H112" s="23" t="n">
        <v>10</v>
      </c>
      <c r="I112" s="23" t="n">
        <v>0</v>
      </c>
      <c r="J112" s="23" t="n">
        <f>H112+I112</f>
        <v>10</v>
      </c>
      <c r="K112" s="23" t="n">
        <v>20</v>
      </c>
      <c r="L112" s="23" t="n">
        <v>20</v>
      </c>
      <c r="M112" s="23" t="n">
        <f>MIN(K112,J112)</f>
        <v>10</v>
      </c>
      <c r="N112" s="23" t="n">
        <f>MIN(L112,J112)</f>
        <v>10</v>
      </c>
      <c r="O112" s="25" t="n">
        <f>IF(K112=0,0,MIN(1,J112/K112))</f>
        <v>0.5</v>
      </c>
      <c r="P112" s="23" t="n">
        <f>IF(J112&gt;0,MAX(K112-J112,0),0)</f>
        <v>10</v>
      </c>
      <c r="Q112" s="23" t="n">
        <f>IF(J112=0,K112,0)</f>
        <v>0</v>
      </c>
      <c r="R112" s="23" t="n">
        <f>MAX(J112-K112,0)</f>
        <v>0</v>
      </c>
      <c r="S112" s="23" t="n">
        <f>IF(J112&gt;0,MAX(L112-J112,0),L112)</f>
        <v>10</v>
      </c>
    </row>
    <row r="113">
      <c r="A113" s="19" t="str">
        <v>德国区</v>
      </c>
      <c r="B113" s="19" t="str">
        <v>杜塞尔多夫12号仓</v>
      </c>
      <c r="C113" s="19" t="str">
        <v>拓竹组</v>
      </c>
      <c r="D113" s="21" t="n">
        <v>46189</v>
      </c>
      <c r="E113" s="19" t="str">
        <v>2026-06</v>
      </c>
      <c r="F113" s="19" t="str">
        <v>操作员</v>
      </c>
      <c r="G113" s="19" t="str">
        <v>德国区-灵活班次 / DE FLEX</v>
      </c>
      <c r="H113" s="23" t="n">
        <v>3</v>
      </c>
      <c r="I113" s="23" t="n">
        <v>0</v>
      </c>
      <c r="J113" s="23" t="n">
        <f>H113+I113</f>
        <v>3</v>
      </c>
      <c r="K113" s="23" t="n">
        <v>3</v>
      </c>
      <c r="L113" s="23" t="n">
        <v>3</v>
      </c>
      <c r="M113" s="23" t="n">
        <f>MIN(K113,J113)</f>
        <v>3</v>
      </c>
      <c r="N113" s="23" t="n">
        <f>MIN(L113,J113)</f>
        <v>3</v>
      </c>
      <c r="O113" s="25" t="n">
        <f>IF(K113=0,0,MIN(1,J113/K113))</f>
        <v>1</v>
      </c>
      <c r="P113" s="23" t="n">
        <f>IF(J113&gt;0,MAX(K113-J113,0),0)</f>
        <v>0</v>
      </c>
      <c r="Q113" s="23" t="n">
        <f>IF(J113=0,K113,0)</f>
        <v>0</v>
      </c>
      <c r="R113" s="23" t="n">
        <f>MAX(J113-K113,0)</f>
        <v>0</v>
      </c>
      <c r="S113" s="23" t="n">
        <f>IF(J113&gt;0,MAX(L113-J113,0),L113)</f>
        <v>0</v>
      </c>
    </row>
    <row r="114">
      <c r="A114" s="19" t="str">
        <v>德国区</v>
      </c>
      <c r="B114" s="19" t="str">
        <v>杜塞尔多夫12号仓</v>
      </c>
      <c r="C114" s="19" t="str">
        <v>拓竹组</v>
      </c>
      <c r="D114" s="21" t="n">
        <v>46189</v>
      </c>
      <c r="E114" s="19" t="str">
        <v>2026-06</v>
      </c>
      <c r="F114" s="19" t="str">
        <v>操作员</v>
      </c>
      <c r="G114" s="19" t="str">
        <v>拓竹大促12:30班次</v>
      </c>
      <c r="H114" s="23" t="n">
        <v>10</v>
      </c>
      <c r="I114" s="23" t="n">
        <v>0</v>
      </c>
      <c r="J114" s="23" t="n">
        <f>H114+I114</f>
        <v>10</v>
      </c>
      <c r="K114" s="23" t="n">
        <v>15</v>
      </c>
      <c r="L114" s="23" t="n">
        <v>13</v>
      </c>
      <c r="M114" s="23" t="n">
        <f>MIN(K114,J114)</f>
        <v>10</v>
      </c>
      <c r="N114" s="23" t="n">
        <f>MIN(L114,J114)</f>
        <v>10</v>
      </c>
      <c r="O114" s="25" t="n">
        <f>IF(K114=0,0,MIN(1,J114/K114))</f>
        <v>0.6666666666666666</v>
      </c>
      <c r="P114" s="23" t="n">
        <f>IF(J114&gt;0,MAX(K114-J114,0),0)</f>
        <v>5</v>
      </c>
      <c r="Q114" s="23" t="n">
        <f>IF(J114=0,K114,0)</f>
        <v>0</v>
      </c>
      <c r="R114" s="23" t="n">
        <f>MAX(J114-K114,0)</f>
        <v>0</v>
      </c>
      <c r="S114" s="23" t="n">
        <f>IF(J114&gt;0,MAX(L114-J114,0),L114)</f>
        <v>3</v>
      </c>
    </row>
    <row r="115">
      <c r="A115" s="19" t="str">
        <v>德国区</v>
      </c>
      <c r="B115" s="19" t="str">
        <v>杜塞尔多夫12号仓</v>
      </c>
      <c r="C115" s="19" t="str">
        <v>拓竹组</v>
      </c>
      <c r="D115" s="21" t="n">
        <v>46190</v>
      </c>
      <c r="E115" s="19" t="str">
        <v>2026-06</v>
      </c>
      <c r="F115" s="19" t="str">
        <v>操作员</v>
      </c>
      <c r="G115" s="19" t="str">
        <v>拓竹大促2:00班次</v>
      </c>
      <c r="H115" s="23" t="n">
        <v>10</v>
      </c>
      <c r="I115" s="23" t="n">
        <v>0</v>
      </c>
      <c r="J115" s="23" t="n">
        <f>H115+I115</f>
        <v>10</v>
      </c>
      <c r="K115" s="23" t="n">
        <v>15</v>
      </c>
      <c r="L115" s="23" t="n">
        <v>15</v>
      </c>
      <c r="M115" s="23" t="n">
        <f>MIN(K115,J115)</f>
        <v>10</v>
      </c>
      <c r="N115" s="23" t="n">
        <f>MIN(L115,J115)</f>
        <v>10</v>
      </c>
      <c r="O115" s="25" t="n">
        <f>IF(K115=0,0,MIN(1,J115/K115))</f>
        <v>0.6666666666666666</v>
      </c>
      <c r="P115" s="23" t="n">
        <f>IF(J115&gt;0,MAX(K115-J115,0),0)</f>
        <v>5</v>
      </c>
      <c r="Q115" s="23" t="n">
        <f>IF(J115=0,K115,0)</f>
        <v>0</v>
      </c>
      <c r="R115" s="23" t="n">
        <f>MAX(J115-K115,0)</f>
        <v>0</v>
      </c>
      <c r="S115" s="23" t="n">
        <f>IF(J115&gt;0,MAX(L115-J115,0),L115)</f>
        <v>5</v>
      </c>
    </row>
    <row r="116">
      <c r="A116" s="19" t="str">
        <v>德国区</v>
      </c>
      <c r="B116" s="19" t="str">
        <v>杜塞尔多夫12号仓</v>
      </c>
      <c r="C116" s="19" t="str">
        <v>拓竹组</v>
      </c>
      <c r="D116" s="21" t="n">
        <v>46196</v>
      </c>
      <c r="E116" s="19" t="str">
        <v>2026-06</v>
      </c>
      <c r="F116" s="19" t="str">
        <v>操作员</v>
      </c>
      <c r="G116" s="19" t="str">
        <v>德国区-灵活班次 / DE FLEX</v>
      </c>
      <c r="H116" s="23" t="n">
        <v>5</v>
      </c>
      <c r="I116" s="23" t="n">
        <v>0</v>
      </c>
      <c r="J116" s="23" t="n">
        <f>H116+I116</f>
        <v>5</v>
      </c>
      <c r="K116" s="23" t="n">
        <v>5</v>
      </c>
      <c r="L116" s="23" t="n">
        <v>5</v>
      </c>
      <c r="M116" s="23" t="n">
        <f>MIN(K116,J116)</f>
        <v>5</v>
      </c>
      <c r="N116" s="23" t="n">
        <f>MIN(L116,J116)</f>
        <v>5</v>
      </c>
      <c r="O116" s="25" t="n">
        <f>IF(K116=0,0,MIN(1,J116/K116))</f>
        <v>1</v>
      </c>
      <c r="P116" s="23" t="n">
        <f>IF(J116&gt;0,MAX(K116-J116,0),0)</f>
        <v>0</v>
      </c>
      <c r="Q116" s="23" t="n">
        <f>IF(J116=0,K116,0)</f>
        <v>0</v>
      </c>
      <c r="R116" s="23" t="n">
        <f>MAX(J116-K116,0)</f>
        <v>0</v>
      </c>
      <c r="S116" s="23" t="n">
        <f>IF(J116&gt;0,MAX(L116-J116,0),L116)</f>
        <v>0</v>
      </c>
    </row>
    <row r="117">
      <c r="A117" s="19" t="str">
        <v>德国区</v>
      </c>
      <c r="B117" s="19" t="str">
        <v>杜塞尔多夫12号仓</v>
      </c>
      <c r="C117" s="19" t="str">
        <v>拓竹组</v>
      </c>
      <c r="D117" s="21" t="n">
        <v>46197</v>
      </c>
      <c r="E117" s="19" t="str">
        <v>2026-06</v>
      </c>
      <c r="F117" s="19" t="str">
        <v>操作员</v>
      </c>
      <c r="G117" s="19" t="str">
        <v>德国区-灵活班次 / DE FLEX</v>
      </c>
      <c r="H117" s="23" t="n">
        <v>5</v>
      </c>
      <c r="I117" s="23" t="n">
        <v>0</v>
      </c>
      <c r="J117" s="23" t="n">
        <f>H117+I117</f>
        <v>5</v>
      </c>
      <c r="K117" s="23" t="n">
        <v>5</v>
      </c>
      <c r="L117" s="23" t="n">
        <v>5</v>
      </c>
      <c r="M117" s="23" t="n">
        <f>MIN(K117,J117)</f>
        <v>5</v>
      </c>
      <c r="N117" s="23" t="n">
        <f>MIN(L117,J117)</f>
        <v>5</v>
      </c>
      <c r="O117" s="25" t="n">
        <f>IF(K117=0,0,MIN(1,J117/K117))</f>
        <v>1</v>
      </c>
      <c r="P117" s="23" t="n">
        <f>IF(J117&gt;0,MAX(K117-J117,0),0)</f>
        <v>0</v>
      </c>
      <c r="Q117" s="23" t="n">
        <f>IF(J117=0,K117,0)</f>
        <v>0</v>
      </c>
      <c r="R117" s="23" t="n">
        <f>MAX(J117-K117,0)</f>
        <v>0</v>
      </c>
      <c r="S117" s="23" t="n">
        <f>IF(J117&gt;0,MAX(L117-J117,0),L117)</f>
        <v>0</v>
      </c>
    </row>
    <row r="118">
      <c r="A118" s="19" t="str">
        <v>德国区</v>
      </c>
      <c r="B118" s="19" t="str">
        <v>杜塞尔多夫12号仓</v>
      </c>
      <c r="C118" s="19" t="str">
        <v>理货组</v>
      </c>
      <c r="D118" s="21" t="n">
        <v>46163</v>
      </c>
      <c r="E118" s="19" t="str">
        <v>2026-05</v>
      </c>
      <c r="F118" s="19" t="str">
        <v>操作员</v>
      </c>
      <c r="G118" s="19" t="str">
        <v>德国区-灵活班次 / DE FLEX</v>
      </c>
      <c r="H118" s="23" t="n">
        <v>1</v>
      </c>
      <c r="I118" s="23" t="n">
        <v>0</v>
      </c>
      <c r="J118" s="23" t="n">
        <f>H118+I118</f>
        <v>1</v>
      </c>
      <c r="K118" s="23" t="n">
        <v>1</v>
      </c>
      <c r="L118" s="23" t="n">
        <v>1</v>
      </c>
      <c r="M118" s="23" t="n">
        <f>MIN(K118,J118)</f>
        <v>1</v>
      </c>
      <c r="N118" s="23" t="n">
        <f>MIN(L118,J118)</f>
        <v>1</v>
      </c>
      <c r="O118" s="25" t="n">
        <f>IF(K118=0,0,MIN(1,J118/K118))</f>
        <v>1</v>
      </c>
      <c r="P118" s="23" t="n">
        <f>IF(J118&gt;0,MAX(K118-J118,0),0)</f>
        <v>0</v>
      </c>
      <c r="Q118" s="23" t="n">
        <f>IF(J118=0,K118,0)</f>
        <v>0</v>
      </c>
      <c r="R118" s="23" t="n">
        <f>MAX(J118-K118,0)</f>
        <v>0</v>
      </c>
      <c r="S118" s="23" t="n">
        <f>IF(J118&gt;0,MAX(L118-J118,0),L118)</f>
        <v>0</v>
      </c>
    </row>
    <row r="119">
      <c r="A119" s="19" t="str">
        <v>德国区</v>
      </c>
      <c r="B119" s="19" t="str">
        <v>杜塞尔多夫15号仓</v>
      </c>
      <c r="C119" s="19" t="str">
        <v>入库组</v>
      </c>
      <c r="D119" s="21" t="n">
        <v>46157</v>
      </c>
      <c r="E119" s="19" t="str">
        <v>2026-05</v>
      </c>
      <c r="F119" s="19" t="str">
        <v>操作员</v>
      </c>
      <c r="G119" s="19" t="str">
        <v>德国区-灵活班次 / DE FLEX</v>
      </c>
      <c r="H119" s="23" t="n">
        <v>5</v>
      </c>
      <c r="I119" s="23" t="n">
        <v>0</v>
      </c>
      <c r="J119" s="23" t="n">
        <f>H119+I119</f>
        <v>5</v>
      </c>
      <c r="K119" s="23" t="n">
        <v>5</v>
      </c>
      <c r="L119" s="23" t="n">
        <v>5</v>
      </c>
      <c r="M119" s="23" t="n">
        <f>MIN(K119,J119)</f>
        <v>5</v>
      </c>
      <c r="N119" s="23" t="n">
        <f>MIN(L119,J119)</f>
        <v>5</v>
      </c>
      <c r="O119" s="25" t="n">
        <f>IF(K119=0,0,MIN(1,J119/K119))</f>
        <v>1</v>
      </c>
      <c r="P119" s="23" t="n">
        <f>IF(J119&gt;0,MAX(K119-J119,0),0)</f>
        <v>0</v>
      </c>
      <c r="Q119" s="23" t="n">
        <f>IF(J119=0,K119,0)</f>
        <v>0</v>
      </c>
      <c r="R119" s="23" t="n">
        <f>MAX(J119-K119,0)</f>
        <v>0</v>
      </c>
      <c r="S119" s="23" t="n">
        <f>IF(J119&gt;0,MAX(L119-J119,0),L119)</f>
        <v>0</v>
      </c>
    </row>
    <row r="120">
      <c r="A120" s="19" t="str">
        <v>德国区</v>
      </c>
      <c r="B120" s="19" t="str">
        <v>杜塞尔多夫15号仓</v>
      </c>
      <c r="C120" s="19" t="str">
        <v>入库组</v>
      </c>
      <c r="D120" s="21" t="n">
        <v>46202</v>
      </c>
      <c r="E120" s="19" t="str">
        <v>2026-06</v>
      </c>
      <c r="F120" s="19" t="str">
        <v>操作员</v>
      </c>
      <c r="G120" s="19" t="str">
        <v>德国区7:00入库组班次</v>
      </c>
      <c r="H120" s="23" t="n">
        <v>2</v>
      </c>
      <c r="I120" s="23" t="n">
        <v>0</v>
      </c>
      <c r="J120" s="23" t="n">
        <f>H120+I120</f>
        <v>2</v>
      </c>
      <c r="K120" s="23" t="n">
        <v>0</v>
      </c>
      <c r="L120" s="23" t="n">
        <v>0</v>
      </c>
      <c r="M120" s="23" t="n">
        <f>MIN(K120,J120)</f>
        <v>0</v>
      </c>
      <c r="N120" s="23" t="n">
        <f>MIN(L120,J120)</f>
        <v>0</v>
      </c>
      <c r="O120" s="25" t="n">
        <f>IF(K120=0,0,MIN(1,J120/K120))</f>
        <v>0</v>
      </c>
      <c r="P120" s="23" t="n">
        <f>IF(J120&gt;0,MAX(K120-J120,0),0)</f>
        <v>0</v>
      </c>
      <c r="Q120" s="23" t="n">
        <f>IF(J120=0,K120,0)</f>
        <v>0</v>
      </c>
      <c r="R120" s="23" t="n">
        <f>MAX(J120-K120,0)</f>
        <v>2</v>
      </c>
      <c r="S120" s="23" t="n">
        <f>IF(J120&gt;0,MAX(L120-J120,0),L120)</f>
        <v>0</v>
      </c>
    </row>
    <row r="121">
      <c r="A121" s="19" t="str">
        <v>德国区</v>
      </c>
      <c r="B121" s="19" t="str">
        <v>杜塞尔多夫15号仓</v>
      </c>
      <c r="C121" s="19" t="str">
        <v>入库组</v>
      </c>
      <c r="D121" s="21" t="n">
        <v>46202</v>
      </c>
      <c r="E121" s="19" t="str">
        <v>2026-06</v>
      </c>
      <c r="F121" s="19" t="str">
        <v>操作员</v>
      </c>
      <c r="G121" s="19" t="str">
        <v>德国区出库组7:00班次</v>
      </c>
      <c r="H121" s="23" t="n">
        <v>3</v>
      </c>
      <c r="I121" s="23" t="n">
        <v>0</v>
      </c>
      <c r="J121" s="23" t="n">
        <f>H121+I121</f>
        <v>3</v>
      </c>
      <c r="K121" s="23" t="n">
        <v>2</v>
      </c>
      <c r="L121" s="23" t="n">
        <v>2</v>
      </c>
      <c r="M121" s="23" t="n">
        <f>MIN(K121,J121)</f>
        <v>2</v>
      </c>
      <c r="N121" s="23" t="n">
        <f>MIN(L121,J121)</f>
        <v>2</v>
      </c>
      <c r="O121" s="25" t="n">
        <f>IF(K121=0,0,MIN(1,J121/K121))</f>
        <v>1</v>
      </c>
      <c r="P121" s="23" t="n">
        <f>IF(J121&gt;0,MAX(K121-J121,0),0)</f>
        <v>0</v>
      </c>
      <c r="Q121" s="23" t="n">
        <f>IF(J121=0,K121,0)</f>
        <v>0</v>
      </c>
      <c r="R121" s="23" t="n">
        <f>MAX(J121-K121,0)</f>
        <v>1</v>
      </c>
      <c r="S121" s="23" t="n">
        <f>IF(J121&gt;0,MAX(L121-J121,0),L121)</f>
        <v>0</v>
      </c>
    </row>
    <row r="122">
      <c r="A122" s="19" t="str">
        <v>德国区</v>
      </c>
      <c r="B122" s="19" t="str">
        <v>杜塞尔多夫15号仓</v>
      </c>
      <c r="C122" s="19" t="str">
        <v>入库组</v>
      </c>
      <c r="D122" s="21" t="n">
        <v>46203</v>
      </c>
      <c r="E122" s="19" t="str">
        <v>2026-06</v>
      </c>
      <c r="F122" s="19" t="str">
        <v>操作员</v>
      </c>
      <c r="G122" s="19" t="str">
        <v>德国区7:00入库组班次</v>
      </c>
      <c r="H122" s="23" t="n">
        <v>6</v>
      </c>
      <c r="I122" s="23" t="n">
        <v>0</v>
      </c>
      <c r="J122" s="23" t="n">
        <f>H122+I122</f>
        <v>6</v>
      </c>
      <c r="K122" s="23" t="n">
        <v>6</v>
      </c>
      <c r="L122" s="23" t="n">
        <v>3</v>
      </c>
      <c r="M122" s="23" t="n">
        <f>MIN(K122,J122)</f>
        <v>6</v>
      </c>
      <c r="N122" s="23" t="n">
        <f>MIN(L122,J122)</f>
        <v>3</v>
      </c>
      <c r="O122" s="25" t="n">
        <f>IF(K122=0,0,MIN(1,J122/K122))</f>
        <v>1</v>
      </c>
      <c r="P122" s="23" t="n">
        <f>IF(J122&gt;0,MAX(K122-J122,0),0)</f>
        <v>0</v>
      </c>
      <c r="Q122" s="23" t="n">
        <f>IF(J122=0,K122,0)</f>
        <v>0</v>
      </c>
      <c r="R122" s="23" t="n">
        <f>MAX(J122-K122,0)</f>
        <v>0</v>
      </c>
      <c r="S122" s="23" t="n">
        <f>IF(J122&gt;0,MAX(L122-J122,0),L122)</f>
        <v>0</v>
      </c>
    </row>
    <row r="123">
      <c r="A123" s="19" t="str">
        <v>德国区</v>
      </c>
      <c r="B123" s="19" t="str">
        <v>杜塞尔多夫15号仓</v>
      </c>
      <c r="C123" s="19" t="str">
        <v>包装组</v>
      </c>
      <c r="D123" s="21" t="n">
        <v>46157</v>
      </c>
      <c r="E123" s="19" t="str">
        <v>2026-05</v>
      </c>
      <c r="F123" s="19" t="str">
        <v>操作员</v>
      </c>
      <c r="G123" s="19" t="str">
        <v>德国区-灵活班次 / DE FLEX</v>
      </c>
      <c r="H123" s="23" t="n">
        <v>1</v>
      </c>
      <c r="I123" s="23" t="n">
        <v>0</v>
      </c>
      <c r="J123" s="23" t="n">
        <f>H123+I123</f>
        <v>1</v>
      </c>
      <c r="K123" s="23" t="n">
        <v>1</v>
      </c>
      <c r="L123" s="23" t="n">
        <v>0</v>
      </c>
      <c r="M123" s="23" t="n">
        <f>MIN(K123,J123)</f>
        <v>1</v>
      </c>
      <c r="N123" s="23" t="n">
        <f>MIN(L123,J123)</f>
        <v>0</v>
      </c>
      <c r="O123" s="25" t="n">
        <f>IF(K123=0,0,MIN(1,J123/K123))</f>
        <v>1</v>
      </c>
      <c r="P123" s="23" t="n">
        <f>IF(J123&gt;0,MAX(K123-J123,0),0)</f>
        <v>0</v>
      </c>
      <c r="Q123" s="23" t="n">
        <f>IF(J123=0,K123,0)</f>
        <v>0</v>
      </c>
      <c r="R123" s="23" t="n">
        <f>MAX(J123-K123,0)</f>
        <v>0</v>
      </c>
      <c r="S123" s="23" t="n">
        <f>IF(J123&gt;0,MAX(L123-J123,0),L123)</f>
        <v>0</v>
      </c>
    </row>
    <row r="124">
      <c r="A124" s="19" t="str">
        <v>德国区</v>
      </c>
      <c r="B124" s="19" t="str">
        <v>杜塞尔多夫15号仓</v>
      </c>
      <c r="C124" s="19" t="str">
        <v>包装组</v>
      </c>
      <c r="D124" s="21" t="n">
        <v>46176</v>
      </c>
      <c r="E124" s="19" t="str">
        <v>2026-06</v>
      </c>
      <c r="F124" s="19" t="str">
        <v>操作员</v>
      </c>
      <c r="G124" s="19" t="str">
        <v>德国区出库组7:00班次</v>
      </c>
      <c r="H124" s="23" t="n">
        <v>1</v>
      </c>
      <c r="I124" s="23" t="n">
        <v>0</v>
      </c>
      <c r="J124" s="23" t="n">
        <f>H124+I124</f>
        <v>1</v>
      </c>
      <c r="K124" s="23" t="n">
        <v>1</v>
      </c>
      <c r="L124" s="23" t="n">
        <v>1</v>
      </c>
      <c r="M124" s="23" t="n">
        <f>MIN(K124,J124)</f>
        <v>1</v>
      </c>
      <c r="N124" s="23" t="n">
        <f>MIN(L124,J124)</f>
        <v>1</v>
      </c>
      <c r="O124" s="25" t="n">
        <f>IF(K124=0,0,MIN(1,J124/K124))</f>
        <v>1</v>
      </c>
      <c r="P124" s="23" t="n">
        <f>IF(J124&gt;0,MAX(K124-J124,0),0)</f>
        <v>0</v>
      </c>
      <c r="Q124" s="23" t="n">
        <f>IF(J124=0,K124,0)</f>
        <v>0</v>
      </c>
      <c r="R124" s="23" t="n">
        <f>MAX(J124-K124,0)</f>
        <v>0</v>
      </c>
      <c r="S124" s="23" t="n">
        <f>IF(J124&gt;0,MAX(L124-J124,0),L124)</f>
        <v>0</v>
      </c>
    </row>
    <row r="125">
      <c r="A125" s="19" t="str">
        <v>德国区</v>
      </c>
      <c r="B125" s="19" t="str">
        <v>杜塞尔多夫15号仓</v>
      </c>
      <c r="C125" s="19" t="str">
        <v>包装组</v>
      </c>
      <c r="D125" s="21" t="n">
        <v>46178</v>
      </c>
      <c r="E125" s="19" t="str">
        <v>2026-06</v>
      </c>
      <c r="F125" s="19" t="str">
        <v>操作员</v>
      </c>
      <c r="G125" s="19" t="str">
        <v>德国区出库组7:00班次</v>
      </c>
      <c r="H125" s="23" t="n">
        <v>5</v>
      </c>
      <c r="I125" s="23" t="n">
        <v>0</v>
      </c>
      <c r="J125" s="23" t="n">
        <f>H125+I125</f>
        <v>5</v>
      </c>
      <c r="K125" s="23" t="n">
        <v>5</v>
      </c>
      <c r="L125" s="23" t="n">
        <v>5</v>
      </c>
      <c r="M125" s="23" t="n">
        <f>MIN(K125,J125)</f>
        <v>5</v>
      </c>
      <c r="N125" s="23" t="n">
        <f>MIN(L125,J125)</f>
        <v>5</v>
      </c>
      <c r="O125" s="25" t="n">
        <f>IF(K125=0,0,MIN(1,J125/K125))</f>
        <v>1</v>
      </c>
      <c r="P125" s="23" t="n">
        <f>IF(J125&gt;0,MAX(K125-J125,0),0)</f>
        <v>0</v>
      </c>
      <c r="Q125" s="23" t="n">
        <f>IF(J125=0,K125,0)</f>
        <v>0</v>
      </c>
      <c r="R125" s="23" t="n">
        <f>MAX(J125-K125,0)</f>
        <v>0</v>
      </c>
      <c r="S125" s="23" t="n">
        <f>IF(J125&gt;0,MAX(L125-J125,0),L125)</f>
        <v>0</v>
      </c>
    </row>
    <row r="126">
      <c r="A126" s="19" t="str">
        <v>德国区</v>
      </c>
      <c r="B126" s="19" t="str">
        <v>杜塞尔多夫15号仓</v>
      </c>
      <c r="C126" s="19" t="str">
        <v>包装组</v>
      </c>
      <c r="D126" s="21" t="n">
        <v>46183</v>
      </c>
      <c r="E126" s="19" t="str">
        <v>2026-06</v>
      </c>
      <c r="F126" s="19" t="str">
        <v>操作员</v>
      </c>
      <c r="G126" s="19" t="str">
        <v>德国区出库组7:00班次</v>
      </c>
      <c r="H126" s="23" t="n">
        <v>1</v>
      </c>
      <c r="I126" s="23" t="n">
        <v>0</v>
      </c>
      <c r="J126" s="23" t="n">
        <f>H126+I126</f>
        <v>1</v>
      </c>
      <c r="K126" s="23" t="n">
        <v>1</v>
      </c>
      <c r="L126" s="23" t="n">
        <v>1</v>
      </c>
      <c r="M126" s="23" t="n">
        <f>MIN(K126,J126)</f>
        <v>1</v>
      </c>
      <c r="N126" s="23" t="n">
        <f>MIN(L126,J126)</f>
        <v>1</v>
      </c>
      <c r="O126" s="25" t="n">
        <f>IF(K126=0,0,MIN(1,J126/K126))</f>
        <v>1</v>
      </c>
      <c r="P126" s="23" t="n">
        <f>IF(J126&gt;0,MAX(K126-J126,0),0)</f>
        <v>0</v>
      </c>
      <c r="Q126" s="23" t="n">
        <f>IF(J126=0,K126,0)</f>
        <v>0</v>
      </c>
      <c r="R126" s="23" t="n">
        <f>MAX(J126-K126,0)</f>
        <v>0</v>
      </c>
      <c r="S126" s="23" t="n">
        <f>IF(J126&gt;0,MAX(L126-J126,0),L126)</f>
        <v>0</v>
      </c>
    </row>
    <row r="127">
      <c r="A127" s="19" t="str">
        <v>德国区</v>
      </c>
      <c r="B127" s="19" t="str">
        <v>杜塞尔多夫15号仓</v>
      </c>
      <c r="C127" s="19" t="str">
        <v>包装组</v>
      </c>
      <c r="D127" s="21" t="n">
        <v>46203</v>
      </c>
      <c r="E127" s="19" t="str">
        <v>2026-06</v>
      </c>
      <c r="F127" s="19" t="str">
        <v>操作员</v>
      </c>
      <c r="G127" s="19" t="str">
        <v>德国区出库组7:00班次</v>
      </c>
      <c r="H127" s="23" t="n">
        <v>3</v>
      </c>
      <c r="I127" s="23" t="n">
        <v>0</v>
      </c>
      <c r="J127" s="23" t="n">
        <f>H127+I127</f>
        <v>3</v>
      </c>
      <c r="K127" s="23" t="n">
        <v>3</v>
      </c>
      <c r="L127" s="23" t="n">
        <v>2</v>
      </c>
      <c r="M127" s="23" t="n">
        <f>MIN(K127,J127)</f>
        <v>3</v>
      </c>
      <c r="N127" s="23" t="n">
        <f>MIN(L127,J127)</f>
        <v>2</v>
      </c>
      <c r="O127" s="25" t="n">
        <f>IF(K127=0,0,MIN(1,J127/K127))</f>
        <v>1</v>
      </c>
      <c r="P127" s="23" t="n">
        <f>IF(J127&gt;0,MAX(K127-J127,0),0)</f>
        <v>0</v>
      </c>
      <c r="Q127" s="23" t="n">
        <f>IF(J127=0,K127,0)</f>
        <v>0</v>
      </c>
      <c r="R127" s="23" t="n">
        <f>MAX(J127-K127,0)</f>
        <v>0</v>
      </c>
      <c r="S127" s="23" t="n">
        <f>IF(J127&gt;0,MAX(L127-J127,0),L127)</f>
        <v>0</v>
      </c>
    </row>
    <row r="128">
      <c r="A128" s="19" t="str">
        <v>德国区</v>
      </c>
      <c r="B128" s="19" t="str">
        <v>杜塞尔多夫15号仓</v>
      </c>
      <c r="C128" s="19" t="str">
        <v>拣货组</v>
      </c>
      <c r="D128" s="21" t="n">
        <v>46181</v>
      </c>
      <c r="E128" s="19" t="str">
        <v>2026-06</v>
      </c>
      <c r="F128" s="19" t="str">
        <v>操作员</v>
      </c>
      <c r="G128" s="19" t="str">
        <v>德国区出库组7:00班次</v>
      </c>
      <c r="H128" s="23" t="n">
        <v>5</v>
      </c>
      <c r="I128" s="23" t="n">
        <v>0</v>
      </c>
      <c r="J128" s="23" t="n">
        <f>H128+I128</f>
        <v>5</v>
      </c>
      <c r="K128" s="23" t="n">
        <v>7</v>
      </c>
      <c r="L128" s="23" t="n">
        <v>5</v>
      </c>
      <c r="M128" s="23" t="n">
        <f>MIN(K128,J128)</f>
        <v>5</v>
      </c>
      <c r="N128" s="23" t="n">
        <f>MIN(L128,J128)</f>
        <v>5</v>
      </c>
      <c r="O128" s="25" t="n">
        <f>IF(K128=0,0,MIN(1,J128/K128))</f>
        <v>0.7142857142857143</v>
      </c>
      <c r="P128" s="23" t="n">
        <f>IF(J128&gt;0,MAX(K128-J128,0),0)</f>
        <v>2</v>
      </c>
      <c r="Q128" s="23" t="n">
        <f>IF(J128=0,K128,0)</f>
        <v>0</v>
      </c>
      <c r="R128" s="23" t="n">
        <f>MAX(J128-K128,0)</f>
        <v>0</v>
      </c>
      <c r="S128" s="23" t="n">
        <f>IF(J128&gt;0,MAX(L128-J128,0),L128)</f>
        <v>0</v>
      </c>
    </row>
    <row r="129">
      <c r="A129" s="19" t="str">
        <v>德国区</v>
      </c>
      <c r="B129" s="19" t="str">
        <v>杜塞尔多夫15号仓</v>
      </c>
      <c r="C129" s="19" t="str">
        <v>拣货组</v>
      </c>
      <c r="D129" s="21" t="n">
        <v>46195</v>
      </c>
      <c r="E129" s="19" t="str">
        <v>2026-06</v>
      </c>
      <c r="F129" s="19" t="str">
        <v>操作员</v>
      </c>
      <c r="G129" s="19" t="str">
        <v>德国区出库组7:00班次</v>
      </c>
      <c r="H129" s="23" t="n">
        <v>1</v>
      </c>
      <c r="I129" s="23" t="n">
        <v>0</v>
      </c>
      <c r="J129" s="23" t="n">
        <f>H129+I129</f>
        <v>1</v>
      </c>
      <c r="K129" s="23" t="n">
        <v>1</v>
      </c>
      <c r="L129" s="23" t="n">
        <v>1</v>
      </c>
      <c r="M129" s="23" t="n">
        <f>MIN(K129,J129)</f>
        <v>1</v>
      </c>
      <c r="N129" s="23" t="n">
        <f>MIN(L129,J129)</f>
        <v>1</v>
      </c>
      <c r="O129" s="25" t="n">
        <f>IF(K129=0,0,MIN(1,J129/K129))</f>
        <v>1</v>
      </c>
      <c r="P129" s="23" t="n">
        <f>IF(J129&gt;0,MAX(K129-J129,0),0)</f>
        <v>0</v>
      </c>
      <c r="Q129" s="23" t="n">
        <f>IF(J129=0,K129,0)</f>
        <v>0</v>
      </c>
      <c r="R129" s="23" t="n">
        <f>MAX(J129-K129,0)</f>
        <v>0</v>
      </c>
      <c r="S129" s="23" t="n">
        <f>IF(J129&gt;0,MAX(L129-J129,0),L129)</f>
        <v>0</v>
      </c>
    </row>
    <row r="130">
      <c r="A130" s="19" t="str">
        <v>德国区</v>
      </c>
      <c r="B130" s="19" t="str">
        <v>杜塞尔多夫15号仓</v>
      </c>
      <c r="C130" s="19" t="str">
        <v>理货组</v>
      </c>
      <c r="D130" s="21" t="n">
        <v>46184</v>
      </c>
      <c r="E130" s="19" t="str">
        <v>2026-06</v>
      </c>
      <c r="F130" s="19" t="str">
        <v>保洁员</v>
      </c>
      <c r="G130" s="19" t="str">
        <v>德国区-灵活班次 / DE FLEX</v>
      </c>
      <c r="H130" s="23" t="n">
        <v>1</v>
      </c>
      <c r="I130" s="23" t="n">
        <v>0</v>
      </c>
      <c r="J130" s="23" t="n">
        <f>H130+I130</f>
        <v>1</v>
      </c>
      <c r="K130" s="23" t="n">
        <v>1</v>
      </c>
      <c r="L130" s="23" t="n">
        <v>0</v>
      </c>
      <c r="M130" s="23" t="n">
        <f>MIN(K130,J130)</f>
        <v>1</v>
      </c>
      <c r="N130" s="23" t="n">
        <f>MIN(L130,J130)</f>
        <v>0</v>
      </c>
      <c r="O130" s="25" t="n">
        <f>IF(K130=0,0,MIN(1,J130/K130))</f>
        <v>1</v>
      </c>
      <c r="P130" s="23" t="n">
        <f>IF(J130&gt;0,MAX(K130-J130,0),0)</f>
        <v>0</v>
      </c>
      <c r="Q130" s="23" t="n">
        <f>IF(J130=0,K130,0)</f>
        <v>0</v>
      </c>
      <c r="R130" s="23" t="n">
        <f>MAX(J130-K130,0)</f>
        <v>0</v>
      </c>
      <c r="S130" s="23" t="n">
        <f>IF(J130&gt;0,MAX(L130-J130,0),L130)</f>
        <v>0</v>
      </c>
    </row>
    <row r="131">
      <c r="A131" s="19" t="str">
        <v>德国区</v>
      </c>
      <c r="B131" s="19" t="str">
        <v>杜塞尔多夫16号仓</v>
      </c>
      <c r="C131" s="19" t="str">
        <v>交运组</v>
      </c>
      <c r="D131" s="21" t="n">
        <v>46136</v>
      </c>
      <c r="E131" s="19" t="str">
        <v>2026-04</v>
      </c>
      <c r="F131" s="19" t="str">
        <v>操作员</v>
      </c>
      <c r="G131" s="19" t="str">
        <v>德国区-灵活班次 / DE FLEX</v>
      </c>
      <c r="H131" s="23" t="n">
        <v>2</v>
      </c>
      <c r="I131" s="23" t="n">
        <v>0</v>
      </c>
      <c r="J131" s="23" t="n">
        <f>H131+I131</f>
        <v>2</v>
      </c>
      <c r="K131" s="23" t="n">
        <v>2</v>
      </c>
      <c r="L131" s="23" t="n">
        <v>2</v>
      </c>
      <c r="M131" s="23" t="n">
        <f>MIN(K131,J131)</f>
        <v>2</v>
      </c>
      <c r="N131" s="23" t="n">
        <f>MIN(L131,J131)</f>
        <v>2</v>
      </c>
      <c r="O131" s="25" t="n">
        <f>IF(K131=0,0,MIN(1,J131/K131))</f>
        <v>1</v>
      </c>
      <c r="P131" s="23" t="n">
        <f>IF(J131&gt;0,MAX(K131-J131,0),0)</f>
        <v>0</v>
      </c>
      <c r="Q131" s="23" t="n">
        <f>IF(J131=0,K131,0)</f>
        <v>0</v>
      </c>
      <c r="R131" s="23" t="n">
        <f>MAX(J131-K131,0)</f>
        <v>0</v>
      </c>
      <c r="S131" s="23" t="n">
        <f>IF(J131&gt;0,MAX(L131-J131,0),L131)</f>
        <v>0</v>
      </c>
    </row>
    <row r="132">
      <c r="A132" s="19" t="str">
        <v>德国区</v>
      </c>
      <c r="B132" s="19" t="str">
        <v>杜塞尔多夫16号仓</v>
      </c>
      <c r="C132" s="19" t="str">
        <v>交运组</v>
      </c>
      <c r="D132" s="21" t="n">
        <v>46137</v>
      </c>
      <c r="E132" s="19" t="str">
        <v>2026-04</v>
      </c>
      <c r="F132" s="19" t="str">
        <v>操作员</v>
      </c>
      <c r="G132" s="19" t="str">
        <v>德国区-灵活班次 / DE FLEX</v>
      </c>
      <c r="H132" s="23" t="n">
        <v>2</v>
      </c>
      <c r="I132" s="23" t="n">
        <v>0</v>
      </c>
      <c r="J132" s="23" t="n">
        <f>H132+I132</f>
        <v>2</v>
      </c>
      <c r="K132" s="23" t="n">
        <v>2</v>
      </c>
      <c r="L132" s="23" t="n">
        <v>2</v>
      </c>
      <c r="M132" s="23" t="n">
        <f>MIN(K132,J132)</f>
        <v>2</v>
      </c>
      <c r="N132" s="23" t="n">
        <f>MIN(L132,J132)</f>
        <v>2</v>
      </c>
      <c r="O132" s="25" t="n">
        <f>IF(K132=0,0,MIN(1,J132/K132))</f>
        <v>1</v>
      </c>
      <c r="P132" s="23" t="n">
        <f>IF(J132&gt;0,MAX(K132-J132,0),0)</f>
        <v>0</v>
      </c>
      <c r="Q132" s="23" t="n">
        <f>IF(J132=0,K132,0)</f>
        <v>0</v>
      </c>
      <c r="R132" s="23" t="n">
        <f>MAX(J132-K132,0)</f>
        <v>0</v>
      </c>
      <c r="S132" s="23" t="n">
        <f>IF(J132&gt;0,MAX(L132-J132,0),L132)</f>
        <v>0</v>
      </c>
    </row>
    <row r="133">
      <c r="A133" s="19" t="str">
        <v>德国区</v>
      </c>
      <c r="B133" s="19" t="str">
        <v>杜塞尔多夫16号仓</v>
      </c>
      <c r="C133" s="19" t="str">
        <v>交运组</v>
      </c>
      <c r="D133" s="21" t="n">
        <v>46162</v>
      </c>
      <c r="E133" s="19" t="str">
        <v>2026-05</v>
      </c>
      <c r="F133" s="19" t="str">
        <v>操作员</v>
      </c>
      <c r="G133" s="19" t="str">
        <v>德国区-灵活班次 / DE FLEX</v>
      </c>
      <c r="H133" s="23" t="n">
        <v>3</v>
      </c>
      <c r="I133" s="23" t="n">
        <v>0</v>
      </c>
      <c r="J133" s="23" t="n">
        <f>H133+I133</f>
        <v>3</v>
      </c>
      <c r="K133" s="23" t="n">
        <v>4</v>
      </c>
      <c r="L133" s="23" t="n">
        <v>4</v>
      </c>
      <c r="M133" s="23" t="n">
        <f>MIN(K133,J133)</f>
        <v>3</v>
      </c>
      <c r="N133" s="23" t="n">
        <f>MIN(L133,J133)</f>
        <v>3</v>
      </c>
      <c r="O133" s="25" t="n">
        <f>IF(K133=0,0,MIN(1,J133/K133))</f>
        <v>0.75</v>
      </c>
      <c r="P133" s="23" t="n">
        <f>IF(J133&gt;0,MAX(K133-J133,0),0)</f>
        <v>1</v>
      </c>
      <c r="Q133" s="23" t="n">
        <f>IF(J133=0,K133,0)</f>
        <v>0</v>
      </c>
      <c r="R133" s="23" t="n">
        <f>MAX(J133-K133,0)</f>
        <v>0</v>
      </c>
      <c r="S133" s="23" t="n">
        <f>IF(J133&gt;0,MAX(L133-J133,0),L133)</f>
        <v>1</v>
      </c>
    </row>
    <row r="134">
      <c r="A134" s="19" t="str">
        <v>德国区</v>
      </c>
      <c r="B134" s="19" t="str">
        <v>杜塞尔多夫16号仓</v>
      </c>
      <c r="C134" s="19" t="str">
        <v>交运组</v>
      </c>
      <c r="D134" s="21" t="n">
        <v>46163</v>
      </c>
      <c r="E134" s="19" t="str">
        <v>2026-05</v>
      </c>
      <c r="F134" s="19" t="str">
        <v>操作员</v>
      </c>
      <c r="G134" s="19" t="str">
        <v>德国区-灵活班次 / DE FLEX</v>
      </c>
      <c r="H134" s="23" t="n">
        <v>3</v>
      </c>
      <c r="I134" s="23" t="n">
        <v>0</v>
      </c>
      <c r="J134" s="23" t="n">
        <f>H134+I134</f>
        <v>3</v>
      </c>
      <c r="K134" s="23" t="n">
        <v>5</v>
      </c>
      <c r="L134" s="23" t="n">
        <v>5</v>
      </c>
      <c r="M134" s="23" t="n">
        <f>MIN(K134,J134)</f>
        <v>3</v>
      </c>
      <c r="N134" s="23" t="n">
        <f>MIN(L134,J134)</f>
        <v>3</v>
      </c>
      <c r="O134" s="25" t="n">
        <f>IF(K134=0,0,MIN(1,J134/K134))</f>
        <v>0.6</v>
      </c>
      <c r="P134" s="23" t="n">
        <f>IF(J134&gt;0,MAX(K134-J134,0),0)</f>
        <v>2</v>
      </c>
      <c r="Q134" s="23" t="n">
        <f>IF(J134=0,K134,0)</f>
        <v>0</v>
      </c>
      <c r="R134" s="23" t="n">
        <f>MAX(J134-K134,0)</f>
        <v>0</v>
      </c>
      <c r="S134" s="23" t="n">
        <f>IF(J134&gt;0,MAX(L134-J134,0),L134)</f>
        <v>2</v>
      </c>
    </row>
    <row r="135">
      <c r="A135" s="19" t="str">
        <v>德国区</v>
      </c>
      <c r="B135" s="19" t="str">
        <v>杜塞尔多夫16号仓</v>
      </c>
      <c r="C135" s="19" t="str">
        <v>交运组</v>
      </c>
      <c r="D135" s="21" t="n">
        <v>46164</v>
      </c>
      <c r="E135" s="19" t="str">
        <v>2026-05</v>
      </c>
      <c r="F135" s="19" t="str">
        <v>操作员</v>
      </c>
      <c r="G135" s="19" t="str">
        <v>德国区-灵活班次 / DE FLEX</v>
      </c>
      <c r="H135" s="23" t="n">
        <v>3</v>
      </c>
      <c r="I135" s="23" t="n">
        <v>0</v>
      </c>
      <c r="J135" s="23" t="n">
        <f>H135+I135</f>
        <v>3</v>
      </c>
      <c r="K135" s="23" t="n">
        <v>3</v>
      </c>
      <c r="L135" s="23" t="n">
        <v>3</v>
      </c>
      <c r="M135" s="23" t="n">
        <f>MIN(K135,J135)</f>
        <v>3</v>
      </c>
      <c r="N135" s="23" t="n">
        <f>MIN(L135,J135)</f>
        <v>3</v>
      </c>
      <c r="O135" s="25" t="n">
        <f>IF(K135=0,0,MIN(1,J135/K135))</f>
        <v>1</v>
      </c>
      <c r="P135" s="23" t="n">
        <f>IF(J135&gt;0,MAX(K135-J135,0),0)</f>
        <v>0</v>
      </c>
      <c r="Q135" s="23" t="n">
        <f>IF(J135=0,K135,0)</f>
        <v>0</v>
      </c>
      <c r="R135" s="23" t="n">
        <f>MAX(J135-K135,0)</f>
        <v>0</v>
      </c>
      <c r="S135" s="23" t="n">
        <f>IF(J135&gt;0,MAX(L135-J135,0),L135)</f>
        <v>0</v>
      </c>
    </row>
    <row r="136">
      <c r="A136" s="19" t="str">
        <v>德国区</v>
      </c>
      <c r="B136" s="19" t="str">
        <v>杜塞尔多夫16号仓</v>
      </c>
      <c r="C136" s="19" t="str">
        <v>交运组</v>
      </c>
      <c r="D136" s="21" t="n">
        <v>46165</v>
      </c>
      <c r="E136" s="19" t="str">
        <v>2026-05</v>
      </c>
      <c r="F136" s="19" t="str">
        <v>操作员</v>
      </c>
      <c r="G136" s="19" t="str">
        <v>德国区-灵活班次 / DE FLEX</v>
      </c>
      <c r="H136" s="23" t="n">
        <v>3</v>
      </c>
      <c r="I136" s="23" t="n">
        <v>0</v>
      </c>
      <c r="J136" s="23" t="n">
        <f>H136+I136</f>
        <v>3</v>
      </c>
      <c r="K136" s="23" t="n">
        <v>0</v>
      </c>
      <c r="L136" s="23" t="n">
        <v>0</v>
      </c>
      <c r="M136" s="23" t="n">
        <f>MIN(K136,J136)</f>
        <v>0</v>
      </c>
      <c r="N136" s="23" t="n">
        <f>MIN(L136,J136)</f>
        <v>0</v>
      </c>
      <c r="O136" s="25" t="n">
        <f>IF(K136=0,0,MIN(1,J136/K136))</f>
        <v>0</v>
      </c>
      <c r="P136" s="23" t="n">
        <f>IF(J136&gt;0,MAX(K136-J136,0),0)</f>
        <v>0</v>
      </c>
      <c r="Q136" s="23" t="n">
        <f>IF(J136=0,K136,0)</f>
        <v>0</v>
      </c>
      <c r="R136" s="23" t="n">
        <f>MAX(J136-K136,0)</f>
        <v>3</v>
      </c>
      <c r="S136" s="23" t="n">
        <f>IF(J136&gt;0,MAX(L136-J136,0),L136)</f>
        <v>0</v>
      </c>
    </row>
    <row r="137">
      <c r="A137" s="19" t="str">
        <v>德国区</v>
      </c>
      <c r="B137" s="19" t="str">
        <v>杜塞尔多夫16号仓</v>
      </c>
      <c r="C137" s="19" t="str">
        <v>交运组</v>
      </c>
      <c r="D137" s="21" t="n">
        <v>46176</v>
      </c>
      <c r="E137" s="19" t="str">
        <v>2026-06</v>
      </c>
      <c r="F137" s="19" t="str">
        <v>操作员</v>
      </c>
      <c r="G137" s="19" t="str">
        <v>德国区-灵活班次 / DE FLEX</v>
      </c>
      <c r="H137" s="23" t="n">
        <v>3</v>
      </c>
      <c r="I137" s="23" t="n">
        <v>0</v>
      </c>
      <c r="J137" s="23" t="n">
        <f>H137+I137</f>
        <v>3</v>
      </c>
      <c r="K137" s="23" t="n">
        <v>3</v>
      </c>
      <c r="L137" s="23" t="n">
        <v>3</v>
      </c>
      <c r="M137" s="23" t="n">
        <f>MIN(K137,J137)</f>
        <v>3</v>
      </c>
      <c r="N137" s="23" t="n">
        <f>MIN(L137,J137)</f>
        <v>3</v>
      </c>
      <c r="O137" s="25" t="n">
        <f>IF(K137=0,0,MIN(1,J137/K137))</f>
        <v>1</v>
      </c>
      <c r="P137" s="23" t="n">
        <f>IF(J137&gt;0,MAX(K137-J137,0),0)</f>
        <v>0</v>
      </c>
      <c r="Q137" s="23" t="n">
        <f>IF(J137=0,K137,0)</f>
        <v>0</v>
      </c>
      <c r="R137" s="23" t="n">
        <f>MAX(J137-K137,0)</f>
        <v>0</v>
      </c>
      <c r="S137" s="23" t="n">
        <f>IF(J137&gt;0,MAX(L137-J137,0),L137)</f>
        <v>0</v>
      </c>
    </row>
    <row r="138">
      <c r="A138" s="19" t="str">
        <v>德国区</v>
      </c>
      <c r="B138" s="19" t="str">
        <v>杜塞尔多夫16号仓</v>
      </c>
      <c r="C138" s="19" t="str">
        <v>交运组</v>
      </c>
      <c r="D138" s="21" t="n">
        <v>46179</v>
      </c>
      <c r="E138" s="19" t="str">
        <v>2026-06</v>
      </c>
      <c r="F138" s="19" t="str">
        <v>操作员</v>
      </c>
      <c r="G138" s="19" t="str">
        <v>德国区-灵活班次 / DE FLEX</v>
      </c>
      <c r="H138" s="23" t="n">
        <v>3</v>
      </c>
      <c r="I138" s="23" t="n">
        <v>0</v>
      </c>
      <c r="J138" s="23" t="n">
        <f>H138+I138</f>
        <v>3</v>
      </c>
      <c r="K138" s="23" t="n">
        <v>0</v>
      </c>
      <c r="L138" s="23" t="n">
        <v>0</v>
      </c>
      <c r="M138" s="23" t="n">
        <f>MIN(K138,J138)</f>
        <v>0</v>
      </c>
      <c r="N138" s="23" t="n">
        <f>MIN(L138,J138)</f>
        <v>0</v>
      </c>
      <c r="O138" s="25" t="n">
        <f>IF(K138=0,0,MIN(1,J138/K138))</f>
        <v>0</v>
      </c>
      <c r="P138" s="23" t="n">
        <f>IF(J138&gt;0,MAX(K138-J138,0),0)</f>
        <v>0</v>
      </c>
      <c r="Q138" s="23" t="n">
        <f>IF(J138=0,K138,0)</f>
        <v>0</v>
      </c>
      <c r="R138" s="23" t="n">
        <f>MAX(J138-K138,0)</f>
        <v>3</v>
      </c>
      <c r="S138" s="23" t="n">
        <f>IF(J138&gt;0,MAX(L138-J138,0),L138)</f>
        <v>0</v>
      </c>
    </row>
    <row r="139">
      <c r="A139" s="19" t="str">
        <v>德国区</v>
      </c>
      <c r="B139" s="19" t="str">
        <v>杜塞尔多夫16号仓</v>
      </c>
      <c r="C139" s="19" t="str">
        <v>交运组</v>
      </c>
      <c r="D139" s="21" t="n">
        <v>46181</v>
      </c>
      <c r="E139" s="19" t="str">
        <v>2026-06</v>
      </c>
      <c r="F139" s="19" t="str">
        <v>操作员</v>
      </c>
      <c r="G139" s="19" t="str">
        <v>德国区-灵活班次 / DE FLEX</v>
      </c>
      <c r="H139" s="23" t="n">
        <v>9</v>
      </c>
      <c r="I139" s="23" t="n">
        <v>0</v>
      </c>
      <c r="J139" s="23" t="n">
        <f>H139+I139</f>
        <v>9</v>
      </c>
      <c r="K139" s="23" t="n">
        <v>9</v>
      </c>
      <c r="L139" s="23" t="n">
        <v>7</v>
      </c>
      <c r="M139" s="23" t="n">
        <f>MIN(K139,J139)</f>
        <v>9</v>
      </c>
      <c r="N139" s="23" t="n">
        <f>MIN(L139,J139)</f>
        <v>7</v>
      </c>
      <c r="O139" s="25" t="n">
        <f>IF(K139=0,0,MIN(1,J139/K139))</f>
        <v>1</v>
      </c>
      <c r="P139" s="23" t="n">
        <f>IF(J139&gt;0,MAX(K139-J139,0),0)</f>
        <v>0</v>
      </c>
      <c r="Q139" s="23" t="n">
        <f>IF(J139=0,K139,0)</f>
        <v>0</v>
      </c>
      <c r="R139" s="23" t="n">
        <f>MAX(J139-K139,0)</f>
        <v>0</v>
      </c>
      <c r="S139" s="23" t="n">
        <f>IF(J139&gt;0,MAX(L139-J139,0),L139)</f>
        <v>0</v>
      </c>
    </row>
    <row r="140">
      <c r="A140" s="19" t="str">
        <v>德国区</v>
      </c>
      <c r="B140" s="19" t="str">
        <v>杜塞尔多夫16号仓</v>
      </c>
      <c r="C140" s="19" t="str">
        <v>交运组</v>
      </c>
      <c r="D140" s="21" t="n">
        <v>46182</v>
      </c>
      <c r="E140" s="19" t="str">
        <v>2026-06</v>
      </c>
      <c r="F140" s="19" t="str">
        <v>操作员</v>
      </c>
      <c r="G140" s="19" t="str">
        <v>德国区-灵活班次 / DE FLEX</v>
      </c>
      <c r="H140" s="23" t="n">
        <v>7</v>
      </c>
      <c r="I140" s="23" t="n">
        <v>0</v>
      </c>
      <c r="J140" s="23" t="n">
        <f>H140+I140</f>
        <v>7</v>
      </c>
      <c r="K140" s="23" t="n">
        <v>7</v>
      </c>
      <c r="L140" s="23" t="n">
        <v>0</v>
      </c>
      <c r="M140" s="23" t="n">
        <f>MIN(K140,J140)</f>
        <v>7</v>
      </c>
      <c r="N140" s="23" t="n">
        <f>MIN(L140,J140)</f>
        <v>0</v>
      </c>
      <c r="O140" s="25" t="n">
        <f>IF(K140=0,0,MIN(1,J140/K140))</f>
        <v>1</v>
      </c>
      <c r="P140" s="23" t="n">
        <f>IF(J140&gt;0,MAX(K140-J140,0),0)</f>
        <v>0</v>
      </c>
      <c r="Q140" s="23" t="n">
        <f>IF(J140=0,K140,0)</f>
        <v>0</v>
      </c>
      <c r="R140" s="23" t="n">
        <f>MAX(J140-K140,0)</f>
        <v>0</v>
      </c>
      <c r="S140" s="23" t="n">
        <f>IF(J140&gt;0,MAX(L140-J140,0),L140)</f>
        <v>0</v>
      </c>
    </row>
    <row r="141">
      <c r="A141" s="19" t="str">
        <v>德国区</v>
      </c>
      <c r="B141" s="19" t="str">
        <v>杜塞尔多夫16号仓</v>
      </c>
      <c r="C141" s="19" t="str">
        <v>交运组</v>
      </c>
      <c r="D141" s="21" t="n">
        <v>46184</v>
      </c>
      <c r="E141" s="19" t="str">
        <v>2026-06</v>
      </c>
      <c r="F141" s="19" t="str">
        <v>操作员</v>
      </c>
      <c r="G141" s="19" t="str">
        <v>德国区-灵活班次 / DE FLEX</v>
      </c>
      <c r="H141" s="23" t="n">
        <v>3</v>
      </c>
      <c r="I141" s="23" t="n">
        <v>0</v>
      </c>
      <c r="J141" s="23" t="n">
        <f>H141+I141</f>
        <v>3</v>
      </c>
      <c r="K141" s="23" t="n">
        <v>4</v>
      </c>
      <c r="L141" s="23" t="n">
        <v>3</v>
      </c>
      <c r="M141" s="23" t="n">
        <f>MIN(K141,J141)</f>
        <v>3</v>
      </c>
      <c r="N141" s="23" t="n">
        <f>MIN(L141,J141)</f>
        <v>3</v>
      </c>
      <c r="O141" s="25" t="n">
        <f>IF(K141=0,0,MIN(1,J141/K141))</f>
        <v>0.75</v>
      </c>
      <c r="P141" s="23" t="n">
        <f>IF(J141&gt;0,MAX(K141-J141,0),0)</f>
        <v>1</v>
      </c>
      <c r="Q141" s="23" t="n">
        <f>IF(J141=0,K141,0)</f>
        <v>0</v>
      </c>
      <c r="R141" s="23" t="n">
        <f>MAX(J141-K141,0)</f>
        <v>0</v>
      </c>
      <c r="S141" s="23" t="n">
        <f>IF(J141&gt;0,MAX(L141-J141,0),L141)</f>
        <v>0</v>
      </c>
    </row>
    <row r="142">
      <c r="A142" s="19" t="str">
        <v>德国区</v>
      </c>
      <c r="B142" s="19" t="str">
        <v>杜塞尔多夫16号仓</v>
      </c>
      <c r="C142" s="19" t="str">
        <v>交运组</v>
      </c>
      <c r="D142" s="21" t="n">
        <v>46185</v>
      </c>
      <c r="E142" s="19" t="str">
        <v>2026-06</v>
      </c>
      <c r="F142" s="19" t="str">
        <v>操作员</v>
      </c>
      <c r="G142" s="19" t="str">
        <v>德国区-灵活班次 / DE FLEX</v>
      </c>
      <c r="H142" s="23" t="n">
        <v>3</v>
      </c>
      <c r="I142" s="23" t="n">
        <v>0</v>
      </c>
      <c r="J142" s="23" t="n">
        <f>H142+I142</f>
        <v>3</v>
      </c>
      <c r="K142" s="23" t="n">
        <v>5</v>
      </c>
      <c r="L142" s="23" t="n">
        <v>5</v>
      </c>
      <c r="M142" s="23" t="n">
        <f>MIN(K142,J142)</f>
        <v>3</v>
      </c>
      <c r="N142" s="23" t="n">
        <f>MIN(L142,J142)</f>
        <v>3</v>
      </c>
      <c r="O142" s="25" t="n">
        <f>IF(K142=0,0,MIN(1,J142/K142))</f>
        <v>0.6</v>
      </c>
      <c r="P142" s="23" t="n">
        <f>IF(J142&gt;0,MAX(K142-J142,0),0)</f>
        <v>2</v>
      </c>
      <c r="Q142" s="23" t="n">
        <f>IF(J142=0,K142,0)</f>
        <v>0</v>
      </c>
      <c r="R142" s="23" t="n">
        <f>MAX(J142-K142,0)</f>
        <v>0</v>
      </c>
      <c r="S142" s="23" t="n">
        <f>IF(J142&gt;0,MAX(L142-J142,0),L142)</f>
        <v>2</v>
      </c>
    </row>
    <row r="143">
      <c r="A143" s="19" t="str">
        <v>德国区</v>
      </c>
      <c r="B143" s="19" t="str">
        <v>杜塞尔多夫16号仓</v>
      </c>
      <c r="C143" s="19" t="str">
        <v>交运组</v>
      </c>
      <c r="D143" s="21" t="n">
        <v>46186</v>
      </c>
      <c r="E143" s="19" t="str">
        <v>2026-06</v>
      </c>
      <c r="F143" s="19" t="str">
        <v>操作员</v>
      </c>
      <c r="G143" s="19" t="str">
        <v>德国区-灵活班次 / DE FLEX</v>
      </c>
      <c r="H143" s="23" t="n">
        <v>3</v>
      </c>
      <c r="I143" s="23" t="n">
        <v>0</v>
      </c>
      <c r="J143" s="23" t="n">
        <f>H143+I143</f>
        <v>3</v>
      </c>
      <c r="K143" s="23" t="n">
        <v>0</v>
      </c>
      <c r="L143" s="23" t="n">
        <v>0</v>
      </c>
      <c r="M143" s="23" t="n">
        <f>MIN(K143,J143)</f>
        <v>0</v>
      </c>
      <c r="N143" s="23" t="n">
        <f>MIN(L143,J143)</f>
        <v>0</v>
      </c>
      <c r="O143" s="25" t="n">
        <f>IF(K143=0,0,MIN(1,J143/K143))</f>
        <v>0</v>
      </c>
      <c r="P143" s="23" t="n">
        <f>IF(J143&gt;0,MAX(K143-J143,0),0)</f>
        <v>0</v>
      </c>
      <c r="Q143" s="23" t="n">
        <f>IF(J143=0,K143,0)</f>
        <v>0</v>
      </c>
      <c r="R143" s="23" t="n">
        <f>MAX(J143-K143,0)</f>
        <v>3</v>
      </c>
      <c r="S143" s="23" t="n">
        <f>IF(J143&gt;0,MAX(L143-J143,0),L143)</f>
        <v>0</v>
      </c>
    </row>
    <row r="144">
      <c r="A144" s="19" t="str">
        <v>德国区</v>
      </c>
      <c r="B144" s="19" t="str">
        <v>杜塞尔多夫16号仓</v>
      </c>
      <c r="C144" s="19" t="str">
        <v>交运组</v>
      </c>
      <c r="D144" s="21" t="n">
        <v>46187</v>
      </c>
      <c r="E144" s="19" t="str">
        <v>2026-06</v>
      </c>
      <c r="F144" s="19" t="str">
        <v>操作员</v>
      </c>
      <c r="G144" s="19" t="str">
        <v>德国区-灵活班次 / DE FLEX</v>
      </c>
      <c r="H144" s="23" t="n">
        <v>3</v>
      </c>
      <c r="I144" s="23" t="n">
        <v>0</v>
      </c>
      <c r="J144" s="23" t="n">
        <f>H144+I144</f>
        <v>3</v>
      </c>
      <c r="K144" s="23" t="n">
        <v>0</v>
      </c>
      <c r="L144" s="23" t="n">
        <v>0</v>
      </c>
      <c r="M144" s="23" t="n">
        <f>MIN(K144,J144)</f>
        <v>0</v>
      </c>
      <c r="N144" s="23" t="n">
        <f>MIN(L144,J144)</f>
        <v>0</v>
      </c>
      <c r="O144" s="25" t="n">
        <f>IF(K144=0,0,MIN(1,J144/K144))</f>
        <v>0</v>
      </c>
      <c r="P144" s="23" t="n">
        <f>IF(J144&gt;0,MAX(K144-J144,0),0)</f>
        <v>0</v>
      </c>
      <c r="Q144" s="23" t="n">
        <f>IF(J144=0,K144,0)</f>
        <v>0</v>
      </c>
      <c r="R144" s="23" t="n">
        <f>MAX(J144-K144,0)</f>
        <v>3</v>
      </c>
      <c r="S144" s="23" t="n">
        <f>IF(J144&gt;0,MAX(L144-J144,0),L144)</f>
        <v>0</v>
      </c>
    </row>
    <row r="145">
      <c r="A145" s="19" t="str">
        <v>德国区</v>
      </c>
      <c r="B145" s="19" t="str">
        <v>杜塞尔多夫16号仓</v>
      </c>
      <c r="C145" s="19" t="str">
        <v>交运组</v>
      </c>
      <c r="D145" s="21" t="n">
        <v>46188</v>
      </c>
      <c r="E145" s="19" t="str">
        <v>2026-06</v>
      </c>
      <c r="F145" s="19" t="str">
        <v>操作员</v>
      </c>
      <c r="G145" s="19" t="str">
        <v>德国区-灵活班次 / DE FLEX</v>
      </c>
      <c r="H145" s="23" t="n">
        <v>4</v>
      </c>
      <c r="I145" s="23" t="n">
        <v>0</v>
      </c>
      <c r="J145" s="23" t="n">
        <f>H145+I145</f>
        <v>4</v>
      </c>
      <c r="K145" s="23" t="n">
        <v>2</v>
      </c>
      <c r="L145" s="23" t="n">
        <v>1</v>
      </c>
      <c r="M145" s="23" t="n">
        <f>MIN(K145,J145)</f>
        <v>2</v>
      </c>
      <c r="N145" s="23" t="n">
        <f>MIN(L145,J145)</f>
        <v>1</v>
      </c>
      <c r="O145" s="25" t="n">
        <f>IF(K145=0,0,MIN(1,J145/K145))</f>
        <v>1</v>
      </c>
      <c r="P145" s="23" t="n">
        <f>IF(J145&gt;0,MAX(K145-J145,0),0)</f>
        <v>0</v>
      </c>
      <c r="Q145" s="23" t="n">
        <f>IF(J145=0,K145,0)</f>
        <v>0</v>
      </c>
      <c r="R145" s="23" t="n">
        <f>MAX(J145-K145,0)</f>
        <v>2</v>
      </c>
      <c r="S145" s="23" t="n">
        <f>IF(J145&gt;0,MAX(L145-J145,0),L145)</f>
        <v>0</v>
      </c>
    </row>
    <row r="146">
      <c r="A146" s="19" t="str">
        <v>德国区</v>
      </c>
      <c r="B146" s="19" t="str">
        <v>杜塞尔多夫16号仓</v>
      </c>
      <c r="C146" s="19" t="str">
        <v>交运组</v>
      </c>
      <c r="D146" s="21" t="n">
        <v>46189</v>
      </c>
      <c r="E146" s="19" t="str">
        <v>2026-06</v>
      </c>
      <c r="F146" s="19" t="str">
        <v>操作员</v>
      </c>
      <c r="G146" s="19" t="str">
        <v>德国区-灵活班次 / DE FLEX</v>
      </c>
      <c r="H146" s="23" t="n">
        <v>3</v>
      </c>
      <c r="I146" s="23" t="n">
        <v>0</v>
      </c>
      <c r="J146" s="23" t="n">
        <f>H146+I146</f>
        <v>3</v>
      </c>
      <c r="K146" s="23" t="n">
        <v>5</v>
      </c>
      <c r="L146" s="23" t="n">
        <v>5</v>
      </c>
      <c r="M146" s="23" t="n">
        <f>MIN(K146,J146)</f>
        <v>3</v>
      </c>
      <c r="N146" s="23" t="n">
        <f>MIN(L146,J146)</f>
        <v>3</v>
      </c>
      <c r="O146" s="25" t="n">
        <f>IF(K146=0,0,MIN(1,J146/K146))</f>
        <v>0.6</v>
      </c>
      <c r="P146" s="23" t="n">
        <f>IF(J146&gt;0,MAX(K146-J146,0),0)</f>
        <v>2</v>
      </c>
      <c r="Q146" s="23" t="n">
        <f>IF(J146=0,K146,0)</f>
        <v>0</v>
      </c>
      <c r="R146" s="23" t="n">
        <f>MAX(J146-K146,0)</f>
        <v>0</v>
      </c>
      <c r="S146" s="23" t="n">
        <f>IF(J146&gt;0,MAX(L146-J146,0),L146)</f>
        <v>2</v>
      </c>
    </row>
    <row r="147">
      <c r="A147" s="19" t="str">
        <v>德国区</v>
      </c>
      <c r="B147" s="19" t="str">
        <v>杜塞尔多夫16号仓</v>
      </c>
      <c r="C147" s="19" t="str">
        <v>交运组</v>
      </c>
      <c r="D147" s="21" t="n">
        <v>46190</v>
      </c>
      <c r="E147" s="19" t="str">
        <v>2026-06</v>
      </c>
      <c r="F147" s="19" t="str">
        <v>操作员</v>
      </c>
      <c r="G147" s="19" t="str">
        <v>德国区-灵活班次 / DE FLEX</v>
      </c>
      <c r="H147" s="23" t="n">
        <v>3</v>
      </c>
      <c r="I147" s="23" t="n">
        <v>0</v>
      </c>
      <c r="J147" s="23" t="n">
        <f>H147+I147</f>
        <v>3</v>
      </c>
      <c r="K147" s="23" t="n">
        <v>5</v>
      </c>
      <c r="L147" s="23" t="n">
        <v>5</v>
      </c>
      <c r="M147" s="23" t="n">
        <f>MIN(K147,J147)</f>
        <v>3</v>
      </c>
      <c r="N147" s="23" t="n">
        <f>MIN(L147,J147)</f>
        <v>3</v>
      </c>
      <c r="O147" s="25" t="n">
        <f>IF(K147=0,0,MIN(1,J147/K147))</f>
        <v>0.6</v>
      </c>
      <c r="P147" s="23" t="n">
        <f>IF(J147&gt;0,MAX(K147-J147,0),0)</f>
        <v>2</v>
      </c>
      <c r="Q147" s="23" t="n">
        <f>IF(J147=0,K147,0)</f>
        <v>0</v>
      </c>
      <c r="R147" s="23" t="n">
        <f>MAX(J147-K147,0)</f>
        <v>0</v>
      </c>
      <c r="S147" s="23" t="n">
        <f>IF(J147&gt;0,MAX(L147-J147,0),L147)</f>
        <v>2</v>
      </c>
    </row>
    <row r="148">
      <c r="A148" s="19" t="str">
        <v>德国区</v>
      </c>
      <c r="B148" s="19" t="str">
        <v>杜塞尔多夫16号仓</v>
      </c>
      <c r="C148" s="19" t="str">
        <v>交运组</v>
      </c>
      <c r="D148" s="21" t="n">
        <v>46191</v>
      </c>
      <c r="E148" s="19" t="str">
        <v>2026-06</v>
      </c>
      <c r="F148" s="19" t="str">
        <v>操作员</v>
      </c>
      <c r="G148" s="19" t="str">
        <v>德国区-灵活班次 / DE FLEX</v>
      </c>
      <c r="H148" s="23" t="n">
        <v>3</v>
      </c>
      <c r="I148" s="23" t="n">
        <v>0</v>
      </c>
      <c r="J148" s="23" t="n">
        <f>H148+I148</f>
        <v>3</v>
      </c>
      <c r="K148" s="23" t="n">
        <v>5</v>
      </c>
      <c r="L148" s="23" t="n">
        <v>5</v>
      </c>
      <c r="M148" s="23" t="n">
        <f>MIN(K148,J148)</f>
        <v>3</v>
      </c>
      <c r="N148" s="23" t="n">
        <f>MIN(L148,J148)</f>
        <v>3</v>
      </c>
      <c r="O148" s="25" t="n">
        <f>IF(K148=0,0,MIN(1,J148/K148))</f>
        <v>0.6</v>
      </c>
      <c r="P148" s="23" t="n">
        <f>IF(J148&gt;0,MAX(K148-J148,0),0)</f>
        <v>2</v>
      </c>
      <c r="Q148" s="23" t="n">
        <f>IF(J148=0,K148,0)</f>
        <v>0</v>
      </c>
      <c r="R148" s="23" t="n">
        <f>MAX(J148-K148,0)</f>
        <v>0</v>
      </c>
      <c r="S148" s="23" t="n">
        <f>IF(J148&gt;0,MAX(L148-J148,0),L148)</f>
        <v>2</v>
      </c>
    </row>
    <row r="149">
      <c r="A149" s="19" t="str">
        <v>德国区</v>
      </c>
      <c r="B149" s="19" t="str">
        <v>杜塞尔多夫16号仓</v>
      </c>
      <c r="C149" s="19" t="str">
        <v>交运组</v>
      </c>
      <c r="D149" s="21" t="n">
        <v>46192</v>
      </c>
      <c r="E149" s="19" t="str">
        <v>2026-06</v>
      </c>
      <c r="F149" s="19" t="str">
        <v>操作员</v>
      </c>
      <c r="G149" s="19" t="str">
        <v>德国区-灵活班次 / DE FLEX</v>
      </c>
      <c r="H149" s="23" t="n">
        <v>3</v>
      </c>
      <c r="I149" s="23" t="n">
        <v>0</v>
      </c>
      <c r="J149" s="23" t="n">
        <f>H149+I149</f>
        <v>3</v>
      </c>
      <c r="K149" s="23" t="n">
        <v>5</v>
      </c>
      <c r="L149" s="23" t="n">
        <v>5</v>
      </c>
      <c r="M149" s="23" t="n">
        <f>MIN(K149,J149)</f>
        <v>3</v>
      </c>
      <c r="N149" s="23" t="n">
        <f>MIN(L149,J149)</f>
        <v>3</v>
      </c>
      <c r="O149" s="25" t="n">
        <f>IF(K149=0,0,MIN(1,J149/K149))</f>
        <v>0.6</v>
      </c>
      <c r="P149" s="23" t="n">
        <f>IF(J149&gt;0,MAX(K149-J149,0),0)</f>
        <v>2</v>
      </c>
      <c r="Q149" s="23" t="n">
        <f>IF(J149=0,K149,0)</f>
        <v>0</v>
      </c>
      <c r="R149" s="23" t="n">
        <f>MAX(J149-K149,0)</f>
        <v>0</v>
      </c>
      <c r="S149" s="23" t="n">
        <f>IF(J149&gt;0,MAX(L149-J149,0),L149)</f>
        <v>2</v>
      </c>
    </row>
    <row r="150">
      <c r="A150" s="19" t="str">
        <v>德国区</v>
      </c>
      <c r="B150" s="19" t="str">
        <v>杜塞尔多夫16号仓</v>
      </c>
      <c r="C150" s="19" t="str">
        <v>交运组</v>
      </c>
      <c r="D150" s="21" t="n">
        <v>46193</v>
      </c>
      <c r="E150" s="19" t="str">
        <v>2026-06</v>
      </c>
      <c r="F150" s="19" t="str">
        <v>操作员</v>
      </c>
      <c r="G150" s="19" t="str">
        <v>德国区-灵活班次 / DE FLEX</v>
      </c>
      <c r="H150" s="23" t="n">
        <v>3</v>
      </c>
      <c r="I150" s="23" t="n">
        <v>0</v>
      </c>
      <c r="J150" s="23" t="n">
        <f>H150+I150</f>
        <v>3</v>
      </c>
      <c r="K150" s="23" t="n">
        <v>5</v>
      </c>
      <c r="L150" s="23" t="n">
        <v>5</v>
      </c>
      <c r="M150" s="23" t="n">
        <f>MIN(K150,J150)</f>
        <v>3</v>
      </c>
      <c r="N150" s="23" t="n">
        <f>MIN(L150,J150)</f>
        <v>3</v>
      </c>
      <c r="O150" s="25" t="n">
        <f>IF(K150=0,0,MIN(1,J150/K150))</f>
        <v>0.6</v>
      </c>
      <c r="P150" s="23" t="n">
        <f>IF(J150&gt;0,MAX(K150-J150,0),0)</f>
        <v>2</v>
      </c>
      <c r="Q150" s="23" t="n">
        <f>IF(J150=0,K150,0)</f>
        <v>0</v>
      </c>
      <c r="R150" s="23" t="n">
        <f>MAX(J150-K150,0)</f>
        <v>0</v>
      </c>
      <c r="S150" s="23" t="n">
        <f>IF(J150&gt;0,MAX(L150-J150,0),L150)</f>
        <v>2</v>
      </c>
    </row>
    <row r="151">
      <c r="A151" s="19" t="str">
        <v>德国区</v>
      </c>
      <c r="B151" s="19" t="str">
        <v>杜塞尔多夫16号仓</v>
      </c>
      <c r="C151" s="19" t="str">
        <v>入库组</v>
      </c>
      <c r="D151" s="21" t="n">
        <v>46139</v>
      </c>
      <c r="E151" s="19" t="str">
        <v>2026-04</v>
      </c>
      <c r="F151" s="19" t="str">
        <v>操作员</v>
      </c>
      <c r="G151" s="19" t="str">
        <v>德国区-灵活班次 / DE FLEX</v>
      </c>
      <c r="H151" s="23" t="n">
        <v>4</v>
      </c>
      <c r="I151" s="23" t="n">
        <v>0</v>
      </c>
      <c r="J151" s="23" t="n">
        <f>H151+I151</f>
        <v>4</v>
      </c>
      <c r="K151" s="23" t="n">
        <v>4</v>
      </c>
      <c r="L151" s="23" t="n">
        <v>4</v>
      </c>
      <c r="M151" s="23" t="n">
        <f>MIN(K151,J151)</f>
        <v>4</v>
      </c>
      <c r="N151" s="23" t="n">
        <f>MIN(L151,J151)</f>
        <v>4</v>
      </c>
      <c r="O151" s="25" t="n">
        <f>IF(K151=0,0,MIN(1,J151/K151))</f>
        <v>1</v>
      </c>
      <c r="P151" s="23" t="n">
        <f>IF(J151&gt;0,MAX(K151-J151,0),0)</f>
        <v>0</v>
      </c>
      <c r="Q151" s="23" t="n">
        <f>IF(J151=0,K151,0)</f>
        <v>0</v>
      </c>
      <c r="R151" s="23" t="n">
        <f>MAX(J151-K151,0)</f>
        <v>0</v>
      </c>
      <c r="S151" s="23" t="n">
        <f>IF(J151&gt;0,MAX(L151-J151,0),L151)</f>
        <v>0</v>
      </c>
    </row>
    <row r="152">
      <c r="A152" s="19" t="str">
        <v>德国区</v>
      </c>
      <c r="B152" s="19" t="str">
        <v>杜塞尔多夫16号仓</v>
      </c>
      <c r="C152" s="19" t="str">
        <v>入库组</v>
      </c>
      <c r="D152" s="21" t="n">
        <v>46140</v>
      </c>
      <c r="E152" s="19" t="str">
        <v>2026-04</v>
      </c>
      <c r="F152" s="19" t="str">
        <v>操作员</v>
      </c>
      <c r="G152" s="19" t="str">
        <v>德国区-灵活班次 / DE FLEX</v>
      </c>
      <c r="H152" s="23" t="n">
        <v>4</v>
      </c>
      <c r="I152" s="23" t="n">
        <v>0</v>
      </c>
      <c r="J152" s="23" t="n">
        <f>H152+I152</f>
        <v>4</v>
      </c>
      <c r="K152" s="23" t="n">
        <v>7</v>
      </c>
      <c r="L152" s="23" t="n">
        <v>7</v>
      </c>
      <c r="M152" s="23" t="n">
        <f>MIN(K152,J152)</f>
        <v>4</v>
      </c>
      <c r="N152" s="23" t="n">
        <f>MIN(L152,J152)</f>
        <v>4</v>
      </c>
      <c r="O152" s="25" t="n">
        <f>IF(K152=0,0,MIN(1,J152/K152))</f>
        <v>0.5714285714285714</v>
      </c>
      <c r="P152" s="23" t="n">
        <f>IF(J152&gt;0,MAX(K152-J152,0),0)</f>
        <v>3</v>
      </c>
      <c r="Q152" s="23" t="n">
        <f>IF(J152=0,K152,0)</f>
        <v>0</v>
      </c>
      <c r="R152" s="23" t="n">
        <f>MAX(J152-K152,0)</f>
        <v>0</v>
      </c>
      <c r="S152" s="23" t="n">
        <f>IF(J152&gt;0,MAX(L152-J152,0),L152)</f>
        <v>3</v>
      </c>
    </row>
    <row r="153">
      <c r="A153" s="19" t="str">
        <v>德国区</v>
      </c>
      <c r="B153" s="19" t="str">
        <v>杜塞尔多夫16号仓</v>
      </c>
      <c r="C153" s="19" t="str">
        <v>入库组</v>
      </c>
      <c r="D153" s="21" t="n">
        <v>46141</v>
      </c>
      <c r="E153" s="19" t="str">
        <v>2026-04</v>
      </c>
      <c r="F153" s="19" t="str">
        <v>操作员</v>
      </c>
      <c r="G153" s="19" t="str">
        <v>德国区-灵活班次 / DE FLEX</v>
      </c>
      <c r="H153" s="23" t="n">
        <v>7</v>
      </c>
      <c r="I153" s="23" t="n">
        <v>0</v>
      </c>
      <c r="J153" s="23" t="n">
        <f>H153+I153</f>
        <v>7</v>
      </c>
      <c r="K153" s="23" t="n">
        <v>9</v>
      </c>
      <c r="L153" s="23" t="n">
        <v>9</v>
      </c>
      <c r="M153" s="23" t="n">
        <f>MIN(K153,J153)</f>
        <v>7</v>
      </c>
      <c r="N153" s="23" t="n">
        <f>MIN(L153,J153)</f>
        <v>7</v>
      </c>
      <c r="O153" s="25" t="n">
        <f>IF(K153=0,0,MIN(1,J153/K153))</f>
        <v>0.7777777777777778</v>
      </c>
      <c r="P153" s="23" t="n">
        <f>IF(J153&gt;0,MAX(K153-J153,0),0)</f>
        <v>2</v>
      </c>
      <c r="Q153" s="23" t="n">
        <f>IF(J153=0,K153,0)</f>
        <v>0</v>
      </c>
      <c r="R153" s="23" t="n">
        <f>MAX(J153-K153,0)</f>
        <v>0</v>
      </c>
      <c r="S153" s="23" t="n">
        <f>IF(J153&gt;0,MAX(L153-J153,0),L153)</f>
        <v>2</v>
      </c>
    </row>
    <row r="154">
      <c r="A154" s="19" t="str">
        <v>德国区</v>
      </c>
      <c r="B154" s="19" t="str">
        <v>杜塞尔多夫16号仓</v>
      </c>
      <c r="C154" s="19" t="str">
        <v>入库组</v>
      </c>
      <c r="D154" s="21" t="n">
        <v>46142</v>
      </c>
      <c r="E154" s="19" t="str">
        <v>2026-04</v>
      </c>
      <c r="F154" s="19" t="str">
        <v>操作员</v>
      </c>
      <c r="G154" s="19" t="str">
        <v>德国区-灵活班次 / DE FLEX</v>
      </c>
      <c r="H154" s="23" t="n">
        <v>6</v>
      </c>
      <c r="I154" s="23" t="n">
        <v>0</v>
      </c>
      <c r="J154" s="23" t="n">
        <f>H154+I154</f>
        <v>6</v>
      </c>
      <c r="K154" s="23" t="n">
        <v>8</v>
      </c>
      <c r="L154" s="23" t="n">
        <v>4</v>
      </c>
      <c r="M154" s="23" t="n">
        <f>MIN(K154,J154)</f>
        <v>6</v>
      </c>
      <c r="N154" s="23" t="n">
        <f>MIN(L154,J154)</f>
        <v>4</v>
      </c>
      <c r="O154" s="25" t="n">
        <f>IF(K154=0,0,MIN(1,J154/K154))</f>
        <v>0.75</v>
      </c>
      <c r="P154" s="23" t="n">
        <f>IF(J154&gt;0,MAX(K154-J154,0),0)</f>
        <v>2</v>
      </c>
      <c r="Q154" s="23" t="n">
        <f>IF(J154=0,K154,0)</f>
        <v>0</v>
      </c>
      <c r="R154" s="23" t="n">
        <f>MAX(J154-K154,0)</f>
        <v>0</v>
      </c>
      <c r="S154" s="23" t="n">
        <f>IF(J154&gt;0,MAX(L154-J154,0),L154)</f>
        <v>0</v>
      </c>
    </row>
    <row r="155">
      <c r="A155" s="19" t="str">
        <v>德国区</v>
      </c>
      <c r="B155" s="19" t="str">
        <v>杜塞尔多夫16号仓</v>
      </c>
      <c r="C155" s="19" t="str">
        <v>入库组</v>
      </c>
      <c r="D155" s="21" t="n">
        <v>46143</v>
      </c>
      <c r="E155" s="19" t="str">
        <v>2026-05</v>
      </c>
      <c r="F155" s="19" t="str">
        <v>操作员</v>
      </c>
      <c r="G155" s="19" t="str">
        <v>德国区-灵活班次 / DE FLEX</v>
      </c>
      <c r="H155" s="23" t="n">
        <v>6</v>
      </c>
      <c r="I155" s="23" t="n">
        <v>0</v>
      </c>
      <c r="J155" s="23" t="n">
        <f>H155+I155</f>
        <v>6</v>
      </c>
      <c r="K155" s="23" t="n">
        <v>0</v>
      </c>
      <c r="L155" s="23" t="n">
        <v>0</v>
      </c>
      <c r="M155" s="23" t="n">
        <f>MIN(K155,J155)</f>
        <v>0</v>
      </c>
      <c r="N155" s="23" t="n">
        <f>MIN(L155,J155)</f>
        <v>0</v>
      </c>
      <c r="O155" s="25" t="n">
        <f>IF(K155=0,0,MIN(1,J155/K155))</f>
        <v>0</v>
      </c>
      <c r="P155" s="23" t="n">
        <f>IF(J155&gt;0,MAX(K155-J155,0),0)</f>
        <v>0</v>
      </c>
      <c r="Q155" s="23" t="n">
        <f>IF(J155=0,K155,0)</f>
        <v>0</v>
      </c>
      <c r="R155" s="23" t="n">
        <f>MAX(J155-K155,0)</f>
        <v>6</v>
      </c>
      <c r="S155" s="23" t="n">
        <f>IF(J155&gt;0,MAX(L155-J155,0),L155)</f>
        <v>0</v>
      </c>
    </row>
    <row r="156">
      <c r="A156" s="19" t="str">
        <v>德国区</v>
      </c>
      <c r="B156" s="19" t="str">
        <v>杜塞尔多夫16号仓</v>
      </c>
      <c r="C156" s="19" t="str">
        <v>入库组</v>
      </c>
      <c r="D156" s="21" t="n">
        <v>46144</v>
      </c>
      <c r="E156" s="19" t="str">
        <v>2026-05</v>
      </c>
      <c r="F156" s="19" t="str">
        <v>操作员</v>
      </c>
      <c r="G156" s="19" t="str">
        <v>德国区-灵活班次 / DE FLEX</v>
      </c>
      <c r="H156" s="23" t="n">
        <v>6</v>
      </c>
      <c r="I156" s="23" t="n">
        <v>0</v>
      </c>
      <c r="J156" s="23" t="n">
        <f>H156+I156</f>
        <v>6</v>
      </c>
      <c r="K156" s="23" t="n">
        <v>0</v>
      </c>
      <c r="L156" s="23" t="n">
        <v>0</v>
      </c>
      <c r="M156" s="23" t="n">
        <f>MIN(K156,J156)</f>
        <v>0</v>
      </c>
      <c r="N156" s="23" t="n">
        <f>MIN(L156,J156)</f>
        <v>0</v>
      </c>
      <c r="O156" s="25" t="n">
        <f>IF(K156=0,0,MIN(1,J156/K156))</f>
        <v>0</v>
      </c>
      <c r="P156" s="23" t="n">
        <f>IF(J156&gt;0,MAX(K156-J156,0),0)</f>
        <v>0</v>
      </c>
      <c r="Q156" s="23" t="n">
        <f>IF(J156=0,K156,0)</f>
        <v>0</v>
      </c>
      <c r="R156" s="23" t="n">
        <f>MAX(J156-K156,0)</f>
        <v>6</v>
      </c>
      <c r="S156" s="23" t="n">
        <f>IF(J156&gt;0,MAX(L156-J156,0),L156)</f>
        <v>0</v>
      </c>
    </row>
    <row r="157">
      <c r="A157" s="19" t="str">
        <v>德国区</v>
      </c>
      <c r="B157" s="19" t="str">
        <v>杜塞尔多夫16号仓</v>
      </c>
      <c r="C157" s="19" t="str">
        <v>入库组</v>
      </c>
      <c r="D157" s="21" t="n">
        <v>46145</v>
      </c>
      <c r="E157" s="19" t="str">
        <v>2026-05</v>
      </c>
      <c r="F157" s="19" t="str">
        <v>操作员</v>
      </c>
      <c r="G157" s="19" t="str">
        <v>德国区-灵活班次 / DE FLEX</v>
      </c>
      <c r="H157" s="23" t="n">
        <v>6</v>
      </c>
      <c r="I157" s="23" t="n">
        <v>0</v>
      </c>
      <c r="J157" s="23" t="n">
        <f>H157+I157</f>
        <v>6</v>
      </c>
      <c r="K157" s="23" t="n">
        <v>0</v>
      </c>
      <c r="L157" s="23" t="n">
        <v>0</v>
      </c>
      <c r="M157" s="23" t="n">
        <f>MIN(K157,J157)</f>
        <v>0</v>
      </c>
      <c r="N157" s="23" t="n">
        <f>MIN(L157,J157)</f>
        <v>0</v>
      </c>
      <c r="O157" s="25" t="n">
        <f>IF(K157=0,0,MIN(1,J157/K157))</f>
        <v>0</v>
      </c>
      <c r="P157" s="23" t="n">
        <f>IF(J157&gt;0,MAX(K157-J157,0),0)</f>
        <v>0</v>
      </c>
      <c r="Q157" s="23" t="n">
        <f>IF(J157=0,K157,0)</f>
        <v>0</v>
      </c>
      <c r="R157" s="23" t="n">
        <f>MAX(J157-K157,0)</f>
        <v>6</v>
      </c>
      <c r="S157" s="23" t="n">
        <f>IF(J157&gt;0,MAX(L157-J157,0),L157)</f>
        <v>0</v>
      </c>
    </row>
    <row r="158">
      <c r="A158" s="19" t="str">
        <v>德国区</v>
      </c>
      <c r="B158" s="19" t="str">
        <v>杜塞尔多夫16号仓</v>
      </c>
      <c r="C158" s="19" t="str">
        <v>入库组</v>
      </c>
      <c r="D158" s="21" t="n">
        <v>46146</v>
      </c>
      <c r="E158" s="19" t="str">
        <v>2026-05</v>
      </c>
      <c r="F158" s="19" t="str">
        <v>操作员</v>
      </c>
      <c r="G158" s="19" t="str">
        <v>德国区-灵活班次 / DE FLEX</v>
      </c>
      <c r="H158" s="23" t="n">
        <v>6</v>
      </c>
      <c r="I158" s="23" t="n">
        <v>0</v>
      </c>
      <c r="J158" s="23" t="n">
        <f>H158+I158</f>
        <v>6</v>
      </c>
      <c r="K158" s="23" t="n">
        <v>4</v>
      </c>
      <c r="L158" s="23" t="n">
        <v>2</v>
      </c>
      <c r="M158" s="23" t="n">
        <f>MIN(K158,J158)</f>
        <v>4</v>
      </c>
      <c r="N158" s="23" t="n">
        <f>MIN(L158,J158)</f>
        <v>2</v>
      </c>
      <c r="O158" s="25" t="n">
        <f>IF(K158=0,0,MIN(1,J158/K158))</f>
        <v>1</v>
      </c>
      <c r="P158" s="23" t="n">
        <f>IF(J158&gt;0,MAX(K158-J158,0),0)</f>
        <v>0</v>
      </c>
      <c r="Q158" s="23" t="n">
        <f>IF(J158=0,K158,0)</f>
        <v>0</v>
      </c>
      <c r="R158" s="23" t="n">
        <f>MAX(J158-K158,0)</f>
        <v>2</v>
      </c>
      <c r="S158" s="23" t="n">
        <f>IF(J158&gt;0,MAX(L158-J158,0),L158)</f>
        <v>0</v>
      </c>
    </row>
    <row r="159">
      <c r="A159" s="19" t="str">
        <v>德国区</v>
      </c>
      <c r="B159" s="19" t="str">
        <v>杜塞尔多夫16号仓</v>
      </c>
      <c r="C159" s="19" t="str">
        <v>入库组</v>
      </c>
      <c r="D159" s="21" t="n">
        <v>46147</v>
      </c>
      <c r="E159" s="19" t="str">
        <v>2026-05</v>
      </c>
      <c r="F159" s="19" t="str">
        <v>操作员</v>
      </c>
      <c r="G159" s="19" t="str">
        <v>德国区-灵活班次 / DE FLEX</v>
      </c>
      <c r="H159" s="23" t="n">
        <v>6</v>
      </c>
      <c r="I159" s="23" t="n">
        <v>0</v>
      </c>
      <c r="J159" s="23" t="n">
        <f>H159+I159</f>
        <v>6</v>
      </c>
      <c r="K159" s="23" t="n">
        <v>5</v>
      </c>
      <c r="L159" s="23" t="n">
        <v>0</v>
      </c>
      <c r="M159" s="23" t="n">
        <f>MIN(K159,J159)</f>
        <v>5</v>
      </c>
      <c r="N159" s="23" t="n">
        <f>MIN(L159,J159)</f>
        <v>0</v>
      </c>
      <c r="O159" s="25" t="n">
        <f>IF(K159=0,0,MIN(1,J159/K159))</f>
        <v>1</v>
      </c>
      <c r="P159" s="23" t="n">
        <f>IF(J159&gt;0,MAX(K159-J159,0),0)</f>
        <v>0</v>
      </c>
      <c r="Q159" s="23" t="n">
        <f>IF(J159=0,K159,0)</f>
        <v>0</v>
      </c>
      <c r="R159" s="23" t="n">
        <f>MAX(J159-K159,0)</f>
        <v>1</v>
      </c>
      <c r="S159" s="23" t="n">
        <f>IF(J159&gt;0,MAX(L159-J159,0),L159)</f>
        <v>0</v>
      </c>
    </row>
    <row r="160">
      <c r="A160" s="19" t="str">
        <v>德国区</v>
      </c>
      <c r="B160" s="19" t="str">
        <v>杜塞尔多夫16号仓</v>
      </c>
      <c r="C160" s="19" t="str">
        <v>入库组</v>
      </c>
      <c r="D160" s="21" t="n">
        <v>46148</v>
      </c>
      <c r="E160" s="19" t="str">
        <v>2026-05</v>
      </c>
      <c r="F160" s="19" t="str">
        <v>操作员</v>
      </c>
      <c r="G160" s="19" t="str">
        <v>德国区-灵活班次 / DE FLEX</v>
      </c>
      <c r="H160" s="23" t="n">
        <v>6</v>
      </c>
      <c r="I160" s="23" t="n">
        <v>0</v>
      </c>
      <c r="J160" s="23" t="n">
        <f>H160+I160</f>
        <v>6</v>
      </c>
      <c r="K160" s="23" t="n">
        <v>8</v>
      </c>
      <c r="L160" s="23" t="n">
        <v>8</v>
      </c>
      <c r="M160" s="23" t="n">
        <f>MIN(K160,J160)</f>
        <v>6</v>
      </c>
      <c r="N160" s="23" t="n">
        <f>MIN(L160,J160)</f>
        <v>6</v>
      </c>
      <c r="O160" s="25" t="n">
        <f>IF(K160=0,0,MIN(1,J160/K160))</f>
        <v>0.75</v>
      </c>
      <c r="P160" s="23" t="n">
        <f>IF(J160&gt;0,MAX(K160-J160,0),0)</f>
        <v>2</v>
      </c>
      <c r="Q160" s="23" t="n">
        <f>IF(J160=0,K160,0)</f>
        <v>0</v>
      </c>
      <c r="R160" s="23" t="n">
        <f>MAX(J160-K160,0)</f>
        <v>0</v>
      </c>
      <c r="S160" s="23" t="n">
        <f>IF(J160&gt;0,MAX(L160-J160,0),L160)</f>
        <v>2</v>
      </c>
    </row>
    <row r="161">
      <c r="A161" s="19" t="str">
        <v>德国区</v>
      </c>
      <c r="B161" s="19" t="str">
        <v>杜塞尔多夫16号仓</v>
      </c>
      <c r="C161" s="19" t="str">
        <v>入库组</v>
      </c>
      <c r="D161" s="21" t="n">
        <v>46149</v>
      </c>
      <c r="E161" s="19" t="str">
        <v>2026-05</v>
      </c>
      <c r="F161" s="19" t="str">
        <v>操作员</v>
      </c>
      <c r="G161" s="19" t="str">
        <v>德国区-灵活班次 / DE FLEX</v>
      </c>
      <c r="H161" s="23" t="n">
        <v>6</v>
      </c>
      <c r="I161" s="23" t="n">
        <v>0</v>
      </c>
      <c r="J161" s="23" t="n">
        <f>H161+I161</f>
        <v>6</v>
      </c>
      <c r="K161" s="23" t="n">
        <v>0</v>
      </c>
      <c r="L161" s="23" t="n">
        <v>0</v>
      </c>
      <c r="M161" s="23" t="n">
        <f>MIN(K161,J161)</f>
        <v>0</v>
      </c>
      <c r="N161" s="23" t="n">
        <f>MIN(L161,J161)</f>
        <v>0</v>
      </c>
      <c r="O161" s="25" t="n">
        <f>IF(K161=0,0,MIN(1,J161/K161))</f>
        <v>0</v>
      </c>
      <c r="P161" s="23" t="n">
        <f>IF(J161&gt;0,MAX(K161-J161,0),0)</f>
        <v>0</v>
      </c>
      <c r="Q161" s="23" t="n">
        <f>IF(J161=0,K161,0)</f>
        <v>0</v>
      </c>
      <c r="R161" s="23" t="n">
        <f>MAX(J161-K161,0)</f>
        <v>6</v>
      </c>
      <c r="S161" s="23" t="n">
        <f>IF(J161&gt;0,MAX(L161-J161,0),L161)</f>
        <v>0</v>
      </c>
    </row>
    <row r="162">
      <c r="A162" s="19" t="str">
        <v>德国区</v>
      </c>
      <c r="B162" s="19" t="str">
        <v>杜塞尔多夫16号仓</v>
      </c>
      <c r="C162" s="19" t="str">
        <v>入库组</v>
      </c>
      <c r="D162" s="21" t="n">
        <v>46150</v>
      </c>
      <c r="E162" s="19" t="str">
        <v>2026-05</v>
      </c>
      <c r="F162" s="19" t="str">
        <v>操作员</v>
      </c>
      <c r="G162" s="19" t="str">
        <v>德国区-灵活班次 / DE FLEX</v>
      </c>
      <c r="H162" s="23" t="n">
        <v>6</v>
      </c>
      <c r="I162" s="23" t="n">
        <v>0</v>
      </c>
      <c r="J162" s="23" t="n">
        <f>H162+I162</f>
        <v>6</v>
      </c>
      <c r="K162" s="23" t="n">
        <v>0</v>
      </c>
      <c r="L162" s="23" t="n">
        <v>0</v>
      </c>
      <c r="M162" s="23" t="n">
        <f>MIN(K162,J162)</f>
        <v>0</v>
      </c>
      <c r="N162" s="23" t="n">
        <f>MIN(L162,J162)</f>
        <v>0</v>
      </c>
      <c r="O162" s="25" t="n">
        <f>IF(K162=0,0,MIN(1,J162/K162))</f>
        <v>0</v>
      </c>
      <c r="P162" s="23" t="n">
        <f>IF(J162&gt;0,MAX(K162-J162,0),0)</f>
        <v>0</v>
      </c>
      <c r="Q162" s="23" t="n">
        <f>IF(J162=0,K162,0)</f>
        <v>0</v>
      </c>
      <c r="R162" s="23" t="n">
        <f>MAX(J162-K162,0)</f>
        <v>6</v>
      </c>
      <c r="S162" s="23" t="n">
        <f>IF(J162&gt;0,MAX(L162-J162,0),L162)</f>
        <v>0</v>
      </c>
    </row>
    <row r="163">
      <c r="A163" s="19" t="str">
        <v>德国区</v>
      </c>
      <c r="B163" s="19" t="str">
        <v>杜塞尔多夫16号仓</v>
      </c>
      <c r="C163" s="19" t="str">
        <v>入库组</v>
      </c>
      <c r="D163" s="21" t="n">
        <v>46151</v>
      </c>
      <c r="E163" s="19" t="str">
        <v>2026-05</v>
      </c>
      <c r="F163" s="19" t="str">
        <v>操作员</v>
      </c>
      <c r="G163" s="19" t="str">
        <v>德国区-灵活班次 / DE FLEX</v>
      </c>
      <c r="H163" s="23" t="n">
        <v>6</v>
      </c>
      <c r="I163" s="23" t="n">
        <v>0</v>
      </c>
      <c r="J163" s="23" t="n">
        <f>H163+I163</f>
        <v>6</v>
      </c>
      <c r="K163" s="23" t="n">
        <v>0</v>
      </c>
      <c r="L163" s="23" t="n">
        <v>0</v>
      </c>
      <c r="M163" s="23" t="n">
        <f>MIN(K163,J163)</f>
        <v>0</v>
      </c>
      <c r="N163" s="23" t="n">
        <f>MIN(L163,J163)</f>
        <v>0</v>
      </c>
      <c r="O163" s="25" t="n">
        <f>IF(K163=0,0,MIN(1,J163/K163))</f>
        <v>0</v>
      </c>
      <c r="P163" s="23" t="n">
        <f>IF(J163&gt;0,MAX(K163-J163,0),0)</f>
        <v>0</v>
      </c>
      <c r="Q163" s="23" t="n">
        <f>IF(J163=0,K163,0)</f>
        <v>0</v>
      </c>
      <c r="R163" s="23" t="n">
        <f>MAX(J163-K163,0)</f>
        <v>6</v>
      </c>
      <c r="S163" s="23" t="n">
        <f>IF(J163&gt;0,MAX(L163-J163,0),L163)</f>
        <v>0</v>
      </c>
    </row>
    <row r="164">
      <c r="A164" s="19" t="str">
        <v>德国区</v>
      </c>
      <c r="B164" s="19" t="str">
        <v>杜塞尔多夫16号仓</v>
      </c>
      <c r="C164" s="19" t="str">
        <v>入库组</v>
      </c>
      <c r="D164" s="21" t="n">
        <v>46171</v>
      </c>
      <c r="E164" s="19" t="str">
        <v>2026-05</v>
      </c>
      <c r="F164" s="19" t="str">
        <v>操作员</v>
      </c>
      <c r="G164" s="19" t="str">
        <v>德国区-灵活班次 / DE FLEX</v>
      </c>
      <c r="H164" s="23" t="n">
        <v>2</v>
      </c>
      <c r="I164" s="23" t="n">
        <v>0</v>
      </c>
      <c r="J164" s="23" t="n">
        <f>H164+I164</f>
        <v>2</v>
      </c>
      <c r="K164" s="23" t="n">
        <v>2</v>
      </c>
      <c r="L164" s="23" t="n">
        <v>2</v>
      </c>
      <c r="M164" s="23" t="n">
        <f>MIN(K164,J164)</f>
        <v>2</v>
      </c>
      <c r="N164" s="23" t="n">
        <f>MIN(L164,J164)</f>
        <v>2</v>
      </c>
      <c r="O164" s="25" t="n">
        <f>IF(K164=0,0,MIN(1,J164/K164))</f>
        <v>1</v>
      </c>
      <c r="P164" s="23" t="n">
        <f>IF(J164&gt;0,MAX(K164-J164,0),0)</f>
        <v>0</v>
      </c>
      <c r="Q164" s="23" t="n">
        <f>IF(J164=0,K164,0)</f>
        <v>0</v>
      </c>
      <c r="R164" s="23" t="n">
        <f>MAX(J164-K164,0)</f>
        <v>0</v>
      </c>
      <c r="S164" s="23" t="n">
        <f>IF(J164&gt;0,MAX(L164-J164,0),L164)</f>
        <v>0</v>
      </c>
    </row>
    <row r="165">
      <c r="A165" s="19" t="str">
        <v>德国区</v>
      </c>
      <c r="B165" s="19" t="str">
        <v>杜塞尔多夫16号仓</v>
      </c>
      <c r="C165" s="19" t="str">
        <v>入库组</v>
      </c>
      <c r="D165" s="21" t="n">
        <v>46181</v>
      </c>
      <c r="E165" s="19" t="str">
        <v>2026-06</v>
      </c>
      <c r="F165" s="19" t="str">
        <v>操作员</v>
      </c>
      <c r="G165" s="19" t="str">
        <v>德国区-灵活班次 / DE FLEX</v>
      </c>
      <c r="H165" s="23" t="n">
        <v>3</v>
      </c>
      <c r="I165" s="23" t="n">
        <v>0</v>
      </c>
      <c r="J165" s="23" t="n">
        <f>H165+I165</f>
        <v>3</v>
      </c>
      <c r="K165" s="23" t="n">
        <v>0</v>
      </c>
      <c r="L165" s="23" t="n">
        <v>0</v>
      </c>
      <c r="M165" s="23" t="n">
        <f>MIN(K165,J165)</f>
        <v>0</v>
      </c>
      <c r="N165" s="23" t="n">
        <f>MIN(L165,J165)</f>
        <v>0</v>
      </c>
      <c r="O165" s="25" t="n">
        <f>IF(K165=0,0,MIN(1,J165/K165))</f>
        <v>0</v>
      </c>
      <c r="P165" s="23" t="n">
        <f>IF(J165&gt;0,MAX(K165-J165,0),0)</f>
        <v>0</v>
      </c>
      <c r="Q165" s="23" t="n">
        <f>IF(J165=0,K165,0)</f>
        <v>0</v>
      </c>
      <c r="R165" s="23" t="n">
        <f>MAX(J165-K165,0)</f>
        <v>3</v>
      </c>
      <c r="S165" s="23" t="n">
        <f>IF(J165&gt;0,MAX(L165-J165,0),L165)</f>
        <v>0</v>
      </c>
    </row>
    <row r="166">
      <c r="A166" s="19" t="str">
        <v>德国区</v>
      </c>
      <c r="B166" s="19" t="str">
        <v>杜塞尔多夫16号仓</v>
      </c>
      <c r="C166" s="19" t="str">
        <v>入库组</v>
      </c>
      <c r="D166" s="21" t="n">
        <v>46182</v>
      </c>
      <c r="E166" s="19" t="str">
        <v>2026-06</v>
      </c>
      <c r="F166" s="19" t="str">
        <v>操作员</v>
      </c>
      <c r="G166" s="19" t="str">
        <v>德国区-灵活班次 / DE FLEX</v>
      </c>
      <c r="H166" s="23" t="n">
        <v>3</v>
      </c>
      <c r="I166" s="23" t="n">
        <v>0</v>
      </c>
      <c r="J166" s="23" t="n">
        <f>H166+I166</f>
        <v>3</v>
      </c>
      <c r="K166" s="23" t="n">
        <v>4</v>
      </c>
      <c r="L166" s="23" t="n">
        <v>4</v>
      </c>
      <c r="M166" s="23" t="n">
        <f>MIN(K166,J166)</f>
        <v>3</v>
      </c>
      <c r="N166" s="23" t="n">
        <f>MIN(L166,J166)</f>
        <v>3</v>
      </c>
      <c r="O166" s="25" t="n">
        <f>IF(K166=0,0,MIN(1,J166/K166))</f>
        <v>0.75</v>
      </c>
      <c r="P166" s="23" t="n">
        <f>IF(J166&gt;0,MAX(K166-J166,0),0)</f>
        <v>1</v>
      </c>
      <c r="Q166" s="23" t="n">
        <f>IF(J166=0,K166,0)</f>
        <v>0</v>
      </c>
      <c r="R166" s="23" t="n">
        <f>MAX(J166-K166,0)</f>
        <v>0</v>
      </c>
      <c r="S166" s="23" t="n">
        <f>IF(J166&gt;0,MAX(L166-J166,0),L166)</f>
        <v>1</v>
      </c>
    </row>
    <row r="167">
      <c r="A167" s="19" t="str">
        <v>德国区</v>
      </c>
      <c r="B167" s="19" t="str">
        <v>杜塞尔多夫16号仓</v>
      </c>
      <c r="C167" s="19" t="str">
        <v>入库组</v>
      </c>
      <c r="D167" s="21" t="n">
        <v>46183</v>
      </c>
      <c r="E167" s="19" t="str">
        <v>2026-06</v>
      </c>
      <c r="F167" s="19" t="str">
        <v>操作员</v>
      </c>
      <c r="G167" s="19" t="str">
        <v>德国区-灵活班次 / DE FLEX</v>
      </c>
      <c r="H167" s="23" t="n">
        <v>3</v>
      </c>
      <c r="I167" s="23" t="n">
        <v>0</v>
      </c>
      <c r="J167" s="23" t="n">
        <f>H167+I167</f>
        <v>3</v>
      </c>
      <c r="K167" s="23" t="n">
        <v>5</v>
      </c>
      <c r="L167" s="23" t="n">
        <v>5</v>
      </c>
      <c r="M167" s="23" t="n">
        <f>MIN(K167,J167)</f>
        <v>3</v>
      </c>
      <c r="N167" s="23" t="n">
        <f>MIN(L167,J167)</f>
        <v>3</v>
      </c>
      <c r="O167" s="25" t="n">
        <f>IF(K167=0,0,MIN(1,J167/K167))</f>
        <v>0.6</v>
      </c>
      <c r="P167" s="23" t="n">
        <f>IF(J167&gt;0,MAX(K167-J167,0),0)</f>
        <v>2</v>
      </c>
      <c r="Q167" s="23" t="n">
        <f>IF(J167=0,K167,0)</f>
        <v>0</v>
      </c>
      <c r="R167" s="23" t="n">
        <f>MAX(J167-K167,0)</f>
        <v>0</v>
      </c>
      <c r="S167" s="23" t="n">
        <f>IF(J167&gt;0,MAX(L167-J167,0),L167)</f>
        <v>2</v>
      </c>
    </row>
    <row r="168">
      <c r="A168" s="19" t="str">
        <v>德国区</v>
      </c>
      <c r="B168" s="19" t="str">
        <v>杜塞尔多夫16号仓</v>
      </c>
      <c r="C168" s="19" t="str">
        <v>入库组</v>
      </c>
      <c r="D168" s="21" t="n">
        <v>46184</v>
      </c>
      <c r="E168" s="19" t="str">
        <v>2026-06</v>
      </c>
      <c r="F168" s="19" t="str">
        <v>操作员</v>
      </c>
      <c r="G168" s="19" t="str">
        <v>德国区-灵活班次 / DE FLEX</v>
      </c>
      <c r="H168" s="23" t="n">
        <v>3</v>
      </c>
      <c r="I168" s="23" t="n">
        <v>0</v>
      </c>
      <c r="J168" s="23" t="n">
        <f>H168+I168</f>
        <v>3</v>
      </c>
      <c r="K168" s="23" t="n">
        <v>5</v>
      </c>
      <c r="L168" s="23" t="n">
        <v>4</v>
      </c>
      <c r="M168" s="23" t="n">
        <f>MIN(K168,J168)</f>
        <v>3</v>
      </c>
      <c r="N168" s="23" t="n">
        <f>MIN(L168,J168)</f>
        <v>3</v>
      </c>
      <c r="O168" s="25" t="n">
        <f>IF(K168=0,0,MIN(1,J168/K168))</f>
        <v>0.6</v>
      </c>
      <c r="P168" s="23" t="n">
        <f>IF(J168&gt;0,MAX(K168-J168,0),0)</f>
        <v>2</v>
      </c>
      <c r="Q168" s="23" t="n">
        <f>IF(J168=0,K168,0)</f>
        <v>0</v>
      </c>
      <c r="R168" s="23" t="n">
        <f>MAX(J168-K168,0)</f>
        <v>0</v>
      </c>
      <c r="S168" s="23" t="n">
        <f>IF(J168&gt;0,MAX(L168-J168,0),L168)</f>
        <v>1</v>
      </c>
    </row>
    <row r="169">
      <c r="A169" s="19" t="str">
        <v>德国区</v>
      </c>
      <c r="B169" s="19" t="str">
        <v>杜塞尔多夫16号仓</v>
      </c>
      <c r="C169" s="19" t="str">
        <v>包装组</v>
      </c>
      <c r="D169" s="21" t="n">
        <v>46136</v>
      </c>
      <c r="E169" s="19" t="str">
        <v>2026-04</v>
      </c>
      <c r="F169" s="19" t="str">
        <v>操作员</v>
      </c>
      <c r="G169" s="19" t="str">
        <v>德国区-灵活班次 / DE FLEX</v>
      </c>
      <c r="H169" s="23" t="n">
        <v>2</v>
      </c>
      <c r="I169" s="23" t="n">
        <v>0</v>
      </c>
      <c r="J169" s="23" t="n">
        <f>H169+I169</f>
        <v>2</v>
      </c>
      <c r="K169" s="23" t="n">
        <v>2</v>
      </c>
      <c r="L169" s="23" t="n">
        <v>2</v>
      </c>
      <c r="M169" s="23" t="n">
        <f>MIN(K169,J169)</f>
        <v>2</v>
      </c>
      <c r="N169" s="23" t="n">
        <f>MIN(L169,J169)</f>
        <v>2</v>
      </c>
      <c r="O169" s="25" t="n">
        <f>IF(K169=0,0,MIN(1,J169/K169))</f>
        <v>1</v>
      </c>
      <c r="P169" s="23" t="n">
        <f>IF(J169&gt;0,MAX(K169-J169,0),0)</f>
        <v>0</v>
      </c>
      <c r="Q169" s="23" t="n">
        <f>IF(J169=0,K169,0)</f>
        <v>0</v>
      </c>
      <c r="R169" s="23" t="n">
        <f>MAX(J169-K169,0)</f>
        <v>0</v>
      </c>
      <c r="S169" s="23" t="n">
        <f>IF(J169&gt;0,MAX(L169-J169,0),L169)</f>
        <v>0</v>
      </c>
    </row>
    <row r="170">
      <c r="A170" s="19" t="str">
        <v>德国区</v>
      </c>
      <c r="B170" s="19" t="str">
        <v>杜塞尔多夫16号仓</v>
      </c>
      <c r="C170" s="19" t="str">
        <v>包装组</v>
      </c>
      <c r="D170" s="21" t="n">
        <v>46137</v>
      </c>
      <c r="E170" s="19" t="str">
        <v>2026-04</v>
      </c>
      <c r="F170" s="19" t="str">
        <v>操作员</v>
      </c>
      <c r="G170" s="19" t="str">
        <v>德国区-灵活班次 / DE FLEX</v>
      </c>
      <c r="H170" s="23" t="n">
        <v>2</v>
      </c>
      <c r="I170" s="23" t="n">
        <v>0</v>
      </c>
      <c r="J170" s="23" t="n">
        <f>H170+I170</f>
        <v>2</v>
      </c>
      <c r="K170" s="23" t="n">
        <v>2</v>
      </c>
      <c r="L170" s="23" t="n">
        <v>2</v>
      </c>
      <c r="M170" s="23" t="n">
        <f>MIN(K170,J170)</f>
        <v>2</v>
      </c>
      <c r="N170" s="23" t="n">
        <f>MIN(L170,J170)</f>
        <v>2</v>
      </c>
      <c r="O170" s="25" t="n">
        <f>IF(K170=0,0,MIN(1,J170/K170))</f>
        <v>1</v>
      </c>
      <c r="P170" s="23" t="n">
        <f>IF(J170&gt;0,MAX(K170-J170,0),0)</f>
        <v>0</v>
      </c>
      <c r="Q170" s="23" t="n">
        <f>IF(J170=0,K170,0)</f>
        <v>0</v>
      </c>
      <c r="R170" s="23" t="n">
        <f>MAX(J170-K170,0)</f>
        <v>0</v>
      </c>
      <c r="S170" s="23" t="n">
        <f>IF(J170&gt;0,MAX(L170-J170,0),L170)</f>
        <v>0</v>
      </c>
    </row>
    <row r="171">
      <c r="A171" s="19" t="str">
        <v>德国区</v>
      </c>
      <c r="B171" s="19" t="str">
        <v>杜塞尔多夫16号仓</v>
      </c>
      <c r="C171" s="19" t="str">
        <v>包装组</v>
      </c>
      <c r="D171" s="21" t="n">
        <v>46139</v>
      </c>
      <c r="E171" s="19" t="str">
        <v>2026-04</v>
      </c>
      <c r="F171" s="19" t="str">
        <v>操作员</v>
      </c>
      <c r="G171" s="19" t="str">
        <v>德国区-灵活班次 / DE FLEX</v>
      </c>
      <c r="H171" s="23" t="n">
        <v>3</v>
      </c>
      <c r="I171" s="23" t="n">
        <v>0</v>
      </c>
      <c r="J171" s="23" t="n">
        <f>H171+I171</f>
        <v>3</v>
      </c>
      <c r="K171" s="23" t="n">
        <v>4</v>
      </c>
      <c r="L171" s="23" t="n">
        <v>4</v>
      </c>
      <c r="M171" s="23" t="n">
        <f>MIN(K171,J171)</f>
        <v>3</v>
      </c>
      <c r="N171" s="23" t="n">
        <f>MIN(L171,J171)</f>
        <v>3</v>
      </c>
      <c r="O171" s="25" t="n">
        <f>IF(K171=0,0,MIN(1,J171/K171))</f>
        <v>0.75</v>
      </c>
      <c r="P171" s="23" t="n">
        <f>IF(J171&gt;0,MAX(K171-J171,0),0)</f>
        <v>1</v>
      </c>
      <c r="Q171" s="23" t="n">
        <f>IF(J171=0,K171,0)</f>
        <v>0</v>
      </c>
      <c r="R171" s="23" t="n">
        <f>MAX(J171-K171,0)</f>
        <v>0</v>
      </c>
      <c r="S171" s="23" t="n">
        <f>IF(J171&gt;0,MAX(L171-J171,0),L171)</f>
        <v>1</v>
      </c>
    </row>
    <row r="172">
      <c r="A172" s="19" t="str">
        <v>德国区</v>
      </c>
      <c r="B172" s="19" t="str">
        <v>杜塞尔多夫16号仓</v>
      </c>
      <c r="C172" s="19" t="str">
        <v>包装组</v>
      </c>
      <c r="D172" s="21" t="n">
        <v>46140</v>
      </c>
      <c r="E172" s="19" t="str">
        <v>2026-04</v>
      </c>
      <c r="F172" s="19" t="str">
        <v>操作员</v>
      </c>
      <c r="G172" s="19" t="str">
        <v>德国区-灵活班次 / DE FLEX</v>
      </c>
      <c r="H172" s="23" t="n">
        <v>3</v>
      </c>
      <c r="I172" s="23" t="n">
        <v>0</v>
      </c>
      <c r="J172" s="23" t="n">
        <f>H172+I172</f>
        <v>3</v>
      </c>
      <c r="K172" s="23" t="n">
        <v>0</v>
      </c>
      <c r="L172" s="23" t="n">
        <v>0</v>
      </c>
      <c r="M172" s="23" t="n">
        <f>MIN(K172,J172)</f>
        <v>0</v>
      </c>
      <c r="N172" s="23" t="n">
        <f>MIN(L172,J172)</f>
        <v>0</v>
      </c>
      <c r="O172" s="25" t="n">
        <f>IF(K172=0,0,MIN(1,J172/K172))</f>
        <v>0</v>
      </c>
      <c r="P172" s="23" t="n">
        <f>IF(J172&gt;0,MAX(K172-J172,0),0)</f>
        <v>0</v>
      </c>
      <c r="Q172" s="23" t="n">
        <f>IF(J172=0,K172,0)</f>
        <v>0</v>
      </c>
      <c r="R172" s="23" t="n">
        <f>MAX(J172-K172,0)</f>
        <v>3</v>
      </c>
      <c r="S172" s="23" t="n">
        <f>IF(J172&gt;0,MAX(L172-J172,0),L172)</f>
        <v>0</v>
      </c>
    </row>
    <row r="173">
      <c r="A173" s="19" t="str">
        <v>德国区</v>
      </c>
      <c r="B173" s="19" t="str">
        <v>杜塞尔多夫16号仓</v>
      </c>
      <c r="C173" s="19" t="str">
        <v>包装组</v>
      </c>
      <c r="D173" s="21" t="n">
        <v>46141</v>
      </c>
      <c r="E173" s="19" t="str">
        <v>2026-04</v>
      </c>
      <c r="F173" s="19" t="str">
        <v>操作员</v>
      </c>
      <c r="G173" s="19" t="str">
        <v>德国区-灵活班次 / DE FLEX</v>
      </c>
      <c r="H173" s="23" t="n">
        <v>4</v>
      </c>
      <c r="I173" s="23" t="n">
        <v>0</v>
      </c>
      <c r="J173" s="23" t="n">
        <f>H173+I173</f>
        <v>4</v>
      </c>
      <c r="K173" s="23" t="n">
        <v>4</v>
      </c>
      <c r="L173" s="23" t="n">
        <v>4</v>
      </c>
      <c r="M173" s="23" t="n">
        <f>MIN(K173,J173)</f>
        <v>4</v>
      </c>
      <c r="N173" s="23" t="n">
        <f>MIN(L173,J173)</f>
        <v>4</v>
      </c>
      <c r="O173" s="25" t="n">
        <f>IF(K173=0,0,MIN(1,J173/K173))</f>
        <v>1</v>
      </c>
      <c r="P173" s="23" t="n">
        <f>IF(J173&gt;0,MAX(K173-J173,0),0)</f>
        <v>0</v>
      </c>
      <c r="Q173" s="23" t="n">
        <f>IF(J173=0,K173,0)</f>
        <v>0</v>
      </c>
      <c r="R173" s="23" t="n">
        <f>MAX(J173-K173,0)</f>
        <v>0</v>
      </c>
      <c r="S173" s="23" t="n">
        <f>IF(J173&gt;0,MAX(L173-J173,0),L173)</f>
        <v>0</v>
      </c>
    </row>
    <row r="174">
      <c r="A174" s="19" t="str">
        <v>德国区</v>
      </c>
      <c r="B174" s="19" t="str">
        <v>杜塞尔多夫16号仓</v>
      </c>
      <c r="C174" s="19" t="str">
        <v>包装组</v>
      </c>
      <c r="D174" s="21" t="n">
        <v>46142</v>
      </c>
      <c r="E174" s="19" t="str">
        <v>2026-04</v>
      </c>
      <c r="F174" s="19" t="str">
        <v>操作员</v>
      </c>
      <c r="G174" s="19" t="str">
        <v>德国区-灵活班次 / DE FLEX</v>
      </c>
      <c r="H174" s="23" t="n">
        <v>3</v>
      </c>
      <c r="I174" s="23" t="n">
        <v>0</v>
      </c>
      <c r="J174" s="23" t="n">
        <f>H174+I174</f>
        <v>3</v>
      </c>
      <c r="K174" s="23" t="n">
        <v>0</v>
      </c>
      <c r="L174" s="23" t="n">
        <v>0</v>
      </c>
      <c r="M174" s="23" t="n">
        <f>MIN(K174,J174)</f>
        <v>0</v>
      </c>
      <c r="N174" s="23" t="n">
        <f>MIN(L174,J174)</f>
        <v>0</v>
      </c>
      <c r="O174" s="25" t="n">
        <f>IF(K174=0,0,MIN(1,J174/K174))</f>
        <v>0</v>
      </c>
      <c r="P174" s="23" t="n">
        <f>IF(J174&gt;0,MAX(K174-J174,0),0)</f>
        <v>0</v>
      </c>
      <c r="Q174" s="23" t="n">
        <f>IF(J174=0,K174,0)</f>
        <v>0</v>
      </c>
      <c r="R174" s="23" t="n">
        <f>MAX(J174-K174,0)</f>
        <v>3</v>
      </c>
      <c r="S174" s="23" t="n">
        <f>IF(J174&gt;0,MAX(L174-J174,0),L174)</f>
        <v>0</v>
      </c>
    </row>
    <row r="175">
      <c r="A175" s="19" t="str">
        <v>德国区</v>
      </c>
      <c r="B175" s="19" t="str">
        <v>杜塞尔多夫16号仓</v>
      </c>
      <c r="C175" s="19" t="str">
        <v>包装组</v>
      </c>
      <c r="D175" s="21" t="n">
        <v>46143</v>
      </c>
      <c r="E175" s="19" t="str">
        <v>2026-05</v>
      </c>
      <c r="F175" s="19" t="str">
        <v>操作员</v>
      </c>
      <c r="G175" s="19" t="str">
        <v>德国区-灵活班次 / DE FLEX</v>
      </c>
      <c r="H175" s="23" t="n">
        <v>3</v>
      </c>
      <c r="I175" s="23" t="n">
        <v>0</v>
      </c>
      <c r="J175" s="23" t="n">
        <f>H175+I175</f>
        <v>3</v>
      </c>
      <c r="K175" s="23" t="n">
        <v>0</v>
      </c>
      <c r="L175" s="23" t="n">
        <v>0</v>
      </c>
      <c r="M175" s="23" t="n">
        <f>MIN(K175,J175)</f>
        <v>0</v>
      </c>
      <c r="N175" s="23" t="n">
        <f>MIN(L175,J175)</f>
        <v>0</v>
      </c>
      <c r="O175" s="25" t="n">
        <f>IF(K175=0,0,MIN(1,J175/K175))</f>
        <v>0</v>
      </c>
      <c r="P175" s="23" t="n">
        <f>IF(J175&gt;0,MAX(K175-J175,0),0)</f>
        <v>0</v>
      </c>
      <c r="Q175" s="23" t="n">
        <f>IF(J175=0,K175,0)</f>
        <v>0</v>
      </c>
      <c r="R175" s="23" t="n">
        <f>MAX(J175-K175,0)</f>
        <v>3</v>
      </c>
      <c r="S175" s="23" t="n">
        <f>IF(J175&gt;0,MAX(L175-J175,0),L175)</f>
        <v>0</v>
      </c>
    </row>
    <row r="176">
      <c r="A176" s="19" t="str">
        <v>德国区</v>
      </c>
      <c r="B176" s="19" t="str">
        <v>杜塞尔多夫16号仓</v>
      </c>
      <c r="C176" s="19" t="str">
        <v>包装组</v>
      </c>
      <c r="D176" s="21" t="n">
        <v>46144</v>
      </c>
      <c r="E176" s="19" t="str">
        <v>2026-05</v>
      </c>
      <c r="F176" s="19" t="str">
        <v>操作员</v>
      </c>
      <c r="G176" s="19" t="str">
        <v>德国区-灵活班次 / DE FLEX</v>
      </c>
      <c r="H176" s="23" t="n">
        <v>3</v>
      </c>
      <c r="I176" s="23" t="n">
        <v>0</v>
      </c>
      <c r="J176" s="23" t="n">
        <f>H176+I176</f>
        <v>3</v>
      </c>
      <c r="K176" s="23" t="n">
        <v>0</v>
      </c>
      <c r="L176" s="23" t="n">
        <v>0</v>
      </c>
      <c r="M176" s="23" t="n">
        <f>MIN(K176,J176)</f>
        <v>0</v>
      </c>
      <c r="N176" s="23" t="n">
        <f>MIN(L176,J176)</f>
        <v>0</v>
      </c>
      <c r="O176" s="25" t="n">
        <f>IF(K176=0,0,MIN(1,J176/K176))</f>
        <v>0</v>
      </c>
      <c r="P176" s="23" t="n">
        <f>IF(J176&gt;0,MAX(K176-J176,0),0)</f>
        <v>0</v>
      </c>
      <c r="Q176" s="23" t="n">
        <f>IF(J176=0,K176,0)</f>
        <v>0</v>
      </c>
      <c r="R176" s="23" t="n">
        <f>MAX(J176-K176,0)</f>
        <v>3</v>
      </c>
      <c r="S176" s="23" t="n">
        <f>IF(J176&gt;0,MAX(L176-J176,0),L176)</f>
        <v>0</v>
      </c>
    </row>
    <row r="177">
      <c r="A177" s="19" t="str">
        <v>德国区</v>
      </c>
      <c r="B177" s="19" t="str">
        <v>杜塞尔多夫16号仓</v>
      </c>
      <c r="C177" s="19" t="str">
        <v>包装组</v>
      </c>
      <c r="D177" s="21" t="n">
        <v>46145</v>
      </c>
      <c r="E177" s="19" t="str">
        <v>2026-05</v>
      </c>
      <c r="F177" s="19" t="str">
        <v>操作员</v>
      </c>
      <c r="G177" s="19" t="str">
        <v>德国区-灵活班次 / DE FLEX</v>
      </c>
      <c r="H177" s="23" t="n">
        <v>3</v>
      </c>
      <c r="I177" s="23" t="n">
        <v>0</v>
      </c>
      <c r="J177" s="23" t="n">
        <f>H177+I177</f>
        <v>3</v>
      </c>
      <c r="K177" s="23" t="n">
        <v>0</v>
      </c>
      <c r="L177" s="23" t="n">
        <v>0</v>
      </c>
      <c r="M177" s="23" t="n">
        <f>MIN(K177,J177)</f>
        <v>0</v>
      </c>
      <c r="N177" s="23" t="n">
        <f>MIN(L177,J177)</f>
        <v>0</v>
      </c>
      <c r="O177" s="25" t="n">
        <f>IF(K177=0,0,MIN(1,J177/K177))</f>
        <v>0</v>
      </c>
      <c r="P177" s="23" t="n">
        <f>IF(J177&gt;0,MAX(K177-J177,0),0)</f>
        <v>0</v>
      </c>
      <c r="Q177" s="23" t="n">
        <f>IF(J177=0,K177,0)</f>
        <v>0</v>
      </c>
      <c r="R177" s="23" t="n">
        <f>MAX(J177-K177,0)</f>
        <v>3</v>
      </c>
      <c r="S177" s="23" t="n">
        <f>IF(J177&gt;0,MAX(L177-J177,0),L177)</f>
        <v>0</v>
      </c>
    </row>
    <row r="178">
      <c r="A178" s="19" t="str">
        <v>德国区</v>
      </c>
      <c r="B178" s="19" t="str">
        <v>杜塞尔多夫16号仓</v>
      </c>
      <c r="C178" s="19" t="str">
        <v>包装组</v>
      </c>
      <c r="D178" s="21" t="n">
        <v>46146</v>
      </c>
      <c r="E178" s="19" t="str">
        <v>2026-05</v>
      </c>
      <c r="F178" s="19" t="str">
        <v>操作员</v>
      </c>
      <c r="G178" s="19" t="str">
        <v>德国区-灵活班次 / DE FLEX</v>
      </c>
      <c r="H178" s="23" t="n">
        <v>3</v>
      </c>
      <c r="I178" s="23" t="n">
        <v>0</v>
      </c>
      <c r="J178" s="23" t="n">
        <f>H178+I178</f>
        <v>3</v>
      </c>
      <c r="K178" s="23" t="n">
        <v>0</v>
      </c>
      <c r="L178" s="23" t="n">
        <v>0</v>
      </c>
      <c r="M178" s="23" t="n">
        <f>MIN(K178,J178)</f>
        <v>0</v>
      </c>
      <c r="N178" s="23" t="n">
        <f>MIN(L178,J178)</f>
        <v>0</v>
      </c>
      <c r="O178" s="25" t="n">
        <f>IF(K178=0,0,MIN(1,J178/K178))</f>
        <v>0</v>
      </c>
      <c r="P178" s="23" t="n">
        <f>IF(J178&gt;0,MAX(K178-J178,0),0)</f>
        <v>0</v>
      </c>
      <c r="Q178" s="23" t="n">
        <f>IF(J178=0,K178,0)</f>
        <v>0</v>
      </c>
      <c r="R178" s="23" t="n">
        <f>MAX(J178-K178,0)</f>
        <v>3</v>
      </c>
      <c r="S178" s="23" t="n">
        <f>IF(J178&gt;0,MAX(L178-J178,0),L178)</f>
        <v>0</v>
      </c>
    </row>
    <row r="179">
      <c r="A179" s="19" t="str">
        <v>德国区</v>
      </c>
      <c r="B179" s="19" t="str">
        <v>杜塞尔多夫16号仓</v>
      </c>
      <c r="C179" s="19" t="str">
        <v>包装组</v>
      </c>
      <c r="D179" s="21" t="n">
        <v>46147</v>
      </c>
      <c r="E179" s="19" t="str">
        <v>2026-05</v>
      </c>
      <c r="F179" s="19" t="str">
        <v>操作员</v>
      </c>
      <c r="G179" s="19" t="str">
        <v>德国区-灵活班次 / DE FLEX</v>
      </c>
      <c r="H179" s="23" t="n">
        <v>3</v>
      </c>
      <c r="I179" s="23" t="n">
        <v>0</v>
      </c>
      <c r="J179" s="23" t="n">
        <f>H179+I179</f>
        <v>3</v>
      </c>
      <c r="K179" s="23" t="n">
        <v>4</v>
      </c>
      <c r="L179" s="23" t="n">
        <v>0</v>
      </c>
      <c r="M179" s="23" t="n">
        <f>MIN(K179,J179)</f>
        <v>3</v>
      </c>
      <c r="N179" s="23" t="n">
        <f>MIN(L179,J179)</f>
        <v>0</v>
      </c>
      <c r="O179" s="25" t="n">
        <f>IF(K179=0,0,MIN(1,J179/K179))</f>
        <v>0.75</v>
      </c>
      <c r="P179" s="23" t="n">
        <f>IF(J179&gt;0,MAX(K179-J179,0),0)</f>
        <v>1</v>
      </c>
      <c r="Q179" s="23" t="n">
        <f>IF(J179=0,K179,0)</f>
        <v>0</v>
      </c>
      <c r="R179" s="23" t="n">
        <f>MAX(J179-K179,0)</f>
        <v>0</v>
      </c>
      <c r="S179" s="23" t="n">
        <f>IF(J179&gt;0,MAX(L179-J179,0),L179)</f>
        <v>0</v>
      </c>
    </row>
    <row r="180">
      <c r="A180" s="19" t="str">
        <v>德国区</v>
      </c>
      <c r="B180" s="19" t="str">
        <v>杜塞尔多夫16号仓</v>
      </c>
      <c r="C180" s="19" t="str">
        <v>包装组</v>
      </c>
      <c r="D180" s="21" t="n">
        <v>46148</v>
      </c>
      <c r="E180" s="19" t="str">
        <v>2026-05</v>
      </c>
      <c r="F180" s="19" t="str">
        <v>操作员</v>
      </c>
      <c r="G180" s="19" t="str">
        <v>德国区-灵活班次 / DE FLEX</v>
      </c>
      <c r="H180" s="23" t="n">
        <v>3</v>
      </c>
      <c r="I180" s="23" t="n">
        <v>0</v>
      </c>
      <c r="J180" s="23" t="n">
        <f>H180+I180</f>
        <v>3</v>
      </c>
      <c r="K180" s="23" t="n">
        <v>6</v>
      </c>
      <c r="L180" s="23" t="n">
        <v>6</v>
      </c>
      <c r="M180" s="23" t="n">
        <f>MIN(K180,J180)</f>
        <v>3</v>
      </c>
      <c r="N180" s="23" t="n">
        <f>MIN(L180,J180)</f>
        <v>3</v>
      </c>
      <c r="O180" s="25" t="n">
        <f>IF(K180=0,0,MIN(1,J180/K180))</f>
        <v>0.5</v>
      </c>
      <c r="P180" s="23" t="n">
        <f>IF(J180&gt;0,MAX(K180-J180,0),0)</f>
        <v>3</v>
      </c>
      <c r="Q180" s="23" t="n">
        <f>IF(J180=0,K180,0)</f>
        <v>0</v>
      </c>
      <c r="R180" s="23" t="n">
        <f>MAX(J180-K180,0)</f>
        <v>0</v>
      </c>
      <c r="S180" s="23" t="n">
        <f>IF(J180&gt;0,MAX(L180-J180,0),L180)</f>
        <v>3</v>
      </c>
    </row>
    <row r="181">
      <c r="A181" s="19" t="str">
        <v>德国区</v>
      </c>
      <c r="B181" s="19" t="str">
        <v>杜塞尔多夫16号仓</v>
      </c>
      <c r="C181" s="19" t="str">
        <v>包装组</v>
      </c>
      <c r="D181" s="21" t="n">
        <v>46149</v>
      </c>
      <c r="E181" s="19" t="str">
        <v>2026-05</v>
      </c>
      <c r="F181" s="19" t="str">
        <v>操作员</v>
      </c>
      <c r="G181" s="19" t="str">
        <v>德国区-灵活班次 / DE FLEX</v>
      </c>
      <c r="H181" s="23" t="n">
        <v>3</v>
      </c>
      <c r="I181" s="23" t="n">
        <v>0</v>
      </c>
      <c r="J181" s="23" t="n">
        <f>H181+I181</f>
        <v>3</v>
      </c>
      <c r="K181" s="23" t="n">
        <v>0</v>
      </c>
      <c r="L181" s="23" t="n">
        <v>0</v>
      </c>
      <c r="M181" s="23" t="n">
        <f>MIN(K181,J181)</f>
        <v>0</v>
      </c>
      <c r="N181" s="23" t="n">
        <f>MIN(L181,J181)</f>
        <v>0</v>
      </c>
      <c r="O181" s="25" t="n">
        <f>IF(K181=0,0,MIN(1,J181/K181))</f>
        <v>0</v>
      </c>
      <c r="P181" s="23" t="n">
        <f>IF(J181&gt;0,MAX(K181-J181,0),0)</f>
        <v>0</v>
      </c>
      <c r="Q181" s="23" t="n">
        <f>IF(J181=0,K181,0)</f>
        <v>0</v>
      </c>
      <c r="R181" s="23" t="n">
        <f>MAX(J181-K181,0)</f>
        <v>3</v>
      </c>
      <c r="S181" s="23" t="n">
        <f>IF(J181&gt;0,MAX(L181-J181,0),L181)</f>
        <v>0</v>
      </c>
    </row>
    <row r="182">
      <c r="A182" s="19" t="str">
        <v>德国区</v>
      </c>
      <c r="B182" s="19" t="str">
        <v>杜塞尔多夫16号仓</v>
      </c>
      <c r="C182" s="19" t="str">
        <v>包装组</v>
      </c>
      <c r="D182" s="21" t="n">
        <v>46150</v>
      </c>
      <c r="E182" s="19" t="str">
        <v>2026-05</v>
      </c>
      <c r="F182" s="19" t="str">
        <v>操作员</v>
      </c>
      <c r="G182" s="19" t="str">
        <v>德国区-灵活班次 / DE FLEX</v>
      </c>
      <c r="H182" s="23" t="n">
        <v>3</v>
      </c>
      <c r="I182" s="23" t="n">
        <v>0</v>
      </c>
      <c r="J182" s="23" t="n">
        <f>H182+I182</f>
        <v>3</v>
      </c>
      <c r="K182" s="23" t="n">
        <v>0</v>
      </c>
      <c r="L182" s="23" t="n">
        <v>0</v>
      </c>
      <c r="M182" s="23" t="n">
        <f>MIN(K182,J182)</f>
        <v>0</v>
      </c>
      <c r="N182" s="23" t="n">
        <f>MIN(L182,J182)</f>
        <v>0</v>
      </c>
      <c r="O182" s="25" t="n">
        <f>IF(K182=0,0,MIN(1,J182/K182))</f>
        <v>0</v>
      </c>
      <c r="P182" s="23" t="n">
        <f>IF(J182&gt;0,MAX(K182-J182,0),0)</f>
        <v>0</v>
      </c>
      <c r="Q182" s="23" t="n">
        <f>IF(J182=0,K182,0)</f>
        <v>0</v>
      </c>
      <c r="R182" s="23" t="n">
        <f>MAX(J182-K182,0)</f>
        <v>3</v>
      </c>
      <c r="S182" s="23" t="n">
        <f>IF(J182&gt;0,MAX(L182-J182,0),L182)</f>
        <v>0</v>
      </c>
    </row>
    <row r="183">
      <c r="A183" s="19" t="str">
        <v>德国区</v>
      </c>
      <c r="B183" s="19" t="str">
        <v>杜塞尔多夫16号仓</v>
      </c>
      <c r="C183" s="19" t="str">
        <v>包装组</v>
      </c>
      <c r="D183" s="21" t="n">
        <v>46155</v>
      </c>
      <c r="E183" s="19" t="str">
        <v>2026-05</v>
      </c>
      <c r="F183" s="19" t="str">
        <v>操作员</v>
      </c>
      <c r="G183" s="19" t="str">
        <v>德国区-灵活班次 / DE FLEX</v>
      </c>
      <c r="H183" s="23" t="n">
        <v>3</v>
      </c>
      <c r="I183" s="23" t="n">
        <v>0</v>
      </c>
      <c r="J183" s="23" t="n">
        <f>H183+I183</f>
        <v>3</v>
      </c>
      <c r="K183" s="23" t="n">
        <v>4</v>
      </c>
      <c r="L183" s="23" t="n">
        <v>4</v>
      </c>
      <c r="M183" s="23" t="n">
        <f>MIN(K183,J183)</f>
        <v>3</v>
      </c>
      <c r="N183" s="23" t="n">
        <f>MIN(L183,J183)</f>
        <v>3</v>
      </c>
      <c r="O183" s="25" t="n">
        <f>IF(K183=0,0,MIN(1,J183/K183))</f>
        <v>0.75</v>
      </c>
      <c r="P183" s="23" t="n">
        <f>IF(J183&gt;0,MAX(K183-J183,0),0)</f>
        <v>1</v>
      </c>
      <c r="Q183" s="23" t="n">
        <f>IF(J183=0,K183,0)</f>
        <v>0</v>
      </c>
      <c r="R183" s="23" t="n">
        <f>MAX(J183-K183,0)</f>
        <v>0</v>
      </c>
      <c r="S183" s="23" t="n">
        <f>IF(J183&gt;0,MAX(L183-J183,0),L183)</f>
        <v>1</v>
      </c>
    </row>
    <row r="184">
      <c r="A184" s="19" t="str">
        <v>德国区</v>
      </c>
      <c r="B184" s="19" t="str">
        <v>杜塞尔多夫16号仓</v>
      </c>
      <c r="C184" s="19" t="str">
        <v>包装组</v>
      </c>
      <c r="D184" s="21" t="n">
        <v>46158</v>
      </c>
      <c r="E184" s="19" t="str">
        <v>2026-05</v>
      </c>
      <c r="F184" s="19" t="str">
        <v>操作员</v>
      </c>
      <c r="G184" s="19" t="str">
        <v>德国区-灵活班次 / DE FLEX</v>
      </c>
      <c r="H184" s="23" t="n">
        <v>3</v>
      </c>
      <c r="I184" s="23" t="n">
        <v>0</v>
      </c>
      <c r="J184" s="23" t="n">
        <f>H184+I184</f>
        <v>3</v>
      </c>
      <c r="K184" s="23" t="n">
        <v>3</v>
      </c>
      <c r="L184" s="23" t="n">
        <v>3</v>
      </c>
      <c r="M184" s="23" t="n">
        <f>MIN(K184,J184)</f>
        <v>3</v>
      </c>
      <c r="N184" s="23" t="n">
        <f>MIN(L184,J184)</f>
        <v>3</v>
      </c>
      <c r="O184" s="25" t="n">
        <f>IF(K184=0,0,MIN(1,J184/K184))</f>
        <v>1</v>
      </c>
      <c r="P184" s="23" t="n">
        <f>IF(J184&gt;0,MAX(K184-J184,0),0)</f>
        <v>0</v>
      </c>
      <c r="Q184" s="23" t="n">
        <f>IF(J184=0,K184,0)</f>
        <v>0</v>
      </c>
      <c r="R184" s="23" t="n">
        <f>MAX(J184-K184,0)</f>
        <v>0</v>
      </c>
      <c r="S184" s="23" t="n">
        <f>IF(J184&gt;0,MAX(L184-J184,0),L184)</f>
        <v>0</v>
      </c>
    </row>
    <row r="185">
      <c r="A185" s="19" t="str">
        <v>德国区</v>
      </c>
      <c r="B185" s="19" t="str">
        <v>杜塞尔多夫16号仓</v>
      </c>
      <c r="C185" s="19" t="str">
        <v>包装组</v>
      </c>
      <c r="D185" s="21" t="n">
        <v>46161</v>
      </c>
      <c r="E185" s="19" t="str">
        <v>2026-05</v>
      </c>
      <c r="F185" s="19" t="str">
        <v>操作员</v>
      </c>
      <c r="G185" s="19" t="str">
        <v>德国区-灵活班次 / DE FLEX</v>
      </c>
      <c r="H185" s="23" t="n">
        <v>3</v>
      </c>
      <c r="I185" s="23" t="n">
        <v>0</v>
      </c>
      <c r="J185" s="23" t="n">
        <f>H185+I185</f>
        <v>3</v>
      </c>
      <c r="K185" s="23" t="n">
        <v>3</v>
      </c>
      <c r="L185" s="23" t="n">
        <v>3</v>
      </c>
      <c r="M185" s="23" t="n">
        <f>MIN(K185,J185)</f>
        <v>3</v>
      </c>
      <c r="N185" s="23" t="n">
        <f>MIN(L185,J185)</f>
        <v>3</v>
      </c>
      <c r="O185" s="25" t="n">
        <f>IF(K185=0,0,MIN(1,J185/K185))</f>
        <v>1</v>
      </c>
      <c r="P185" s="23" t="n">
        <f>IF(J185&gt;0,MAX(K185-J185,0),0)</f>
        <v>0</v>
      </c>
      <c r="Q185" s="23" t="n">
        <f>IF(J185=0,K185,0)</f>
        <v>0</v>
      </c>
      <c r="R185" s="23" t="n">
        <f>MAX(J185-K185,0)</f>
        <v>0</v>
      </c>
      <c r="S185" s="23" t="n">
        <f>IF(J185&gt;0,MAX(L185-J185,0),L185)</f>
        <v>0</v>
      </c>
    </row>
    <row r="186">
      <c r="A186" s="19" t="str">
        <v>德国区</v>
      </c>
      <c r="B186" s="19" t="str">
        <v>杜塞尔多夫16号仓</v>
      </c>
      <c r="C186" s="19" t="str">
        <v>包装组</v>
      </c>
      <c r="D186" s="21" t="n">
        <v>46172</v>
      </c>
      <c r="E186" s="19" t="str">
        <v>2026-05</v>
      </c>
      <c r="F186" s="19" t="str">
        <v>操作员</v>
      </c>
      <c r="G186" s="19" t="str">
        <v>德国区-灵活班次 / DE FLEX</v>
      </c>
      <c r="H186" s="23" t="n">
        <v>2</v>
      </c>
      <c r="I186" s="23" t="n">
        <v>0</v>
      </c>
      <c r="J186" s="23" t="n">
        <f>H186+I186</f>
        <v>2</v>
      </c>
      <c r="K186" s="23" t="n">
        <v>2</v>
      </c>
      <c r="L186" s="23" t="n">
        <v>2</v>
      </c>
      <c r="M186" s="23" t="n">
        <f>MIN(K186,J186)</f>
        <v>2</v>
      </c>
      <c r="N186" s="23" t="n">
        <f>MIN(L186,J186)</f>
        <v>2</v>
      </c>
      <c r="O186" s="25" t="n">
        <f>IF(K186=0,0,MIN(1,J186/K186))</f>
        <v>1</v>
      </c>
      <c r="P186" s="23" t="n">
        <f>IF(J186&gt;0,MAX(K186-J186,0),0)</f>
        <v>0</v>
      </c>
      <c r="Q186" s="23" t="n">
        <f>IF(J186=0,K186,0)</f>
        <v>0</v>
      </c>
      <c r="R186" s="23" t="n">
        <f>MAX(J186-K186,0)</f>
        <v>0</v>
      </c>
      <c r="S186" s="23" t="n">
        <f>IF(J186&gt;0,MAX(L186-J186,0),L186)</f>
        <v>0</v>
      </c>
    </row>
    <row r="187">
      <c r="A187" s="19" t="str">
        <v>德国区</v>
      </c>
      <c r="B187" s="19" t="str">
        <v>杜塞尔多夫16号仓</v>
      </c>
      <c r="C187" s="19" t="str">
        <v>包装组</v>
      </c>
      <c r="D187" s="21" t="n">
        <v>46175</v>
      </c>
      <c r="E187" s="19" t="str">
        <v>2026-06</v>
      </c>
      <c r="F187" s="19" t="str">
        <v>操作员</v>
      </c>
      <c r="G187" s="19" t="str">
        <v>德国区-灵活班次 / DE FLEX</v>
      </c>
      <c r="H187" s="23" t="n">
        <v>3</v>
      </c>
      <c r="I187" s="23" t="n">
        <v>0</v>
      </c>
      <c r="J187" s="23" t="n">
        <f>H187+I187</f>
        <v>3</v>
      </c>
      <c r="K187" s="23" t="n">
        <v>3</v>
      </c>
      <c r="L187" s="23" t="n">
        <v>0</v>
      </c>
      <c r="M187" s="23" t="n">
        <f>MIN(K187,J187)</f>
        <v>3</v>
      </c>
      <c r="N187" s="23" t="n">
        <f>MIN(L187,J187)</f>
        <v>0</v>
      </c>
      <c r="O187" s="25" t="n">
        <f>IF(K187=0,0,MIN(1,J187/K187))</f>
        <v>1</v>
      </c>
      <c r="P187" s="23" t="n">
        <f>IF(J187&gt;0,MAX(K187-J187,0),0)</f>
        <v>0</v>
      </c>
      <c r="Q187" s="23" t="n">
        <f>IF(J187=0,K187,0)</f>
        <v>0</v>
      </c>
      <c r="R187" s="23" t="n">
        <f>MAX(J187-K187,0)</f>
        <v>0</v>
      </c>
      <c r="S187" s="23" t="n">
        <f>IF(J187&gt;0,MAX(L187-J187,0),L187)</f>
        <v>0</v>
      </c>
    </row>
    <row r="188">
      <c r="A188" s="19" t="str">
        <v>德国区</v>
      </c>
      <c r="B188" s="19" t="str">
        <v>杜塞尔多夫16号仓</v>
      </c>
      <c r="C188" s="19" t="str">
        <v>包装组</v>
      </c>
      <c r="D188" s="21" t="n">
        <v>46184</v>
      </c>
      <c r="E188" s="19" t="str">
        <v>2026-06</v>
      </c>
      <c r="F188" s="19" t="str">
        <v>操作员</v>
      </c>
      <c r="G188" s="19" t="str">
        <v>德国区-灵活班次 / DE FLEX</v>
      </c>
      <c r="H188" s="23" t="n">
        <v>12</v>
      </c>
      <c r="I188" s="23" t="n">
        <v>0</v>
      </c>
      <c r="J188" s="23" t="n">
        <f>H188+I188</f>
        <v>12</v>
      </c>
      <c r="K188" s="23" t="n">
        <v>3</v>
      </c>
      <c r="L188" s="23" t="n">
        <v>3</v>
      </c>
      <c r="M188" s="23" t="n">
        <f>MIN(K188,J188)</f>
        <v>3</v>
      </c>
      <c r="N188" s="23" t="n">
        <f>MIN(L188,J188)</f>
        <v>3</v>
      </c>
      <c r="O188" s="25" t="n">
        <f>IF(K188=0,0,MIN(1,J188/K188))</f>
        <v>1</v>
      </c>
      <c r="P188" s="23" t="n">
        <f>IF(J188&gt;0,MAX(K188-J188,0),0)</f>
        <v>0</v>
      </c>
      <c r="Q188" s="23" t="n">
        <f>IF(J188=0,K188,0)</f>
        <v>0</v>
      </c>
      <c r="R188" s="23" t="n">
        <f>MAX(J188-K188,0)</f>
        <v>9</v>
      </c>
      <c r="S188" s="23" t="n">
        <f>IF(J188&gt;0,MAX(L188-J188,0),L188)</f>
        <v>0</v>
      </c>
    </row>
    <row r="189">
      <c r="A189" s="19" t="str">
        <v>德国区</v>
      </c>
      <c r="B189" s="19" t="str">
        <v>杜塞尔多夫16号仓</v>
      </c>
      <c r="C189" s="19" t="str">
        <v>包装组</v>
      </c>
      <c r="D189" s="21" t="n">
        <v>46185</v>
      </c>
      <c r="E189" s="19" t="str">
        <v>2026-06</v>
      </c>
      <c r="F189" s="19" t="str">
        <v>操作员</v>
      </c>
      <c r="G189" s="19" t="str">
        <v>德国区-灵活班次 / DE FLEX</v>
      </c>
      <c r="H189" s="23" t="n">
        <v>14</v>
      </c>
      <c r="I189" s="23" t="n">
        <v>0</v>
      </c>
      <c r="J189" s="23" t="n">
        <f>H189+I189</f>
        <v>14</v>
      </c>
      <c r="K189" s="23" t="n">
        <v>13</v>
      </c>
      <c r="L189" s="23" t="n">
        <v>13</v>
      </c>
      <c r="M189" s="23" t="n">
        <f>MIN(K189,J189)</f>
        <v>13</v>
      </c>
      <c r="N189" s="23" t="n">
        <f>MIN(L189,J189)</f>
        <v>13</v>
      </c>
      <c r="O189" s="25" t="n">
        <f>IF(K189=0,0,MIN(1,J189/K189))</f>
        <v>1</v>
      </c>
      <c r="P189" s="23" t="n">
        <f>IF(J189&gt;0,MAX(K189-J189,0),0)</f>
        <v>0</v>
      </c>
      <c r="Q189" s="23" t="n">
        <f>IF(J189=0,K189,0)</f>
        <v>0</v>
      </c>
      <c r="R189" s="23" t="n">
        <f>MAX(J189-K189,0)</f>
        <v>1</v>
      </c>
      <c r="S189" s="23" t="n">
        <f>IF(J189&gt;0,MAX(L189-J189,0),L189)</f>
        <v>0</v>
      </c>
    </row>
    <row r="190">
      <c r="A190" s="19" t="str">
        <v>德国区</v>
      </c>
      <c r="B190" s="19" t="str">
        <v>杜塞尔多夫16号仓</v>
      </c>
      <c r="C190" s="19" t="str">
        <v>包装组</v>
      </c>
      <c r="D190" s="21" t="n">
        <v>46186</v>
      </c>
      <c r="E190" s="19" t="str">
        <v>2026-06</v>
      </c>
      <c r="F190" s="19" t="str">
        <v>操作员</v>
      </c>
      <c r="G190" s="19" t="str">
        <v>德国区-灵活班次 / DE FLEX</v>
      </c>
      <c r="H190" s="23" t="n">
        <v>14</v>
      </c>
      <c r="I190" s="23" t="n">
        <v>0</v>
      </c>
      <c r="J190" s="23" t="n">
        <f>H190+I190</f>
        <v>14</v>
      </c>
      <c r="K190" s="23" t="n">
        <v>0</v>
      </c>
      <c r="L190" s="23" t="n">
        <v>0</v>
      </c>
      <c r="M190" s="23" t="n">
        <f>MIN(K190,J190)</f>
        <v>0</v>
      </c>
      <c r="N190" s="23" t="n">
        <f>MIN(L190,J190)</f>
        <v>0</v>
      </c>
      <c r="O190" s="25" t="n">
        <f>IF(K190=0,0,MIN(1,J190/K190))</f>
        <v>0</v>
      </c>
      <c r="P190" s="23" t="n">
        <f>IF(J190&gt;0,MAX(K190-J190,0),0)</f>
        <v>0</v>
      </c>
      <c r="Q190" s="23" t="n">
        <f>IF(J190=0,K190,0)</f>
        <v>0</v>
      </c>
      <c r="R190" s="23" t="n">
        <f>MAX(J190-K190,0)</f>
        <v>14</v>
      </c>
      <c r="S190" s="23" t="n">
        <f>IF(J190&gt;0,MAX(L190-J190,0),L190)</f>
        <v>0</v>
      </c>
    </row>
    <row r="191">
      <c r="A191" s="19" t="str">
        <v>德国区</v>
      </c>
      <c r="B191" s="19" t="str">
        <v>杜塞尔多夫16号仓</v>
      </c>
      <c r="C191" s="19" t="str">
        <v>包装组</v>
      </c>
      <c r="D191" s="21" t="n">
        <v>46188</v>
      </c>
      <c r="E191" s="19" t="str">
        <v>2026-06</v>
      </c>
      <c r="F191" s="19" t="str">
        <v>操作员</v>
      </c>
      <c r="G191" s="19" t="str">
        <v>德国区-灵活班次 / DE FLEX</v>
      </c>
      <c r="H191" s="23" t="n">
        <v>4</v>
      </c>
      <c r="I191" s="23" t="n">
        <v>0</v>
      </c>
      <c r="J191" s="23" t="n">
        <f>H191+I191</f>
        <v>4</v>
      </c>
      <c r="K191" s="23" t="n">
        <v>5</v>
      </c>
      <c r="L191" s="23" t="n">
        <v>5</v>
      </c>
      <c r="M191" s="23" t="n">
        <f>MIN(K191,J191)</f>
        <v>4</v>
      </c>
      <c r="N191" s="23" t="n">
        <f>MIN(L191,J191)</f>
        <v>4</v>
      </c>
      <c r="O191" s="25" t="n">
        <f>IF(K191=0,0,MIN(1,J191/K191))</f>
        <v>0.8</v>
      </c>
      <c r="P191" s="23" t="n">
        <f>IF(J191&gt;0,MAX(K191-J191,0),0)</f>
        <v>1</v>
      </c>
      <c r="Q191" s="23" t="n">
        <f>IF(J191=0,K191,0)</f>
        <v>0</v>
      </c>
      <c r="R191" s="23" t="n">
        <f>MAX(J191-K191,0)</f>
        <v>0</v>
      </c>
      <c r="S191" s="23" t="n">
        <f>IF(J191&gt;0,MAX(L191-J191,0),L191)</f>
        <v>1</v>
      </c>
    </row>
    <row r="192">
      <c r="A192" s="19" t="str">
        <v>德国区</v>
      </c>
      <c r="B192" s="19" t="str">
        <v>杜塞尔多夫16号仓</v>
      </c>
      <c r="C192" s="19" t="str">
        <v>包装组</v>
      </c>
      <c r="D192" s="21" t="n">
        <v>46189</v>
      </c>
      <c r="E192" s="19" t="str">
        <v>2026-06</v>
      </c>
      <c r="F192" s="19" t="str">
        <v>操作员</v>
      </c>
      <c r="G192" s="19" t="str">
        <v>德国区-灵活班次 / DE FLEX</v>
      </c>
      <c r="H192" s="23" t="n">
        <v>4</v>
      </c>
      <c r="I192" s="23" t="n">
        <v>0</v>
      </c>
      <c r="J192" s="23" t="n">
        <f>H192+I192</f>
        <v>4</v>
      </c>
      <c r="K192" s="23" t="n">
        <v>4</v>
      </c>
      <c r="L192" s="23" t="n">
        <v>3</v>
      </c>
      <c r="M192" s="23" t="n">
        <f>MIN(K192,J192)</f>
        <v>4</v>
      </c>
      <c r="N192" s="23" t="n">
        <f>MIN(L192,J192)</f>
        <v>3</v>
      </c>
      <c r="O192" s="25" t="n">
        <f>IF(K192=0,0,MIN(1,J192/K192))</f>
        <v>1</v>
      </c>
      <c r="P192" s="23" t="n">
        <f>IF(J192&gt;0,MAX(K192-J192,0),0)</f>
        <v>0</v>
      </c>
      <c r="Q192" s="23" t="n">
        <f>IF(J192=0,K192,0)</f>
        <v>0</v>
      </c>
      <c r="R192" s="23" t="n">
        <f>MAX(J192-K192,0)</f>
        <v>0</v>
      </c>
      <c r="S192" s="23" t="n">
        <f>IF(J192&gt;0,MAX(L192-J192,0),L192)</f>
        <v>0</v>
      </c>
    </row>
    <row r="193">
      <c r="A193" s="19" t="str">
        <v>德国区</v>
      </c>
      <c r="B193" s="19" t="str">
        <v>杜塞尔多夫16号仓</v>
      </c>
      <c r="C193" s="19" t="str">
        <v>包装组</v>
      </c>
      <c r="D193" s="21" t="n">
        <v>46190</v>
      </c>
      <c r="E193" s="19" t="str">
        <v>2026-06</v>
      </c>
      <c r="F193" s="19" t="str">
        <v>操作员</v>
      </c>
      <c r="G193" s="19" t="str">
        <v>德国区-灵活班次 / DE FLEX</v>
      </c>
      <c r="H193" s="23" t="n">
        <v>4</v>
      </c>
      <c r="I193" s="23" t="n">
        <v>0</v>
      </c>
      <c r="J193" s="23" t="n">
        <f>H193+I193</f>
        <v>4</v>
      </c>
      <c r="K193" s="23" t="n">
        <v>5</v>
      </c>
      <c r="L193" s="23" t="n">
        <v>5</v>
      </c>
      <c r="M193" s="23" t="n">
        <f>MIN(K193,J193)</f>
        <v>4</v>
      </c>
      <c r="N193" s="23" t="n">
        <f>MIN(L193,J193)</f>
        <v>4</v>
      </c>
      <c r="O193" s="25" t="n">
        <f>IF(K193=0,0,MIN(1,J193/K193))</f>
        <v>0.8</v>
      </c>
      <c r="P193" s="23" t="n">
        <f>IF(J193&gt;0,MAX(K193-J193,0),0)</f>
        <v>1</v>
      </c>
      <c r="Q193" s="23" t="n">
        <f>IF(J193=0,K193,0)</f>
        <v>0</v>
      </c>
      <c r="R193" s="23" t="n">
        <f>MAX(J193-K193,0)</f>
        <v>0</v>
      </c>
      <c r="S193" s="23" t="n">
        <f>IF(J193&gt;0,MAX(L193-J193,0),L193)</f>
        <v>1</v>
      </c>
    </row>
    <row r="194">
      <c r="A194" s="19" t="str">
        <v>德国区</v>
      </c>
      <c r="B194" s="19" t="str">
        <v>杜塞尔多夫16号仓</v>
      </c>
      <c r="C194" s="19" t="str">
        <v>包装组</v>
      </c>
      <c r="D194" s="21" t="n">
        <v>46191</v>
      </c>
      <c r="E194" s="19" t="str">
        <v>2026-06</v>
      </c>
      <c r="F194" s="19" t="str">
        <v>操作员</v>
      </c>
      <c r="G194" s="19" t="str">
        <v>德国区-灵活班次 / DE FLEX</v>
      </c>
      <c r="H194" s="23" t="n">
        <v>4</v>
      </c>
      <c r="I194" s="23" t="n">
        <v>0</v>
      </c>
      <c r="J194" s="23" t="n">
        <f>H194+I194</f>
        <v>4</v>
      </c>
      <c r="K194" s="23" t="n">
        <v>5</v>
      </c>
      <c r="L194" s="23" t="n">
        <v>5</v>
      </c>
      <c r="M194" s="23" t="n">
        <f>MIN(K194,J194)</f>
        <v>4</v>
      </c>
      <c r="N194" s="23" t="n">
        <f>MIN(L194,J194)</f>
        <v>4</v>
      </c>
      <c r="O194" s="25" t="n">
        <f>IF(K194=0,0,MIN(1,J194/K194))</f>
        <v>0.8</v>
      </c>
      <c r="P194" s="23" t="n">
        <f>IF(J194&gt;0,MAX(K194-J194,0),0)</f>
        <v>1</v>
      </c>
      <c r="Q194" s="23" t="n">
        <f>IF(J194=0,K194,0)</f>
        <v>0</v>
      </c>
      <c r="R194" s="23" t="n">
        <f>MAX(J194-K194,0)</f>
        <v>0</v>
      </c>
      <c r="S194" s="23" t="n">
        <f>IF(J194&gt;0,MAX(L194-J194,0),L194)</f>
        <v>1</v>
      </c>
    </row>
    <row r="195">
      <c r="A195" s="19" t="str">
        <v>德国区</v>
      </c>
      <c r="B195" s="19" t="str">
        <v>杜塞尔多夫16号仓</v>
      </c>
      <c r="C195" s="19" t="str">
        <v>包装组</v>
      </c>
      <c r="D195" s="21" t="n">
        <v>46192</v>
      </c>
      <c r="E195" s="19" t="str">
        <v>2026-06</v>
      </c>
      <c r="F195" s="19" t="str">
        <v>操作员</v>
      </c>
      <c r="G195" s="19" t="str">
        <v>德国区-灵活班次 / DE FLEX</v>
      </c>
      <c r="H195" s="23" t="n">
        <v>4</v>
      </c>
      <c r="I195" s="23" t="n">
        <v>0</v>
      </c>
      <c r="J195" s="23" t="n">
        <f>H195+I195</f>
        <v>4</v>
      </c>
      <c r="K195" s="23" t="n">
        <v>3</v>
      </c>
      <c r="L195" s="23" t="n">
        <v>3</v>
      </c>
      <c r="M195" s="23" t="n">
        <f>MIN(K195,J195)</f>
        <v>3</v>
      </c>
      <c r="N195" s="23" t="n">
        <f>MIN(L195,J195)</f>
        <v>3</v>
      </c>
      <c r="O195" s="25" t="n">
        <f>IF(K195=0,0,MIN(1,J195/K195))</f>
        <v>1</v>
      </c>
      <c r="P195" s="23" t="n">
        <f>IF(J195&gt;0,MAX(K195-J195,0),0)</f>
        <v>0</v>
      </c>
      <c r="Q195" s="23" t="n">
        <f>IF(J195=0,K195,0)</f>
        <v>0</v>
      </c>
      <c r="R195" s="23" t="n">
        <f>MAX(J195-K195,0)</f>
        <v>1</v>
      </c>
      <c r="S195" s="23" t="n">
        <f>IF(J195&gt;0,MAX(L195-J195,0),L195)</f>
        <v>0</v>
      </c>
    </row>
    <row r="196">
      <c r="A196" s="19" t="str">
        <v>德国区</v>
      </c>
      <c r="B196" s="19" t="str">
        <v>杜塞尔多夫16号仓</v>
      </c>
      <c r="C196" s="19" t="str">
        <v>包装组</v>
      </c>
      <c r="D196" s="21" t="n">
        <v>46193</v>
      </c>
      <c r="E196" s="19" t="str">
        <v>2026-06</v>
      </c>
      <c r="F196" s="19" t="str">
        <v>操作员</v>
      </c>
      <c r="G196" s="19" t="str">
        <v>德国区-灵活班次 / DE FLEX</v>
      </c>
      <c r="H196" s="23" t="n">
        <v>4</v>
      </c>
      <c r="I196" s="23" t="n">
        <v>0</v>
      </c>
      <c r="J196" s="23" t="n">
        <f>H196+I196</f>
        <v>4</v>
      </c>
      <c r="K196" s="23" t="n">
        <v>0</v>
      </c>
      <c r="L196" s="23" t="n">
        <v>0</v>
      </c>
      <c r="M196" s="23" t="n">
        <f>MIN(K196,J196)</f>
        <v>0</v>
      </c>
      <c r="N196" s="23" t="n">
        <f>MIN(L196,J196)</f>
        <v>0</v>
      </c>
      <c r="O196" s="25" t="n">
        <f>IF(K196=0,0,MIN(1,J196/K196))</f>
        <v>0</v>
      </c>
      <c r="P196" s="23" t="n">
        <f>IF(J196&gt;0,MAX(K196-J196,0),0)</f>
        <v>0</v>
      </c>
      <c r="Q196" s="23" t="n">
        <f>IF(J196=0,K196,0)</f>
        <v>0</v>
      </c>
      <c r="R196" s="23" t="n">
        <f>MAX(J196-K196,0)</f>
        <v>4</v>
      </c>
      <c r="S196" s="23" t="n">
        <f>IF(J196&gt;0,MAX(L196-J196,0),L196)</f>
        <v>0</v>
      </c>
    </row>
    <row r="197">
      <c r="A197" s="19" t="str">
        <v>德国区</v>
      </c>
      <c r="B197" s="19" t="str">
        <v>杜塞尔多夫16号仓</v>
      </c>
      <c r="C197" s="19" t="str">
        <v>包装组</v>
      </c>
      <c r="D197" s="21" t="n">
        <v>46195</v>
      </c>
      <c r="E197" s="19" t="str">
        <v>2026-06</v>
      </c>
      <c r="F197" s="19" t="str">
        <v>操作员</v>
      </c>
      <c r="G197" s="19" t="str">
        <v>德国区-灵活班次 / DE FLEX</v>
      </c>
      <c r="H197" s="23" t="n">
        <v>5</v>
      </c>
      <c r="I197" s="23" t="n">
        <v>0</v>
      </c>
      <c r="J197" s="23" t="n">
        <f>H197+I197</f>
        <v>5</v>
      </c>
      <c r="K197" s="23" t="n">
        <v>5</v>
      </c>
      <c r="L197" s="23" t="n">
        <v>5</v>
      </c>
      <c r="M197" s="23" t="n">
        <f>MIN(K197,J197)</f>
        <v>5</v>
      </c>
      <c r="N197" s="23" t="n">
        <f>MIN(L197,J197)</f>
        <v>5</v>
      </c>
      <c r="O197" s="25" t="n">
        <f>IF(K197=0,0,MIN(1,J197/K197))</f>
        <v>1</v>
      </c>
      <c r="P197" s="23" t="n">
        <f>IF(J197&gt;0,MAX(K197-J197,0),0)</f>
        <v>0</v>
      </c>
      <c r="Q197" s="23" t="n">
        <f>IF(J197=0,K197,0)</f>
        <v>0</v>
      </c>
      <c r="R197" s="23" t="n">
        <f>MAX(J197-K197,0)</f>
        <v>0</v>
      </c>
      <c r="S197" s="23" t="n">
        <f>IF(J197&gt;0,MAX(L197-J197,0),L197)</f>
        <v>0</v>
      </c>
    </row>
    <row r="198">
      <c r="A198" s="19" t="str">
        <v>德国区</v>
      </c>
      <c r="B198" s="19" t="str">
        <v>杜塞尔多夫16号仓</v>
      </c>
      <c r="C198" s="19" t="str">
        <v>包装组</v>
      </c>
      <c r="D198" s="21" t="n">
        <v>46196</v>
      </c>
      <c r="E198" s="19" t="str">
        <v>2026-06</v>
      </c>
      <c r="F198" s="19" t="str">
        <v>操作员</v>
      </c>
      <c r="G198" s="19" t="str">
        <v>德国区-灵活班次 / DE FLEX</v>
      </c>
      <c r="H198" s="23" t="n">
        <v>5</v>
      </c>
      <c r="I198" s="23" t="n">
        <v>0</v>
      </c>
      <c r="J198" s="23" t="n">
        <f>H198+I198</f>
        <v>5</v>
      </c>
      <c r="K198" s="23" t="n">
        <v>5</v>
      </c>
      <c r="L198" s="23" t="n">
        <v>5</v>
      </c>
      <c r="M198" s="23" t="n">
        <f>MIN(K198,J198)</f>
        <v>5</v>
      </c>
      <c r="N198" s="23" t="n">
        <f>MIN(L198,J198)</f>
        <v>5</v>
      </c>
      <c r="O198" s="25" t="n">
        <f>IF(K198=0,0,MIN(1,J198/K198))</f>
        <v>1</v>
      </c>
      <c r="P198" s="23" t="n">
        <f>IF(J198&gt;0,MAX(K198-J198,0),0)</f>
        <v>0</v>
      </c>
      <c r="Q198" s="23" t="n">
        <f>IF(J198=0,K198,0)</f>
        <v>0</v>
      </c>
      <c r="R198" s="23" t="n">
        <f>MAX(J198-K198,0)</f>
        <v>0</v>
      </c>
      <c r="S198" s="23" t="n">
        <f>IF(J198&gt;0,MAX(L198-J198,0),L198)</f>
        <v>0</v>
      </c>
    </row>
    <row r="199">
      <c r="A199" s="19" t="str">
        <v>德国区</v>
      </c>
      <c r="B199" s="19" t="str">
        <v>杜塞尔多夫16号仓</v>
      </c>
      <c r="C199" s="19" t="str">
        <v>包装组</v>
      </c>
      <c r="D199" s="21" t="n">
        <v>46197</v>
      </c>
      <c r="E199" s="19" t="str">
        <v>2026-06</v>
      </c>
      <c r="F199" s="19" t="str">
        <v>操作员</v>
      </c>
      <c r="G199" s="19" t="str">
        <v>德国区-灵活班次 / DE FLEX</v>
      </c>
      <c r="H199" s="23" t="n">
        <v>5</v>
      </c>
      <c r="I199" s="23" t="n">
        <v>0</v>
      </c>
      <c r="J199" s="23" t="n">
        <f>H199+I199</f>
        <v>5</v>
      </c>
      <c r="K199" s="23" t="n">
        <v>5</v>
      </c>
      <c r="L199" s="23" t="n">
        <v>5</v>
      </c>
      <c r="M199" s="23" t="n">
        <f>MIN(K199,J199)</f>
        <v>5</v>
      </c>
      <c r="N199" s="23" t="n">
        <f>MIN(L199,J199)</f>
        <v>5</v>
      </c>
      <c r="O199" s="25" t="n">
        <f>IF(K199=0,0,MIN(1,J199/K199))</f>
        <v>1</v>
      </c>
      <c r="P199" s="23" t="n">
        <f>IF(J199&gt;0,MAX(K199-J199,0),0)</f>
        <v>0</v>
      </c>
      <c r="Q199" s="23" t="n">
        <f>IF(J199=0,K199,0)</f>
        <v>0</v>
      </c>
      <c r="R199" s="23" t="n">
        <f>MAX(J199-K199,0)</f>
        <v>0</v>
      </c>
      <c r="S199" s="23" t="n">
        <f>IF(J199&gt;0,MAX(L199-J199,0),L199)</f>
        <v>0</v>
      </c>
    </row>
    <row r="200">
      <c r="A200" s="19" t="str">
        <v>德国区</v>
      </c>
      <c r="B200" s="19" t="str">
        <v>杜塞尔多夫16号仓</v>
      </c>
      <c r="C200" s="19" t="str">
        <v>包装组</v>
      </c>
      <c r="D200" s="21" t="n">
        <v>46198</v>
      </c>
      <c r="E200" s="19" t="str">
        <v>2026-06</v>
      </c>
      <c r="F200" s="19" t="str">
        <v>操作员</v>
      </c>
      <c r="G200" s="19" t="str">
        <v>德国区-灵活班次 / DE FLEX</v>
      </c>
      <c r="H200" s="23" t="n">
        <v>5</v>
      </c>
      <c r="I200" s="23" t="n">
        <v>0</v>
      </c>
      <c r="J200" s="23" t="n">
        <f>H200+I200</f>
        <v>5</v>
      </c>
      <c r="K200" s="23" t="n">
        <v>5</v>
      </c>
      <c r="L200" s="23" t="n">
        <v>5</v>
      </c>
      <c r="M200" s="23" t="n">
        <f>MIN(K200,J200)</f>
        <v>5</v>
      </c>
      <c r="N200" s="23" t="n">
        <f>MIN(L200,J200)</f>
        <v>5</v>
      </c>
      <c r="O200" s="25" t="n">
        <f>IF(K200=0,0,MIN(1,J200/K200))</f>
        <v>1</v>
      </c>
      <c r="P200" s="23" t="n">
        <f>IF(J200&gt;0,MAX(K200-J200,0),0)</f>
        <v>0</v>
      </c>
      <c r="Q200" s="23" t="n">
        <f>IF(J200=0,K200,0)</f>
        <v>0</v>
      </c>
      <c r="R200" s="23" t="n">
        <f>MAX(J200-K200,0)</f>
        <v>0</v>
      </c>
      <c r="S200" s="23" t="n">
        <f>IF(J200&gt;0,MAX(L200-J200,0),L200)</f>
        <v>0</v>
      </c>
    </row>
    <row r="201">
      <c r="A201" s="19" t="str">
        <v>德国区</v>
      </c>
      <c r="B201" s="19" t="str">
        <v>杜塞尔多夫16号仓</v>
      </c>
      <c r="C201" s="19" t="str">
        <v>包装组</v>
      </c>
      <c r="D201" s="21" t="n">
        <v>46199</v>
      </c>
      <c r="E201" s="19" t="str">
        <v>2026-06</v>
      </c>
      <c r="F201" s="19" t="str">
        <v>操作员</v>
      </c>
      <c r="G201" s="19" t="str">
        <v>德国区-灵活班次 / DE FLEX</v>
      </c>
      <c r="H201" s="23" t="n">
        <v>5</v>
      </c>
      <c r="I201" s="23" t="n">
        <v>0</v>
      </c>
      <c r="J201" s="23" t="n">
        <f>H201+I201</f>
        <v>5</v>
      </c>
      <c r="K201" s="23" t="n">
        <v>5</v>
      </c>
      <c r="L201" s="23" t="n">
        <v>5</v>
      </c>
      <c r="M201" s="23" t="n">
        <f>MIN(K201,J201)</f>
        <v>5</v>
      </c>
      <c r="N201" s="23" t="n">
        <f>MIN(L201,J201)</f>
        <v>5</v>
      </c>
      <c r="O201" s="25" t="n">
        <f>IF(K201=0,0,MIN(1,J201/K201))</f>
        <v>1</v>
      </c>
      <c r="P201" s="23" t="n">
        <f>IF(J201&gt;0,MAX(K201-J201,0),0)</f>
        <v>0</v>
      </c>
      <c r="Q201" s="23" t="n">
        <f>IF(J201=0,K201,0)</f>
        <v>0</v>
      </c>
      <c r="R201" s="23" t="n">
        <f>MAX(J201-K201,0)</f>
        <v>0</v>
      </c>
      <c r="S201" s="23" t="n">
        <f>IF(J201&gt;0,MAX(L201-J201,0),L201)</f>
        <v>0</v>
      </c>
    </row>
    <row r="202">
      <c r="A202" s="19" t="str">
        <v>德国区</v>
      </c>
      <c r="B202" s="19" t="str">
        <v>杜塞尔多夫16号仓</v>
      </c>
      <c r="C202" s="19" t="str">
        <v>售后组</v>
      </c>
      <c r="D202" s="21" t="n">
        <v>46139</v>
      </c>
      <c r="E202" s="19" t="str">
        <v>2026-04</v>
      </c>
      <c r="F202" s="19" t="str">
        <v>售后处理员</v>
      </c>
      <c r="G202" s="19" t="str">
        <v>德国区-灵活班次 / DE FLEX</v>
      </c>
      <c r="H202" s="23" t="n">
        <v>2</v>
      </c>
      <c r="I202" s="23" t="n">
        <v>0</v>
      </c>
      <c r="J202" s="23" t="n">
        <f>H202+I202</f>
        <v>2</v>
      </c>
      <c r="K202" s="23" t="n">
        <v>4</v>
      </c>
      <c r="L202" s="23" t="n">
        <v>2</v>
      </c>
      <c r="M202" s="23" t="n">
        <f>MIN(K202,J202)</f>
        <v>2</v>
      </c>
      <c r="N202" s="23" t="n">
        <f>MIN(L202,J202)</f>
        <v>2</v>
      </c>
      <c r="O202" s="25" t="n">
        <f>IF(K202=0,0,MIN(1,J202/K202))</f>
        <v>0.5</v>
      </c>
      <c r="P202" s="23" t="n">
        <f>IF(J202&gt;0,MAX(K202-J202,0),0)</f>
        <v>2</v>
      </c>
      <c r="Q202" s="23" t="n">
        <f>IF(J202=0,K202,0)</f>
        <v>0</v>
      </c>
      <c r="R202" s="23" t="n">
        <f>MAX(J202-K202,0)</f>
        <v>0</v>
      </c>
      <c r="S202" s="23" t="n">
        <f>IF(J202&gt;0,MAX(L202-J202,0),L202)</f>
        <v>0</v>
      </c>
    </row>
    <row r="203">
      <c r="A203" s="19" t="str">
        <v>德国区</v>
      </c>
      <c r="B203" s="19" t="str">
        <v>杜塞尔多夫16号仓</v>
      </c>
      <c r="C203" s="19" t="str">
        <v>售后组</v>
      </c>
      <c r="D203" s="21" t="n">
        <v>46146</v>
      </c>
      <c r="E203" s="19" t="str">
        <v>2026-05</v>
      </c>
      <c r="F203" s="19" t="str">
        <v>售后处理员</v>
      </c>
      <c r="G203" s="19" t="str">
        <v>德国区-灵活班次 / DE FLEX</v>
      </c>
      <c r="H203" s="23" t="n">
        <v>4</v>
      </c>
      <c r="I203" s="23" t="n">
        <v>0</v>
      </c>
      <c r="J203" s="23" t="n">
        <f>H203+I203</f>
        <v>4</v>
      </c>
      <c r="K203" s="23" t="n">
        <v>4</v>
      </c>
      <c r="L203" s="23" t="n">
        <v>0</v>
      </c>
      <c r="M203" s="23" t="n">
        <f>MIN(K203,J203)</f>
        <v>4</v>
      </c>
      <c r="N203" s="23" t="n">
        <f>MIN(L203,J203)</f>
        <v>0</v>
      </c>
      <c r="O203" s="25" t="n">
        <f>IF(K203=0,0,MIN(1,J203/K203))</f>
        <v>1</v>
      </c>
      <c r="P203" s="23" t="n">
        <f>IF(J203&gt;0,MAX(K203-J203,0),0)</f>
        <v>0</v>
      </c>
      <c r="Q203" s="23" t="n">
        <f>IF(J203=0,K203,0)</f>
        <v>0</v>
      </c>
      <c r="R203" s="23" t="n">
        <f>MAX(J203-K203,0)</f>
        <v>0</v>
      </c>
      <c r="S203" s="23" t="n">
        <f>IF(J203&gt;0,MAX(L203-J203,0),L203)</f>
        <v>0</v>
      </c>
    </row>
    <row r="204">
      <c r="A204" s="19" t="str">
        <v>德国区</v>
      </c>
      <c r="B204" s="19" t="str">
        <v>杜塞尔多夫16号仓</v>
      </c>
      <c r="C204" s="19" t="str">
        <v>售后组</v>
      </c>
      <c r="D204" s="21" t="n">
        <v>46147</v>
      </c>
      <c r="E204" s="19" t="str">
        <v>2026-05</v>
      </c>
      <c r="F204" s="19" t="str">
        <v>售后处理员</v>
      </c>
      <c r="G204" s="19" t="str">
        <v>德国区-灵活班次 / DE FLEX</v>
      </c>
      <c r="H204" s="23" t="n">
        <v>2</v>
      </c>
      <c r="I204" s="23" t="n">
        <v>0</v>
      </c>
      <c r="J204" s="23" t="n">
        <f>H204+I204</f>
        <v>2</v>
      </c>
      <c r="K204" s="23" t="n">
        <v>2</v>
      </c>
      <c r="L204" s="23" t="n">
        <v>2</v>
      </c>
      <c r="M204" s="23" t="n">
        <f>MIN(K204,J204)</f>
        <v>2</v>
      </c>
      <c r="N204" s="23" t="n">
        <f>MIN(L204,J204)</f>
        <v>2</v>
      </c>
      <c r="O204" s="25" t="n">
        <f>IF(K204=0,0,MIN(1,J204/K204))</f>
        <v>1</v>
      </c>
      <c r="P204" s="23" t="n">
        <f>IF(J204&gt;0,MAX(K204-J204,0),0)</f>
        <v>0</v>
      </c>
      <c r="Q204" s="23" t="n">
        <f>IF(J204=0,K204,0)</f>
        <v>0</v>
      </c>
      <c r="R204" s="23" t="n">
        <f>MAX(J204-K204,0)</f>
        <v>0</v>
      </c>
      <c r="S204" s="23" t="n">
        <f>IF(J204&gt;0,MAX(L204-J204,0),L204)</f>
        <v>0</v>
      </c>
    </row>
    <row r="205">
      <c r="A205" s="19" t="str">
        <v>德国区</v>
      </c>
      <c r="B205" s="19" t="str">
        <v>杜塞尔多夫16号仓</v>
      </c>
      <c r="C205" s="19" t="str">
        <v>售后组</v>
      </c>
      <c r="D205" s="21" t="n">
        <v>46148</v>
      </c>
      <c r="E205" s="19" t="str">
        <v>2026-05</v>
      </c>
      <c r="F205" s="19" t="str">
        <v>售后处理员</v>
      </c>
      <c r="G205" s="19" t="str">
        <v>德国区-灵活班次 / DE FLEX</v>
      </c>
      <c r="H205" s="23" t="n">
        <v>2</v>
      </c>
      <c r="I205" s="23" t="n">
        <v>0</v>
      </c>
      <c r="J205" s="23" t="n">
        <f>H205+I205</f>
        <v>2</v>
      </c>
      <c r="K205" s="23" t="n">
        <v>2</v>
      </c>
      <c r="L205" s="23" t="n">
        <v>2</v>
      </c>
      <c r="M205" s="23" t="n">
        <f>MIN(K205,J205)</f>
        <v>2</v>
      </c>
      <c r="N205" s="23" t="n">
        <f>MIN(L205,J205)</f>
        <v>2</v>
      </c>
      <c r="O205" s="25" t="n">
        <f>IF(K205=0,0,MIN(1,J205/K205))</f>
        <v>1</v>
      </c>
      <c r="P205" s="23" t="n">
        <f>IF(J205&gt;0,MAX(K205-J205,0),0)</f>
        <v>0</v>
      </c>
      <c r="Q205" s="23" t="n">
        <f>IF(J205=0,K205,0)</f>
        <v>0</v>
      </c>
      <c r="R205" s="23" t="n">
        <f>MAX(J205-K205,0)</f>
        <v>0</v>
      </c>
      <c r="S205" s="23" t="n">
        <f>IF(J205&gt;0,MAX(L205-J205,0),L205)</f>
        <v>0</v>
      </c>
    </row>
    <row r="206">
      <c r="A206" s="19" t="str">
        <v>德国区</v>
      </c>
      <c r="B206" s="19" t="str">
        <v>杜塞尔多夫16号仓</v>
      </c>
      <c r="C206" s="19" t="str">
        <v>售后组</v>
      </c>
      <c r="D206" s="21" t="n">
        <v>46149</v>
      </c>
      <c r="E206" s="19" t="str">
        <v>2026-05</v>
      </c>
      <c r="F206" s="19" t="str">
        <v>售后处理员</v>
      </c>
      <c r="G206" s="19" t="str">
        <v>德国区-灵活班次 / DE FLEX</v>
      </c>
      <c r="H206" s="23" t="n">
        <v>2</v>
      </c>
      <c r="I206" s="23" t="n">
        <v>0</v>
      </c>
      <c r="J206" s="23" t="n">
        <f>H206+I206</f>
        <v>2</v>
      </c>
      <c r="K206" s="23" t="n">
        <v>0</v>
      </c>
      <c r="L206" s="23" t="n">
        <v>0</v>
      </c>
      <c r="M206" s="23" t="n">
        <f>MIN(K206,J206)</f>
        <v>0</v>
      </c>
      <c r="N206" s="23" t="n">
        <f>MIN(L206,J206)</f>
        <v>0</v>
      </c>
      <c r="O206" s="25" t="n">
        <f>IF(K206=0,0,MIN(1,J206/K206))</f>
        <v>0</v>
      </c>
      <c r="P206" s="23" t="n">
        <f>IF(J206&gt;0,MAX(K206-J206,0),0)</f>
        <v>0</v>
      </c>
      <c r="Q206" s="23" t="n">
        <f>IF(J206=0,K206,0)</f>
        <v>0</v>
      </c>
      <c r="R206" s="23" t="n">
        <f>MAX(J206-K206,0)</f>
        <v>2</v>
      </c>
      <c r="S206" s="23" t="n">
        <f>IF(J206&gt;0,MAX(L206-J206,0),L206)</f>
        <v>0</v>
      </c>
    </row>
    <row r="207">
      <c r="A207" s="19" t="str">
        <v>德国区</v>
      </c>
      <c r="B207" s="19" t="str">
        <v>杜塞尔多夫16号仓</v>
      </c>
      <c r="C207" s="19" t="str">
        <v>售后组</v>
      </c>
      <c r="D207" s="21" t="n">
        <v>46150</v>
      </c>
      <c r="E207" s="19" t="str">
        <v>2026-05</v>
      </c>
      <c r="F207" s="19" t="str">
        <v>售后处理员</v>
      </c>
      <c r="G207" s="19" t="str">
        <v>德国区-灵活班次 / DE FLEX</v>
      </c>
      <c r="H207" s="23" t="n">
        <v>2</v>
      </c>
      <c r="I207" s="23" t="n">
        <v>0</v>
      </c>
      <c r="J207" s="23" t="n">
        <f>H207+I207</f>
        <v>2</v>
      </c>
      <c r="K207" s="23" t="n">
        <v>2</v>
      </c>
      <c r="L207" s="23" t="n">
        <v>1</v>
      </c>
      <c r="M207" s="23" t="n">
        <f>MIN(K207,J207)</f>
        <v>2</v>
      </c>
      <c r="N207" s="23" t="n">
        <f>MIN(L207,J207)</f>
        <v>1</v>
      </c>
      <c r="O207" s="25" t="n">
        <f>IF(K207=0,0,MIN(1,J207/K207))</f>
        <v>1</v>
      </c>
      <c r="P207" s="23" t="n">
        <f>IF(J207&gt;0,MAX(K207-J207,0),0)</f>
        <v>0</v>
      </c>
      <c r="Q207" s="23" t="n">
        <f>IF(J207=0,K207,0)</f>
        <v>0</v>
      </c>
      <c r="R207" s="23" t="n">
        <f>MAX(J207-K207,0)</f>
        <v>0</v>
      </c>
      <c r="S207" s="23" t="n">
        <f>IF(J207&gt;0,MAX(L207-J207,0),L207)</f>
        <v>0</v>
      </c>
    </row>
    <row r="208">
      <c r="A208" s="19" t="str">
        <v>德国区</v>
      </c>
      <c r="B208" s="19" t="str">
        <v>杜塞尔多夫16号仓</v>
      </c>
      <c r="C208" s="19" t="str">
        <v>售后组</v>
      </c>
      <c r="D208" s="21" t="n">
        <v>46163</v>
      </c>
      <c r="E208" s="19" t="str">
        <v>2026-05</v>
      </c>
      <c r="F208" s="19" t="str">
        <v>操作员</v>
      </c>
      <c r="G208" s="19" t="str">
        <v>德国区-灵活班次 / DE FLEX</v>
      </c>
      <c r="H208" s="23" t="n">
        <v>3</v>
      </c>
      <c r="I208" s="23" t="n">
        <v>0</v>
      </c>
      <c r="J208" s="23" t="n">
        <f>H208+I208</f>
        <v>3</v>
      </c>
      <c r="K208" s="23" t="n">
        <v>4</v>
      </c>
      <c r="L208" s="23" t="n">
        <v>4</v>
      </c>
      <c r="M208" s="23" t="n">
        <f>MIN(K208,J208)</f>
        <v>3</v>
      </c>
      <c r="N208" s="23" t="n">
        <f>MIN(L208,J208)</f>
        <v>3</v>
      </c>
      <c r="O208" s="25" t="n">
        <f>IF(K208=0,0,MIN(1,J208/K208))</f>
        <v>0.75</v>
      </c>
      <c r="P208" s="23" t="n">
        <f>IF(J208&gt;0,MAX(K208-J208,0),0)</f>
        <v>1</v>
      </c>
      <c r="Q208" s="23" t="n">
        <f>IF(J208=0,K208,0)</f>
        <v>0</v>
      </c>
      <c r="R208" s="23" t="n">
        <f>MAX(J208-K208,0)</f>
        <v>0</v>
      </c>
      <c r="S208" s="23" t="n">
        <f>IF(J208&gt;0,MAX(L208-J208,0),L208)</f>
        <v>1</v>
      </c>
    </row>
    <row r="209">
      <c r="A209" s="19" t="str">
        <v>德国区</v>
      </c>
      <c r="B209" s="19" t="str">
        <v>杜塞尔多夫16号仓</v>
      </c>
      <c r="C209" s="19" t="str">
        <v>售后组</v>
      </c>
      <c r="D209" s="21" t="n">
        <v>46164</v>
      </c>
      <c r="E209" s="19" t="str">
        <v>2026-05</v>
      </c>
      <c r="F209" s="19" t="str">
        <v>操作员</v>
      </c>
      <c r="G209" s="19" t="str">
        <v>德国区-灵活班次 / DE FLEX</v>
      </c>
      <c r="H209" s="23" t="n">
        <v>4</v>
      </c>
      <c r="I209" s="23" t="n">
        <v>0</v>
      </c>
      <c r="J209" s="23" t="n">
        <f>H209+I209</f>
        <v>4</v>
      </c>
      <c r="K209" s="23" t="n">
        <v>2</v>
      </c>
      <c r="L209" s="23" t="n">
        <v>2</v>
      </c>
      <c r="M209" s="23" t="n">
        <f>MIN(K209,J209)</f>
        <v>2</v>
      </c>
      <c r="N209" s="23" t="n">
        <f>MIN(L209,J209)</f>
        <v>2</v>
      </c>
      <c r="O209" s="25" t="n">
        <f>IF(K209=0,0,MIN(1,J209/K209))</f>
        <v>1</v>
      </c>
      <c r="P209" s="23" t="n">
        <f>IF(J209&gt;0,MAX(K209-J209,0),0)</f>
        <v>0</v>
      </c>
      <c r="Q209" s="23" t="n">
        <f>IF(J209=0,K209,0)</f>
        <v>0</v>
      </c>
      <c r="R209" s="23" t="n">
        <f>MAX(J209-K209,0)</f>
        <v>2</v>
      </c>
      <c r="S209" s="23" t="n">
        <f>IF(J209&gt;0,MAX(L209-J209,0),L209)</f>
        <v>0</v>
      </c>
    </row>
    <row r="210">
      <c r="A210" s="19" t="str">
        <v>德国区</v>
      </c>
      <c r="B210" s="19" t="str">
        <v>杜塞尔多夫16号仓</v>
      </c>
      <c r="C210" s="19" t="str">
        <v>售后组</v>
      </c>
      <c r="D210" s="21" t="n">
        <v>46174</v>
      </c>
      <c r="E210" s="19" t="str">
        <v>2026-06</v>
      </c>
      <c r="F210" s="19" t="str">
        <v>保洁员</v>
      </c>
      <c r="G210" s="19" t="str">
        <v>德国区-灵活班次 / DE FLEX</v>
      </c>
      <c r="H210" s="23" t="n">
        <v>1</v>
      </c>
      <c r="I210" s="23" t="n">
        <v>0</v>
      </c>
      <c r="J210" s="23" t="n">
        <f>H210+I210</f>
        <v>1</v>
      </c>
      <c r="K210" s="23" t="n">
        <v>1</v>
      </c>
      <c r="L210" s="23" t="n">
        <v>1</v>
      </c>
      <c r="M210" s="23" t="n">
        <f>MIN(K210,J210)</f>
        <v>1</v>
      </c>
      <c r="N210" s="23" t="n">
        <f>MIN(L210,J210)</f>
        <v>1</v>
      </c>
      <c r="O210" s="25" t="n">
        <f>IF(K210=0,0,MIN(1,J210/K210))</f>
        <v>1</v>
      </c>
      <c r="P210" s="23" t="n">
        <f>IF(J210&gt;0,MAX(K210-J210,0),0)</f>
        <v>0</v>
      </c>
      <c r="Q210" s="23" t="n">
        <f>IF(J210=0,K210,0)</f>
        <v>0</v>
      </c>
      <c r="R210" s="23" t="n">
        <f>MAX(J210-K210,0)</f>
        <v>0</v>
      </c>
      <c r="S210" s="23" t="n">
        <f>IF(J210&gt;0,MAX(L210-J210,0),L210)</f>
        <v>0</v>
      </c>
    </row>
    <row r="211">
      <c r="A211" s="19" t="str">
        <v>德国区</v>
      </c>
      <c r="B211" s="19" t="str">
        <v>杜塞尔多夫16号仓</v>
      </c>
      <c r="C211" s="19" t="str">
        <v>售后组</v>
      </c>
      <c r="D211" s="21" t="n">
        <v>46175</v>
      </c>
      <c r="E211" s="19" t="str">
        <v>2026-06</v>
      </c>
      <c r="F211" s="19" t="str">
        <v>保洁员</v>
      </c>
      <c r="G211" s="19" t="str">
        <v>德国区-灵活班次 / DE FLEX</v>
      </c>
      <c r="H211" s="23" t="n">
        <v>1</v>
      </c>
      <c r="I211" s="23" t="n">
        <v>0</v>
      </c>
      <c r="J211" s="23" t="n">
        <f>H211+I211</f>
        <v>1</v>
      </c>
      <c r="K211" s="23" t="n">
        <v>0</v>
      </c>
      <c r="L211" s="23" t="n">
        <v>0</v>
      </c>
      <c r="M211" s="23" t="n">
        <f>MIN(K211,J211)</f>
        <v>0</v>
      </c>
      <c r="N211" s="23" t="n">
        <f>MIN(L211,J211)</f>
        <v>0</v>
      </c>
      <c r="O211" s="25" t="n">
        <f>IF(K211=0,0,MIN(1,J211/K211))</f>
        <v>0</v>
      </c>
      <c r="P211" s="23" t="n">
        <f>IF(J211&gt;0,MAX(K211-J211,0),0)</f>
        <v>0</v>
      </c>
      <c r="Q211" s="23" t="n">
        <f>IF(J211=0,K211,0)</f>
        <v>0</v>
      </c>
      <c r="R211" s="23" t="n">
        <f>MAX(J211-K211,0)</f>
        <v>1</v>
      </c>
      <c r="S211" s="23" t="n">
        <f>IF(J211&gt;0,MAX(L211-J211,0),L211)</f>
        <v>0</v>
      </c>
    </row>
    <row r="212">
      <c r="A212" s="19" t="str">
        <v>德国区</v>
      </c>
      <c r="B212" s="19" t="str">
        <v>杜塞尔多夫16号仓</v>
      </c>
      <c r="C212" s="19" t="str">
        <v>售后组</v>
      </c>
      <c r="D212" s="21" t="n">
        <v>46182</v>
      </c>
      <c r="E212" s="19" t="str">
        <v>2026-06</v>
      </c>
      <c r="F212" s="19" t="str">
        <v>操作员</v>
      </c>
      <c r="G212" s="19" t="str">
        <v>德国区7：30点班次</v>
      </c>
      <c r="H212" s="23" t="n">
        <v>1</v>
      </c>
      <c r="I212" s="23" t="n">
        <v>0</v>
      </c>
      <c r="J212" s="23" t="n">
        <f>H212+I212</f>
        <v>1</v>
      </c>
      <c r="K212" s="23" t="n">
        <v>2</v>
      </c>
      <c r="L212" s="23" t="n">
        <v>2</v>
      </c>
      <c r="M212" s="23" t="n">
        <f>MIN(K212,J212)</f>
        <v>1</v>
      </c>
      <c r="N212" s="23" t="n">
        <f>MIN(L212,J212)</f>
        <v>1</v>
      </c>
      <c r="O212" s="25" t="n">
        <f>IF(K212=0,0,MIN(1,J212/K212))</f>
        <v>0.5</v>
      </c>
      <c r="P212" s="23" t="n">
        <f>IF(J212&gt;0,MAX(K212-J212,0),0)</f>
        <v>1</v>
      </c>
      <c r="Q212" s="23" t="n">
        <f>IF(J212=0,K212,0)</f>
        <v>0</v>
      </c>
      <c r="R212" s="23" t="n">
        <f>MAX(J212-K212,0)</f>
        <v>0</v>
      </c>
      <c r="S212" s="23" t="n">
        <f>IF(J212&gt;0,MAX(L212-J212,0),L212)</f>
        <v>1</v>
      </c>
    </row>
    <row r="213">
      <c r="A213" s="19" t="str">
        <v>德国区</v>
      </c>
      <c r="B213" s="19" t="str">
        <v>杜塞尔多夫16号仓</v>
      </c>
      <c r="C213" s="19" t="str">
        <v>售后组</v>
      </c>
      <c r="D213" s="21" t="n">
        <v>46183</v>
      </c>
      <c r="E213" s="19" t="str">
        <v>2026-06</v>
      </c>
      <c r="F213" s="19" t="str">
        <v>操作员</v>
      </c>
      <c r="G213" s="19" t="str">
        <v>德国区7：30点班次</v>
      </c>
      <c r="H213" s="23" t="n">
        <v>1</v>
      </c>
      <c r="I213" s="23" t="n">
        <v>0</v>
      </c>
      <c r="J213" s="23" t="n">
        <f>H213+I213</f>
        <v>1</v>
      </c>
      <c r="K213" s="23" t="n">
        <v>1</v>
      </c>
      <c r="L213" s="23" t="n">
        <v>1</v>
      </c>
      <c r="M213" s="23" t="n">
        <f>MIN(K213,J213)</f>
        <v>1</v>
      </c>
      <c r="N213" s="23" t="n">
        <f>MIN(L213,J213)</f>
        <v>1</v>
      </c>
      <c r="O213" s="25" t="n">
        <f>IF(K213=0,0,MIN(1,J213/K213))</f>
        <v>1</v>
      </c>
      <c r="P213" s="23" t="n">
        <f>IF(J213&gt;0,MAX(K213-J213,0),0)</f>
        <v>0</v>
      </c>
      <c r="Q213" s="23" t="n">
        <f>IF(J213=0,K213,0)</f>
        <v>0</v>
      </c>
      <c r="R213" s="23" t="n">
        <f>MAX(J213-K213,0)</f>
        <v>0</v>
      </c>
      <c r="S213" s="23" t="n">
        <f>IF(J213&gt;0,MAX(L213-J213,0),L213)</f>
        <v>0</v>
      </c>
    </row>
    <row r="214">
      <c r="A214" s="19" t="str">
        <v>德国区</v>
      </c>
      <c r="B214" s="19" t="str">
        <v>杜塞尔多夫16号仓</v>
      </c>
      <c r="C214" s="19" t="str">
        <v>售后组</v>
      </c>
      <c r="D214" s="21" t="n">
        <v>46184</v>
      </c>
      <c r="E214" s="19" t="str">
        <v>2026-06</v>
      </c>
      <c r="F214" s="19" t="str">
        <v>操作员</v>
      </c>
      <c r="G214" s="19" t="str">
        <v>德国区7：30点班次</v>
      </c>
      <c r="H214" s="23" t="n">
        <v>1</v>
      </c>
      <c r="I214" s="23" t="n">
        <v>0</v>
      </c>
      <c r="J214" s="23" t="n">
        <f>H214+I214</f>
        <v>1</v>
      </c>
      <c r="K214" s="23" t="n">
        <v>5</v>
      </c>
      <c r="L214" s="23" t="n">
        <v>5</v>
      </c>
      <c r="M214" s="23" t="n">
        <f>MIN(K214,J214)</f>
        <v>1</v>
      </c>
      <c r="N214" s="23" t="n">
        <f>MIN(L214,J214)</f>
        <v>1</v>
      </c>
      <c r="O214" s="25" t="n">
        <f>IF(K214=0,0,MIN(1,J214/K214))</f>
        <v>0.2</v>
      </c>
      <c r="P214" s="23" t="n">
        <f>IF(J214&gt;0,MAX(K214-J214,0),0)</f>
        <v>4</v>
      </c>
      <c r="Q214" s="23" t="n">
        <f>IF(J214=0,K214,0)</f>
        <v>0</v>
      </c>
      <c r="R214" s="23" t="n">
        <f>MAX(J214-K214,0)</f>
        <v>0</v>
      </c>
      <c r="S214" s="23" t="n">
        <f>IF(J214&gt;0,MAX(L214-J214,0),L214)</f>
        <v>4</v>
      </c>
    </row>
    <row r="215">
      <c r="A215" s="19" t="str">
        <v>德国区</v>
      </c>
      <c r="B215" s="19" t="str">
        <v>杜塞尔多夫16号仓</v>
      </c>
      <c r="C215" s="19" t="str">
        <v>售后组</v>
      </c>
      <c r="D215" s="21" t="n">
        <v>46203</v>
      </c>
      <c r="E215" s="19" t="str">
        <v>2026-06</v>
      </c>
      <c r="F215" s="19" t="str">
        <v>保洁员</v>
      </c>
      <c r="G215" s="19" t="str">
        <v>德国区-灵活班次 / DE FLEX</v>
      </c>
      <c r="H215" s="23" t="n">
        <v>1</v>
      </c>
      <c r="I215" s="23" t="n">
        <v>0</v>
      </c>
      <c r="J215" s="23" t="n">
        <f>H215+I215</f>
        <v>1</v>
      </c>
      <c r="K215" s="23" t="n">
        <v>2</v>
      </c>
      <c r="L215" s="23" t="n">
        <v>2</v>
      </c>
      <c r="M215" s="23" t="n">
        <f>MIN(K215,J215)</f>
        <v>1</v>
      </c>
      <c r="N215" s="23" t="n">
        <f>MIN(L215,J215)</f>
        <v>1</v>
      </c>
      <c r="O215" s="25" t="n">
        <f>IF(K215=0,0,MIN(1,J215/K215))</f>
        <v>0.5</v>
      </c>
      <c r="P215" s="23" t="n">
        <f>IF(J215&gt;0,MAX(K215-J215,0),0)</f>
        <v>1</v>
      </c>
      <c r="Q215" s="23" t="n">
        <f>IF(J215=0,K215,0)</f>
        <v>0</v>
      </c>
      <c r="R215" s="23" t="n">
        <f>MAX(J215-K215,0)</f>
        <v>0</v>
      </c>
      <c r="S215" s="23" t="n">
        <f>IF(J215&gt;0,MAX(L215-J215,0),L215)</f>
        <v>1</v>
      </c>
    </row>
    <row r="216">
      <c r="A216" s="19" t="str">
        <v>德国区</v>
      </c>
      <c r="B216" s="19" t="str">
        <v>杜塞尔多夫16号仓</v>
      </c>
      <c r="C216" s="19" t="str">
        <v>拣货组</v>
      </c>
      <c r="D216" s="21" t="n">
        <v>46139</v>
      </c>
      <c r="E216" s="19" t="str">
        <v>2026-04</v>
      </c>
      <c r="F216" s="19" t="str">
        <v>操作员</v>
      </c>
      <c r="G216" s="19" t="str">
        <v>德国区-灵活班次 / DE FLEX</v>
      </c>
      <c r="H216" s="23" t="n">
        <v>3</v>
      </c>
      <c r="I216" s="23" t="n">
        <v>0</v>
      </c>
      <c r="J216" s="23" t="n">
        <f>H216+I216</f>
        <v>3</v>
      </c>
      <c r="K216" s="23" t="n">
        <v>0</v>
      </c>
      <c r="L216" s="23" t="n">
        <v>0</v>
      </c>
      <c r="M216" s="23" t="n">
        <f>MIN(K216,J216)</f>
        <v>0</v>
      </c>
      <c r="N216" s="23" t="n">
        <f>MIN(L216,J216)</f>
        <v>0</v>
      </c>
      <c r="O216" s="25" t="n">
        <f>IF(K216=0,0,MIN(1,J216/K216))</f>
        <v>0</v>
      </c>
      <c r="P216" s="23" t="n">
        <f>IF(J216&gt;0,MAX(K216-J216,0),0)</f>
        <v>0</v>
      </c>
      <c r="Q216" s="23" t="n">
        <f>IF(J216=0,K216,0)</f>
        <v>0</v>
      </c>
      <c r="R216" s="23" t="n">
        <f>MAX(J216-K216,0)</f>
        <v>3</v>
      </c>
      <c r="S216" s="23" t="n">
        <f>IF(J216&gt;0,MAX(L216-J216,0),L216)</f>
        <v>0</v>
      </c>
    </row>
    <row r="217">
      <c r="A217" s="19" t="str">
        <v>德国区</v>
      </c>
      <c r="B217" s="19" t="str">
        <v>杜塞尔多夫16号仓</v>
      </c>
      <c r="C217" s="19" t="str">
        <v>拣货组</v>
      </c>
      <c r="D217" s="21" t="n">
        <v>46140</v>
      </c>
      <c r="E217" s="19" t="str">
        <v>2026-04</v>
      </c>
      <c r="F217" s="19" t="str">
        <v>操作员</v>
      </c>
      <c r="G217" s="19" t="str">
        <v>德国区-灵活班次 / DE FLEX</v>
      </c>
      <c r="H217" s="23" t="n">
        <v>3</v>
      </c>
      <c r="I217" s="23" t="n">
        <v>0</v>
      </c>
      <c r="J217" s="23" t="n">
        <f>H217+I217</f>
        <v>3</v>
      </c>
      <c r="K217" s="23" t="n">
        <v>0</v>
      </c>
      <c r="L217" s="23" t="n">
        <v>0</v>
      </c>
      <c r="M217" s="23" t="n">
        <f>MIN(K217,J217)</f>
        <v>0</v>
      </c>
      <c r="N217" s="23" t="n">
        <f>MIN(L217,J217)</f>
        <v>0</v>
      </c>
      <c r="O217" s="25" t="n">
        <f>IF(K217=0,0,MIN(1,J217/K217))</f>
        <v>0</v>
      </c>
      <c r="P217" s="23" t="n">
        <f>IF(J217&gt;0,MAX(K217-J217,0),0)</f>
        <v>0</v>
      </c>
      <c r="Q217" s="23" t="n">
        <f>IF(J217=0,K217,0)</f>
        <v>0</v>
      </c>
      <c r="R217" s="23" t="n">
        <f>MAX(J217-K217,0)</f>
        <v>3</v>
      </c>
      <c r="S217" s="23" t="n">
        <f>IF(J217&gt;0,MAX(L217-J217,0),L217)</f>
        <v>0</v>
      </c>
    </row>
    <row r="218">
      <c r="A218" s="19" t="str">
        <v>德国区</v>
      </c>
      <c r="B218" s="19" t="str">
        <v>杜塞尔多夫16号仓</v>
      </c>
      <c r="C218" s="19" t="str">
        <v>拣货组</v>
      </c>
      <c r="D218" s="21" t="n">
        <v>46141</v>
      </c>
      <c r="E218" s="19" t="str">
        <v>2026-04</v>
      </c>
      <c r="F218" s="19" t="str">
        <v>操作员</v>
      </c>
      <c r="G218" s="19" t="str">
        <v>德国区-灵活班次 / DE FLEX</v>
      </c>
      <c r="H218" s="23" t="n">
        <v>3</v>
      </c>
      <c r="I218" s="23" t="n">
        <v>0</v>
      </c>
      <c r="J218" s="23" t="n">
        <f>H218+I218</f>
        <v>3</v>
      </c>
      <c r="K218" s="23" t="n">
        <v>0</v>
      </c>
      <c r="L218" s="23" t="n">
        <v>0</v>
      </c>
      <c r="M218" s="23" t="n">
        <f>MIN(K218,J218)</f>
        <v>0</v>
      </c>
      <c r="N218" s="23" t="n">
        <f>MIN(L218,J218)</f>
        <v>0</v>
      </c>
      <c r="O218" s="25" t="n">
        <f>IF(K218=0,0,MIN(1,J218/K218))</f>
        <v>0</v>
      </c>
      <c r="P218" s="23" t="n">
        <f>IF(J218&gt;0,MAX(K218-J218,0),0)</f>
        <v>0</v>
      </c>
      <c r="Q218" s="23" t="n">
        <f>IF(J218=0,K218,0)</f>
        <v>0</v>
      </c>
      <c r="R218" s="23" t="n">
        <f>MAX(J218-K218,0)</f>
        <v>3</v>
      </c>
      <c r="S218" s="23" t="n">
        <f>IF(J218&gt;0,MAX(L218-J218,0),L218)</f>
        <v>0</v>
      </c>
    </row>
    <row r="219">
      <c r="A219" s="19" t="str">
        <v>德国区</v>
      </c>
      <c r="B219" s="19" t="str">
        <v>杜塞尔多夫16号仓</v>
      </c>
      <c r="C219" s="19" t="str">
        <v>拣货组</v>
      </c>
      <c r="D219" s="21" t="n">
        <v>46142</v>
      </c>
      <c r="E219" s="19" t="str">
        <v>2026-04</v>
      </c>
      <c r="F219" s="19" t="str">
        <v>操作员</v>
      </c>
      <c r="G219" s="19" t="str">
        <v>德国区-灵活班次 / DE FLEX</v>
      </c>
      <c r="H219" s="23" t="n">
        <v>3</v>
      </c>
      <c r="I219" s="23" t="n">
        <v>0</v>
      </c>
      <c r="J219" s="23" t="n">
        <f>H219+I219</f>
        <v>3</v>
      </c>
      <c r="K219" s="23" t="n">
        <v>0</v>
      </c>
      <c r="L219" s="23" t="n">
        <v>0</v>
      </c>
      <c r="M219" s="23" t="n">
        <f>MIN(K219,J219)</f>
        <v>0</v>
      </c>
      <c r="N219" s="23" t="n">
        <f>MIN(L219,J219)</f>
        <v>0</v>
      </c>
      <c r="O219" s="25" t="n">
        <f>IF(K219=0,0,MIN(1,J219/K219))</f>
        <v>0</v>
      </c>
      <c r="P219" s="23" t="n">
        <f>IF(J219&gt;0,MAX(K219-J219,0),0)</f>
        <v>0</v>
      </c>
      <c r="Q219" s="23" t="n">
        <f>IF(J219=0,K219,0)</f>
        <v>0</v>
      </c>
      <c r="R219" s="23" t="n">
        <f>MAX(J219-K219,0)</f>
        <v>3</v>
      </c>
      <c r="S219" s="23" t="n">
        <f>IF(J219&gt;0,MAX(L219-J219,0),L219)</f>
        <v>0</v>
      </c>
    </row>
    <row r="220">
      <c r="A220" s="19" t="str">
        <v>德国区</v>
      </c>
      <c r="B220" s="19" t="str">
        <v>杜塞尔多夫16号仓</v>
      </c>
      <c r="C220" s="19" t="str">
        <v>拣货组</v>
      </c>
      <c r="D220" s="21" t="n">
        <v>46143</v>
      </c>
      <c r="E220" s="19" t="str">
        <v>2026-05</v>
      </c>
      <c r="F220" s="19" t="str">
        <v>操作员</v>
      </c>
      <c r="G220" s="19" t="str">
        <v>德国区-灵活班次 / DE FLEX</v>
      </c>
      <c r="H220" s="23" t="n">
        <v>3</v>
      </c>
      <c r="I220" s="23" t="n">
        <v>0</v>
      </c>
      <c r="J220" s="23" t="n">
        <f>H220+I220</f>
        <v>3</v>
      </c>
      <c r="K220" s="23" t="n">
        <v>0</v>
      </c>
      <c r="L220" s="23" t="n">
        <v>0</v>
      </c>
      <c r="M220" s="23" t="n">
        <f>MIN(K220,J220)</f>
        <v>0</v>
      </c>
      <c r="N220" s="23" t="n">
        <f>MIN(L220,J220)</f>
        <v>0</v>
      </c>
      <c r="O220" s="25" t="n">
        <f>IF(K220=0,0,MIN(1,J220/K220))</f>
        <v>0</v>
      </c>
      <c r="P220" s="23" t="n">
        <f>IF(J220&gt;0,MAX(K220-J220,0),0)</f>
        <v>0</v>
      </c>
      <c r="Q220" s="23" t="n">
        <f>IF(J220=0,K220,0)</f>
        <v>0</v>
      </c>
      <c r="R220" s="23" t="n">
        <f>MAX(J220-K220,0)</f>
        <v>3</v>
      </c>
      <c r="S220" s="23" t="n">
        <f>IF(J220&gt;0,MAX(L220-J220,0),L220)</f>
        <v>0</v>
      </c>
    </row>
    <row r="221">
      <c r="A221" s="19" t="str">
        <v>德国区</v>
      </c>
      <c r="B221" s="19" t="str">
        <v>杜塞尔多夫16号仓</v>
      </c>
      <c r="C221" s="19" t="str">
        <v>拣货组</v>
      </c>
      <c r="D221" s="21" t="n">
        <v>46144</v>
      </c>
      <c r="E221" s="19" t="str">
        <v>2026-05</v>
      </c>
      <c r="F221" s="19" t="str">
        <v>操作员</v>
      </c>
      <c r="G221" s="19" t="str">
        <v>德国区-灵活班次 / DE FLEX</v>
      </c>
      <c r="H221" s="23" t="n">
        <v>3</v>
      </c>
      <c r="I221" s="23" t="n">
        <v>0</v>
      </c>
      <c r="J221" s="23" t="n">
        <f>H221+I221</f>
        <v>3</v>
      </c>
      <c r="K221" s="23" t="n">
        <v>0</v>
      </c>
      <c r="L221" s="23" t="n">
        <v>0</v>
      </c>
      <c r="M221" s="23" t="n">
        <f>MIN(K221,J221)</f>
        <v>0</v>
      </c>
      <c r="N221" s="23" t="n">
        <f>MIN(L221,J221)</f>
        <v>0</v>
      </c>
      <c r="O221" s="25" t="n">
        <f>IF(K221=0,0,MIN(1,J221/K221))</f>
        <v>0</v>
      </c>
      <c r="P221" s="23" t="n">
        <f>IF(J221&gt;0,MAX(K221-J221,0),0)</f>
        <v>0</v>
      </c>
      <c r="Q221" s="23" t="n">
        <f>IF(J221=0,K221,0)</f>
        <v>0</v>
      </c>
      <c r="R221" s="23" t="n">
        <f>MAX(J221-K221,0)</f>
        <v>3</v>
      </c>
      <c r="S221" s="23" t="n">
        <f>IF(J221&gt;0,MAX(L221-J221,0),L221)</f>
        <v>0</v>
      </c>
    </row>
    <row r="222">
      <c r="A222" s="19" t="str">
        <v>德国区</v>
      </c>
      <c r="B222" s="19" t="str">
        <v>杜塞尔多夫16号仓</v>
      </c>
      <c r="C222" s="19" t="str">
        <v>拣货组</v>
      </c>
      <c r="D222" s="21" t="n">
        <v>46145</v>
      </c>
      <c r="E222" s="19" t="str">
        <v>2026-05</v>
      </c>
      <c r="F222" s="19" t="str">
        <v>操作员</v>
      </c>
      <c r="G222" s="19" t="str">
        <v>德国区-灵活班次 / DE FLEX</v>
      </c>
      <c r="H222" s="23" t="n">
        <v>3</v>
      </c>
      <c r="I222" s="23" t="n">
        <v>0</v>
      </c>
      <c r="J222" s="23" t="n">
        <f>H222+I222</f>
        <v>3</v>
      </c>
      <c r="K222" s="23" t="n">
        <v>0</v>
      </c>
      <c r="L222" s="23" t="n">
        <v>0</v>
      </c>
      <c r="M222" s="23" t="n">
        <f>MIN(K222,J222)</f>
        <v>0</v>
      </c>
      <c r="N222" s="23" t="n">
        <f>MIN(L222,J222)</f>
        <v>0</v>
      </c>
      <c r="O222" s="25" t="n">
        <f>IF(K222=0,0,MIN(1,J222/K222))</f>
        <v>0</v>
      </c>
      <c r="P222" s="23" t="n">
        <f>IF(J222&gt;0,MAX(K222-J222,0),0)</f>
        <v>0</v>
      </c>
      <c r="Q222" s="23" t="n">
        <f>IF(J222=0,K222,0)</f>
        <v>0</v>
      </c>
      <c r="R222" s="23" t="n">
        <f>MAX(J222-K222,0)</f>
        <v>3</v>
      </c>
      <c r="S222" s="23" t="n">
        <f>IF(J222&gt;0,MAX(L222-J222,0),L222)</f>
        <v>0</v>
      </c>
    </row>
    <row r="223">
      <c r="A223" s="19" t="str">
        <v>德国区</v>
      </c>
      <c r="B223" s="19" t="str">
        <v>杜塞尔多夫16号仓</v>
      </c>
      <c r="C223" s="19" t="str">
        <v>拣货组</v>
      </c>
      <c r="D223" s="21" t="n">
        <v>46146</v>
      </c>
      <c r="E223" s="19" t="str">
        <v>2026-05</v>
      </c>
      <c r="F223" s="19" t="str">
        <v>操作员</v>
      </c>
      <c r="G223" s="19" t="str">
        <v>德国区-灵活班次 / DE FLEX</v>
      </c>
      <c r="H223" s="23" t="n">
        <v>3</v>
      </c>
      <c r="I223" s="23" t="n">
        <v>0</v>
      </c>
      <c r="J223" s="23" t="n">
        <f>H223+I223</f>
        <v>3</v>
      </c>
      <c r="K223" s="23" t="n">
        <v>0</v>
      </c>
      <c r="L223" s="23" t="n">
        <v>0</v>
      </c>
      <c r="M223" s="23" t="n">
        <f>MIN(K223,J223)</f>
        <v>0</v>
      </c>
      <c r="N223" s="23" t="n">
        <f>MIN(L223,J223)</f>
        <v>0</v>
      </c>
      <c r="O223" s="25" t="n">
        <f>IF(K223=0,0,MIN(1,J223/K223))</f>
        <v>0</v>
      </c>
      <c r="P223" s="23" t="n">
        <f>IF(J223&gt;0,MAX(K223-J223,0),0)</f>
        <v>0</v>
      </c>
      <c r="Q223" s="23" t="n">
        <f>IF(J223=0,K223,0)</f>
        <v>0</v>
      </c>
      <c r="R223" s="23" t="n">
        <f>MAX(J223-K223,0)</f>
        <v>3</v>
      </c>
      <c r="S223" s="23" t="n">
        <f>IF(J223&gt;0,MAX(L223-J223,0),L223)</f>
        <v>0</v>
      </c>
    </row>
    <row r="224">
      <c r="A224" s="19" t="str">
        <v>德国区</v>
      </c>
      <c r="B224" s="19" t="str">
        <v>杜塞尔多夫16号仓</v>
      </c>
      <c r="C224" s="19" t="str">
        <v>拣货组</v>
      </c>
      <c r="D224" s="21" t="n">
        <v>46147</v>
      </c>
      <c r="E224" s="19" t="str">
        <v>2026-05</v>
      </c>
      <c r="F224" s="19" t="str">
        <v>操作员</v>
      </c>
      <c r="G224" s="19" t="str">
        <v>德国区-灵活班次 / DE FLEX</v>
      </c>
      <c r="H224" s="23" t="n">
        <v>3</v>
      </c>
      <c r="I224" s="23" t="n">
        <v>0</v>
      </c>
      <c r="J224" s="23" t="n">
        <f>H224+I224</f>
        <v>3</v>
      </c>
      <c r="K224" s="23" t="n">
        <v>0</v>
      </c>
      <c r="L224" s="23" t="n">
        <v>0</v>
      </c>
      <c r="M224" s="23" t="n">
        <f>MIN(K224,J224)</f>
        <v>0</v>
      </c>
      <c r="N224" s="23" t="n">
        <f>MIN(L224,J224)</f>
        <v>0</v>
      </c>
      <c r="O224" s="25" t="n">
        <f>IF(K224=0,0,MIN(1,J224/K224))</f>
        <v>0</v>
      </c>
      <c r="P224" s="23" t="n">
        <f>IF(J224&gt;0,MAX(K224-J224,0),0)</f>
        <v>0</v>
      </c>
      <c r="Q224" s="23" t="n">
        <f>IF(J224=0,K224,0)</f>
        <v>0</v>
      </c>
      <c r="R224" s="23" t="n">
        <f>MAX(J224-K224,0)</f>
        <v>3</v>
      </c>
      <c r="S224" s="23" t="n">
        <f>IF(J224&gt;0,MAX(L224-J224,0),L224)</f>
        <v>0</v>
      </c>
    </row>
    <row r="225">
      <c r="A225" s="19" t="str">
        <v>德国区</v>
      </c>
      <c r="B225" s="19" t="str">
        <v>杜塞尔多夫16号仓</v>
      </c>
      <c r="C225" s="19" t="str">
        <v>拣货组</v>
      </c>
      <c r="D225" s="21" t="n">
        <v>46148</v>
      </c>
      <c r="E225" s="19" t="str">
        <v>2026-05</v>
      </c>
      <c r="F225" s="19" t="str">
        <v>操作员</v>
      </c>
      <c r="G225" s="19" t="str">
        <v>德国区-灵活班次 / DE FLEX</v>
      </c>
      <c r="H225" s="23" t="n">
        <v>3</v>
      </c>
      <c r="I225" s="23" t="n">
        <v>0</v>
      </c>
      <c r="J225" s="23" t="n">
        <f>H225+I225</f>
        <v>3</v>
      </c>
      <c r="K225" s="23" t="n">
        <v>0</v>
      </c>
      <c r="L225" s="23" t="n">
        <v>0</v>
      </c>
      <c r="M225" s="23" t="n">
        <f>MIN(K225,J225)</f>
        <v>0</v>
      </c>
      <c r="N225" s="23" t="n">
        <f>MIN(L225,J225)</f>
        <v>0</v>
      </c>
      <c r="O225" s="25" t="n">
        <f>IF(K225=0,0,MIN(1,J225/K225))</f>
        <v>0</v>
      </c>
      <c r="P225" s="23" t="n">
        <f>IF(J225&gt;0,MAX(K225-J225,0),0)</f>
        <v>0</v>
      </c>
      <c r="Q225" s="23" t="n">
        <f>IF(J225=0,K225,0)</f>
        <v>0</v>
      </c>
      <c r="R225" s="23" t="n">
        <f>MAX(J225-K225,0)</f>
        <v>3</v>
      </c>
      <c r="S225" s="23" t="n">
        <f>IF(J225&gt;0,MAX(L225-J225,0),L225)</f>
        <v>0</v>
      </c>
    </row>
    <row r="226">
      <c r="A226" s="19" t="str">
        <v>德国区</v>
      </c>
      <c r="B226" s="19" t="str">
        <v>杜塞尔多夫16号仓</v>
      </c>
      <c r="C226" s="19" t="str">
        <v>拣货组</v>
      </c>
      <c r="D226" s="21" t="n">
        <v>46149</v>
      </c>
      <c r="E226" s="19" t="str">
        <v>2026-05</v>
      </c>
      <c r="F226" s="19" t="str">
        <v>操作员</v>
      </c>
      <c r="G226" s="19" t="str">
        <v>德国区-灵活班次 / DE FLEX</v>
      </c>
      <c r="H226" s="23" t="n">
        <v>3</v>
      </c>
      <c r="I226" s="23" t="n">
        <v>0</v>
      </c>
      <c r="J226" s="23" t="n">
        <f>H226+I226</f>
        <v>3</v>
      </c>
      <c r="K226" s="23" t="n">
        <v>0</v>
      </c>
      <c r="L226" s="23" t="n">
        <v>0</v>
      </c>
      <c r="M226" s="23" t="n">
        <f>MIN(K226,J226)</f>
        <v>0</v>
      </c>
      <c r="N226" s="23" t="n">
        <f>MIN(L226,J226)</f>
        <v>0</v>
      </c>
      <c r="O226" s="25" t="n">
        <f>IF(K226=0,0,MIN(1,J226/K226))</f>
        <v>0</v>
      </c>
      <c r="P226" s="23" t="n">
        <f>IF(J226&gt;0,MAX(K226-J226,0),0)</f>
        <v>0</v>
      </c>
      <c r="Q226" s="23" t="n">
        <f>IF(J226=0,K226,0)</f>
        <v>0</v>
      </c>
      <c r="R226" s="23" t="n">
        <f>MAX(J226-K226,0)</f>
        <v>3</v>
      </c>
      <c r="S226" s="23" t="n">
        <f>IF(J226&gt;0,MAX(L226-J226,0),L226)</f>
        <v>0</v>
      </c>
    </row>
    <row r="227">
      <c r="A227" s="19" t="str">
        <v>德国区</v>
      </c>
      <c r="B227" s="19" t="str">
        <v>杜塞尔多夫16号仓</v>
      </c>
      <c r="C227" s="19" t="str">
        <v>拣货组</v>
      </c>
      <c r="D227" s="21" t="n">
        <v>46150</v>
      </c>
      <c r="E227" s="19" t="str">
        <v>2026-05</v>
      </c>
      <c r="F227" s="19" t="str">
        <v>操作员</v>
      </c>
      <c r="G227" s="19" t="str">
        <v>德国区-灵活班次 / DE FLEX</v>
      </c>
      <c r="H227" s="23" t="n">
        <v>3</v>
      </c>
      <c r="I227" s="23" t="n">
        <v>0</v>
      </c>
      <c r="J227" s="23" t="n">
        <f>H227+I227</f>
        <v>3</v>
      </c>
      <c r="K227" s="23" t="n">
        <v>0</v>
      </c>
      <c r="L227" s="23" t="n">
        <v>0</v>
      </c>
      <c r="M227" s="23" t="n">
        <f>MIN(K227,J227)</f>
        <v>0</v>
      </c>
      <c r="N227" s="23" t="n">
        <f>MIN(L227,J227)</f>
        <v>0</v>
      </c>
      <c r="O227" s="25" t="n">
        <f>IF(K227=0,0,MIN(1,J227/K227))</f>
        <v>0</v>
      </c>
      <c r="P227" s="23" t="n">
        <f>IF(J227&gt;0,MAX(K227-J227,0),0)</f>
        <v>0</v>
      </c>
      <c r="Q227" s="23" t="n">
        <f>IF(J227=0,K227,0)</f>
        <v>0</v>
      </c>
      <c r="R227" s="23" t="n">
        <f>MAX(J227-K227,0)</f>
        <v>3</v>
      </c>
      <c r="S227" s="23" t="n">
        <f>IF(J227&gt;0,MAX(L227-J227,0),L227)</f>
        <v>0</v>
      </c>
    </row>
    <row r="228">
      <c r="A228" s="19" t="str">
        <v>德国区</v>
      </c>
      <c r="B228" s="19" t="str">
        <v>杜塞尔多夫16号仓</v>
      </c>
      <c r="C228" s="19" t="str">
        <v>拣货组</v>
      </c>
      <c r="D228" s="21" t="n">
        <v>46151</v>
      </c>
      <c r="E228" s="19" t="str">
        <v>2026-05</v>
      </c>
      <c r="F228" s="19" t="str">
        <v>操作员</v>
      </c>
      <c r="G228" s="19" t="str">
        <v>德国区-灵活班次 / DE FLEX</v>
      </c>
      <c r="H228" s="23" t="n">
        <v>3</v>
      </c>
      <c r="I228" s="23" t="n">
        <v>0</v>
      </c>
      <c r="J228" s="23" t="n">
        <f>H228+I228</f>
        <v>3</v>
      </c>
      <c r="K228" s="23" t="n">
        <v>0</v>
      </c>
      <c r="L228" s="23" t="n">
        <v>0</v>
      </c>
      <c r="M228" s="23" t="n">
        <f>MIN(K228,J228)</f>
        <v>0</v>
      </c>
      <c r="N228" s="23" t="n">
        <f>MIN(L228,J228)</f>
        <v>0</v>
      </c>
      <c r="O228" s="25" t="n">
        <f>IF(K228=0,0,MIN(1,J228/K228))</f>
        <v>0</v>
      </c>
      <c r="P228" s="23" t="n">
        <f>IF(J228&gt;0,MAX(K228-J228,0),0)</f>
        <v>0</v>
      </c>
      <c r="Q228" s="23" t="n">
        <f>IF(J228=0,K228,0)</f>
        <v>0</v>
      </c>
      <c r="R228" s="23" t="n">
        <f>MAX(J228-K228,0)</f>
        <v>3</v>
      </c>
      <c r="S228" s="23" t="n">
        <f>IF(J228&gt;0,MAX(L228-J228,0),L228)</f>
        <v>0</v>
      </c>
    </row>
    <row r="229">
      <c r="A229" s="19" t="str">
        <v>德国区</v>
      </c>
      <c r="B229" s="19" t="str">
        <v>杜塞尔多夫16号仓</v>
      </c>
      <c r="C229" s="19" t="str">
        <v>拣货组</v>
      </c>
      <c r="D229" s="21" t="n">
        <v>46178</v>
      </c>
      <c r="E229" s="19" t="str">
        <v>2026-06</v>
      </c>
      <c r="F229" s="19" t="str">
        <v>操作员</v>
      </c>
      <c r="G229" s="19" t="str">
        <v>德国区-灵活班次 / DE FLEX</v>
      </c>
      <c r="H229" s="23" t="n">
        <v>3</v>
      </c>
      <c r="I229" s="23" t="n">
        <v>0</v>
      </c>
      <c r="J229" s="23" t="n">
        <f>H229+I229</f>
        <v>3</v>
      </c>
      <c r="K229" s="23" t="n">
        <v>6</v>
      </c>
      <c r="L229" s="23" t="n">
        <v>6</v>
      </c>
      <c r="M229" s="23" t="n">
        <f>MIN(K229,J229)</f>
        <v>3</v>
      </c>
      <c r="N229" s="23" t="n">
        <f>MIN(L229,J229)</f>
        <v>3</v>
      </c>
      <c r="O229" s="25" t="n">
        <f>IF(K229=0,0,MIN(1,J229/K229))</f>
        <v>0.5</v>
      </c>
      <c r="P229" s="23" t="n">
        <f>IF(J229&gt;0,MAX(K229-J229,0),0)</f>
        <v>3</v>
      </c>
      <c r="Q229" s="23" t="n">
        <f>IF(J229=0,K229,0)</f>
        <v>0</v>
      </c>
      <c r="R229" s="23" t="n">
        <f>MAX(J229-K229,0)</f>
        <v>0</v>
      </c>
      <c r="S229" s="23" t="n">
        <f>IF(J229&gt;0,MAX(L229-J229,0),L229)</f>
        <v>3</v>
      </c>
    </row>
    <row r="230">
      <c r="A230" s="19" t="str">
        <v>德国区</v>
      </c>
      <c r="B230" s="19" t="str">
        <v>杜塞尔多夫16号仓</v>
      </c>
      <c r="C230" s="19" t="str">
        <v>拣货组</v>
      </c>
      <c r="D230" s="21" t="n">
        <v>46195</v>
      </c>
      <c r="E230" s="19" t="str">
        <v>2026-06</v>
      </c>
      <c r="F230" s="19" t="str">
        <v>操作员</v>
      </c>
      <c r="G230" s="19" t="str">
        <v>德国区-灵活班次 / DE FLEX</v>
      </c>
      <c r="H230" s="23" t="n">
        <v>10</v>
      </c>
      <c r="I230" s="23" t="n">
        <v>0</v>
      </c>
      <c r="J230" s="23" t="n">
        <f>H230+I230</f>
        <v>10</v>
      </c>
      <c r="K230" s="23" t="n">
        <v>3</v>
      </c>
      <c r="L230" s="23" t="n">
        <v>1</v>
      </c>
      <c r="M230" s="23" t="n">
        <f>MIN(K230,J230)</f>
        <v>3</v>
      </c>
      <c r="N230" s="23" t="n">
        <f>MIN(L230,J230)</f>
        <v>1</v>
      </c>
      <c r="O230" s="25" t="n">
        <f>IF(K230=0,0,MIN(1,J230/K230))</f>
        <v>1</v>
      </c>
      <c r="P230" s="23" t="n">
        <f>IF(J230&gt;0,MAX(K230-J230,0),0)</f>
        <v>0</v>
      </c>
      <c r="Q230" s="23" t="n">
        <f>IF(J230=0,K230,0)</f>
        <v>0</v>
      </c>
      <c r="R230" s="23" t="n">
        <f>MAX(J230-K230,0)</f>
        <v>7</v>
      </c>
      <c r="S230" s="23" t="n">
        <f>IF(J230&gt;0,MAX(L230-J230,0),L230)</f>
        <v>0</v>
      </c>
    </row>
    <row r="231">
      <c r="A231" s="19" t="str">
        <v>德国区</v>
      </c>
      <c r="B231" s="19" t="str">
        <v>杜塞尔多夫16号仓</v>
      </c>
      <c r="C231" s="19" t="str">
        <v>拣货组</v>
      </c>
      <c r="D231" s="21" t="n">
        <v>46196</v>
      </c>
      <c r="E231" s="19" t="str">
        <v>2026-06</v>
      </c>
      <c r="F231" s="19" t="str">
        <v>操作员</v>
      </c>
      <c r="G231" s="19" t="str">
        <v>德国区-灵活班次 / DE FLEX</v>
      </c>
      <c r="H231" s="23" t="n">
        <v>10</v>
      </c>
      <c r="I231" s="23" t="n">
        <v>0</v>
      </c>
      <c r="J231" s="23" t="n">
        <f>H231+I231</f>
        <v>10</v>
      </c>
      <c r="K231" s="23" t="n">
        <v>3</v>
      </c>
      <c r="L231" s="23" t="n">
        <v>1</v>
      </c>
      <c r="M231" s="23" t="n">
        <f>MIN(K231,J231)</f>
        <v>3</v>
      </c>
      <c r="N231" s="23" t="n">
        <f>MIN(L231,J231)</f>
        <v>1</v>
      </c>
      <c r="O231" s="25" t="n">
        <f>IF(K231=0,0,MIN(1,J231/K231))</f>
        <v>1</v>
      </c>
      <c r="P231" s="23" t="n">
        <f>IF(J231&gt;0,MAX(K231-J231,0),0)</f>
        <v>0</v>
      </c>
      <c r="Q231" s="23" t="n">
        <f>IF(J231=0,K231,0)</f>
        <v>0</v>
      </c>
      <c r="R231" s="23" t="n">
        <f>MAX(J231-K231,0)</f>
        <v>7</v>
      </c>
      <c r="S231" s="23" t="n">
        <f>IF(J231&gt;0,MAX(L231-J231,0),L231)</f>
        <v>0</v>
      </c>
    </row>
    <row r="232">
      <c r="A232" s="19" t="str">
        <v>德国区</v>
      </c>
      <c r="B232" s="19" t="str">
        <v>杜塞尔多夫16号仓</v>
      </c>
      <c r="C232" s="19" t="str">
        <v>拣货组</v>
      </c>
      <c r="D232" s="21" t="n">
        <v>46197</v>
      </c>
      <c r="E232" s="19" t="str">
        <v>2026-06</v>
      </c>
      <c r="F232" s="19" t="str">
        <v>操作员</v>
      </c>
      <c r="G232" s="19" t="str">
        <v>德国区-灵活班次 / DE FLEX</v>
      </c>
      <c r="H232" s="23" t="n">
        <v>10</v>
      </c>
      <c r="I232" s="23" t="n">
        <v>0</v>
      </c>
      <c r="J232" s="23" t="n">
        <f>H232+I232</f>
        <v>10</v>
      </c>
      <c r="K232" s="23" t="n">
        <v>3</v>
      </c>
      <c r="L232" s="23" t="n">
        <v>1</v>
      </c>
      <c r="M232" s="23" t="n">
        <f>MIN(K232,J232)</f>
        <v>3</v>
      </c>
      <c r="N232" s="23" t="n">
        <f>MIN(L232,J232)</f>
        <v>1</v>
      </c>
      <c r="O232" s="25" t="n">
        <f>IF(K232=0,0,MIN(1,J232/K232))</f>
        <v>1</v>
      </c>
      <c r="P232" s="23" t="n">
        <f>IF(J232&gt;0,MAX(K232-J232,0),0)</f>
        <v>0</v>
      </c>
      <c r="Q232" s="23" t="n">
        <f>IF(J232=0,K232,0)</f>
        <v>0</v>
      </c>
      <c r="R232" s="23" t="n">
        <f>MAX(J232-K232,0)</f>
        <v>7</v>
      </c>
      <c r="S232" s="23" t="n">
        <f>IF(J232&gt;0,MAX(L232-J232,0),L232)</f>
        <v>0</v>
      </c>
    </row>
    <row r="233">
      <c r="A233" s="19" t="str">
        <v>德国区</v>
      </c>
      <c r="B233" s="19" t="str">
        <v>杜塞尔多夫16号仓</v>
      </c>
      <c r="C233" s="19" t="str">
        <v>拣货组</v>
      </c>
      <c r="D233" s="21" t="n">
        <v>46198</v>
      </c>
      <c r="E233" s="19" t="str">
        <v>2026-06</v>
      </c>
      <c r="F233" s="19" t="str">
        <v>操作员</v>
      </c>
      <c r="G233" s="19" t="str">
        <v>德国区-灵活班次 / DE FLEX</v>
      </c>
      <c r="H233" s="23" t="n">
        <v>10</v>
      </c>
      <c r="I233" s="23" t="n">
        <v>0</v>
      </c>
      <c r="J233" s="23" t="n">
        <f>H233+I233</f>
        <v>10</v>
      </c>
      <c r="K233" s="23" t="n">
        <v>3</v>
      </c>
      <c r="L233" s="23" t="n">
        <v>1</v>
      </c>
      <c r="M233" s="23" t="n">
        <f>MIN(K233,J233)</f>
        <v>3</v>
      </c>
      <c r="N233" s="23" t="n">
        <f>MIN(L233,J233)</f>
        <v>1</v>
      </c>
      <c r="O233" s="25" t="n">
        <f>IF(K233=0,0,MIN(1,J233/K233))</f>
        <v>1</v>
      </c>
      <c r="P233" s="23" t="n">
        <f>IF(J233&gt;0,MAX(K233-J233,0),0)</f>
        <v>0</v>
      </c>
      <c r="Q233" s="23" t="n">
        <f>IF(J233=0,K233,0)</f>
        <v>0</v>
      </c>
      <c r="R233" s="23" t="n">
        <f>MAX(J233-K233,0)</f>
        <v>7</v>
      </c>
      <c r="S233" s="23" t="n">
        <f>IF(J233&gt;0,MAX(L233-J233,0),L233)</f>
        <v>0</v>
      </c>
    </row>
    <row r="234">
      <c r="A234" s="19" t="str">
        <v>德国区</v>
      </c>
      <c r="B234" s="19" t="str">
        <v>杜塞尔多夫16号仓</v>
      </c>
      <c r="C234" s="19" t="str">
        <v>拣货组</v>
      </c>
      <c r="D234" s="21" t="n">
        <v>46199</v>
      </c>
      <c r="E234" s="19" t="str">
        <v>2026-06</v>
      </c>
      <c r="F234" s="19" t="str">
        <v>操作员</v>
      </c>
      <c r="G234" s="19" t="str">
        <v>德国区-灵活班次 / DE FLEX</v>
      </c>
      <c r="H234" s="23" t="n">
        <v>10</v>
      </c>
      <c r="I234" s="23" t="n">
        <v>0</v>
      </c>
      <c r="J234" s="23" t="n">
        <f>H234+I234</f>
        <v>10</v>
      </c>
      <c r="K234" s="23" t="n">
        <v>3</v>
      </c>
      <c r="L234" s="23" t="n">
        <v>1</v>
      </c>
      <c r="M234" s="23" t="n">
        <f>MIN(K234,J234)</f>
        <v>3</v>
      </c>
      <c r="N234" s="23" t="n">
        <f>MIN(L234,J234)</f>
        <v>1</v>
      </c>
      <c r="O234" s="25" t="n">
        <f>IF(K234=0,0,MIN(1,J234/K234))</f>
        <v>1</v>
      </c>
      <c r="P234" s="23" t="n">
        <f>IF(J234&gt;0,MAX(K234-J234,0),0)</f>
        <v>0</v>
      </c>
      <c r="Q234" s="23" t="n">
        <f>IF(J234=0,K234,0)</f>
        <v>0</v>
      </c>
      <c r="R234" s="23" t="n">
        <f>MAX(J234-K234,0)</f>
        <v>7</v>
      </c>
      <c r="S234" s="23" t="n">
        <f>IF(J234&gt;0,MAX(L234-J234,0),L234)</f>
        <v>0</v>
      </c>
    </row>
    <row r="235">
      <c r="A235" s="19" t="str">
        <v>德国区</v>
      </c>
      <c r="B235" s="19" t="str">
        <v>杜塞尔多夫16号仓</v>
      </c>
      <c r="C235" s="19" t="str">
        <v>理货组</v>
      </c>
      <c r="D235" s="21" t="n">
        <v>46135</v>
      </c>
      <c r="E235" s="19" t="str">
        <v>2026-04</v>
      </c>
      <c r="F235" s="19" t="str">
        <v>保洁员</v>
      </c>
      <c r="G235" s="19" t="str">
        <v>德国区-灵活班次 / DE FLEX</v>
      </c>
      <c r="H235" s="23" t="n">
        <v>1</v>
      </c>
      <c r="I235" s="23" t="n">
        <v>0</v>
      </c>
      <c r="J235" s="23" t="n">
        <f>H235+I235</f>
        <v>1</v>
      </c>
      <c r="K235" s="23" t="n">
        <v>1</v>
      </c>
      <c r="L235" s="23" t="n">
        <v>1</v>
      </c>
      <c r="M235" s="23" t="n">
        <f>MIN(K235,J235)</f>
        <v>1</v>
      </c>
      <c r="N235" s="23" t="n">
        <f>MIN(L235,J235)</f>
        <v>1</v>
      </c>
      <c r="O235" s="25" t="n">
        <f>IF(K235=0,0,MIN(1,J235/K235))</f>
        <v>1</v>
      </c>
      <c r="P235" s="23" t="n">
        <f>IF(J235&gt;0,MAX(K235-J235,0),0)</f>
        <v>0</v>
      </c>
      <c r="Q235" s="23" t="n">
        <f>IF(J235=0,K235,0)</f>
        <v>0</v>
      </c>
      <c r="R235" s="23" t="n">
        <f>MAX(J235-K235,0)</f>
        <v>0</v>
      </c>
      <c r="S235" s="23" t="n">
        <f>IF(J235&gt;0,MAX(L235-J235,0),L235)</f>
        <v>0</v>
      </c>
    </row>
    <row r="236">
      <c r="A236" s="19" t="str">
        <v>德国区</v>
      </c>
      <c r="B236" s="19" t="str">
        <v>杜塞尔多夫16号仓</v>
      </c>
      <c r="C236" s="19" t="str">
        <v>理货组</v>
      </c>
      <c r="D236" s="21" t="n">
        <v>46157</v>
      </c>
      <c r="E236" s="19" t="str">
        <v>2026-05</v>
      </c>
      <c r="F236" s="19" t="str">
        <v>操作员</v>
      </c>
      <c r="G236" s="19" t="str">
        <v>德国区-灵活班次 / DE FLEX</v>
      </c>
      <c r="H236" s="23" t="n">
        <v>3</v>
      </c>
      <c r="I236" s="23" t="n">
        <v>0</v>
      </c>
      <c r="J236" s="23" t="n">
        <f>H236+I236</f>
        <v>3</v>
      </c>
      <c r="K236" s="23" t="n">
        <v>4</v>
      </c>
      <c r="L236" s="23" t="n">
        <v>4</v>
      </c>
      <c r="M236" s="23" t="n">
        <f>MIN(K236,J236)</f>
        <v>3</v>
      </c>
      <c r="N236" s="23" t="n">
        <f>MIN(L236,J236)</f>
        <v>3</v>
      </c>
      <c r="O236" s="25" t="n">
        <f>IF(K236=0,0,MIN(1,J236/K236))</f>
        <v>0.75</v>
      </c>
      <c r="P236" s="23" t="n">
        <f>IF(J236&gt;0,MAX(K236-J236,0),0)</f>
        <v>1</v>
      </c>
      <c r="Q236" s="23" t="n">
        <f>IF(J236=0,K236,0)</f>
        <v>0</v>
      </c>
      <c r="R236" s="23" t="n">
        <f>MAX(J236-K236,0)</f>
        <v>0</v>
      </c>
      <c r="S236" s="23" t="n">
        <f>IF(J236&gt;0,MAX(L236-J236,0),L236)</f>
        <v>1</v>
      </c>
    </row>
    <row r="237">
      <c r="A237" s="19" t="str">
        <v>德国区</v>
      </c>
      <c r="B237" s="19" t="str">
        <v>杜塞尔多夫16号仓</v>
      </c>
      <c r="C237" s="19" t="str">
        <v>理货组</v>
      </c>
      <c r="D237" s="21" t="n">
        <v>46161</v>
      </c>
      <c r="E237" s="19" t="str">
        <v>2026-05</v>
      </c>
      <c r="F237" s="19" t="str">
        <v>操作员</v>
      </c>
      <c r="G237" s="19" t="str">
        <v>德国区-灵活班次 / DE FLEX</v>
      </c>
      <c r="H237" s="23" t="n">
        <v>3</v>
      </c>
      <c r="I237" s="23" t="n">
        <v>0</v>
      </c>
      <c r="J237" s="23" t="n">
        <f>H237+I237</f>
        <v>3</v>
      </c>
      <c r="K237" s="23" t="n">
        <v>3</v>
      </c>
      <c r="L237" s="23" t="n">
        <v>3</v>
      </c>
      <c r="M237" s="23" t="n">
        <f>MIN(K237,J237)</f>
        <v>3</v>
      </c>
      <c r="N237" s="23" t="n">
        <f>MIN(L237,J237)</f>
        <v>3</v>
      </c>
      <c r="O237" s="25" t="n">
        <f>IF(K237=0,0,MIN(1,J237/K237))</f>
        <v>1</v>
      </c>
      <c r="P237" s="23" t="n">
        <f>IF(J237&gt;0,MAX(K237-J237,0),0)</f>
        <v>0</v>
      </c>
      <c r="Q237" s="23" t="n">
        <f>IF(J237=0,K237,0)</f>
        <v>0</v>
      </c>
      <c r="R237" s="23" t="n">
        <f>MAX(J237-K237,0)</f>
        <v>0</v>
      </c>
      <c r="S237" s="23" t="n">
        <f>IF(J237&gt;0,MAX(L237-J237,0),L237)</f>
        <v>0</v>
      </c>
    </row>
    <row r="238">
      <c r="A238" s="19" t="str">
        <v>德国区</v>
      </c>
      <c r="B238" s="19" t="str">
        <v>杜塞尔多夫16号仓</v>
      </c>
      <c r="C238" s="19" t="str">
        <v>理货组</v>
      </c>
      <c r="D238" s="21" t="n">
        <v>46163</v>
      </c>
      <c r="E238" s="19" t="str">
        <v>2026-05</v>
      </c>
      <c r="F238" s="19" t="str">
        <v>保洁员</v>
      </c>
      <c r="G238" s="19" t="str">
        <v>德国区-灵活班次 / DE FLEX</v>
      </c>
      <c r="H238" s="23" t="n">
        <v>1</v>
      </c>
      <c r="I238" s="23" t="n">
        <v>0</v>
      </c>
      <c r="J238" s="23" t="n">
        <f>H238+I238</f>
        <v>1</v>
      </c>
      <c r="K238" s="23" t="n">
        <v>0</v>
      </c>
      <c r="L238" s="23" t="n">
        <v>0</v>
      </c>
      <c r="M238" s="23" t="n">
        <f>MIN(K238,J238)</f>
        <v>0</v>
      </c>
      <c r="N238" s="23" t="n">
        <f>MIN(L238,J238)</f>
        <v>0</v>
      </c>
      <c r="O238" s="25" t="n">
        <f>IF(K238=0,0,MIN(1,J238/K238))</f>
        <v>0</v>
      </c>
      <c r="P238" s="23" t="n">
        <f>IF(J238&gt;0,MAX(K238-J238,0),0)</f>
        <v>0</v>
      </c>
      <c r="Q238" s="23" t="n">
        <f>IF(J238=0,K238,0)</f>
        <v>0</v>
      </c>
      <c r="R238" s="23" t="n">
        <f>MAX(J238-K238,0)</f>
        <v>1</v>
      </c>
      <c r="S238" s="23" t="n">
        <f>IF(J238&gt;0,MAX(L238-J238,0),L238)</f>
        <v>0</v>
      </c>
    </row>
    <row r="239">
      <c r="A239" s="19" t="str">
        <v>德国区</v>
      </c>
      <c r="B239" s="19" t="str">
        <v>杜塞尔多夫16号仓</v>
      </c>
      <c r="C239" s="19" t="str">
        <v>理货组</v>
      </c>
      <c r="D239" s="21" t="n">
        <v>46164</v>
      </c>
      <c r="E239" s="19" t="str">
        <v>2026-05</v>
      </c>
      <c r="F239" s="19" t="str">
        <v>保洁员</v>
      </c>
      <c r="G239" s="19" t="str">
        <v>德国区-灵活班次 / DE FLEX</v>
      </c>
      <c r="H239" s="23" t="n">
        <v>1</v>
      </c>
      <c r="I239" s="23" t="n">
        <v>0</v>
      </c>
      <c r="J239" s="23" t="n">
        <f>H239+I239</f>
        <v>1</v>
      </c>
      <c r="K239" s="23" t="n">
        <v>0</v>
      </c>
      <c r="L239" s="23" t="n">
        <v>0</v>
      </c>
      <c r="M239" s="23" t="n">
        <f>MIN(K239,J239)</f>
        <v>0</v>
      </c>
      <c r="N239" s="23" t="n">
        <f>MIN(L239,J239)</f>
        <v>0</v>
      </c>
      <c r="O239" s="25" t="n">
        <f>IF(K239=0,0,MIN(1,J239/K239))</f>
        <v>0</v>
      </c>
      <c r="P239" s="23" t="n">
        <f>IF(J239&gt;0,MAX(K239-J239,0),0)</f>
        <v>0</v>
      </c>
      <c r="Q239" s="23" t="n">
        <f>IF(J239=0,K239,0)</f>
        <v>0</v>
      </c>
      <c r="R239" s="23" t="n">
        <f>MAX(J239-K239,0)</f>
        <v>1</v>
      </c>
      <c r="S239" s="23" t="n">
        <f>IF(J239&gt;0,MAX(L239-J239,0),L239)</f>
        <v>0</v>
      </c>
    </row>
    <row r="240">
      <c r="A240" s="19" t="str">
        <v>德国区</v>
      </c>
      <c r="B240" s="19" t="str">
        <v>杜塞尔多夫16号仓</v>
      </c>
      <c r="C240" s="19" t="str">
        <v>理货组</v>
      </c>
      <c r="D240" s="21" t="n">
        <v>46178</v>
      </c>
      <c r="E240" s="19" t="str">
        <v>2026-06</v>
      </c>
      <c r="F240" s="19" t="str">
        <v>操作员</v>
      </c>
      <c r="G240" s="19" t="str">
        <v>德国区7：30点班次</v>
      </c>
      <c r="H240" s="23" t="n">
        <v>2</v>
      </c>
      <c r="I240" s="23" t="n">
        <v>0</v>
      </c>
      <c r="J240" s="23" t="n">
        <f>H240+I240</f>
        <v>2</v>
      </c>
      <c r="K240" s="23" t="n">
        <v>3</v>
      </c>
      <c r="L240" s="23" t="n">
        <v>3</v>
      </c>
      <c r="M240" s="23" t="n">
        <f>MIN(K240,J240)</f>
        <v>2</v>
      </c>
      <c r="N240" s="23" t="n">
        <f>MIN(L240,J240)</f>
        <v>2</v>
      </c>
      <c r="O240" s="25" t="n">
        <f>IF(K240=0,0,MIN(1,J240/K240))</f>
        <v>0.6666666666666666</v>
      </c>
      <c r="P240" s="23" t="n">
        <f>IF(J240&gt;0,MAX(K240-J240,0),0)</f>
        <v>1</v>
      </c>
      <c r="Q240" s="23" t="n">
        <f>IF(J240=0,K240,0)</f>
        <v>0</v>
      </c>
      <c r="R240" s="23" t="n">
        <f>MAX(J240-K240,0)</f>
        <v>0</v>
      </c>
      <c r="S240" s="23" t="n">
        <f>IF(J240&gt;0,MAX(L240-J240,0),L240)</f>
        <v>1</v>
      </c>
    </row>
    <row r="241">
      <c r="A241" s="19" t="str">
        <v>德国区</v>
      </c>
      <c r="B241" s="19" t="str">
        <v>杜塞尔多夫16号仓</v>
      </c>
      <c r="C241" s="19" t="str">
        <v>理货组</v>
      </c>
      <c r="D241" s="21" t="n">
        <v>46182</v>
      </c>
      <c r="E241" s="19" t="str">
        <v>2026-06</v>
      </c>
      <c r="F241" s="19" t="str">
        <v>操作员</v>
      </c>
      <c r="G241" s="19" t="str">
        <v>德国区-灵活班次 / DE FLEX</v>
      </c>
      <c r="H241" s="23" t="n">
        <v>3</v>
      </c>
      <c r="I241" s="23" t="n">
        <v>0</v>
      </c>
      <c r="J241" s="23" t="n">
        <f>H241+I241</f>
        <v>3</v>
      </c>
      <c r="K241" s="23" t="n">
        <v>10</v>
      </c>
      <c r="L241" s="23" t="n">
        <v>10</v>
      </c>
      <c r="M241" s="23" t="n">
        <f>MIN(K241,J241)</f>
        <v>3</v>
      </c>
      <c r="N241" s="23" t="n">
        <f>MIN(L241,J241)</f>
        <v>3</v>
      </c>
      <c r="O241" s="25" t="n">
        <f>IF(K241=0,0,MIN(1,J241/K241))</f>
        <v>0.3</v>
      </c>
      <c r="P241" s="23" t="n">
        <f>IF(J241&gt;0,MAX(K241-J241,0),0)</f>
        <v>7</v>
      </c>
      <c r="Q241" s="23" t="n">
        <f>IF(J241=0,K241,0)</f>
        <v>0</v>
      </c>
      <c r="R241" s="23" t="n">
        <f>MAX(J241-K241,0)</f>
        <v>0</v>
      </c>
      <c r="S241" s="23" t="n">
        <f>IF(J241&gt;0,MAX(L241-J241,0),L241)</f>
        <v>7</v>
      </c>
    </row>
    <row r="242">
      <c r="A242" s="19" t="str">
        <v>德国区</v>
      </c>
      <c r="B242" s="19" t="str">
        <v>杜塞尔多夫16号仓</v>
      </c>
      <c r="C242" s="19" t="str">
        <v>理货组</v>
      </c>
      <c r="D242" s="21" t="n">
        <v>46183</v>
      </c>
      <c r="E242" s="19" t="str">
        <v>2026-06</v>
      </c>
      <c r="F242" s="19" t="str">
        <v>操作员</v>
      </c>
      <c r="G242" s="19" t="str">
        <v>德国区-灵活班次 / DE FLEX</v>
      </c>
      <c r="H242" s="23" t="n">
        <v>3</v>
      </c>
      <c r="I242" s="23" t="n">
        <v>0</v>
      </c>
      <c r="J242" s="23" t="n">
        <f>H242+I242</f>
        <v>3</v>
      </c>
      <c r="K242" s="23" t="n">
        <v>5</v>
      </c>
      <c r="L242" s="23" t="n">
        <v>4</v>
      </c>
      <c r="M242" s="23" t="n">
        <f>MIN(K242,J242)</f>
        <v>3</v>
      </c>
      <c r="N242" s="23" t="n">
        <f>MIN(L242,J242)</f>
        <v>3</v>
      </c>
      <c r="O242" s="25" t="n">
        <f>IF(K242=0,0,MIN(1,J242/K242))</f>
        <v>0.6</v>
      </c>
      <c r="P242" s="23" t="n">
        <f>IF(J242&gt;0,MAX(K242-J242,0),0)</f>
        <v>2</v>
      </c>
      <c r="Q242" s="23" t="n">
        <f>IF(J242=0,K242,0)</f>
        <v>0</v>
      </c>
      <c r="R242" s="23" t="n">
        <f>MAX(J242-K242,0)</f>
        <v>0</v>
      </c>
      <c r="S242" s="23" t="n">
        <f>IF(J242&gt;0,MAX(L242-J242,0),L242)</f>
        <v>1</v>
      </c>
    </row>
    <row r="243">
      <c r="A243" s="19" t="str">
        <v>德国区</v>
      </c>
      <c r="B243" s="19" t="str">
        <v>杜塞尔多夫17号仓</v>
      </c>
      <c r="C243" s="19" t="str">
        <v>17仓-包装组</v>
      </c>
      <c r="D243" s="21" t="n">
        <v>46146</v>
      </c>
      <c r="E243" s="19" t="str">
        <v>2026-05</v>
      </c>
      <c r="F243" s="19" t="str">
        <v>操作员</v>
      </c>
      <c r="G243" s="19" t="str">
        <v>德国区-灵活班次 / DE FLEX</v>
      </c>
      <c r="H243" s="23" t="n">
        <v>5</v>
      </c>
      <c r="I243" s="23" t="n">
        <v>0</v>
      </c>
      <c r="J243" s="23" t="n">
        <f>H243+I243</f>
        <v>5</v>
      </c>
      <c r="K243" s="23" t="n">
        <v>5</v>
      </c>
      <c r="L243" s="23" t="n">
        <v>5</v>
      </c>
      <c r="M243" s="23" t="n">
        <f>MIN(K243,J243)</f>
        <v>5</v>
      </c>
      <c r="N243" s="23" t="n">
        <f>MIN(L243,J243)</f>
        <v>5</v>
      </c>
      <c r="O243" s="25" t="n">
        <f>IF(K243=0,0,MIN(1,J243/K243))</f>
        <v>1</v>
      </c>
      <c r="P243" s="23" t="n">
        <f>IF(J243&gt;0,MAX(K243-J243,0),0)</f>
        <v>0</v>
      </c>
      <c r="Q243" s="23" t="n">
        <f>IF(J243=0,K243,0)</f>
        <v>0</v>
      </c>
      <c r="R243" s="23" t="n">
        <f>MAX(J243-K243,0)</f>
        <v>0</v>
      </c>
      <c r="S243" s="23" t="n">
        <f>IF(J243&gt;0,MAX(L243-J243,0),L243)</f>
        <v>0</v>
      </c>
    </row>
    <row r="244">
      <c r="A244" s="19" t="str">
        <v>德国区</v>
      </c>
      <c r="B244" s="19" t="str">
        <v>杜塞尔多夫17号仓</v>
      </c>
      <c r="C244" s="19" t="str">
        <v>17仓-包装组</v>
      </c>
      <c r="D244" s="21" t="n">
        <v>46147</v>
      </c>
      <c r="E244" s="19" t="str">
        <v>2026-05</v>
      </c>
      <c r="F244" s="19" t="str">
        <v>操作员</v>
      </c>
      <c r="G244" s="19" t="str">
        <v>德国区-灵活班次 / DE FLEX</v>
      </c>
      <c r="H244" s="23" t="n">
        <v>5</v>
      </c>
      <c r="I244" s="23" t="n">
        <v>0</v>
      </c>
      <c r="J244" s="23" t="n">
        <f>H244+I244</f>
        <v>5</v>
      </c>
      <c r="K244" s="23" t="n">
        <v>5</v>
      </c>
      <c r="L244" s="23" t="n">
        <v>5</v>
      </c>
      <c r="M244" s="23" t="n">
        <f>MIN(K244,J244)</f>
        <v>5</v>
      </c>
      <c r="N244" s="23" t="n">
        <f>MIN(L244,J244)</f>
        <v>5</v>
      </c>
      <c r="O244" s="25" t="n">
        <f>IF(K244=0,0,MIN(1,J244/K244))</f>
        <v>1</v>
      </c>
      <c r="P244" s="23" t="n">
        <f>IF(J244&gt;0,MAX(K244-J244,0),0)</f>
        <v>0</v>
      </c>
      <c r="Q244" s="23" t="n">
        <f>IF(J244=0,K244,0)</f>
        <v>0</v>
      </c>
      <c r="R244" s="23" t="n">
        <f>MAX(J244-K244,0)</f>
        <v>0</v>
      </c>
      <c r="S244" s="23" t="n">
        <f>IF(J244&gt;0,MAX(L244-J244,0),L244)</f>
        <v>0</v>
      </c>
    </row>
    <row r="245">
      <c r="A245" s="19" t="str">
        <v>德国区</v>
      </c>
      <c r="B245" s="19" t="str">
        <v>杜塞尔多夫17号仓</v>
      </c>
      <c r="C245" s="19" t="str">
        <v>17仓-包装组</v>
      </c>
      <c r="D245" s="21" t="n">
        <v>46148</v>
      </c>
      <c r="E245" s="19" t="str">
        <v>2026-05</v>
      </c>
      <c r="F245" s="19" t="str">
        <v>操作员</v>
      </c>
      <c r="G245" s="19" t="str">
        <v>德国区-灵活班次 / DE FLEX</v>
      </c>
      <c r="H245" s="23" t="n">
        <v>9</v>
      </c>
      <c r="I245" s="23" t="n">
        <v>0</v>
      </c>
      <c r="J245" s="23" t="n">
        <f>H245+I245</f>
        <v>9</v>
      </c>
      <c r="K245" s="23" t="n">
        <v>9</v>
      </c>
      <c r="L245" s="23" t="n">
        <v>9</v>
      </c>
      <c r="M245" s="23" t="n">
        <f>MIN(K245,J245)</f>
        <v>9</v>
      </c>
      <c r="N245" s="23" t="n">
        <f>MIN(L245,J245)</f>
        <v>9</v>
      </c>
      <c r="O245" s="25" t="n">
        <f>IF(K245=0,0,MIN(1,J245/K245))</f>
        <v>1</v>
      </c>
      <c r="P245" s="23" t="n">
        <f>IF(J245&gt;0,MAX(K245-J245,0),0)</f>
        <v>0</v>
      </c>
      <c r="Q245" s="23" t="n">
        <f>IF(J245=0,K245,0)</f>
        <v>0</v>
      </c>
      <c r="R245" s="23" t="n">
        <f>MAX(J245-K245,0)</f>
        <v>0</v>
      </c>
      <c r="S245" s="23" t="n">
        <f>IF(J245&gt;0,MAX(L245-J245,0),L245)</f>
        <v>0</v>
      </c>
    </row>
    <row r="246">
      <c r="A246" s="19" t="str">
        <v>德国区</v>
      </c>
      <c r="B246" s="19" t="str">
        <v>杜塞尔多夫17号仓</v>
      </c>
      <c r="C246" s="19" t="str">
        <v>17仓-包装组</v>
      </c>
      <c r="D246" s="21" t="n">
        <v>46149</v>
      </c>
      <c r="E246" s="19" t="str">
        <v>2026-05</v>
      </c>
      <c r="F246" s="19" t="str">
        <v>操作员</v>
      </c>
      <c r="G246" s="19" t="str">
        <v>德国区-灵活班次 / DE FLEX</v>
      </c>
      <c r="H246" s="23" t="n">
        <v>1</v>
      </c>
      <c r="I246" s="23" t="n">
        <v>0</v>
      </c>
      <c r="J246" s="23" t="n">
        <f>H246+I246</f>
        <v>1</v>
      </c>
      <c r="K246" s="23" t="n">
        <v>1</v>
      </c>
      <c r="L246" s="23" t="n">
        <v>0</v>
      </c>
      <c r="M246" s="23" t="n">
        <f>MIN(K246,J246)</f>
        <v>1</v>
      </c>
      <c r="N246" s="23" t="n">
        <f>MIN(L246,J246)</f>
        <v>0</v>
      </c>
      <c r="O246" s="25" t="n">
        <f>IF(K246=0,0,MIN(1,J246/K246))</f>
        <v>1</v>
      </c>
      <c r="P246" s="23" t="n">
        <f>IF(J246&gt;0,MAX(K246-J246,0),0)</f>
        <v>0</v>
      </c>
      <c r="Q246" s="23" t="n">
        <f>IF(J246=0,K246,0)</f>
        <v>0</v>
      </c>
      <c r="R246" s="23" t="n">
        <f>MAX(J246-K246,0)</f>
        <v>0</v>
      </c>
      <c r="S246" s="23" t="n">
        <f>IF(J246&gt;0,MAX(L246-J246,0),L246)</f>
        <v>0</v>
      </c>
    </row>
    <row r="247">
      <c r="A247" s="19" t="str">
        <v>德国区</v>
      </c>
      <c r="B247" s="19" t="str">
        <v>杜塞尔多夫17号仓</v>
      </c>
      <c r="C247" s="19" t="str">
        <v>17仓-包装组</v>
      </c>
      <c r="D247" s="21" t="n">
        <v>46150</v>
      </c>
      <c r="E247" s="19" t="str">
        <v>2026-05</v>
      </c>
      <c r="F247" s="19" t="str">
        <v>操作员</v>
      </c>
      <c r="G247" s="19" t="str">
        <v>德国区-灵活班次 / DE FLEX</v>
      </c>
      <c r="H247" s="23" t="n">
        <v>1</v>
      </c>
      <c r="I247" s="23" t="n">
        <v>0</v>
      </c>
      <c r="J247" s="23" t="n">
        <f>H247+I247</f>
        <v>1</v>
      </c>
      <c r="K247" s="23" t="n">
        <v>1</v>
      </c>
      <c r="L247" s="23" t="n">
        <v>1</v>
      </c>
      <c r="M247" s="23" t="n">
        <f>MIN(K247,J247)</f>
        <v>1</v>
      </c>
      <c r="N247" s="23" t="n">
        <f>MIN(L247,J247)</f>
        <v>1</v>
      </c>
      <c r="O247" s="25" t="n">
        <f>IF(K247=0,0,MIN(1,J247/K247))</f>
        <v>1</v>
      </c>
      <c r="P247" s="23" t="n">
        <f>IF(J247&gt;0,MAX(K247-J247,0),0)</f>
        <v>0</v>
      </c>
      <c r="Q247" s="23" t="n">
        <f>IF(J247=0,K247,0)</f>
        <v>0</v>
      </c>
      <c r="R247" s="23" t="n">
        <f>MAX(J247-K247,0)</f>
        <v>0</v>
      </c>
      <c r="S247" s="23" t="n">
        <f>IF(J247&gt;0,MAX(L247-J247,0),L247)</f>
        <v>0</v>
      </c>
    </row>
    <row r="248">
      <c r="A248" s="19" t="str">
        <v>德国区</v>
      </c>
      <c r="B248" s="19" t="str">
        <v>杜塞尔多夫17号仓</v>
      </c>
      <c r="C248" s="19" t="str">
        <v>17仓-包装组</v>
      </c>
      <c r="D248" s="21" t="n">
        <v>46175</v>
      </c>
      <c r="E248" s="19" t="str">
        <v>2026-06</v>
      </c>
      <c r="F248" s="19" t="str">
        <v>操作员</v>
      </c>
      <c r="G248" s="19" t="str">
        <v>德国区-灵活班次 / DE FLEX</v>
      </c>
      <c r="H248" s="23" t="n">
        <v>1</v>
      </c>
      <c r="I248" s="23" t="n">
        <v>0</v>
      </c>
      <c r="J248" s="23" t="n">
        <f>H248+I248</f>
        <v>1</v>
      </c>
      <c r="K248" s="23" t="n">
        <v>0</v>
      </c>
      <c r="L248" s="23" t="n">
        <v>0</v>
      </c>
      <c r="M248" s="23" t="n">
        <f>MIN(K248,J248)</f>
        <v>0</v>
      </c>
      <c r="N248" s="23" t="n">
        <f>MIN(L248,J248)</f>
        <v>0</v>
      </c>
      <c r="O248" s="25" t="n">
        <f>IF(K248=0,0,MIN(1,J248/K248))</f>
        <v>0</v>
      </c>
      <c r="P248" s="23" t="n">
        <f>IF(J248&gt;0,MAX(K248-J248,0),0)</f>
        <v>0</v>
      </c>
      <c r="Q248" s="23" t="n">
        <f>IF(J248=0,K248,0)</f>
        <v>0</v>
      </c>
      <c r="R248" s="23" t="n">
        <f>MAX(J248-K248,0)</f>
        <v>1</v>
      </c>
      <c r="S248" s="23" t="n">
        <f>IF(J248&gt;0,MAX(L248-J248,0),L248)</f>
        <v>0</v>
      </c>
    </row>
    <row r="249">
      <c r="A249" s="19" t="str">
        <v>德国区</v>
      </c>
      <c r="B249" s="19" t="str">
        <v>杜塞尔多夫17号仓</v>
      </c>
      <c r="C249" s="19" t="str">
        <v>17仓-包装组</v>
      </c>
      <c r="D249" s="21" t="n">
        <v>46183</v>
      </c>
      <c r="E249" s="19" t="str">
        <v>2026-06</v>
      </c>
      <c r="F249" s="19" t="str">
        <v>操作员</v>
      </c>
      <c r="G249" s="19" t="str">
        <v>德国区-灵活班次 / DE FLEX</v>
      </c>
      <c r="H249" s="23" t="n">
        <v>0</v>
      </c>
      <c r="I249" s="23" t="n">
        <v>0</v>
      </c>
      <c r="J249" s="23" t="n">
        <f>H249+I249</f>
        <v>0</v>
      </c>
      <c r="K249" s="23" t="n">
        <v>3</v>
      </c>
      <c r="L249" s="23" t="n">
        <v>0</v>
      </c>
      <c r="M249" s="23" t="n">
        <f>MIN(K249,J249)</f>
        <v>0</v>
      </c>
      <c r="N249" s="23" t="n">
        <f>MIN(L249,J249)</f>
        <v>0</v>
      </c>
      <c r="O249" s="25" t="n">
        <f>IF(K249=0,0,MIN(1,J249/K249))</f>
        <v>0</v>
      </c>
      <c r="P249" s="23" t="n">
        <f>IF(J249&gt;0,MAX(K249-J249,0),0)</f>
        <v>0</v>
      </c>
      <c r="Q249" s="23" t="n">
        <f>IF(J249=0,K249,0)</f>
        <v>3</v>
      </c>
      <c r="R249" s="23" t="n">
        <f>MAX(J249-K249,0)</f>
        <v>0</v>
      </c>
      <c r="S249" s="23" t="n">
        <f>IF(J249&gt;0,MAX(L249-J249,0),L249)</f>
        <v>0</v>
      </c>
    </row>
    <row r="250">
      <c r="A250" s="19" t="str">
        <v>德国区</v>
      </c>
      <c r="B250" s="19" t="str">
        <v>杜塞尔多夫17号仓</v>
      </c>
      <c r="C250" s="19" t="str">
        <v>17仓-包装组</v>
      </c>
      <c r="D250" s="21" t="n">
        <v>46184</v>
      </c>
      <c r="E250" s="19" t="str">
        <v>2026-06</v>
      </c>
      <c r="F250" s="19" t="str">
        <v>操作员</v>
      </c>
      <c r="G250" s="19" t="str">
        <v>德国区-灵活班次 / DE FLEX</v>
      </c>
      <c r="H250" s="23" t="n">
        <v>0</v>
      </c>
      <c r="I250" s="23" t="n">
        <v>0</v>
      </c>
      <c r="J250" s="23" t="n">
        <f>H250+I250</f>
        <v>0</v>
      </c>
      <c r="K250" s="23" t="n">
        <v>3</v>
      </c>
      <c r="L250" s="23" t="n">
        <v>3</v>
      </c>
      <c r="M250" s="23" t="n">
        <f>MIN(K250,J250)</f>
        <v>0</v>
      </c>
      <c r="N250" s="23" t="n">
        <f>MIN(L250,J250)</f>
        <v>0</v>
      </c>
      <c r="O250" s="25" t="n">
        <f>IF(K250=0,0,MIN(1,J250/K250))</f>
        <v>0</v>
      </c>
      <c r="P250" s="23" t="n">
        <f>IF(J250&gt;0,MAX(K250-J250,0),0)</f>
        <v>0</v>
      </c>
      <c r="Q250" s="23" t="n">
        <f>IF(J250=0,K250,0)</f>
        <v>3</v>
      </c>
      <c r="R250" s="23" t="n">
        <f>MAX(J250-K250,0)</f>
        <v>0</v>
      </c>
      <c r="S250" s="23" t="n">
        <f>IF(J250&gt;0,MAX(L250-J250,0),L250)</f>
        <v>3</v>
      </c>
    </row>
    <row r="251">
      <c r="A251" s="19" t="str">
        <v>德国区</v>
      </c>
      <c r="B251" s="19" t="str">
        <v>杜塞尔多夫17号仓</v>
      </c>
      <c r="C251" s="19" t="str">
        <v>17仓-包装组</v>
      </c>
      <c r="D251" s="21" t="n">
        <v>46195</v>
      </c>
      <c r="E251" s="19" t="str">
        <v>2026-06</v>
      </c>
      <c r="F251" s="19" t="str">
        <v>操作员</v>
      </c>
      <c r="G251" s="19" t="str">
        <v>德国区-灵活班次 / DE FLEX</v>
      </c>
      <c r="H251" s="23" t="n">
        <v>6</v>
      </c>
      <c r="I251" s="23" t="n">
        <v>0</v>
      </c>
      <c r="J251" s="23" t="n">
        <f>H251+I251</f>
        <v>6</v>
      </c>
      <c r="K251" s="23" t="n">
        <v>0</v>
      </c>
      <c r="L251" s="23" t="n">
        <v>0</v>
      </c>
      <c r="M251" s="23" t="n">
        <f>MIN(K251,J251)</f>
        <v>0</v>
      </c>
      <c r="N251" s="23" t="n">
        <f>MIN(L251,J251)</f>
        <v>0</v>
      </c>
      <c r="O251" s="25" t="n">
        <f>IF(K251=0,0,MIN(1,J251/K251))</f>
        <v>0</v>
      </c>
      <c r="P251" s="23" t="n">
        <f>IF(J251&gt;0,MAX(K251-J251,0),0)</f>
        <v>0</v>
      </c>
      <c r="Q251" s="23" t="n">
        <f>IF(J251=0,K251,0)</f>
        <v>0</v>
      </c>
      <c r="R251" s="23" t="n">
        <f>MAX(J251-K251,0)</f>
        <v>6</v>
      </c>
      <c r="S251" s="23" t="n">
        <f>IF(J251&gt;0,MAX(L251-J251,0),L251)</f>
        <v>0</v>
      </c>
    </row>
    <row r="252">
      <c r="A252" s="19" t="str">
        <v>德国区</v>
      </c>
      <c r="B252" s="19" t="str">
        <v>杜塞尔多夫17号仓</v>
      </c>
      <c r="C252" s="19" t="str">
        <v>17仓-包装组</v>
      </c>
      <c r="D252" s="21" t="n">
        <v>46196</v>
      </c>
      <c r="E252" s="19" t="str">
        <v>2026-06</v>
      </c>
      <c r="F252" s="19" t="str">
        <v>操作员</v>
      </c>
      <c r="G252" s="19" t="str">
        <v>德国区-灵活班次 / DE FLEX</v>
      </c>
      <c r="H252" s="23" t="n">
        <v>6</v>
      </c>
      <c r="I252" s="23" t="n">
        <v>0</v>
      </c>
      <c r="J252" s="23" t="n">
        <f>H252+I252</f>
        <v>6</v>
      </c>
      <c r="K252" s="23" t="n">
        <v>4</v>
      </c>
      <c r="L252" s="23" t="n">
        <v>4</v>
      </c>
      <c r="M252" s="23" t="n">
        <f>MIN(K252,J252)</f>
        <v>4</v>
      </c>
      <c r="N252" s="23" t="n">
        <f>MIN(L252,J252)</f>
        <v>4</v>
      </c>
      <c r="O252" s="25" t="n">
        <f>IF(K252=0,0,MIN(1,J252/K252))</f>
        <v>1</v>
      </c>
      <c r="P252" s="23" t="n">
        <f>IF(J252&gt;0,MAX(K252-J252,0),0)</f>
        <v>0</v>
      </c>
      <c r="Q252" s="23" t="n">
        <f>IF(J252=0,K252,0)</f>
        <v>0</v>
      </c>
      <c r="R252" s="23" t="n">
        <f>MAX(J252-K252,0)</f>
        <v>2</v>
      </c>
      <c r="S252" s="23" t="n">
        <f>IF(J252&gt;0,MAX(L252-J252,0),L252)</f>
        <v>0</v>
      </c>
    </row>
    <row r="253">
      <c r="A253" s="19" t="str">
        <v>德国区</v>
      </c>
      <c r="B253" s="19" t="str">
        <v>杜塞尔多夫17号仓</v>
      </c>
      <c r="C253" s="19" t="str">
        <v>17仓-包装组</v>
      </c>
      <c r="D253" s="21" t="n">
        <v>46197</v>
      </c>
      <c r="E253" s="19" t="str">
        <v>2026-06</v>
      </c>
      <c r="F253" s="19" t="str">
        <v>操作员</v>
      </c>
      <c r="G253" s="19" t="str">
        <v>德国区-灵活班次 / DE FLEX</v>
      </c>
      <c r="H253" s="23" t="n">
        <v>6</v>
      </c>
      <c r="I253" s="23" t="n">
        <v>0</v>
      </c>
      <c r="J253" s="23" t="n">
        <f>H253+I253</f>
        <v>6</v>
      </c>
      <c r="K253" s="23" t="n">
        <v>4</v>
      </c>
      <c r="L253" s="23" t="n">
        <v>4</v>
      </c>
      <c r="M253" s="23" t="n">
        <f>MIN(K253,J253)</f>
        <v>4</v>
      </c>
      <c r="N253" s="23" t="n">
        <f>MIN(L253,J253)</f>
        <v>4</v>
      </c>
      <c r="O253" s="25" t="n">
        <f>IF(K253=0,0,MIN(1,J253/K253))</f>
        <v>1</v>
      </c>
      <c r="P253" s="23" t="n">
        <f>IF(J253&gt;0,MAX(K253-J253,0),0)</f>
        <v>0</v>
      </c>
      <c r="Q253" s="23" t="n">
        <f>IF(J253=0,K253,0)</f>
        <v>0</v>
      </c>
      <c r="R253" s="23" t="n">
        <f>MAX(J253-K253,0)</f>
        <v>2</v>
      </c>
      <c r="S253" s="23" t="n">
        <f>IF(J253&gt;0,MAX(L253-J253,0),L253)</f>
        <v>0</v>
      </c>
    </row>
    <row r="254">
      <c r="A254" s="19" t="str">
        <v>德国区</v>
      </c>
      <c r="B254" s="19" t="str">
        <v>杜塞尔多夫17号仓</v>
      </c>
      <c r="C254" s="19" t="str">
        <v>17仓-包装组</v>
      </c>
      <c r="D254" s="21" t="n">
        <v>46198</v>
      </c>
      <c r="E254" s="19" t="str">
        <v>2026-06</v>
      </c>
      <c r="F254" s="19" t="str">
        <v>操作员</v>
      </c>
      <c r="G254" s="19" t="str">
        <v>德国区-灵活班次 / DE FLEX</v>
      </c>
      <c r="H254" s="23" t="n">
        <v>6</v>
      </c>
      <c r="I254" s="23" t="n">
        <v>0</v>
      </c>
      <c r="J254" s="23" t="n">
        <f>H254+I254</f>
        <v>6</v>
      </c>
      <c r="K254" s="23" t="n">
        <v>0</v>
      </c>
      <c r="L254" s="23" t="n">
        <v>0</v>
      </c>
      <c r="M254" s="23" t="n">
        <f>MIN(K254,J254)</f>
        <v>0</v>
      </c>
      <c r="N254" s="23" t="n">
        <f>MIN(L254,J254)</f>
        <v>0</v>
      </c>
      <c r="O254" s="25" t="n">
        <f>IF(K254=0,0,MIN(1,J254/K254))</f>
        <v>0</v>
      </c>
      <c r="P254" s="23" t="n">
        <f>IF(J254&gt;0,MAX(K254-J254,0),0)</f>
        <v>0</v>
      </c>
      <c r="Q254" s="23" t="n">
        <f>IF(J254=0,K254,0)</f>
        <v>0</v>
      </c>
      <c r="R254" s="23" t="n">
        <f>MAX(J254-K254,0)</f>
        <v>6</v>
      </c>
      <c r="S254" s="23" t="n">
        <f>IF(J254&gt;0,MAX(L254-J254,0),L254)</f>
        <v>0</v>
      </c>
    </row>
    <row r="255">
      <c r="A255" s="19" t="str">
        <v>德国区</v>
      </c>
      <c r="B255" s="19" t="str">
        <v>杜塞尔多夫17号仓</v>
      </c>
      <c r="C255" s="19" t="str">
        <v>17仓-包装组</v>
      </c>
      <c r="D255" s="21" t="n">
        <v>46199</v>
      </c>
      <c r="E255" s="19" t="str">
        <v>2026-06</v>
      </c>
      <c r="F255" s="19" t="str">
        <v>操作员</v>
      </c>
      <c r="G255" s="19" t="str">
        <v>德国区-灵活班次 / DE FLEX</v>
      </c>
      <c r="H255" s="23" t="n">
        <v>6</v>
      </c>
      <c r="I255" s="23" t="n">
        <v>0</v>
      </c>
      <c r="J255" s="23" t="n">
        <f>H255+I255</f>
        <v>6</v>
      </c>
      <c r="K255" s="23" t="n">
        <v>0</v>
      </c>
      <c r="L255" s="23" t="n">
        <v>0</v>
      </c>
      <c r="M255" s="23" t="n">
        <f>MIN(K255,J255)</f>
        <v>0</v>
      </c>
      <c r="N255" s="23" t="n">
        <f>MIN(L255,J255)</f>
        <v>0</v>
      </c>
      <c r="O255" s="25" t="n">
        <f>IF(K255=0,0,MIN(1,J255/K255))</f>
        <v>0</v>
      </c>
      <c r="P255" s="23" t="n">
        <f>IF(J255&gt;0,MAX(K255-J255,0),0)</f>
        <v>0</v>
      </c>
      <c r="Q255" s="23" t="n">
        <f>IF(J255=0,K255,0)</f>
        <v>0</v>
      </c>
      <c r="R255" s="23" t="n">
        <f>MAX(J255-K255,0)</f>
        <v>6</v>
      </c>
      <c r="S255" s="23" t="n">
        <f>IF(J255&gt;0,MAX(L255-J255,0),L255)</f>
        <v>0</v>
      </c>
    </row>
    <row r="256">
      <c r="A256" s="19" t="str">
        <v>德国区</v>
      </c>
      <c r="B256" s="19" t="str">
        <v>杜塞尔多夫17号仓</v>
      </c>
      <c r="C256" s="19" t="str">
        <v>交运组</v>
      </c>
      <c r="D256" s="21" t="n">
        <v>46153</v>
      </c>
      <c r="E256" s="19" t="str">
        <v>2026-05</v>
      </c>
      <c r="F256" s="19" t="str">
        <v>操作员</v>
      </c>
      <c r="G256" s="19" t="str">
        <v>德国区-灵活班次 / DE FLEX</v>
      </c>
      <c r="H256" s="23" t="n">
        <v>5</v>
      </c>
      <c r="I256" s="23" t="n">
        <v>0</v>
      </c>
      <c r="J256" s="23" t="n">
        <f>H256+I256</f>
        <v>5</v>
      </c>
      <c r="K256" s="23" t="n">
        <v>5</v>
      </c>
      <c r="L256" s="23" t="n">
        <v>5</v>
      </c>
      <c r="M256" s="23" t="n">
        <f>MIN(K256,J256)</f>
        <v>5</v>
      </c>
      <c r="N256" s="23" t="n">
        <f>MIN(L256,J256)</f>
        <v>5</v>
      </c>
      <c r="O256" s="25" t="n">
        <f>IF(K256=0,0,MIN(1,J256/K256))</f>
        <v>1</v>
      </c>
      <c r="P256" s="23" t="n">
        <f>IF(J256&gt;0,MAX(K256-J256,0),0)</f>
        <v>0</v>
      </c>
      <c r="Q256" s="23" t="n">
        <f>IF(J256=0,K256,0)</f>
        <v>0</v>
      </c>
      <c r="R256" s="23" t="n">
        <f>MAX(J256-K256,0)</f>
        <v>0</v>
      </c>
      <c r="S256" s="23" t="n">
        <f>IF(J256&gt;0,MAX(L256-J256,0),L256)</f>
        <v>0</v>
      </c>
    </row>
    <row r="257">
      <c r="A257" s="19" t="str">
        <v>德国区</v>
      </c>
      <c r="B257" s="19" t="str">
        <v>杜塞尔多夫17号仓</v>
      </c>
      <c r="C257" s="19" t="str">
        <v>交运组</v>
      </c>
      <c r="D257" s="21" t="n">
        <v>46195</v>
      </c>
      <c r="E257" s="19" t="str">
        <v>2026-06</v>
      </c>
      <c r="F257" s="19" t="str">
        <v>操作员</v>
      </c>
      <c r="G257" s="19" t="str">
        <v>德国区-灵活班次 / DE FLEX</v>
      </c>
      <c r="H257" s="23" t="n">
        <v>1</v>
      </c>
      <c r="I257" s="23" t="n">
        <v>0</v>
      </c>
      <c r="J257" s="23" t="n">
        <f>H257+I257</f>
        <v>1</v>
      </c>
      <c r="K257" s="23" t="n">
        <v>0</v>
      </c>
      <c r="L257" s="23" t="n">
        <v>0</v>
      </c>
      <c r="M257" s="23" t="n">
        <f>MIN(K257,J257)</f>
        <v>0</v>
      </c>
      <c r="N257" s="23" t="n">
        <f>MIN(L257,J257)</f>
        <v>0</v>
      </c>
      <c r="O257" s="25" t="n">
        <f>IF(K257=0,0,MIN(1,J257/K257))</f>
        <v>0</v>
      </c>
      <c r="P257" s="23" t="n">
        <f>IF(J257&gt;0,MAX(K257-J257,0),0)</f>
        <v>0</v>
      </c>
      <c r="Q257" s="23" t="n">
        <f>IF(J257=0,K257,0)</f>
        <v>0</v>
      </c>
      <c r="R257" s="23" t="n">
        <f>MAX(J257-K257,0)</f>
        <v>1</v>
      </c>
      <c r="S257" s="23" t="n">
        <f>IF(J257&gt;0,MAX(L257-J257,0),L257)</f>
        <v>0</v>
      </c>
    </row>
    <row r="258">
      <c r="A258" s="19" t="str">
        <v>德国区</v>
      </c>
      <c r="B258" s="19" t="str">
        <v>杜塞尔多夫17号仓</v>
      </c>
      <c r="C258" s="19" t="str">
        <v>交运组</v>
      </c>
      <c r="D258" s="21" t="n">
        <v>46196</v>
      </c>
      <c r="E258" s="19" t="str">
        <v>2026-06</v>
      </c>
      <c r="F258" s="19" t="str">
        <v>操作员</v>
      </c>
      <c r="G258" s="19" t="str">
        <v>德国区-灵活班次 / DE FLEX</v>
      </c>
      <c r="H258" s="23" t="n">
        <v>1</v>
      </c>
      <c r="I258" s="23" t="n">
        <v>0</v>
      </c>
      <c r="J258" s="23" t="n">
        <f>H258+I258</f>
        <v>1</v>
      </c>
      <c r="K258" s="23" t="n">
        <v>4</v>
      </c>
      <c r="L258" s="23" t="n">
        <v>4</v>
      </c>
      <c r="M258" s="23" t="n">
        <f>MIN(K258,J258)</f>
        <v>1</v>
      </c>
      <c r="N258" s="23" t="n">
        <f>MIN(L258,J258)</f>
        <v>1</v>
      </c>
      <c r="O258" s="25" t="n">
        <f>IF(K258=0,0,MIN(1,J258/K258))</f>
        <v>0.25</v>
      </c>
      <c r="P258" s="23" t="n">
        <f>IF(J258&gt;0,MAX(K258-J258,0),0)</f>
        <v>3</v>
      </c>
      <c r="Q258" s="23" t="n">
        <f>IF(J258=0,K258,0)</f>
        <v>0</v>
      </c>
      <c r="R258" s="23" t="n">
        <f>MAX(J258-K258,0)</f>
        <v>0</v>
      </c>
      <c r="S258" s="23" t="n">
        <f>IF(J258&gt;0,MAX(L258-J258,0),L258)</f>
        <v>3</v>
      </c>
    </row>
    <row r="259">
      <c r="A259" s="19" t="str">
        <v>德国区</v>
      </c>
      <c r="B259" s="19" t="str">
        <v>杜塞尔多夫17号仓</v>
      </c>
      <c r="C259" s="19" t="str">
        <v>交运组</v>
      </c>
      <c r="D259" s="21" t="n">
        <v>46197</v>
      </c>
      <c r="E259" s="19" t="str">
        <v>2026-06</v>
      </c>
      <c r="F259" s="19" t="str">
        <v>操作员</v>
      </c>
      <c r="G259" s="19" t="str">
        <v>德国区-灵活班次 / DE FLEX</v>
      </c>
      <c r="H259" s="23" t="n">
        <v>1</v>
      </c>
      <c r="I259" s="23" t="n">
        <v>0</v>
      </c>
      <c r="J259" s="23" t="n">
        <f>H259+I259</f>
        <v>1</v>
      </c>
      <c r="K259" s="23" t="n">
        <v>2</v>
      </c>
      <c r="L259" s="23" t="n">
        <v>2</v>
      </c>
      <c r="M259" s="23" t="n">
        <f>MIN(K259,J259)</f>
        <v>1</v>
      </c>
      <c r="N259" s="23" t="n">
        <f>MIN(L259,J259)</f>
        <v>1</v>
      </c>
      <c r="O259" s="25" t="n">
        <f>IF(K259=0,0,MIN(1,J259/K259))</f>
        <v>0.5</v>
      </c>
      <c r="P259" s="23" t="n">
        <f>IF(J259&gt;0,MAX(K259-J259,0),0)</f>
        <v>1</v>
      </c>
      <c r="Q259" s="23" t="n">
        <f>IF(J259=0,K259,0)</f>
        <v>0</v>
      </c>
      <c r="R259" s="23" t="n">
        <f>MAX(J259-K259,0)</f>
        <v>0</v>
      </c>
      <c r="S259" s="23" t="n">
        <f>IF(J259&gt;0,MAX(L259-J259,0),L259)</f>
        <v>1</v>
      </c>
    </row>
    <row r="260">
      <c r="A260" s="19" t="str">
        <v>德国区</v>
      </c>
      <c r="B260" s="19" t="str">
        <v>杜塞尔多夫17号仓</v>
      </c>
      <c r="C260" s="19" t="str">
        <v>交运组</v>
      </c>
      <c r="D260" s="21" t="n">
        <v>46198</v>
      </c>
      <c r="E260" s="19" t="str">
        <v>2026-06</v>
      </c>
      <c r="F260" s="19" t="str">
        <v>操作员</v>
      </c>
      <c r="G260" s="19" t="str">
        <v>德国区-灵活班次 / DE FLEX</v>
      </c>
      <c r="H260" s="23" t="n">
        <v>1</v>
      </c>
      <c r="I260" s="23" t="n">
        <v>0</v>
      </c>
      <c r="J260" s="23" t="n">
        <f>H260+I260</f>
        <v>1</v>
      </c>
      <c r="K260" s="23" t="n">
        <v>1</v>
      </c>
      <c r="L260" s="23" t="n">
        <v>0</v>
      </c>
      <c r="M260" s="23" t="n">
        <f>MIN(K260,J260)</f>
        <v>1</v>
      </c>
      <c r="N260" s="23" t="n">
        <f>MIN(L260,J260)</f>
        <v>0</v>
      </c>
      <c r="O260" s="25" t="n">
        <f>IF(K260=0,0,MIN(1,J260/K260))</f>
        <v>1</v>
      </c>
      <c r="P260" s="23" t="n">
        <f>IF(J260&gt;0,MAX(K260-J260,0),0)</f>
        <v>0</v>
      </c>
      <c r="Q260" s="23" t="n">
        <f>IF(J260=0,K260,0)</f>
        <v>0</v>
      </c>
      <c r="R260" s="23" t="n">
        <f>MAX(J260-K260,0)</f>
        <v>0</v>
      </c>
      <c r="S260" s="23" t="n">
        <f>IF(J260&gt;0,MAX(L260-J260,0),L260)</f>
        <v>0</v>
      </c>
    </row>
    <row r="261">
      <c r="A261" s="19" t="str">
        <v>德国区</v>
      </c>
      <c r="B261" s="19" t="str">
        <v>杜塞尔多夫17号仓</v>
      </c>
      <c r="C261" s="19" t="str">
        <v>交运组</v>
      </c>
      <c r="D261" s="21" t="n">
        <v>46199</v>
      </c>
      <c r="E261" s="19" t="str">
        <v>2026-06</v>
      </c>
      <c r="F261" s="19" t="str">
        <v>操作员</v>
      </c>
      <c r="G261" s="19" t="str">
        <v>德国区-灵活班次 / DE FLEX</v>
      </c>
      <c r="H261" s="23" t="n">
        <v>1</v>
      </c>
      <c r="I261" s="23" t="n">
        <v>0</v>
      </c>
      <c r="J261" s="23" t="n">
        <f>H261+I261</f>
        <v>1</v>
      </c>
      <c r="K261" s="23" t="n">
        <v>0</v>
      </c>
      <c r="L261" s="23" t="n">
        <v>0</v>
      </c>
      <c r="M261" s="23" t="n">
        <f>MIN(K261,J261)</f>
        <v>0</v>
      </c>
      <c r="N261" s="23" t="n">
        <f>MIN(L261,J261)</f>
        <v>0</v>
      </c>
      <c r="O261" s="25" t="n">
        <f>IF(K261=0,0,MIN(1,J261/K261))</f>
        <v>0</v>
      </c>
      <c r="P261" s="23" t="n">
        <f>IF(J261&gt;0,MAX(K261-J261,0),0)</f>
        <v>0</v>
      </c>
      <c r="Q261" s="23" t="n">
        <f>IF(J261=0,K261,0)</f>
        <v>0</v>
      </c>
      <c r="R261" s="23" t="n">
        <f>MAX(J261-K261,0)</f>
        <v>1</v>
      </c>
      <c r="S261" s="23" t="n">
        <f>IF(J261&gt;0,MAX(L261-J261,0),L261)</f>
        <v>0</v>
      </c>
    </row>
    <row r="262">
      <c r="A262" s="19" t="str">
        <v>德国区</v>
      </c>
      <c r="B262" s="19" t="str">
        <v>杜塞尔多夫17号仓</v>
      </c>
      <c r="C262" s="19" t="str">
        <v>入库组</v>
      </c>
      <c r="D262" s="21" t="n">
        <v>46155</v>
      </c>
      <c r="E262" s="19" t="str">
        <v>2026-05</v>
      </c>
      <c r="F262" s="19" t="str">
        <v>操作员</v>
      </c>
      <c r="G262" s="19" t="str">
        <v>德国区-灵活班次 / DE FLEX</v>
      </c>
      <c r="H262" s="23" t="n">
        <v>5</v>
      </c>
      <c r="I262" s="23" t="n">
        <v>0</v>
      </c>
      <c r="J262" s="23" t="n">
        <f>H262+I262</f>
        <v>5</v>
      </c>
      <c r="K262" s="23" t="n">
        <v>5</v>
      </c>
      <c r="L262" s="23" t="n">
        <v>5</v>
      </c>
      <c r="M262" s="23" t="n">
        <f>MIN(K262,J262)</f>
        <v>5</v>
      </c>
      <c r="N262" s="23" t="n">
        <f>MIN(L262,J262)</f>
        <v>5</v>
      </c>
      <c r="O262" s="25" t="n">
        <f>IF(K262=0,0,MIN(1,J262/K262))</f>
        <v>1</v>
      </c>
      <c r="P262" s="23" t="n">
        <f>IF(J262&gt;0,MAX(K262-J262,0),0)</f>
        <v>0</v>
      </c>
      <c r="Q262" s="23" t="n">
        <f>IF(J262=0,K262,0)</f>
        <v>0</v>
      </c>
      <c r="R262" s="23" t="n">
        <f>MAX(J262-K262,0)</f>
        <v>0</v>
      </c>
      <c r="S262" s="23" t="n">
        <f>IF(J262&gt;0,MAX(L262-J262,0),L262)</f>
        <v>0</v>
      </c>
    </row>
    <row r="263">
      <c r="A263" s="19" t="str">
        <v>德国区</v>
      </c>
      <c r="B263" s="19" t="str">
        <v>杜塞尔多夫17号仓</v>
      </c>
      <c r="C263" s="19" t="str">
        <v>入库组</v>
      </c>
      <c r="D263" s="21" t="n">
        <v>46157</v>
      </c>
      <c r="E263" s="19" t="str">
        <v>2026-05</v>
      </c>
      <c r="F263" s="19" t="str">
        <v>操作员</v>
      </c>
      <c r="G263" s="19" t="str">
        <v>德国区-灵活班次 / DE FLEX</v>
      </c>
      <c r="H263" s="23" t="n">
        <v>5</v>
      </c>
      <c r="I263" s="23" t="n">
        <v>0</v>
      </c>
      <c r="J263" s="23" t="n">
        <f>H263+I263</f>
        <v>5</v>
      </c>
      <c r="K263" s="23" t="n">
        <v>5</v>
      </c>
      <c r="L263" s="23" t="n">
        <v>4</v>
      </c>
      <c r="M263" s="23" t="n">
        <f>MIN(K263,J263)</f>
        <v>5</v>
      </c>
      <c r="N263" s="23" t="n">
        <f>MIN(L263,J263)</f>
        <v>4</v>
      </c>
      <c r="O263" s="25" t="n">
        <f>IF(K263=0,0,MIN(1,J263/K263))</f>
        <v>1</v>
      </c>
      <c r="P263" s="23" t="n">
        <f>IF(J263&gt;0,MAX(K263-J263,0),0)</f>
        <v>0</v>
      </c>
      <c r="Q263" s="23" t="n">
        <f>IF(J263=0,K263,0)</f>
        <v>0</v>
      </c>
      <c r="R263" s="23" t="n">
        <f>MAX(J263-K263,0)</f>
        <v>0</v>
      </c>
      <c r="S263" s="23" t="n">
        <f>IF(J263&gt;0,MAX(L263-J263,0),L263)</f>
        <v>0</v>
      </c>
    </row>
    <row r="264">
      <c r="A264" s="19" t="str">
        <v>德国区</v>
      </c>
      <c r="B264" s="19" t="str">
        <v>杜塞尔多夫17号仓</v>
      </c>
      <c r="C264" s="19" t="str">
        <v>入库组</v>
      </c>
      <c r="D264" s="21" t="n">
        <v>46176</v>
      </c>
      <c r="E264" s="19" t="str">
        <v>2026-06</v>
      </c>
      <c r="F264" s="19" t="str">
        <v>操作员</v>
      </c>
      <c r="G264" s="19" t="str">
        <v>德国区-灵活班次 / DE FLEX</v>
      </c>
      <c r="H264" s="23" t="n">
        <v>2</v>
      </c>
      <c r="I264" s="23" t="n">
        <v>0</v>
      </c>
      <c r="J264" s="23" t="n">
        <f>H264+I264</f>
        <v>2</v>
      </c>
      <c r="K264" s="23" t="n">
        <v>0</v>
      </c>
      <c r="L264" s="23" t="n">
        <v>0</v>
      </c>
      <c r="M264" s="23" t="n">
        <f>MIN(K264,J264)</f>
        <v>0</v>
      </c>
      <c r="N264" s="23" t="n">
        <f>MIN(L264,J264)</f>
        <v>0</v>
      </c>
      <c r="O264" s="25" t="n">
        <f>IF(K264=0,0,MIN(1,J264/K264))</f>
        <v>0</v>
      </c>
      <c r="P264" s="23" t="n">
        <f>IF(J264&gt;0,MAX(K264-J264,0),0)</f>
        <v>0</v>
      </c>
      <c r="Q264" s="23" t="n">
        <f>IF(J264=0,K264,0)</f>
        <v>0</v>
      </c>
      <c r="R264" s="23" t="n">
        <f>MAX(J264-K264,0)</f>
        <v>2</v>
      </c>
      <c r="S264" s="23" t="n">
        <f>IF(J264&gt;0,MAX(L264-J264,0),L264)</f>
        <v>0</v>
      </c>
    </row>
    <row r="265">
      <c r="A265" s="19" t="str">
        <v>德国区</v>
      </c>
      <c r="B265" s="19" t="str">
        <v>杜塞尔多夫17号仓</v>
      </c>
      <c r="C265" s="19" t="str">
        <v>入库组</v>
      </c>
      <c r="D265" s="21" t="n">
        <v>46177</v>
      </c>
      <c r="E265" s="19" t="str">
        <v>2026-06</v>
      </c>
      <c r="F265" s="19" t="str">
        <v>操作员</v>
      </c>
      <c r="G265" s="19" t="str">
        <v>德国区-灵活班次 / DE FLEX</v>
      </c>
      <c r="H265" s="23" t="n">
        <v>2</v>
      </c>
      <c r="I265" s="23" t="n">
        <v>0</v>
      </c>
      <c r="J265" s="23" t="n">
        <f>H265+I265</f>
        <v>2</v>
      </c>
      <c r="K265" s="23" t="n">
        <v>0</v>
      </c>
      <c r="L265" s="23" t="n">
        <v>0</v>
      </c>
      <c r="M265" s="23" t="n">
        <f>MIN(K265,J265)</f>
        <v>0</v>
      </c>
      <c r="N265" s="23" t="n">
        <f>MIN(L265,J265)</f>
        <v>0</v>
      </c>
      <c r="O265" s="25" t="n">
        <f>IF(K265=0,0,MIN(1,J265/K265))</f>
        <v>0</v>
      </c>
      <c r="P265" s="23" t="n">
        <f>IF(J265&gt;0,MAX(K265-J265,0),0)</f>
        <v>0</v>
      </c>
      <c r="Q265" s="23" t="n">
        <f>IF(J265=0,K265,0)</f>
        <v>0</v>
      </c>
      <c r="R265" s="23" t="n">
        <f>MAX(J265-K265,0)</f>
        <v>2</v>
      </c>
      <c r="S265" s="23" t="n">
        <f>IF(J265&gt;0,MAX(L265-J265,0),L265)</f>
        <v>0</v>
      </c>
    </row>
    <row r="266">
      <c r="A266" s="19" t="str">
        <v>德国区</v>
      </c>
      <c r="B266" s="19" t="str">
        <v>杜塞尔多夫17号仓</v>
      </c>
      <c r="C266" s="19" t="str">
        <v>入库组</v>
      </c>
      <c r="D266" s="21" t="n">
        <v>46182</v>
      </c>
      <c r="E266" s="19" t="str">
        <v>2026-06</v>
      </c>
      <c r="F266" s="19" t="str">
        <v>操作员</v>
      </c>
      <c r="G266" s="19" t="str">
        <v>德国区-灵活班次 / DE FLEX</v>
      </c>
      <c r="H266" s="23" t="n">
        <v>0</v>
      </c>
      <c r="I266" s="23" t="n">
        <v>0</v>
      </c>
      <c r="J266" s="23" t="n">
        <f>H266+I266</f>
        <v>0</v>
      </c>
      <c r="K266" s="23" t="n">
        <v>3</v>
      </c>
      <c r="L266" s="23" t="n">
        <v>3</v>
      </c>
      <c r="M266" s="23" t="n">
        <f>MIN(K266,J266)</f>
        <v>0</v>
      </c>
      <c r="N266" s="23" t="n">
        <f>MIN(L266,J266)</f>
        <v>0</v>
      </c>
      <c r="O266" s="25" t="n">
        <f>IF(K266=0,0,MIN(1,J266/K266))</f>
        <v>0</v>
      </c>
      <c r="P266" s="23" t="n">
        <f>IF(J266&gt;0,MAX(K266-J266,0),0)</f>
        <v>0</v>
      </c>
      <c r="Q266" s="23" t="n">
        <f>IF(J266=0,K266,0)</f>
        <v>3</v>
      </c>
      <c r="R266" s="23" t="n">
        <f>MAX(J266-K266,0)</f>
        <v>0</v>
      </c>
      <c r="S266" s="23" t="n">
        <f>IF(J266&gt;0,MAX(L266-J266,0),L266)</f>
        <v>3</v>
      </c>
    </row>
    <row r="267">
      <c r="A267" s="19" t="str">
        <v>德国区</v>
      </c>
      <c r="B267" s="19" t="str">
        <v>杜塞尔多夫17号仓</v>
      </c>
      <c r="C267" s="19" t="str">
        <v>入库组</v>
      </c>
      <c r="D267" s="21" t="n">
        <v>46183</v>
      </c>
      <c r="E267" s="19" t="str">
        <v>2026-06</v>
      </c>
      <c r="F267" s="19" t="str">
        <v>操作员</v>
      </c>
      <c r="G267" s="19" t="str">
        <v>德国区-灵活班次 / DE FLEX</v>
      </c>
      <c r="H267" s="23" t="n">
        <v>2</v>
      </c>
      <c r="I267" s="23" t="n">
        <v>0</v>
      </c>
      <c r="J267" s="23" t="n">
        <f>H267+I267</f>
        <v>2</v>
      </c>
      <c r="K267" s="23" t="n">
        <v>3</v>
      </c>
      <c r="L267" s="23" t="n">
        <v>0</v>
      </c>
      <c r="M267" s="23" t="n">
        <f>MIN(K267,J267)</f>
        <v>2</v>
      </c>
      <c r="N267" s="23" t="n">
        <f>MIN(L267,J267)</f>
        <v>0</v>
      </c>
      <c r="O267" s="25" t="n">
        <f>IF(K267=0,0,MIN(1,J267/K267))</f>
        <v>0.6666666666666666</v>
      </c>
      <c r="P267" s="23" t="n">
        <f>IF(J267&gt;0,MAX(K267-J267,0),0)</f>
        <v>1</v>
      </c>
      <c r="Q267" s="23" t="n">
        <f>IF(J267=0,K267,0)</f>
        <v>0</v>
      </c>
      <c r="R267" s="23" t="n">
        <f>MAX(J267-K267,0)</f>
        <v>0</v>
      </c>
      <c r="S267" s="23" t="n">
        <f>IF(J267&gt;0,MAX(L267-J267,0),L267)</f>
        <v>0</v>
      </c>
    </row>
    <row r="268">
      <c r="A268" s="19" t="str">
        <v>德国区</v>
      </c>
      <c r="B268" s="19" t="str">
        <v>杜塞尔多夫17号仓</v>
      </c>
      <c r="C268" s="19" t="str">
        <v>入库组</v>
      </c>
      <c r="D268" s="21" t="n">
        <v>46184</v>
      </c>
      <c r="E268" s="19" t="str">
        <v>2026-06</v>
      </c>
      <c r="F268" s="19" t="str">
        <v>操作员</v>
      </c>
      <c r="G268" s="19" t="str">
        <v>德国区-灵活班次 / DE FLEX</v>
      </c>
      <c r="H268" s="23" t="n">
        <v>2</v>
      </c>
      <c r="I268" s="23" t="n">
        <v>0</v>
      </c>
      <c r="J268" s="23" t="n">
        <f>H268+I268</f>
        <v>2</v>
      </c>
      <c r="K268" s="23" t="n">
        <v>3</v>
      </c>
      <c r="L268" s="23" t="n">
        <v>3</v>
      </c>
      <c r="M268" s="23" t="n">
        <f>MIN(K268,J268)</f>
        <v>2</v>
      </c>
      <c r="N268" s="23" t="n">
        <f>MIN(L268,J268)</f>
        <v>2</v>
      </c>
      <c r="O268" s="25" t="n">
        <f>IF(K268=0,0,MIN(1,J268/K268))</f>
        <v>0.6666666666666666</v>
      </c>
      <c r="P268" s="23" t="n">
        <f>IF(J268&gt;0,MAX(K268-J268,0),0)</f>
        <v>1</v>
      </c>
      <c r="Q268" s="23" t="n">
        <f>IF(J268=0,K268,0)</f>
        <v>0</v>
      </c>
      <c r="R268" s="23" t="n">
        <f>MAX(J268-K268,0)</f>
        <v>0</v>
      </c>
      <c r="S268" s="23" t="n">
        <f>IF(J268&gt;0,MAX(L268-J268,0),L268)</f>
        <v>1</v>
      </c>
    </row>
    <row r="269">
      <c r="A269" s="19" t="str">
        <v>德国区</v>
      </c>
      <c r="B269" s="19" t="str">
        <v>杜塞尔多夫17号仓</v>
      </c>
      <c r="C269" s="19" t="str">
        <v>拣货组</v>
      </c>
      <c r="D269" s="21" t="n">
        <v>46175</v>
      </c>
      <c r="E269" s="19" t="str">
        <v>2026-06</v>
      </c>
      <c r="F269" s="19" t="str">
        <v>操作员</v>
      </c>
      <c r="G269" s="19" t="str">
        <v>德国区-灵活班次 / DE FLEX</v>
      </c>
      <c r="H269" s="23" t="n">
        <v>1</v>
      </c>
      <c r="I269" s="23" t="n">
        <v>0</v>
      </c>
      <c r="J269" s="23" t="n">
        <f>H269+I269</f>
        <v>1</v>
      </c>
      <c r="K269" s="23" t="n">
        <v>0</v>
      </c>
      <c r="L269" s="23" t="n">
        <v>0</v>
      </c>
      <c r="M269" s="23" t="n">
        <f>MIN(K269,J269)</f>
        <v>0</v>
      </c>
      <c r="N269" s="23" t="n">
        <f>MIN(L269,J269)</f>
        <v>0</v>
      </c>
      <c r="O269" s="25" t="n">
        <f>IF(K269=0,0,MIN(1,J269/K269))</f>
        <v>0</v>
      </c>
      <c r="P269" s="23" t="n">
        <f>IF(J269&gt;0,MAX(K269-J269,0),0)</f>
        <v>0</v>
      </c>
      <c r="Q269" s="23" t="n">
        <f>IF(J269=0,K269,0)</f>
        <v>0</v>
      </c>
      <c r="R269" s="23" t="n">
        <f>MAX(J269-K269,0)</f>
        <v>1</v>
      </c>
      <c r="S269" s="23" t="n">
        <f>IF(J269&gt;0,MAX(L269-J269,0),L269)</f>
        <v>0</v>
      </c>
    </row>
    <row r="270">
      <c r="A270" s="19" t="str">
        <v>德国区</v>
      </c>
      <c r="B270" s="19" t="str">
        <v>杜塞尔多夫17号仓</v>
      </c>
      <c r="C270" s="19" t="str">
        <v>拣货组</v>
      </c>
      <c r="D270" s="21" t="n">
        <v>46176</v>
      </c>
      <c r="E270" s="19" t="str">
        <v>2026-06</v>
      </c>
      <c r="F270" s="19" t="str">
        <v>操作员</v>
      </c>
      <c r="G270" s="19" t="str">
        <v>德国区-灵活班次 / DE FLEX</v>
      </c>
      <c r="H270" s="23" t="n">
        <v>1</v>
      </c>
      <c r="I270" s="23" t="n">
        <v>0</v>
      </c>
      <c r="J270" s="23" t="n">
        <f>H270+I270</f>
        <v>1</v>
      </c>
      <c r="K270" s="23" t="n">
        <v>0</v>
      </c>
      <c r="L270" s="23" t="n">
        <v>0</v>
      </c>
      <c r="M270" s="23" t="n">
        <f>MIN(K270,J270)</f>
        <v>0</v>
      </c>
      <c r="N270" s="23" t="n">
        <f>MIN(L270,J270)</f>
        <v>0</v>
      </c>
      <c r="O270" s="25" t="n">
        <f>IF(K270=0,0,MIN(1,J270/K270))</f>
        <v>0</v>
      </c>
      <c r="P270" s="23" t="n">
        <f>IF(J270&gt;0,MAX(K270-J270,0),0)</f>
        <v>0</v>
      </c>
      <c r="Q270" s="23" t="n">
        <f>IF(J270=0,K270,0)</f>
        <v>0</v>
      </c>
      <c r="R270" s="23" t="n">
        <f>MAX(J270-K270,0)</f>
        <v>1</v>
      </c>
      <c r="S270" s="23" t="n">
        <f>IF(J270&gt;0,MAX(L270-J270,0),L270)</f>
        <v>0</v>
      </c>
    </row>
    <row r="271">
      <c r="A271" s="19" t="str">
        <v>德国区</v>
      </c>
      <c r="B271" s="19" t="str">
        <v>杜塞尔多夫17号仓</v>
      </c>
      <c r="C271" s="19" t="str">
        <v>拣货组</v>
      </c>
      <c r="D271" s="21" t="n">
        <v>46177</v>
      </c>
      <c r="E271" s="19" t="str">
        <v>2026-06</v>
      </c>
      <c r="F271" s="19" t="str">
        <v>操作员</v>
      </c>
      <c r="G271" s="19" t="str">
        <v>德国区-灵活班次 / DE FLEX</v>
      </c>
      <c r="H271" s="23" t="n">
        <v>1</v>
      </c>
      <c r="I271" s="23" t="n">
        <v>0</v>
      </c>
      <c r="J271" s="23" t="n">
        <f>H271+I271</f>
        <v>1</v>
      </c>
      <c r="K271" s="23" t="n">
        <v>0</v>
      </c>
      <c r="L271" s="23" t="n">
        <v>0</v>
      </c>
      <c r="M271" s="23" t="n">
        <f>MIN(K271,J271)</f>
        <v>0</v>
      </c>
      <c r="N271" s="23" t="n">
        <f>MIN(L271,J271)</f>
        <v>0</v>
      </c>
      <c r="O271" s="25" t="n">
        <f>IF(K271=0,0,MIN(1,J271/K271))</f>
        <v>0</v>
      </c>
      <c r="P271" s="23" t="n">
        <f>IF(J271&gt;0,MAX(K271-J271,0),0)</f>
        <v>0</v>
      </c>
      <c r="Q271" s="23" t="n">
        <f>IF(J271=0,K271,0)</f>
        <v>0</v>
      </c>
      <c r="R271" s="23" t="n">
        <f>MAX(J271-K271,0)</f>
        <v>1</v>
      </c>
      <c r="S271" s="23" t="n">
        <f>IF(J271&gt;0,MAX(L271-J271,0),L271)</f>
        <v>0</v>
      </c>
    </row>
    <row r="272">
      <c r="A272" s="19" t="str">
        <v>德国区</v>
      </c>
      <c r="B272" s="19" t="str">
        <v>杜塞尔多夫18号仓</v>
      </c>
      <c r="C272" s="19" t="str">
        <v>交运组</v>
      </c>
      <c r="D272" s="21" t="n">
        <v>46153</v>
      </c>
      <c r="E272" s="19" t="str">
        <v>2026-05</v>
      </c>
      <c r="F272" s="19" t="str">
        <v>操作员</v>
      </c>
      <c r="G272" s="19" t="str">
        <v>德国区-灵活班次 / DE FLEX</v>
      </c>
      <c r="H272" s="23" t="n">
        <v>5</v>
      </c>
      <c r="I272" s="23" t="n">
        <v>0</v>
      </c>
      <c r="J272" s="23" t="n">
        <f>H272+I272</f>
        <v>5</v>
      </c>
      <c r="K272" s="23" t="n">
        <v>5</v>
      </c>
      <c r="L272" s="23" t="n">
        <v>5</v>
      </c>
      <c r="M272" s="23" t="n">
        <f>MIN(K272,J272)</f>
        <v>5</v>
      </c>
      <c r="N272" s="23" t="n">
        <f>MIN(L272,J272)</f>
        <v>5</v>
      </c>
      <c r="O272" s="25" t="n">
        <f>IF(K272=0,0,MIN(1,J272/K272))</f>
        <v>1</v>
      </c>
      <c r="P272" s="23" t="n">
        <f>IF(J272&gt;0,MAX(K272-J272,0),0)</f>
        <v>0</v>
      </c>
      <c r="Q272" s="23" t="n">
        <f>IF(J272=0,K272,0)</f>
        <v>0</v>
      </c>
      <c r="R272" s="23" t="n">
        <f>MAX(J272-K272,0)</f>
        <v>0</v>
      </c>
      <c r="S272" s="23" t="n">
        <f>IF(J272&gt;0,MAX(L272-J272,0),L272)</f>
        <v>0</v>
      </c>
    </row>
    <row r="273">
      <c r="A273" s="19" t="str">
        <v>德国区</v>
      </c>
      <c r="B273" s="19" t="str">
        <v>杜塞尔多夫18号仓</v>
      </c>
      <c r="C273" s="19" t="str">
        <v>交运组</v>
      </c>
      <c r="D273" s="21" t="n">
        <v>46175</v>
      </c>
      <c r="E273" s="19" t="str">
        <v>2026-06</v>
      </c>
      <c r="F273" s="19" t="str">
        <v>操作员</v>
      </c>
      <c r="G273" s="19" t="str">
        <v>德国区-灵活班次 / DE FLEX</v>
      </c>
      <c r="H273" s="23" t="n">
        <v>3</v>
      </c>
      <c r="I273" s="23" t="n">
        <v>0</v>
      </c>
      <c r="J273" s="23" t="n">
        <f>H273+I273</f>
        <v>3</v>
      </c>
      <c r="K273" s="23" t="n">
        <v>4</v>
      </c>
      <c r="L273" s="23" t="n">
        <v>4</v>
      </c>
      <c r="M273" s="23" t="n">
        <f>MIN(K273,J273)</f>
        <v>3</v>
      </c>
      <c r="N273" s="23" t="n">
        <f>MIN(L273,J273)</f>
        <v>3</v>
      </c>
      <c r="O273" s="25" t="n">
        <f>IF(K273=0,0,MIN(1,J273/K273))</f>
        <v>0.75</v>
      </c>
      <c r="P273" s="23" t="n">
        <f>IF(J273&gt;0,MAX(K273-J273,0),0)</f>
        <v>1</v>
      </c>
      <c r="Q273" s="23" t="n">
        <f>IF(J273=0,K273,0)</f>
        <v>0</v>
      </c>
      <c r="R273" s="23" t="n">
        <f>MAX(J273-K273,0)</f>
        <v>0</v>
      </c>
      <c r="S273" s="23" t="n">
        <f>IF(J273&gt;0,MAX(L273-J273,0),L273)</f>
        <v>1</v>
      </c>
    </row>
    <row r="274">
      <c r="A274" s="19" t="str">
        <v>德国区</v>
      </c>
      <c r="B274" s="19" t="str">
        <v>杜塞尔多夫18号仓</v>
      </c>
      <c r="C274" s="19" t="str">
        <v>入库组</v>
      </c>
      <c r="D274" s="21" t="n">
        <v>46160</v>
      </c>
      <c r="E274" s="19" t="str">
        <v>2026-05</v>
      </c>
      <c r="F274" s="19" t="str">
        <v>操作员</v>
      </c>
      <c r="G274" s="19" t="str">
        <v>德国区-灵活班次 / DE FLEX</v>
      </c>
      <c r="H274" s="23" t="n">
        <v>2</v>
      </c>
      <c r="I274" s="23" t="n">
        <v>0</v>
      </c>
      <c r="J274" s="23" t="n">
        <f>H274+I274</f>
        <v>2</v>
      </c>
      <c r="K274" s="23" t="n">
        <v>0</v>
      </c>
      <c r="L274" s="23" t="n">
        <v>0</v>
      </c>
      <c r="M274" s="23" t="n">
        <f>MIN(K274,J274)</f>
        <v>0</v>
      </c>
      <c r="N274" s="23" t="n">
        <f>MIN(L274,J274)</f>
        <v>0</v>
      </c>
      <c r="O274" s="25" t="n">
        <f>IF(K274=0,0,MIN(1,J274/K274))</f>
        <v>0</v>
      </c>
      <c r="P274" s="23" t="n">
        <f>IF(J274&gt;0,MAX(K274-J274,0),0)</f>
        <v>0</v>
      </c>
      <c r="Q274" s="23" t="n">
        <f>IF(J274=0,K274,0)</f>
        <v>0</v>
      </c>
      <c r="R274" s="23" t="n">
        <f>MAX(J274-K274,0)</f>
        <v>2</v>
      </c>
      <c r="S274" s="23" t="n">
        <f>IF(J274&gt;0,MAX(L274-J274,0),L274)</f>
        <v>0</v>
      </c>
    </row>
    <row r="275">
      <c r="A275" s="19" t="str">
        <v>德国区</v>
      </c>
      <c r="B275" s="19" t="str">
        <v>杜塞尔多夫18号仓</v>
      </c>
      <c r="C275" s="19" t="str">
        <v>入库组</v>
      </c>
      <c r="D275" s="21" t="n">
        <v>46161</v>
      </c>
      <c r="E275" s="19" t="str">
        <v>2026-05</v>
      </c>
      <c r="F275" s="19" t="str">
        <v>操作员</v>
      </c>
      <c r="G275" s="19" t="str">
        <v>德国区-灵活班次 / DE FLEX</v>
      </c>
      <c r="H275" s="23" t="n">
        <v>2</v>
      </c>
      <c r="I275" s="23" t="n">
        <v>0</v>
      </c>
      <c r="J275" s="23" t="n">
        <f>H275+I275</f>
        <v>2</v>
      </c>
      <c r="K275" s="23" t="n">
        <v>6</v>
      </c>
      <c r="L275" s="23" t="n">
        <v>5</v>
      </c>
      <c r="M275" s="23" t="n">
        <f>MIN(K275,J275)</f>
        <v>2</v>
      </c>
      <c r="N275" s="23" t="n">
        <f>MIN(L275,J275)</f>
        <v>2</v>
      </c>
      <c r="O275" s="25" t="n">
        <f>IF(K275=0,0,MIN(1,J275/K275))</f>
        <v>0.3333333333333333</v>
      </c>
      <c r="P275" s="23" t="n">
        <f>IF(J275&gt;0,MAX(K275-J275,0),0)</f>
        <v>4</v>
      </c>
      <c r="Q275" s="23" t="n">
        <f>IF(J275=0,K275,0)</f>
        <v>0</v>
      </c>
      <c r="R275" s="23" t="n">
        <f>MAX(J275-K275,0)</f>
        <v>0</v>
      </c>
      <c r="S275" s="23" t="n">
        <f>IF(J275&gt;0,MAX(L275-J275,0),L275)</f>
        <v>3</v>
      </c>
    </row>
    <row r="276">
      <c r="A276" s="19" t="str">
        <v>德国区</v>
      </c>
      <c r="B276" s="19" t="str">
        <v>杜塞尔多夫18号仓</v>
      </c>
      <c r="C276" s="19" t="str">
        <v>入库组</v>
      </c>
      <c r="D276" s="21" t="n">
        <v>46162</v>
      </c>
      <c r="E276" s="19" t="str">
        <v>2026-05</v>
      </c>
      <c r="F276" s="19" t="str">
        <v>操作员</v>
      </c>
      <c r="G276" s="19" t="str">
        <v>德国区-灵活班次 / DE FLEX</v>
      </c>
      <c r="H276" s="23" t="n">
        <v>2</v>
      </c>
      <c r="I276" s="23" t="n">
        <v>0</v>
      </c>
      <c r="J276" s="23" t="n">
        <f>H276+I276</f>
        <v>2</v>
      </c>
      <c r="K276" s="23" t="n">
        <v>5</v>
      </c>
      <c r="L276" s="23" t="n">
        <v>4</v>
      </c>
      <c r="M276" s="23" t="n">
        <f>MIN(K276,J276)</f>
        <v>2</v>
      </c>
      <c r="N276" s="23" t="n">
        <f>MIN(L276,J276)</f>
        <v>2</v>
      </c>
      <c r="O276" s="25" t="n">
        <f>IF(K276=0,0,MIN(1,J276/K276))</f>
        <v>0.4</v>
      </c>
      <c r="P276" s="23" t="n">
        <f>IF(J276&gt;0,MAX(K276-J276,0),0)</f>
        <v>3</v>
      </c>
      <c r="Q276" s="23" t="n">
        <f>IF(J276=0,K276,0)</f>
        <v>0</v>
      </c>
      <c r="R276" s="23" t="n">
        <f>MAX(J276-K276,0)</f>
        <v>0</v>
      </c>
      <c r="S276" s="23" t="n">
        <f>IF(J276&gt;0,MAX(L276-J276,0),L276)</f>
        <v>2</v>
      </c>
    </row>
    <row r="277">
      <c r="A277" s="19" t="str">
        <v>德国区</v>
      </c>
      <c r="B277" s="19" t="str">
        <v>杜塞尔多夫18号仓</v>
      </c>
      <c r="C277" s="19" t="str">
        <v>入库组</v>
      </c>
      <c r="D277" s="21" t="n">
        <v>46163</v>
      </c>
      <c r="E277" s="19" t="str">
        <v>2026-05</v>
      </c>
      <c r="F277" s="19" t="str">
        <v>操作员</v>
      </c>
      <c r="G277" s="19" t="str">
        <v>德国区-灵活班次 / DE FLEX</v>
      </c>
      <c r="H277" s="23" t="n">
        <v>2</v>
      </c>
      <c r="I277" s="23" t="n">
        <v>0</v>
      </c>
      <c r="J277" s="23" t="n">
        <f>H277+I277</f>
        <v>2</v>
      </c>
      <c r="K277" s="23" t="n">
        <v>2</v>
      </c>
      <c r="L277" s="23" t="n">
        <v>0</v>
      </c>
      <c r="M277" s="23" t="n">
        <f>MIN(K277,J277)</f>
        <v>2</v>
      </c>
      <c r="N277" s="23" t="n">
        <f>MIN(L277,J277)</f>
        <v>0</v>
      </c>
      <c r="O277" s="25" t="n">
        <f>IF(K277=0,0,MIN(1,J277/K277))</f>
        <v>1</v>
      </c>
      <c r="P277" s="23" t="n">
        <f>IF(J277&gt;0,MAX(K277-J277,0),0)</f>
        <v>0</v>
      </c>
      <c r="Q277" s="23" t="n">
        <f>IF(J277=0,K277,0)</f>
        <v>0</v>
      </c>
      <c r="R277" s="23" t="n">
        <f>MAX(J277-K277,0)</f>
        <v>0</v>
      </c>
      <c r="S277" s="23" t="n">
        <f>IF(J277&gt;0,MAX(L277-J277,0),L277)</f>
        <v>0</v>
      </c>
    </row>
    <row r="278">
      <c r="A278" s="19" t="str">
        <v>德国区</v>
      </c>
      <c r="B278" s="19" t="str">
        <v>杜塞尔多夫18号仓</v>
      </c>
      <c r="C278" s="19" t="str">
        <v>入库组</v>
      </c>
      <c r="D278" s="21" t="n">
        <v>46164</v>
      </c>
      <c r="E278" s="19" t="str">
        <v>2026-05</v>
      </c>
      <c r="F278" s="19" t="str">
        <v>操作员</v>
      </c>
      <c r="G278" s="19" t="str">
        <v>德国区-灵活班次 / DE FLEX</v>
      </c>
      <c r="H278" s="23" t="n">
        <v>2</v>
      </c>
      <c r="I278" s="23" t="n">
        <v>0</v>
      </c>
      <c r="J278" s="23" t="n">
        <f>H278+I278</f>
        <v>2</v>
      </c>
      <c r="K278" s="23" t="n">
        <v>0</v>
      </c>
      <c r="L278" s="23" t="n">
        <v>0</v>
      </c>
      <c r="M278" s="23" t="n">
        <f>MIN(K278,J278)</f>
        <v>0</v>
      </c>
      <c r="N278" s="23" t="n">
        <f>MIN(L278,J278)</f>
        <v>0</v>
      </c>
      <c r="O278" s="25" t="n">
        <f>IF(K278=0,0,MIN(1,J278/K278))</f>
        <v>0</v>
      </c>
      <c r="P278" s="23" t="n">
        <f>IF(J278&gt;0,MAX(K278-J278,0),0)</f>
        <v>0</v>
      </c>
      <c r="Q278" s="23" t="n">
        <f>IF(J278=0,K278,0)</f>
        <v>0</v>
      </c>
      <c r="R278" s="23" t="n">
        <f>MAX(J278-K278,0)</f>
        <v>2</v>
      </c>
      <c r="S278" s="23" t="n">
        <f>IF(J278&gt;0,MAX(L278-J278,0),L278)</f>
        <v>0</v>
      </c>
    </row>
    <row r="279">
      <c r="A279" s="19" t="str">
        <v>德国区</v>
      </c>
      <c r="B279" s="19" t="str">
        <v>杜塞尔多夫18号仓</v>
      </c>
      <c r="C279" s="19" t="str">
        <v>入库组</v>
      </c>
      <c r="D279" s="21" t="n">
        <v>46175</v>
      </c>
      <c r="E279" s="19" t="str">
        <v>2026-06</v>
      </c>
      <c r="F279" s="19" t="str">
        <v>操作员</v>
      </c>
      <c r="G279" s="19" t="str">
        <v>德国区8:30班次（18仓）</v>
      </c>
      <c r="H279" s="23" t="n">
        <v>2</v>
      </c>
      <c r="I279" s="23" t="n">
        <v>0</v>
      </c>
      <c r="J279" s="23" t="n">
        <f>H279+I279</f>
        <v>2</v>
      </c>
      <c r="K279" s="23" t="n">
        <v>5</v>
      </c>
      <c r="L279" s="23" t="n">
        <v>5</v>
      </c>
      <c r="M279" s="23" t="n">
        <f>MIN(K279,J279)</f>
        <v>2</v>
      </c>
      <c r="N279" s="23" t="n">
        <f>MIN(L279,J279)</f>
        <v>2</v>
      </c>
      <c r="O279" s="25" t="n">
        <f>IF(K279=0,0,MIN(1,J279/K279))</f>
        <v>0.4</v>
      </c>
      <c r="P279" s="23" t="n">
        <f>IF(J279&gt;0,MAX(K279-J279,0),0)</f>
        <v>3</v>
      </c>
      <c r="Q279" s="23" t="n">
        <f>IF(J279=0,K279,0)</f>
        <v>0</v>
      </c>
      <c r="R279" s="23" t="n">
        <f>MAX(J279-K279,0)</f>
        <v>0</v>
      </c>
      <c r="S279" s="23" t="n">
        <f>IF(J279&gt;0,MAX(L279-J279,0),L279)</f>
        <v>3</v>
      </c>
    </row>
    <row r="280">
      <c r="A280" s="19" t="str">
        <v>德国区</v>
      </c>
      <c r="B280" s="19" t="str">
        <v>杜塞尔多夫18号仓</v>
      </c>
      <c r="C280" s="19" t="str">
        <v>入库组</v>
      </c>
      <c r="D280" s="21" t="n">
        <v>46177</v>
      </c>
      <c r="E280" s="19" t="str">
        <v>2026-06</v>
      </c>
      <c r="F280" s="19" t="str">
        <v>操作员</v>
      </c>
      <c r="G280" s="19" t="str">
        <v>德国区8:30班次（18仓）</v>
      </c>
      <c r="H280" s="23" t="n">
        <v>2</v>
      </c>
      <c r="I280" s="23" t="n">
        <v>0</v>
      </c>
      <c r="J280" s="23" t="n">
        <f>H280+I280</f>
        <v>2</v>
      </c>
      <c r="K280" s="23" t="n">
        <v>0</v>
      </c>
      <c r="L280" s="23" t="n">
        <v>0</v>
      </c>
      <c r="M280" s="23" t="n">
        <f>MIN(K280,J280)</f>
        <v>0</v>
      </c>
      <c r="N280" s="23" t="n">
        <f>MIN(L280,J280)</f>
        <v>0</v>
      </c>
      <c r="O280" s="25" t="n">
        <f>IF(K280=0,0,MIN(1,J280/K280))</f>
        <v>0</v>
      </c>
      <c r="P280" s="23" t="n">
        <f>IF(J280&gt;0,MAX(K280-J280,0),0)</f>
        <v>0</v>
      </c>
      <c r="Q280" s="23" t="n">
        <f>IF(J280=0,K280,0)</f>
        <v>0</v>
      </c>
      <c r="R280" s="23" t="n">
        <f>MAX(J280-K280,0)</f>
        <v>2</v>
      </c>
      <c r="S280" s="23" t="n">
        <f>IF(J280&gt;0,MAX(L280-J280,0),L280)</f>
        <v>0</v>
      </c>
    </row>
    <row r="281">
      <c r="A281" s="19" t="str">
        <v>德国区</v>
      </c>
      <c r="B281" s="19" t="str">
        <v>杜塞尔多夫18号仓</v>
      </c>
      <c r="C281" s="19" t="str">
        <v>包装组</v>
      </c>
      <c r="D281" s="21" t="n">
        <v>46146</v>
      </c>
      <c r="E281" s="19" t="str">
        <v>2026-05</v>
      </c>
      <c r="F281" s="19" t="str">
        <v>操作员</v>
      </c>
      <c r="G281" s="19" t="str">
        <v>德国区-灵活班次 / DE FLEX</v>
      </c>
      <c r="H281" s="23" t="n">
        <v>5</v>
      </c>
      <c r="I281" s="23" t="n">
        <v>0</v>
      </c>
      <c r="J281" s="23" t="n">
        <f>H281+I281</f>
        <v>5</v>
      </c>
      <c r="K281" s="23" t="n">
        <v>5</v>
      </c>
      <c r="L281" s="23" t="n">
        <v>5</v>
      </c>
      <c r="M281" s="23" t="n">
        <f>MIN(K281,J281)</f>
        <v>5</v>
      </c>
      <c r="N281" s="23" t="n">
        <f>MIN(L281,J281)</f>
        <v>5</v>
      </c>
      <c r="O281" s="25" t="n">
        <f>IF(K281=0,0,MIN(1,J281/K281))</f>
        <v>1</v>
      </c>
      <c r="P281" s="23" t="n">
        <f>IF(J281&gt;0,MAX(K281-J281,0),0)</f>
        <v>0</v>
      </c>
      <c r="Q281" s="23" t="n">
        <f>IF(J281=0,K281,0)</f>
        <v>0</v>
      </c>
      <c r="R281" s="23" t="n">
        <f>MAX(J281-K281,0)</f>
        <v>0</v>
      </c>
      <c r="S281" s="23" t="n">
        <f>IF(J281&gt;0,MAX(L281-J281,0),L281)</f>
        <v>0</v>
      </c>
    </row>
    <row r="282">
      <c r="A282" s="19" t="str">
        <v>德国区</v>
      </c>
      <c r="B282" s="19" t="str">
        <v>杜塞尔多夫18号仓</v>
      </c>
      <c r="C282" s="19" t="str">
        <v>包装组</v>
      </c>
      <c r="D282" s="21" t="n">
        <v>46147</v>
      </c>
      <c r="E282" s="19" t="str">
        <v>2026-05</v>
      </c>
      <c r="F282" s="19" t="str">
        <v>操作员</v>
      </c>
      <c r="G282" s="19" t="str">
        <v>德国区-灵活班次 / DE FLEX</v>
      </c>
      <c r="H282" s="23" t="n">
        <v>5</v>
      </c>
      <c r="I282" s="23" t="n">
        <v>0</v>
      </c>
      <c r="J282" s="23" t="n">
        <f>H282+I282</f>
        <v>5</v>
      </c>
      <c r="K282" s="23" t="n">
        <v>5</v>
      </c>
      <c r="L282" s="23" t="n">
        <v>5</v>
      </c>
      <c r="M282" s="23" t="n">
        <f>MIN(K282,J282)</f>
        <v>5</v>
      </c>
      <c r="N282" s="23" t="n">
        <f>MIN(L282,J282)</f>
        <v>5</v>
      </c>
      <c r="O282" s="25" t="n">
        <f>IF(K282=0,0,MIN(1,J282/K282))</f>
        <v>1</v>
      </c>
      <c r="P282" s="23" t="n">
        <f>IF(J282&gt;0,MAX(K282-J282,0),0)</f>
        <v>0</v>
      </c>
      <c r="Q282" s="23" t="n">
        <f>IF(J282=0,K282,0)</f>
        <v>0</v>
      </c>
      <c r="R282" s="23" t="n">
        <f>MAX(J282-K282,0)</f>
        <v>0</v>
      </c>
      <c r="S282" s="23" t="n">
        <f>IF(J282&gt;0,MAX(L282-J282,0),L282)</f>
        <v>0</v>
      </c>
    </row>
    <row r="283">
      <c r="A283" s="19" t="str">
        <v>德国区</v>
      </c>
      <c r="B283" s="19" t="str">
        <v>杜塞尔多夫18号仓</v>
      </c>
      <c r="C283" s="19" t="str">
        <v>包装组</v>
      </c>
      <c r="D283" s="21" t="n">
        <v>46148</v>
      </c>
      <c r="E283" s="19" t="str">
        <v>2026-05</v>
      </c>
      <c r="F283" s="19" t="str">
        <v>操作员</v>
      </c>
      <c r="G283" s="19" t="str">
        <v>德国区-灵活班次 / DE FLEX</v>
      </c>
      <c r="H283" s="23" t="n">
        <v>5</v>
      </c>
      <c r="I283" s="23" t="n">
        <v>0</v>
      </c>
      <c r="J283" s="23" t="n">
        <f>H283+I283</f>
        <v>5</v>
      </c>
      <c r="K283" s="23" t="n">
        <v>5</v>
      </c>
      <c r="L283" s="23" t="n">
        <v>5</v>
      </c>
      <c r="M283" s="23" t="n">
        <f>MIN(K283,J283)</f>
        <v>5</v>
      </c>
      <c r="N283" s="23" t="n">
        <f>MIN(L283,J283)</f>
        <v>5</v>
      </c>
      <c r="O283" s="25" t="n">
        <f>IF(K283=0,0,MIN(1,J283/K283))</f>
        <v>1</v>
      </c>
      <c r="P283" s="23" t="n">
        <f>IF(J283&gt;0,MAX(K283-J283,0),0)</f>
        <v>0</v>
      </c>
      <c r="Q283" s="23" t="n">
        <f>IF(J283=0,K283,0)</f>
        <v>0</v>
      </c>
      <c r="R283" s="23" t="n">
        <f>MAX(J283-K283,0)</f>
        <v>0</v>
      </c>
      <c r="S283" s="23" t="n">
        <f>IF(J283&gt;0,MAX(L283-J283,0),L283)</f>
        <v>0</v>
      </c>
    </row>
    <row r="284">
      <c r="A284" s="19" t="str">
        <v>德国区</v>
      </c>
      <c r="B284" s="19" t="str">
        <v>杜塞尔多夫18号仓</v>
      </c>
      <c r="C284" s="19" t="str">
        <v>包装组</v>
      </c>
      <c r="D284" s="21" t="n">
        <v>46174</v>
      </c>
      <c r="E284" s="19" t="str">
        <v>2026-06</v>
      </c>
      <c r="F284" s="19" t="str">
        <v>操作员</v>
      </c>
      <c r="G284" s="19" t="str">
        <v>德国区-灵活班次 / DE FLEX</v>
      </c>
      <c r="H284" s="23" t="n">
        <v>1</v>
      </c>
      <c r="I284" s="23" t="n">
        <v>0</v>
      </c>
      <c r="J284" s="23" t="n">
        <f>H284+I284</f>
        <v>1</v>
      </c>
      <c r="K284" s="23" t="n">
        <v>0</v>
      </c>
      <c r="L284" s="23" t="n">
        <v>0</v>
      </c>
      <c r="M284" s="23" t="n">
        <f>MIN(K284,J284)</f>
        <v>0</v>
      </c>
      <c r="N284" s="23" t="n">
        <f>MIN(L284,J284)</f>
        <v>0</v>
      </c>
      <c r="O284" s="25" t="n">
        <f>IF(K284=0,0,MIN(1,J284/K284))</f>
        <v>0</v>
      </c>
      <c r="P284" s="23" t="n">
        <f>IF(J284&gt;0,MAX(K284-J284,0),0)</f>
        <v>0</v>
      </c>
      <c r="Q284" s="23" t="n">
        <f>IF(J284=0,K284,0)</f>
        <v>0</v>
      </c>
      <c r="R284" s="23" t="n">
        <f>MAX(J284-K284,0)</f>
        <v>1</v>
      </c>
      <c r="S284" s="23" t="n">
        <f>IF(J284&gt;0,MAX(L284-J284,0),L284)</f>
        <v>0</v>
      </c>
    </row>
    <row r="285">
      <c r="A285" s="19" t="str">
        <v>德国区</v>
      </c>
      <c r="B285" s="19" t="str">
        <v>杜塞尔多夫18号仓</v>
      </c>
      <c r="C285" s="19" t="str">
        <v>包装组</v>
      </c>
      <c r="D285" s="21" t="n">
        <v>46175</v>
      </c>
      <c r="E285" s="19" t="str">
        <v>2026-06</v>
      </c>
      <c r="F285" s="19" t="str">
        <v>操作员</v>
      </c>
      <c r="G285" s="19" t="str">
        <v>德国区-灵活班次 / DE FLEX</v>
      </c>
      <c r="H285" s="23" t="n">
        <v>1</v>
      </c>
      <c r="I285" s="23" t="n">
        <v>0</v>
      </c>
      <c r="J285" s="23" t="n">
        <f>H285+I285</f>
        <v>1</v>
      </c>
      <c r="K285" s="23" t="n">
        <v>0</v>
      </c>
      <c r="L285" s="23" t="n">
        <v>0</v>
      </c>
      <c r="M285" s="23" t="n">
        <f>MIN(K285,J285)</f>
        <v>0</v>
      </c>
      <c r="N285" s="23" t="n">
        <f>MIN(L285,J285)</f>
        <v>0</v>
      </c>
      <c r="O285" s="25" t="n">
        <f>IF(K285=0,0,MIN(1,J285/K285))</f>
        <v>0</v>
      </c>
      <c r="P285" s="23" t="n">
        <f>IF(J285&gt;0,MAX(K285-J285,0),0)</f>
        <v>0</v>
      </c>
      <c r="Q285" s="23" t="n">
        <f>IF(J285=0,K285,0)</f>
        <v>0</v>
      </c>
      <c r="R285" s="23" t="n">
        <f>MAX(J285-K285,0)</f>
        <v>1</v>
      </c>
      <c r="S285" s="23" t="n">
        <f>IF(J285&gt;0,MAX(L285-J285,0),L285)</f>
        <v>0</v>
      </c>
    </row>
    <row r="286">
      <c r="A286" s="19" t="str">
        <v>德国区</v>
      </c>
      <c r="B286" s="19" t="str">
        <v>杜塞尔多夫18号仓</v>
      </c>
      <c r="C286" s="19" t="str">
        <v>包装组</v>
      </c>
      <c r="D286" s="21" t="n">
        <v>46176</v>
      </c>
      <c r="E286" s="19" t="str">
        <v>2026-06</v>
      </c>
      <c r="F286" s="19" t="str">
        <v>操作员</v>
      </c>
      <c r="G286" s="19" t="str">
        <v>德国区-灵活班次 / DE FLEX</v>
      </c>
      <c r="H286" s="23" t="n">
        <v>1</v>
      </c>
      <c r="I286" s="23" t="n">
        <v>0</v>
      </c>
      <c r="J286" s="23" t="n">
        <f>H286+I286</f>
        <v>1</v>
      </c>
      <c r="K286" s="23" t="n">
        <v>5</v>
      </c>
      <c r="L286" s="23" t="n">
        <v>2</v>
      </c>
      <c r="M286" s="23" t="n">
        <f>MIN(K286,J286)</f>
        <v>1</v>
      </c>
      <c r="N286" s="23" t="n">
        <f>MIN(L286,J286)</f>
        <v>1</v>
      </c>
      <c r="O286" s="25" t="n">
        <f>IF(K286=0,0,MIN(1,J286/K286))</f>
        <v>0.2</v>
      </c>
      <c r="P286" s="23" t="n">
        <f>IF(J286&gt;0,MAX(K286-J286,0),0)</f>
        <v>4</v>
      </c>
      <c r="Q286" s="23" t="n">
        <f>IF(J286=0,K286,0)</f>
        <v>0</v>
      </c>
      <c r="R286" s="23" t="n">
        <f>MAX(J286-K286,0)</f>
        <v>0</v>
      </c>
      <c r="S286" s="23" t="n">
        <f>IF(J286&gt;0,MAX(L286-J286,0),L286)</f>
        <v>1</v>
      </c>
    </row>
    <row r="287">
      <c r="A287" s="19" t="str">
        <v>德国区</v>
      </c>
      <c r="B287" s="19" t="str">
        <v>杜塞尔多夫18号仓</v>
      </c>
      <c r="C287" s="19" t="str">
        <v>包装组</v>
      </c>
      <c r="D287" s="21" t="n">
        <v>46177</v>
      </c>
      <c r="E287" s="19" t="str">
        <v>2026-06</v>
      </c>
      <c r="F287" s="19" t="str">
        <v>操作员</v>
      </c>
      <c r="G287" s="19" t="str">
        <v>德国区-灵活班次 / DE FLEX</v>
      </c>
      <c r="H287" s="23" t="n">
        <v>1</v>
      </c>
      <c r="I287" s="23" t="n">
        <v>0</v>
      </c>
      <c r="J287" s="23" t="n">
        <f>H287+I287</f>
        <v>1</v>
      </c>
      <c r="K287" s="23" t="n">
        <v>5</v>
      </c>
      <c r="L287" s="23" t="n">
        <v>5</v>
      </c>
      <c r="M287" s="23" t="n">
        <f>MIN(K287,J287)</f>
        <v>1</v>
      </c>
      <c r="N287" s="23" t="n">
        <f>MIN(L287,J287)</f>
        <v>1</v>
      </c>
      <c r="O287" s="25" t="n">
        <f>IF(K287=0,0,MIN(1,J287/K287))</f>
        <v>0.2</v>
      </c>
      <c r="P287" s="23" t="n">
        <f>IF(J287&gt;0,MAX(K287-J287,0),0)</f>
        <v>4</v>
      </c>
      <c r="Q287" s="23" t="n">
        <f>IF(J287=0,K287,0)</f>
        <v>0</v>
      </c>
      <c r="R287" s="23" t="n">
        <f>MAX(J287-K287,0)</f>
        <v>0</v>
      </c>
      <c r="S287" s="23" t="n">
        <f>IF(J287&gt;0,MAX(L287-J287,0),L287)</f>
        <v>4</v>
      </c>
    </row>
    <row r="288">
      <c r="A288" s="19" t="str">
        <v>德国区</v>
      </c>
      <c r="B288" s="19" t="str">
        <v>杜塞尔多夫18号仓</v>
      </c>
      <c r="C288" s="19" t="str">
        <v>包装组</v>
      </c>
      <c r="D288" s="21" t="n">
        <v>46178</v>
      </c>
      <c r="E288" s="19" t="str">
        <v>2026-06</v>
      </c>
      <c r="F288" s="19" t="str">
        <v>操作员</v>
      </c>
      <c r="G288" s="19" t="str">
        <v>德国区-灵活班次 / DE FLEX</v>
      </c>
      <c r="H288" s="23" t="n">
        <v>1</v>
      </c>
      <c r="I288" s="23" t="n">
        <v>0</v>
      </c>
      <c r="J288" s="23" t="n">
        <f>H288+I288</f>
        <v>1</v>
      </c>
      <c r="K288" s="23" t="n">
        <v>5</v>
      </c>
      <c r="L288" s="23" t="n">
        <v>5</v>
      </c>
      <c r="M288" s="23" t="n">
        <f>MIN(K288,J288)</f>
        <v>1</v>
      </c>
      <c r="N288" s="23" t="n">
        <f>MIN(L288,J288)</f>
        <v>1</v>
      </c>
      <c r="O288" s="25" t="n">
        <f>IF(K288=0,0,MIN(1,J288/K288))</f>
        <v>0.2</v>
      </c>
      <c r="P288" s="23" t="n">
        <f>IF(J288&gt;0,MAX(K288-J288,0),0)</f>
        <v>4</v>
      </c>
      <c r="Q288" s="23" t="n">
        <f>IF(J288=0,K288,0)</f>
        <v>0</v>
      </c>
      <c r="R288" s="23" t="n">
        <f>MAX(J288-K288,0)</f>
        <v>0</v>
      </c>
      <c r="S288" s="23" t="n">
        <f>IF(J288&gt;0,MAX(L288-J288,0),L288)</f>
        <v>4</v>
      </c>
    </row>
    <row r="289">
      <c r="A289" s="19" t="str">
        <v>德国区</v>
      </c>
      <c r="B289" s="19" t="str">
        <v>杜塞尔多夫18号仓</v>
      </c>
      <c r="C289" s="19" t="str">
        <v>包装组</v>
      </c>
      <c r="D289" s="21" t="n">
        <v>46195</v>
      </c>
      <c r="E289" s="19" t="str">
        <v>2026-06</v>
      </c>
      <c r="F289" s="19" t="str">
        <v>操作员</v>
      </c>
      <c r="G289" s="19" t="str">
        <v>德国区-灵活班次 / DE FLEX</v>
      </c>
      <c r="H289" s="23" t="n">
        <v>3</v>
      </c>
      <c r="I289" s="23" t="n">
        <v>0</v>
      </c>
      <c r="J289" s="23" t="n">
        <f>H289+I289</f>
        <v>3</v>
      </c>
      <c r="K289" s="23" t="n">
        <v>0</v>
      </c>
      <c r="L289" s="23" t="n">
        <v>0</v>
      </c>
      <c r="M289" s="23" t="n">
        <f>MIN(K289,J289)</f>
        <v>0</v>
      </c>
      <c r="N289" s="23" t="n">
        <f>MIN(L289,J289)</f>
        <v>0</v>
      </c>
      <c r="O289" s="25" t="n">
        <f>IF(K289=0,0,MIN(1,J289/K289))</f>
        <v>0</v>
      </c>
      <c r="P289" s="23" t="n">
        <f>IF(J289&gt;0,MAX(K289-J289,0),0)</f>
        <v>0</v>
      </c>
      <c r="Q289" s="23" t="n">
        <f>IF(J289=0,K289,0)</f>
        <v>0</v>
      </c>
      <c r="R289" s="23" t="n">
        <f>MAX(J289-K289,0)</f>
        <v>3</v>
      </c>
      <c r="S289" s="23" t="n">
        <f>IF(J289&gt;0,MAX(L289-J289,0),L289)</f>
        <v>0</v>
      </c>
    </row>
    <row r="290">
      <c r="A290" s="19" t="str">
        <v>德国区</v>
      </c>
      <c r="B290" s="19" t="str">
        <v>杜塞尔多夫18号仓</v>
      </c>
      <c r="C290" s="19" t="str">
        <v>包装组</v>
      </c>
      <c r="D290" s="21" t="n">
        <v>46196</v>
      </c>
      <c r="E290" s="19" t="str">
        <v>2026-06</v>
      </c>
      <c r="F290" s="19" t="str">
        <v>操作员</v>
      </c>
      <c r="G290" s="19" t="str">
        <v>德国区-灵活班次 / DE FLEX</v>
      </c>
      <c r="H290" s="23" t="n">
        <v>3</v>
      </c>
      <c r="I290" s="23" t="n">
        <v>0</v>
      </c>
      <c r="J290" s="23" t="n">
        <f>H290+I290</f>
        <v>3</v>
      </c>
      <c r="K290" s="23" t="n">
        <v>3</v>
      </c>
      <c r="L290" s="23" t="n">
        <v>3</v>
      </c>
      <c r="M290" s="23" t="n">
        <f>MIN(K290,J290)</f>
        <v>3</v>
      </c>
      <c r="N290" s="23" t="n">
        <f>MIN(L290,J290)</f>
        <v>3</v>
      </c>
      <c r="O290" s="25" t="n">
        <f>IF(K290=0,0,MIN(1,J290/K290))</f>
        <v>1</v>
      </c>
      <c r="P290" s="23" t="n">
        <f>IF(J290&gt;0,MAX(K290-J290,0),0)</f>
        <v>0</v>
      </c>
      <c r="Q290" s="23" t="n">
        <f>IF(J290=0,K290,0)</f>
        <v>0</v>
      </c>
      <c r="R290" s="23" t="n">
        <f>MAX(J290-K290,0)</f>
        <v>0</v>
      </c>
      <c r="S290" s="23" t="n">
        <f>IF(J290&gt;0,MAX(L290-J290,0),L290)</f>
        <v>0</v>
      </c>
    </row>
    <row r="291">
      <c r="A291" s="19" t="str">
        <v>德国区</v>
      </c>
      <c r="B291" s="19" t="str">
        <v>杜塞尔多夫18号仓</v>
      </c>
      <c r="C291" s="19" t="str">
        <v>包装组</v>
      </c>
      <c r="D291" s="21" t="n">
        <v>46197</v>
      </c>
      <c r="E291" s="19" t="str">
        <v>2026-06</v>
      </c>
      <c r="F291" s="19" t="str">
        <v>操作员</v>
      </c>
      <c r="G291" s="19" t="str">
        <v>德国区-灵活班次 / DE FLEX</v>
      </c>
      <c r="H291" s="23" t="n">
        <v>3</v>
      </c>
      <c r="I291" s="23" t="n">
        <v>0</v>
      </c>
      <c r="J291" s="23" t="n">
        <f>H291+I291</f>
        <v>3</v>
      </c>
      <c r="K291" s="23" t="n">
        <v>4</v>
      </c>
      <c r="L291" s="23" t="n">
        <v>4</v>
      </c>
      <c r="M291" s="23" t="n">
        <f>MIN(K291,J291)</f>
        <v>3</v>
      </c>
      <c r="N291" s="23" t="n">
        <f>MIN(L291,J291)</f>
        <v>3</v>
      </c>
      <c r="O291" s="25" t="n">
        <f>IF(K291=0,0,MIN(1,J291/K291))</f>
        <v>0.75</v>
      </c>
      <c r="P291" s="23" t="n">
        <f>IF(J291&gt;0,MAX(K291-J291,0),0)</f>
        <v>1</v>
      </c>
      <c r="Q291" s="23" t="n">
        <f>IF(J291=0,K291,0)</f>
        <v>0</v>
      </c>
      <c r="R291" s="23" t="n">
        <f>MAX(J291-K291,0)</f>
        <v>0</v>
      </c>
      <c r="S291" s="23" t="n">
        <f>IF(J291&gt;0,MAX(L291-J291,0),L291)</f>
        <v>1</v>
      </c>
    </row>
    <row r="292">
      <c r="A292" s="19" t="str">
        <v>德国区</v>
      </c>
      <c r="B292" s="19" t="str">
        <v>杜塞尔多夫18号仓</v>
      </c>
      <c r="C292" s="19" t="str">
        <v>包装组</v>
      </c>
      <c r="D292" s="21" t="n">
        <v>46198</v>
      </c>
      <c r="E292" s="19" t="str">
        <v>2026-06</v>
      </c>
      <c r="F292" s="19" t="str">
        <v>操作员</v>
      </c>
      <c r="G292" s="19" t="str">
        <v>德国区-灵活班次 / DE FLEX</v>
      </c>
      <c r="H292" s="23" t="n">
        <v>3</v>
      </c>
      <c r="I292" s="23" t="n">
        <v>0</v>
      </c>
      <c r="J292" s="23" t="n">
        <f>H292+I292</f>
        <v>3</v>
      </c>
      <c r="K292" s="23" t="n">
        <v>0</v>
      </c>
      <c r="L292" s="23" t="n">
        <v>0</v>
      </c>
      <c r="M292" s="23" t="n">
        <f>MIN(K292,J292)</f>
        <v>0</v>
      </c>
      <c r="N292" s="23" t="n">
        <f>MIN(L292,J292)</f>
        <v>0</v>
      </c>
      <c r="O292" s="25" t="n">
        <f>IF(K292=0,0,MIN(1,J292/K292))</f>
        <v>0</v>
      </c>
      <c r="P292" s="23" t="n">
        <f>IF(J292&gt;0,MAX(K292-J292,0),0)</f>
        <v>0</v>
      </c>
      <c r="Q292" s="23" t="n">
        <f>IF(J292=0,K292,0)</f>
        <v>0</v>
      </c>
      <c r="R292" s="23" t="n">
        <f>MAX(J292-K292,0)</f>
        <v>3</v>
      </c>
      <c r="S292" s="23" t="n">
        <f>IF(J292&gt;0,MAX(L292-J292,0),L292)</f>
        <v>0</v>
      </c>
    </row>
    <row r="293">
      <c r="A293" s="19" t="str">
        <v>德国区</v>
      </c>
      <c r="B293" s="19" t="str">
        <v>杜塞尔多夫18号仓</v>
      </c>
      <c r="C293" s="19" t="str">
        <v>包装组</v>
      </c>
      <c r="D293" s="21" t="n">
        <v>46199</v>
      </c>
      <c r="E293" s="19" t="str">
        <v>2026-06</v>
      </c>
      <c r="F293" s="19" t="str">
        <v>操作员</v>
      </c>
      <c r="G293" s="19" t="str">
        <v>德国区-灵活班次 / DE FLEX</v>
      </c>
      <c r="H293" s="23" t="n">
        <v>3</v>
      </c>
      <c r="I293" s="23" t="n">
        <v>0</v>
      </c>
      <c r="J293" s="23" t="n">
        <f>H293+I293</f>
        <v>3</v>
      </c>
      <c r="K293" s="23" t="n">
        <v>0</v>
      </c>
      <c r="L293" s="23" t="n">
        <v>0</v>
      </c>
      <c r="M293" s="23" t="n">
        <f>MIN(K293,J293)</f>
        <v>0</v>
      </c>
      <c r="N293" s="23" t="n">
        <f>MIN(L293,J293)</f>
        <v>0</v>
      </c>
      <c r="O293" s="25" t="n">
        <f>IF(K293=0,0,MIN(1,J293/K293))</f>
        <v>0</v>
      </c>
      <c r="P293" s="23" t="n">
        <f>IF(J293&gt;0,MAX(K293-J293,0),0)</f>
        <v>0</v>
      </c>
      <c r="Q293" s="23" t="n">
        <f>IF(J293=0,K293,0)</f>
        <v>0</v>
      </c>
      <c r="R293" s="23" t="n">
        <f>MAX(J293-K293,0)</f>
        <v>3</v>
      </c>
      <c r="S293" s="23" t="n">
        <f>IF(J293&gt;0,MAX(L293-J293,0),L293)</f>
        <v>0</v>
      </c>
    </row>
    <row r="294">
      <c r="A294" s="19" t="str">
        <v>德国区</v>
      </c>
      <c r="B294" s="19" t="str">
        <v>杜塞尔多夫18号仓</v>
      </c>
      <c r="C294" s="19" t="str">
        <v>包装组</v>
      </c>
      <c r="D294" s="21" t="n">
        <v>46200</v>
      </c>
      <c r="E294" s="19" t="str">
        <v>2026-06</v>
      </c>
      <c r="F294" s="19" t="str">
        <v>操作员</v>
      </c>
      <c r="G294" s="19" t="str">
        <v>德国区-灵活班次 / DE FLEX</v>
      </c>
      <c r="H294" s="23" t="n">
        <v>3</v>
      </c>
      <c r="I294" s="23" t="n">
        <v>0</v>
      </c>
      <c r="J294" s="23" t="n">
        <f>H294+I294</f>
        <v>3</v>
      </c>
      <c r="K294" s="23" t="n">
        <v>0</v>
      </c>
      <c r="L294" s="23" t="n">
        <v>0</v>
      </c>
      <c r="M294" s="23" t="n">
        <f>MIN(K294,J294)</f>
        <v>0</v>
      </c>
      <c r="N294" s="23" t="n">
        <f>MIN(L294,J294)</f>
        <v>0</v>
      </c>
      <c r="O294" s="25" t="n">
        <f>IF(K294=0,0,MIN(1,J294/K294))</f>
        <v>0</v>
      </c>
      <c r="P294" s="23" t="n">
        <f>IF(J294&gt;0,MAX(K294-J294,0),0)</f>
        <v>0</v>
      </c>
      <c r="Q294" s="23" t="n">
        <f>IF(J294=0,K294,0)</f>
        <v>0</v>
      </c>
      <c r="R294" s="23" t="n">
        <f>MAX(J294-K294,0)</f>
        <v>3</v>
      </c>
      <c r="S294" s="23" t="n">
        <f>IF(J294&gt;0,MAX(L294-J294,0),L294)</f>
        <v>0</v>
      </c>
    </row>
    <row r="295">
      <c r="A295" s="19" t="str">
        <v>德国区</v>
      </c>
      <c r="B295" s="19" t="str">
        <v>杜塞尔多夫18号仓</v>
      </c>
      <c r="C295" s="19" t="str">
        <v>售后组</v>
      </c>
      <c r="D295" s="21" t="n">
        <v>46168</v>
      </c>
      <c r="E295" s="19" t="str">
        <v>2026-05</v>
      </c>
      <c r="F295" s="19" t="str">
        <v>售后处理员</v>
      </c>
      <c r="G295" s="19" t="str">
        <v>德国区-灵活班次 / DE FLEX</v>
      </c>
      <c r="H295" s="23" t="n">
        <v>3</v>
      </c>
      <c r="I295" s="23" t="n">
        <v>0</v>
      </c>
      <c r="J295" s="23" t="n">
        <f>H295+I295</f>
        <v>3</v>
      </c>
      <c r="K295" s="23" t="n">
        <v>4</v>
      </c>
      <c r="L295" s="23" t="n">
        <v>0</v>
      </c>
      <c r="M295" s="23" t="n">
        <f>MIN(K295,J295)</f>
        <v>3</v>
      </c>
      <c r="N295" s="23" t="n">
        <f>MIN(L295,J295)</f>
        <v>0</v>
      </c>
      <c r="O295" s="25" t="n">
        <f>IF(K295=0,0,MIN(1,J295/K295))</f>
        <v>0.75</v>
      </c>
      <c r="P295" s="23" t="n">
        <f>IF(J295&gt;0,MAX(K295-J295,0),0)</f>
        <v>1</v>
      </c>
      <c r="Q295" s="23" t="n">
        <f>IF(J295=0,K295,0)</f>
        <v>0</v>
      </c>
      <c r="R295" s="23" t="n">
        <f>MAX(J295-K295,0)</f>
        <v>0</v>
      </c>
      <c r="S295" s="23" t="n">
        <f>IF(J295&gt;0,MAX(L295-J295,0),L295)</f>
        <v>0</v>
      </c>
    </row>
    <row r="296">
      <c r="A296" s="19" t="str">
        <v>德国区</v>
      </c>
      <c r="B296" s="19" t="str">
        <v>杜塞尔多夫18号仓</v>
      </c>
      <c r="C296" s="19" t="str">
        <v>售后组</v>
      </c>
      <c r="D296" s="21" t="n">
        <v>46175</v>
      </c>
      <c r="E296" s="19" t="str">
        <v>2026-06</v>
      </c>
      <c r="F296" s="19" t="str">
        <v>操作员</v>
      </c>
      <c r="G296" s="19" t="str">
        <v>德国区8:30班次（18仓）</v>
      </c>
      <c r="H296" s="23" t="n">
        <v>2</v>
      </c>
      <c r="I296" s="23" t="n">
        <v>0</v>
      </c>
      <c r="J296" s="23" t="n">
        <f>H296+I296</f>
        <v>2</v>
      </c>
      <c r="K296" s="23" t="n">
        <v>2</v>
      </c>
      <c r="L296" s="23" t="n">
        <v>2</v>
      </c>
      <c r="M296" s="23" t="n">
        <f>MIN(K296,J296)</f>
        <v>2</v>
      </c>
      <c r="N296" s="23" t="n">
        <f>MIN(L296,J296)</f>
        <v>2</v>
      </c>
      <c r="O296" s="25" t="n">
        <f>IF(K296=0,0,MIN(1,J296/K296))</f>
        <v>1</v>
      </c>
      <c r="P296" s="23" t="n">
        <f>IF(J296&gt;0,MAX(K296-J296,0),0)</f>
        <v>0</v>
      </c>
      <c r="Q296" s="23" t="n">
        <f>IF(J296=0,K296,0)</f>
        <v>0</v>
      </c>
      <c r="R296" s="23" t="n">
        <f>MAX(J296-K296,0)</f>
        <v>0</v>
      </c>
      <c r="S296" s="23" t="n">
        <f>IF(J296&gt;0,MAX(L296-J296,0),L296)</f>
        <v>0</v>
      </c>
    </row>
    <row r="297">
      <c r="A297" s="19" t="str">
        <v>德国区</v>
      </c>
      <c r="B297" s="19" t="str">
        <v>杜塞尔多夫18号仓</v>
      </c>
      <c r="C297" s="19" t="str">
        <v>售后组</v>
      </c>
      <c r="D297" s="21" t="n">
        <v>46176</v>
      </c>
      <c r="E297" s="19" t="str">
        <v>2026-06</v>
      </c>
      <c r="F297" s="19" t="str">
        <v>操作员</v>
      </c>
      <c r="G297" s="19" t="str">
        <v>德国区8:30班次（18仓）</v>
      </c>
      <c r="H297" s="23" t="n">
        <v>1</v>
      </c>
      <c r="I297" s="23" t="n">
        <v>0</v>
      </c>
      <c r="J297" s="23" t="n">
        <f>H297+I297</f>
        <v>1</v>
      </c>
      <c r="K297" s="23" t="n">
        <v>0</v>
      </c>
      <c r="L297" s="23" t="n">
        <v>0</v>
      </c>
      <c r="M297" s="23" t="n">
        <f>MIN(K297,J297)</f>
        <v>0</v>
      </c>
      <c r="N297" s="23" t="n">
        <f>MIN(L297,J297)</f>
        <v>0</v>
      </c>
      <c r="O297" s="25" t="n">
        <f>IF(K297=0,0,MIN(1,J297/K297))</f>
        <v>0</v>
      </c>
      <c r="P297" s="23" t="n">
        <f>IF(J297&gt;0,MAX(K297-J297,0),0)</f>
        <v>0</v>
      </c>
      <c r="Q297" s="23" t="n">
        <f>IF(J297=0,K297,0)</f>
        <v>0</v>
      </c>
      <c r="R297" s="23" t="n">
        <f>MAX(J297-K297,0)</f>
        <v>1</v>
      </c>
      <c r="S297" s="23" t="n">
        <f>IF(J297&gt;0,MAX(L297-J297,0),L297)</f>
        <v>0</v>
      </c>
    </row>
    <row r="298">
      <c r="A298" s="19" t="str">
        <v>德国区</v>
      </c>
      <c r="B298" s="19" t="str">
        <v>杜塞尔多夫18号仓</v>
      </c>
      <c r="C298" s="19" t="str">
        <v>售后组</v>
      </c>
      <c r="D298" s="21" t="n">
        <v>46177</v>
      </c>
      <c r="E298" s="19" t="str">
        <v>2026-06</v>
      </c>
      <c r="F298" s="19" t="str">
        <v>售后处理员</v>
      </c>
      <c r="G298" s="19" t="str">
        <v>德国区-灵活班次 / DE FLEX</v>
      </c>
      <c r="H298" s="23" t="n">
        <v>3</v>
      </c>
      <c r="I298" s="23" t="n">
        <v>0</v>
      </c>
      <c r="J298" s="23" t="n">
        <f>H298+I298</f>
        <v>3</v>
      </c>
      <c r="K298" s="23" t="n">
        <v>3</v>
      </c>
      <c r="L298" s="23" t="n">
        <v>2</v>
      </c>
      <c r="M298" s="23" t="n">
        <f>MIN(K298,J298)</f>
        <v>3</v>
      </c>
      <c r="N298" s="23" t="n">
        <f>MIN(L298,J298)</f>
        <v>2</v>
      </c>
      <c r="O298" s="25" t="n">
        <f>IF(K298=0,0,MIN(1,J298/K298))</f>
        <v>1</v>
      </c>
      <c r="P298" s="23" t="n">
        <f>IF(J298&gt;0,MAX(K298-J298,0),0)</f>
        <v>0</v>
      </c>
      <c r="Q298" s="23" t="n">
        <f>IF(J298=0,K298,0)</f>
        <v>0</v>
      </c>
      <c r="R298" s="23" t="n">
        <f>MAX(J298-K298,0)</f>
        <v>0</v>
      </c>
      <c r="S298" s="23" t="n">
        <f>IF(J298&gt;0,MAX(L298-J298,0),L298)</f>
        <v>0</v>
      </c>
    </row>
    <row r="299">
      <c r="A299" s="19" t="str">
        <v>德国区</v>
      </c>
      <c r="B299" s="19" t="str">
        <v>杜塞尔多夫18号仓</v>
      </c>
      <c r="C299" s="19" t="str">
        <v>售后组</v>
      </c>
      <c r="D299" s="21" t="n">
        <v>46183</v>
      </c>
      <c r="E299" s="19" t="str">
        <v>2026-06</v>
      </c>
      <c r="F299" s="19" t="str">
        <v>售后处理员</v>
      </c>
      <c r="G299" s="19" t="str">
        <v>德国区-灵活班次 / DE FLEX</v>
      </c>
      <c r="H299" s="23" t="n">
        <v>1</v>
      </c>
      <c r="I299" s="23" t="n">
        <v>0</v>
      </c>
      <c r="J299" s="23" t="n">
        <f>H299+I299</f>
        <v>1</v>
      </c>
      <c r="K299" s="23" t="n">
        <v>0</v>
      </c>
      <c r="L299" s="23" t="n">
        <v>0</v>
      </c>
      <c r="M299" s="23" t="n">
        <f>MIN(K299,J299)</f>
        <v>0</v>
      </c>
      <c r="N299" s="23" t="n">
        <f>MIN(L299,J299)</f>
        <v>0</v>
      </c>
      <c r="O299" s="25" t="n">
        <f>IF(K299=0,0,MIN(1,J299/K299))</f>
        <v>0</v>
      </c>
      <c r="P299" s="23" t="n">
        <f>IF(J299&gt;0,MAX(K299-J299,0),0)</f>
        <v>0</v>
      </c>
      <c r="Q299" s="23" t="n">
        <f>IF(J299=0,K299,0)</f>
        <v>0</v>
      </c>
      <c r="R299" s="23" t="n">
        <f>MAX(J299-K299,0)</f>
        <v>1</v>
      </c>
      <c r="S299" s="23" t="n">
        <f>IF(J299&gt;0,MAX(L299-J299,0),L299)</f>
        <v>0</v>
      </c>
    </row>
    <row r="300">
      <c r="A300" s="19" t="str">
        <v>德国区</v>
      </c>
      <c r="B300" s="19" t="str">
        <v>杜塞尔多夫18号仓</v>
      </c>
      <c r="C300" s="19" t="str">
        <v>售后组</v>
      </c>
      <c r="D300" s="21" t="n">
        <v>46185</v>
      </c>
      <c r="E300" s="19" t="str">
        <v>2026-06</v>
      </c>
      <c r="F300" s="19" t="str">
        <v>操作员</v>
      </c>
      <c r="G300" s="19" t="str">
        <v>德国区-灵活班次 / DE FLEX</v>
      </c>
      <c r="H300" s="23" t="n">
        <v>3</v>
      </c>
      <c r="I300" s="23" t="n">
        <v>0</v>
      </c>
      <c r="J300" s="23" t="n">
        <f>H300+I300</f>
        <v>3</v>
      </c>
      <c r="K300" s="23" t="n">
        <v>3</v>
      </c>
      <c r="L300" s="23" t="n">
        <v>3</v>
      </c>
      <c r="M300" s="23" t="n">
        <f>MIN(K300,J300)</f>
        <v>3</v>
      </c>
      <c r="N300" s="23" t="n">
        <f>MIN(L300,J300)</f>
        <v>3</v>
      </c>
      <c r="O300" s="25" t="n">
        <f>IF(K300=0,0,MIN(1,J300/K300))</f>
        <v>1</v>
      </c>
      <c r="P300" s="23" t="n">
        <f>IF(J300&gt;0,MAX(K300-J300,0),0)</f>
        <v>0</v>
      </c>
      <c r="Q300" s="23" t="n">
        <f>IF(J300=0,K300,0)</f>
        <v>0</v>
      </c>
      <c r="R300" s="23" t="n">
        <f>MAX(J300-K300,0)</f>
        <v>0</v>
      </c>
      <c r="S300" s="23" t="n">
        <f>IF(J300&gt;0,MAX(L300-J300,0),L300)</f>
        <v>0</v>
      </c>
    </row>
    <row r="301">
      <c r="A301" s="19" t="str">
        <v>德国区</v>
      </c>
      <c r="B301" s="19" t="str">
        <v>杜塞尔多夫18号仓</v>
      </c>
      <c r="C301" s="19" t="str">
        <v>售后组</v>
      </c>
      <c r="D301" s="21" t="n">
        <v>46195</v>
      </c>
      <c r="E301" s="19" t="str">
        <v>2026-06</v>
      </c>
      <c r="F301" s="19" t="str">
        <v>操作员</v>
      </c>
      <c r="G301" s="19" t="str">
        <v>德国区-灵活班次 / DE FLEX</v>
      </c>
      <c r="H301" s="23" t="n">
        <v>9</v>
      </c>
      <c r="I301" s="23" t="n">
        <v>0</v>
      </c>
      <c r="J301" s="23" t="n">
        <f>H301+I301</f>
        <v>9</v>
      </c>
      <c r="K301" s="23" t="n">
        <v>4</v>
      </c>
      <c r="L301" s="23" t="n">
        <v>4</v>
      </c>
      <c r="M301" s="23" t="n">
        <f>MIN(K301,J301)</f>
        <v>4</v>
      </c>
      <c r="N301" s="23" t="n">
        <f>MIN(L301,J301)</f>
        <v>4</v>
      </c>
      <c r="O301" s="25" t="n">
        <f>IF(K301=0,0,MIN(1,J301/K301))</f>
        <v>1</v>
      </c>
      <c r="P301" s="23" t="n">
        <f>IF(J301&gt;0,MAX(K301-J301,0),0)</f>
        <v>0</v>
      </c>
      <c r="Q301" s="23" t="n">
        <f>IF(J301=0,K301,0)</f>
        <v>0</v>
      </c>
      <c r="R301" s="23" t="n">
        <f>MAX(J301-K301,0)</f>
        <v>5</v>
      </c>
      <c r="S301" s="23" t="n">
        <f>IF(J301&gt;0,MAX(L301-J301,0),L301)</f>
        <v>0</v>
      </c>
    </row>
    <row r="302">
      <c r="A302" s="19" t="str">
        <v>德国区</v>
      </c>
      <c r="B302" s="19" t="str">
        <v>杜塞尔多夫18号仓</v>
      </c>
      <c r="C302" s="19" t="str">
        <v>售后组</v>
      </c>
      <c r="D302" s="21" t="n">
        <v>46203</v>
      </c>
      <c r="E302" s="19" t="str">
        <v>2026-06</v>
      </c>
      <c r="F302" s="19" t="str">
        <v>操作员</v>
      </c>
      <c r="G302" s="19" t="str">
        <v>德国区-灵活班次 / DE FLEX</v>
      </c>
      <c r="H302" s="23" t="n">
        <v>1</v>
      </c>
      <c r="I302" s="23" t="n">
        <v>0</v>
      </c>
      <c r="J302" s="23" t="n">
        <f>H302+I302</f>
        <v>1</v>
      </c>
      <c r="K302" s="23" t="n">
        <v>1</v>
      </c>
      <c r="L302" s="23" t="n">
        <v>0</v>
      </c>
      <c r="M302" s="23" t="n">
        <f>MIN(K302,J302)</f>
        <v>1</v>
      </c>
      <c r="N302" s="23" t="n">
        <f>MIN(L302,J302)</f>
        <v>0</v>
      </c>
      <c r="O302" s="25" t="n">
        <f>IF(K302=0,0,MIN(1,J302/K302))</f>
        <v>1</v>
      </c>
      <c r="P302" s="23" t="n">
        <f>IF(J302&gt;0,MAX(K302-J302,0),0)</f>
        <v>0</v>
      </c>
      <c r="Q302" s="23" t="n">
        <f>IF(J302=0,K302,0)</f>
        <v>0</v>
      </c>
      <c r="R302" s="23" t="n">
        <f>MAX(J302-K302,0)</f>
        <v>0</v>
      </c>
      <c r="S302" s="23" t="n">
        <f>IF(J302&gt;0,MAX(L302-J302,0),L302)</f>
        <v>0</v>
      </c>
    </row>
    <row r="303">
      <c r="A303" s="19" t="str">
        <v>德国区</v>
      </c>
      <c r="B303" s="19" t="str">
        <v>杜塞尔多夫18号仓</v>
      </c>
      <c r="C303" s="19" t="str">
        <v>拣货组</v>
      </c>
      <c r="D303" s="21" t="n">
        <v>46175</v>
      </c>
      <c r="E303" s="19" t="str">
        <v>2026-06</v>
      </c>
      <c r="F303" s="19" t="str">
        <v>操作员</v>
      </c>
      <c r="G303" s="19" t="str">
        <v>德国区-灵活班次 / DE FLEX</v>
      </c>
      <c r="H303" s="23" t="n">
        <v>3</v>
      </c>
      <c r="I303" s="23" t="n">
        <v>0</v>
      </c>
      <c r="J303" s="23" t="n">
        <f>H303+I303</f>
        <v>3</v>
      </c>
      <c r="K303" s="23" t="n">
        <v>4</v>
      </c>
      <c r="L303" s="23" t="n">
        <v>4</v>
      </c>
      <c r="M303" s="23" t="n">
        <f>MIN(K303,J303)</f>
        <v>3</v>
      </c>
      <c r="N303" s="23" t="n">
        <f>MIN(L303,J303)</f>
        <v>3</v>
      </c>
      <c r="O303" s="25" t="n">
        <f>IF(K303=0,0,MIN(1,J303/K303))</f>
        <v>0.75</v>
      </c>
      <c r="P303" s="23" t="n">
        <f>IF(J303&gt;0,MAX(K303-J303,0),0)</f>
        <v>1</v>
      </c>
      <c r="Q303" s="23" t="n">
        <f>IF(J303=0,K303,0)</f>
        <v>0</v>
      </c>
      <c r="R303" s="23" t="n">
        <f>MAX(J303-K303,0)</f>
        <v>0</v>
      </c>
      <c r="S303" s="23" t="n">
        <f>IF(J303&gt;0,MAX(L303-J303,0),L303)</f>
        <v>1</v>
      </c>
    </row>
    <row r="304">
      <c r="A304" s="19" t="str">
        <v>德国区</v>
      </c>
      <c r="B304" s="19" t="str">
        <v>杜塞尔多夫18号仓</v>
      </c>
      <c r="C304" s="19" t="str">
        <v>拣货组</v>
      </c>
      <c r="D304" s="21" t="n">
        <v>46197</v>
      </c>
      <c r="E304" s="19" t="str">
        <v>2026-06</v>
      </c>
      <c r="F304" s="19" t="str">
        <v>操作员</v>
      </c>
      <c r="G304" s="19" t="str">
        <v>德国区8:30班次（18仓）</v>
      </c>
      <c r="H304" s="23" t="n">
        <v>1</v>
      </c>
      <c r="I304" s="23" t="n">
        <v>0</v>
      </c>
      <c r="J304" s="23" t="n">
        <f>H304+I304</f>
        <v>1</v>
      </c>
      <c r="K304" s="23" t="n">
        <v>1</v>
      </c>
      <c r="L304" s="23" t="n">
        <v>1</v>
      </c>
      <c r="M304" s="23" t="n">
        <f>MIN(K304,J304)</f>
        <v>1</v>
      </c>
      <c r="N304" s="23" t="n">
        <f>MIN(L304,J304)</f>
        <v>1</v>
      </c>
      <c r="O304" s="25" t="n">
        <f>IF(K304=0,0,MIN(1,J304/K304))</f>
        <v>1</v>
      </c>
      <c r="P304" s="23" t="n">
        <f>IF(J304&gt;0,MAX(K304-J304,0),0)</f>
        <v>0</v>
      </c>
      <c r="Q304" s="23" t="n">
        <f>IF(J304=0,K304,0)</f>
        <v>0</v>
      </c>
      <c r="R304" s="23" t="n">
        <f>MAX(J304-K304,0)</f>
        <v>0</v>
      </c>
      <c r="S304" s="23" t="n">
        <f>IF(J304&gt;0,MAX(L304-J304,0),L304)</f>
        <v>0</v>
      </c>
    </row>
    <row r="305">
      <c r="A305" s="19" t="str">
        <v>德国区</v>
      </c>
      <c r="B305" s="19" t="str">
        <v>杜塞尔多夫18号仓</v>
      </c>
      <c r="C305" s="19" t="str">
        <v>理货组</v>
      </c>
      <c r="D305" s="21" t="n">
        <v>46175</v>
      </c>
      <c r="E305" s="19" t="str">
        <v>2026-06</v>
      </c>
      <c r="F305" s="19" t="str">
        <v>操作员</v>
      </c>
      <c r="G305" s="19" t="str">
        <v>德国区8:30班次（18仓）</v>
      </c>
      <c r="H305" s="23" t="n">
        <v>1</v>
      </c>
      <c r="I305" s="23" t="n">
        <v>0</v>
      </c>
      <c r="J305" s="23" t="n">
        <f>H305+I305</f>
        <v>1</v>
      </c>
      <c r="K305" s="23" t="n">
        <v>3</v>
      </c>
      <c r="L305" s="23" t="n">
        <v>2</v>
      </c>
      <c r="M305" s="23" t="n">
        <f>MIN(K305,J305)</f>
        <v>1</v>
      </c>
      <c r="N305" s="23" t="n">
        <f>MIN(L305,J305)</f>
        <v>1</v>
      </c>
      <c r="O305" s="25" t="n">
        <f>IF(K305=0,0,MIN(1,J305/K305))</f>
        <v>0.3333333333333333</v>
      </c>
      <c r="P305" s="23" t="n">
        <f>IF(J305&gt;0,MAX(K305-J305,0),0)</f>
        <v>2</v>
      </c>
      <c r="Q305" s="23" t="n">
        <f>IF(J305=0,K305,0)</f>
        <v>0</v>
      </c>
      <c r="R305" s="23" t="n">
        <f>MAX(J305-K305,0)</f>
        <v>0</v>
      </c>
      <c r="S305" s="23" t="n">
        <f>IF(J305&gt;0,MAX(L305-J305,0),L305)</f>
        <v>1</v>
      </c>
    </row>
    <row r="306">
      <c r="A306" s="19" t="str">
        <v>德国区</v>
      </c>
      <c r="B306" s="19" t="str">
        <v>杜塞尔多夫18号仓</v>
      </c>
      <c r="C306" s="19" t="str">
        <v>理货组</v>
      </c>
      <c r="D306" s="21" t="n">
        <v>46176</v>
      </c>
      <c r="E306" s="19" t="str">
        <v>2026-06</v>
      </c>
      <c r="F306" s="19" t="str">
        <v>操作员</v>
      </c>
      <c r="G306" s="19" t="str">
        <v>德国区8:30班次（18仓）</v>
      </c>
      <c r="H306" s="23" t="n">
        <v>1</v>
      </c>
      <c r="I306" s="23" t="n">
        <v>0</v>
      </c>
      <c r="J306" s="23" t="n">
        <f>H306+I306</f>
        <v>1</v>
      </c>
      <c r="K306" s="23" t="n">
        <v>0</v>
      </c>
      <c r="L306" s="23" t="n">
        <v>0</v>
      </c>
      <c r="M306" s="23" t="n">
        <f>MIN(K306,J306)</f>
        <v>0</v>
      </c>
      <c r="N306" s="23" t="n">
        <f>MIN(L306,J306)</f>
        <v>0</v>
      </c>
      <c r="O306" s="25" t="n">
        <f>IF(K306=0,0,MIN(1,J306/K306))</f>
        <v>0</v>
      </c>
      <c r="P306" s="23" t="n">
        <f>IF(J306&gt;0,MAX(K306-J306,0),0)</f>
        <v>0</v>
      </c>
      <c r="Q306" s="23" t="n">
        <f>IF(J306=0,K306,0)</f>
        <v>0</v>
      </c>
      <c r="R306" s="23" t="n">
        <f>MAX(J306-K306,0)</f>
        <v>1</v>
      </c>
      <c r="S306" s="23" t="n">
        <f>IF(J306&gt;0,MAX(L306-J306,0),L306)</f>
        <v>0</v>
      </c>
    </row>
    <row r="307">
      <c r="A307" s="19" t="str">
        <v>德国区</v>
      </c>
      <c r="B307" s="19" t="str">
        <v>杜塞尔多夫3号仓</v>
      </c>
      <c r="C307" s="19" t="str">
        <v>交运组</v>
      </c>
      <c r="D307" s="21" t="n">
        <v>46136</v>
      </c>
      <c r="E307" s="19" t="str">
        <v>2026-04</v>
      </c>
      <c r="F307" s="19" t="str">
        <v>操作员</v>
      </c>
      <c r="G307" s="19" t="str">
        <v>德国区-灵活班次 / DE FLEX</v>
      </c>
      <c r="H307" s="23" t="n">
        <v>2</v>
      </c>
      <c r="I307" s="23" t="n">
        <v>0</v>
      </c>
      <c r="J307" s="23" t="n">
        <f>H307+I307</f>
        <v>2</v>
      </c>
      <c r="K307" s="23" t="n">
        <v>0</v>
      </c>
      <c r="L307" s="23" t="n">
        <v>0</v>
      </c>
      <c r="M307" s="23" t="n">
        <f>MIN(K307,J307)</f>
        <v>0</v>
      </c>
      <c r="N307" s="23" t="n">
        <f>MIN(L307,J307)</f>
        <v>0</v>
      </c>
      <c r="O307" s="25" t="n">
        <f>IF(K307=0,0,MIN(1,J307/K307))</f>
        <v>0</v>
      </c>
      <c r="P307" s="23" t="n">
        <f>IF(J307&gt;0,MAX(K307-J307,0),0)</f>
        <v>0</v>
      </c>
      <c r="Q307" s="23" t="n">
        <f>IF(J307=0,K307,0)</f>
        <v>0</v>
      </c>
      <c r="R307" s="23" t="n">
        <f>MAX(J307-K307,0)</f>
        <v>2</v>
      </c>
      <c r="S307" s="23" t="n">
        <f>IF(J307&gt;0,MAX(L307-J307,0),L307)</f>
        <v>0</v>
      </c>
    </row>
    <row r="308">
      <c r="A308" s="19" t="str">
        <v>德国区</v>
      </c>
      <c r="B308" s="19" t="str">
        <v>杜塞尔多夫3号仓</v>
      </c>
      <c r="C308" s="19" t="str">
        <v>交运组</v>
      </c>
      <c r="D308" s="21" t="n">
        <v>46139</v>
      </c>
      <c r="E308" s="19" t="str">
        <v>2026-04</v>
      </c>
      <c r="F308" s="19" t="str">
        <v>操作员</v>
      </c>
      <c r="G308" s="19" t="str">
        <v>德国区-灵活班次 / DE FLEX</v>
      </c>
      <c r="H308" s="23" t="n">
        <v>1</v>
      </c>
      <c r="I308" s="23" t="n">
        <v>0</v>
      </c>
      <c r="J308" s="23" t="n">
        <f>H308+I308</f>
        <v>1</v>
      </c>
      <c r="K308" s="23" t="n">
        <v>5</v>
      </c>
      <c r="L308" s="23" t="n">
        <v>1</v>
      </c>
      <c r="M308" s="23" t="n">
        <f>MIN(K308,J308)</f>
        <v>1</v>
      </c>
      <c r="N308" s="23" t="n">
        <f>MIN(L308,J308)</f>
        <v>1</v>
      </c>
      <c r="O308" s="25" t="n">
        <f>IF(K308=0,0,MIN(1,J308/K308))</f>
        <v>0.2</v>
      </c>
      <c r="P308" s="23" t="n">
        <f>IF(J308&gt;0,MAX(K308-J308,0),0)</f>
        <v>4</v>
      </c>
      <c r="Q308" s="23" t="n">
        <f>IF(J308=0,K308,0)</f>
        <v>0</v>
      </c>
      <c r="R308" s="23" t="n">
        <f>MAX(J308-K308,0)</f>
        <v>0</v>
      </c>
      <c r="S308" s="23" t="n">
        <f>IF(J308&gt;0,MAX(L308-J308,0),L308)</f>
        <v>0</v>
      </c>
    </row>
    <row r="309">
      <c r="A309" s="19" t="str">
        <v>德国区</v>
      </c>
      <c r="B309" s="19" t="str">
        <v>杜塞尔多夫3号仓</v>
      </c>
      <c r="C309" s="19" t="str">
        <v>交运组</v>
      </c>
      <c r="D309" s="21" t="n">
        <v>46140</v>
      </c>
      <c r="E309" s="19" t="str">
        <v>2026-04</v>
      </c>
      <c r="F309" s="19" t="str">
        <v>操作员</v>
      </c>
      <c r="G309" s="19" t="str">
        <v>德国区-灵活班次 / DE FLEX</v>
      </c>
      <c r="H309" s="23" t="n">
        <v>2</v>
      </c>
      <c r="I309" s="23" t="n">
        <v>0</v>
      </c>
      <c r="J309" s="23" t="n">
        <f>H309+I309</f>
        <v>2</v>
      </c>
      <c r="K309" s="23" t="n">
        <v>3</v>
      </c>
      <c r="L309" s="23" t="n">
        <v>0</v>
      </c>
      <c r="M309" s="23" t="n">
        <f>MIN(K309,J309)</f>
        <v>2</v>
      </c>
      <c r="N309" s="23" t="n">
        <f>MIN(L309,J309)</f>
        <v>0</v>
      </c>
      <c r="O309" s="25" t="n">
        <f>IF(K309=0,0,MIN(1,J309/K309))</f>
        <v>0.6666666666666666</v>
      </c>
      <c r="P309" s="23" t="n">
        <f>IF(J309&gt;0,MAX(K309-J309,0),0)</f>
        <v>1</v>
      </c>
      <c r="Q309" s="23" t="n">
        <f>IF(J309=0,K309,0)</f>
        <v>0</v>
      </c>
      <c r="R309" s="23" t="n">
        <f>MAX(J309-K309,0)</f>
        <v>0</v>
      </c>
      <c r="S309" s="23" t="n">
        <f>IF(J309&gt;0,MAX(L309-J309,0),L309)</f>
        <v>0</v>
      </c>
    </row>
    <row r="310">
      <c r="A310" s="19" t="str">
        <v>德国区</v>
      </c>
      <c r="B310" s="19" t="str">
        <v>杜塞尔多夫3号仓</v>
      </c>
      <c r="C310" s="19" t="str">
        <v>交运组</v>
      </c>
      <c r="D310" s="21" t="n">
        <v>46141</v>
      </c>
      <c r="E310" s="19" t="str">
        <v>2026-04</v>
      </c>
      <c r="F310" s="19" t="str">
        <v>操作员</v>
      </c>
      <c r="G310" s="19" t="str">
        <v>德国区-灵活班次 / DE FLEX</v>
      </c>
      <c r="H310" s="23" t="n">
        <v>1</v>
      </c>
      <c r="I310" s="23" t="n">
        <v>0</v>
      </c>
      <c r="J310" s="23" t="n">
        <f>H310+I310</f>
        <v>1</v>
      </c>
      <c r="K310" s="23" t="n">
        <v>3</v>
      </c>
      <c r="L310" s="23" t="n">
        <v>1</v>
      </c>
      <c r="M310" s="23" t="n">
        <f>MIN(K310,J310)</f>
        <v>1</v>
      </c>
      <c r="N310" s="23" t="n">
        <f>MIN(L310,J310)</f>
        <v>1</v>
      </c>
      <c r="O310" s="25" t="n">
        <f>IF(K310=0,0,MIN(1,J310/K310))</f>
        <v>0.3333333333333333</v>
      </c>
      <c r="P310" s="23" t="n">
        <f>IF(J310&gt;0,MAX(K310-J310,0),0)</f>
        <v>2</v>
      </c>
      <c r="Q310" s="23" t="n">
        <f>IF(J310=0,K310,0)</f>
        <v>0</v>
      </c>
      <c r="R310" s="23" t="n">
        <f>MAX(J310-K310,0)</f>
        <v>0</v>
      </c>
      <c r="S310" s="23" t="n">
        <f>IF(J310&gt;0,MAX(L310-J310,0),L310)</f>
        <v>0</v>
      </c>
    </row>
    <row r="311">
      <c r="A311" s="19" t="str">
        <v>德国区</v>
      </c>
      <c r="B311" s="19" t="str">
        <v>杜塞尔多夫3号仓</v>
      </c>
      <c r="C311" s="19" t="str">
        <v>交运组</v>
      </c>
      <c r="D311" s="21" t="n">
        <v>46146</v>
      </c>
      <c r="E311" s="19" t="str">
        <v>2026-05</v>
      </c>
      <c r="F311" s="19" t="str">
        <v>操作员</v>
      </c>
      <c r="G311" s="19" t="str">
        <v>德国区-灵活班次 / DE FLEX</v>
      </c>
      <c r="H311" s="23" t="n">
        <v>2</v>
      </c>
      <c r="I311" s="23" t="n">
        <v>0</v>
      </c>
      <c r="J311" s="23" t="n">
        <f>H311+I311</f>
        <v>2</v>
      </c>
      <c r="K311" s="23" t="n">
        <v>0</v>
      </c>
      <c r="L311" s="23" t="n">
        <v>0</v>
      </c>
      <c r="M311" s="23" t="n">
        <f>MIN(K311,J311)</f>
        <v>0</v>
      </c>
      <c r="N311" s="23" t="n">
        <f>MIN(L311,J311)</f>
        <v>0</v>
      </c>
      <c r="O311" s="25" t="n">
        <f>IF(K311=0,0,MIN(1,J311/K311))</f>
        <v>0</v>
      </c>
      <c r="P311" s="23" t="n">
        <f>IF(J311&gt;0,MAX(K311-J311,0),0)</f>
        <v>0</v>
      </c>
      <c r="Q311" s="23" t="n">
        <f>IF(J311=0,K311,0)</f>
        <v>0</v>
      </c>
      <c r="R311" s="23" t="n">
        <f>MAX(J311-K311,0)</f>
        <v>2</v>
      </c>
      <c r="S311" s="23" t="n">
        <f>IF(J311&gt;0,MAX(L311-J311,0),L311)</f>
        <v>0</v>
      </c>
    </row>
    <row r="312">
      <c r="A312" s="19" t="str">
        <v>德国区</v>
      </c>
      <c r="B312" s="19" t="str">
        <v>杜塞尔多夫3号仓</v>
      </c>
      <c r="C312" s="19" t="str">
        <v>交运组</v>
      </c>
      <c r="D312" s="21" t="n">
        <v>46147</v>
      </c>
      <c r="E312" s="19" t="str">
        <v>2026-05</v>
      </c>
      <c r="F312" s="19" t="str">
        <v>操作员</v>
      </c>
      <c r="G312" s="19" t="str">
        <v>德国区-灵活班次 / DE FLEX</v>
      </c>
      <c r="H312" s="23" t="n">
        <v>2</v>
      </c>
      <c r="I312" s="23" t="n">
        <v>0</v>
      </c>
      <c r="J312" s="23" t="n">
        <f>H312+I312</f>
        <v>2</v>
      </c>
      <c r="K312" s="23" t="n">
        <v>3</v>
      </c>
      <c r="L312" s="23" t="n">
        <v>3</v>
      </c>
      <c r="M312" s="23" t="n">
        <f>MIN(K312,J312)</f>
        <v>2</v>
      </c>
      <c r="N312" s="23" t="n">
        <f>MIN(L312,J312)</f>
        <v>2</v>
      </c>
      <c r="O312" s="25" t="n">
        <f>IF(K312=0,0,MIN(1,J312/K312))</f>
        <v>0.6666666666666666</v>
      </c>
      <c r="P312" s="23" t="n">
        <f>IF(J312&gt;0,MAX(K312-J312,0),0)</f>
        <v>1</v>
      </c>
      <c r="Q312" s="23" t="n">
        <f>IF(J312=0,K312,0)</f>
        <v>0</v>
      </c>
      <c r="R312" s="23" t="n">
        <f>MAX(J312-K312,0)</f>
        <v>0</v>
      </c>
      <c r="S312" s="23" t="n">
        <f>IF(J312&gt;0,MAX(L312-J312,0),L312)</f>
        <v>1</v>
      </c>
    </row>
    <row r="313">
      <c r="A313" s="19" t="str">
        <v>德国区</v>
      </c>
      <c r="B313" s="19" t="str">
        <v>杜塞尔多夫3号仓</v>
      </c>
      <c r="C313" s="19" t="str">
        <v>交运组</v>
      </c>
      <c r="D313" s="21" t="n">
        <v>46148</v>
      </c>
      <c r="E313" s="19" t="str">
        <v>2026-05</v>
      </c>
      <c r="F313" s="19" t="str">
        <v>操作员</v>
      </c>
      <c r="G313" s="19" t="str">
        <v>德国区-灵活班次 / DE FLEX</v>
      </c>
      <c r="H313" s="23" t="n">
        <v>2</v>
      </c>
      <c r="I313" s="23" t="n">
        <v>0</v>
      </c>
      <c r="J313" s="23" t="n">
        <f>H313+I313</f>
        <v>2</v>
      </c>
      <c r="K313" s="23" t="n">
        <v>0</v>
      </c>
      <c r="L313" s="23" t="n">
        <v>0</v>
      </c>
      <c r="M313" s="23" t="n">
        <f>MIN(K313,J313)</f>
        <v>0</v>
      </c>
      <c r="N313" s="23" t="n">
        <f>MIN(L313,J313)</f>
        <v>0</v>
      </c>
      <c r="O313" s="25" t="n">
        <f>IF(K313=0,0,MIN(1,J313/K313))</f>
        <v>0</v>
      </c>
      <c r="P313" s="23" t="n">
        <f>IF(J313&gt;0,MAX(K313-J313,0),0)</f>
        <v>0</v>
      </c>
      <c r="Q313" s="23" t="n">
        <f>IF(J313=0,K313,0)</f>
        <v>0</v>
      </c>
      <c r="R313" s="23" t="n">
        <f>MAX(J313-K313,0)</f>
        <v>2</v>
      </c>
      <c r="S313" s="23" t="n">
        <f>IF(J313&gt;0,MAX(L313-J313,0),L313)</f>
        <v>0</v>
      </c>
    </row>
    <row r="314">
      <c r="A314" s="19" t="str">
        <v>德国区</v>
      </c>
      <c r="B314" s="19" t="str">
        <v>杜塞尔多夫3号仓</v>
      </c>
      <c r="C314" s="19" t="str">
        <v>交运组</v>
      </c>
      <c r="D314" s="21" t="n">
        <v>46149</v>
      </c>
      <c r="E314" s="19" t="str">
        <v>2026-05</v>
      </c>
      <c r="F314" s="19" t="str">
        <v>操作员</v>
      </c>
      <c r="G314" s="19" t="str">
        <v>德国区-灵活班次 / DE FLEX</v>
      </c>
      <c r="H314" s="23" t="n">
        <v>2</v>
      </c>
      <c r="I314" s="23" t="n">
        <v>0</v>
      </c>
      <c r="J314" s="23" t="n">
        <f>H314+I314</f>
        <v>2</v>
      </c>
      <c r="K314" s="23" t="n">
        <v>0</v>
      </c>
      <c r="L314" s="23" t="n">
        <v>0</v>
      </c>
      <c r="M314" s="23" t="n">
        <f>MIN(K314,J314)</f>
        <v>0</v>
      </c>
      <c r="N314" s="23" t="n">
        <f>MIN(L314,J314)</f>
        <v>0</v>
      </c>
      <c r="O314" s="25" t="n">
        <f>IF(K314=0,0,MIN(1,J314/K314))</f>
        <v>0</v>
      </c>
      <c r="P314" s="23" t="n">
        <f>IF(J314&gt;0,MAX(K314-J314,0),0)</f>
        <v>0</v>
      </c>
      <c r="Q314" s="23" t="n">
        <f>IF(J314=0,K314,0)</f>
        <v>0</v>
      </c>
      <c r="R314" s="23" t="n">
        <f>MAX(J314-K314,0)</f>
        <v>2</v>
      </c>
      <c r="S314" s="23" t="n">
        <f>IF(J314&gt;0,MAX(L314-J314,0),L314)</f>
        <v>0</v>
      </c>
    </row>
    <row r="315">
      <c r="A315" s="19" t="str">
        <v>德国区</v>
      </c>
      <c r="B315" s="19" t="str">
        <v>杜塞尔多夫3号仓</v>
      </c>
      <c r="C315" s="19" t="str">
        <v>交运组</v>
      </c>
      <c r="D315" s="21" t="n">
        <v>46150</v>
      </c>
      <c r="E315" s="19" t="str">
        <v>2026-05</v>
      </c>
      <c r="F315" s="19" t="str">
        <v>操作员</v>
      </c>
      <c r="G315" s="19" t="str">
        <v>德国区-灵活班次 / DE FLEX</v>
      </c>
      <c r="H315" s="23" t="n">
        <v>2</v>
      </c>
      <c r="I315" s="23" t="n">
        <v>0</v>
      </c>
      <c r="J315" s="23" t="n">
        <f>H315+I315</f>
        <v>2</v>
      </c>
      <c r="K315" s="23" t="n">
        <v>0</v>
      </c>
      <c r="L315" s="23" t="n">
        <v>0</v>
      </c>
      <c r="M315" s="23" t="n">
        <f>MIN(K315,J315)</f>
        <v>0</v>
      </c>
      <c r="N315" s="23" t="n">
        <f>MIN(L315,J315)</f>
        <v>0</v>
      </c>
      <c r="O315" s="25" t="n">
        <f>IF(K315=0,0,MIN(1,J315/K315))</f>
        <v>0</v>
      </c>
      <c r="P315" s="23" t="n">
        <f>IF(J315&gt;0,MAX(K315-J315,0),0)</f>
        <v>0</v>
      </c>
      <c r="Q315" s="23" t="n">
        <f>IF(J315=0,K315,0)</f>
        <v>0</v>
      </c>
      <c r="R315" s="23" t="n">
        <f>MAX(J315-K315,0)</f>
        <v>2</v>
      </c>
      <c r="S315" s="23" t="n">
        <f>IF(J315&gt;0,MAX(L315-J315,0),L315)</f>
        <v>0</v>
      </c>
    </row>
    <row r="316">
      <c r="A316" s="19" t="str">
        <v>德国区</v>
      </c>
      <c r="B316" s="19" t="str">
        <v>杜塞尔多夫3号仓</v>
      </c>
      <c r="C316" s="19" t="str">
        <v>交运组</v>
      </c>
      <c r="D316" s="21" t="n">
        <v>46169</v>
      </c>
      <c r="E316" s="19" t="str">
        <v>2026-05</v>
      </c>
      <c r="F316" s="19" t="str">
        <v>操作员</v>
      </c>
      <c r="G316" s="19" t="str">
        <v>德国区-灵活班次 / DE FLEX</v>
      </c>
      <c r="H316" s="23" t="n">
        <v>2</v>
      </c>
      <c r="I316" s="23" t="n">
        <v>0</v>
      </c>
      <c r="J316" s="23" t="n">
        <f>H316+I316</f>
        <v>2</v>
      </c>
      <c r="K316" s="23" t="n">
        <v>2</v>
      </c>
      <c r="L316" s="23" t="n">
        <v>2</v>
      </c>
      <c r="M316" s="23" t="n">
        <f>MIN(K316,J316)</f>
        <v>2</v>
      </c>
      <c r="N316" s="23" t="n">
        <f>MIN(L316,J316)</f>
        <v>2</v>
      </c>
      <c r="O316" s="25" t="n">
        <f>IF(K316=0,0,MIN(1,J316/K316))</f>
        <v>1</v>
      </c>
      <c r="P316" s="23" t="n">
        <f>IF(J316&gt;0,MAX(K316-J316,0),0)</f>
        <v>0</v>
      </c>
      <c r="Q316" s="23" t="n">
        <f>IF(J316=0,K316,0)</f>
        <v>0</v>
      </c>
      <c r="R316" s="23" t="n">
        <f>MAX(J316-K316,0)</f>
        <v>0</v>
      </c>
      <c r="S316" s="23" t="n">
        <f>IF(J316&gt;0,MAX(L316-J316,0),L316)</f>
        <v>0</v>
      </c>
    </row>
    <row r="317">
      <c r="A317" s="19" t="str">
        <v>德国区</v>
      </c>
      <c r="B317" s="19" t="str">
        <v>杜塞尔多夫3号仓</v>
      </c>
      <c r="C317" s="19" t="str">
        <v>交运组</v>
      </c>
      <c r="D317" s="21" t="n">
        <v>46170</v>
      </c>
      <c r="E317" s="19" t="str">
        <v>2026-05</v>
      </c>
      <c r="F317" s="19" t="str">
        <v>操作员</v>
      </c>
      <c r="G317" s="19" t="str">
        <v>德国区-灵活班次 / DE FLEX</v>
      </c>
      <c r="H317" s="23" t="n">
        <v>2</v>
      </c>
      <c r="I317" s="23" t="n">
        <v>0</v>
      </c>
      <c r="J317" s="23" t="n">
        <f>H317+I317</f>
        <v>2</v>
      </c>
      <c r="K317" s="23" t="n">
        <v>2</v>
      </c>
      <c r="L317" s="23" t="n">
        <v>2</v>
      </c>
      <c r="M317" s="23" t="n">
        <f>MIN(K317,J317)</f>
        <v>2</v>
      </c>
      <c r="N317" s="23" t="n">
        <f>MIN(L317,J317)</f>
        <v>2</v>
      </c>
      <c r="O317" s="25" t="n">
        <f>IF(K317=0,0,MIN(1,J317/K317))</f>
        <v>1</v>
      </c>
      <c r="P317" s="23" t="n">
        <f>IF(J317&gt;0,MAX(K317-J317,0),0)</f>
        <v>0</v>
      </c>
      <c r="Q317" s="23" t="n">
        <f>IF(J317=0,K317,0)</f>
        <v>0</v>
      </c>
      <c r="R317" s="23" t="n">
        <f>MAX(J317-K317,0)</f>
        <v>0</v>
      </c>
      <c r="S317" s="23" t="n">
        <f>IF(J317&gt;0,MAX(L317-J317,0),L317)</f>
        <v>0</v>
      </c>
    </row>
    <row r="318">
      <c r="A318" s="19" t="str">
        <v>德国区</v>
      </c>
      <c r="B318" s="19" t="str">
        <v>杜塞尔多夫3号仓</v>
      </c>
      <c r="C318" s="19" t="str">
        <v>交运组</v>
      </c>
      <c r="D318" s="21" t="n">
        <v>46174</v>
      </c>
      <c r="E318" s="19" t="str">
        <v>2026-06</v>
      </c>
      <c r="F318" s="19" t="str">
        <v>操作员</v>
      </c>
      <c r="G318" s="19" t="str">
        <v>德国区-灵活班次 / DE FLEX</v>
      </c>
      <c r="H318" s="23" t="n">
        <v>0</v>
      </c>
      <c r="I318" s="23" t="n">
        <v>0</v>
      </c>
      <c r="J318" s="23" t="n">
        <f>H318+I318</f>
        <v>0</v>
      </c>
      <c r="K318" s="23" t="n">
        <v>1</v>
      </c>
      <c r="L318" s="23" t="n">
        <v>1</v>
      </c>
      <c r="M318" s="23" t="n">
        <f>MIN(K318,J318)</f>
        <v>0</v>
      </c>
      <c r="N318" s="23" t="n">
        <f>MIN(L318,J318)</f>
        <v>0</v>
      </c>
      <c r="O318" s="25" t="n">
        <f>IF(K318=0,0,MIN(1,J318/K318))</f>
        <v>0</v>
      </c>
      <c r="P318" s="23" t="n">
        <f>IF(J318&gt;0,MAX(K318-J318,0),0)</f>
        <v>0</v>
      </c>
      <c r="Q318" s="23" t="n">
        <f>IF(J318=0,K318,0)</f>
        <v>1</v>
      </c>
      <c r="R318" s="23" t="n">
        <f>MAX(J318-K318,0)</f>
        <v>0</v>
      </c>
      <c r="S318" s="23" t="n">
        <f>IF(J318&gt;0,MAX(L318-J318,0),L318)</f>
        <v>1</v>
      </c>
    </row>
    <row r="319">
      <c r="A319" s="19" t="str">
        <v>德国区</v>
      </c>
      <c r="B319" s="19" t="str">
        <v>杜塞尔多夫3号仓</v>
      </c>
      <c r="C319" s="19" t="str">
        <v>交运组</v>
      </c>
      <c r="D319" s="21" t="n">
        <v>46182</v>
      </c>
      <c r="E319" s="19" t="str">
        <v>2026-06</v>
      </c>
      <c r="F319" s="19" t="str">
        <v>操作员</v>
      </c>
      <c r="G319" s="19" t="str">
        <v>德国区-灵活班次 / DE FLEX</v>
      </c>
      <c r="H319" s="23" t="n">
        <v>5</v>
      </c>
      <c r="I319" s="23" t="n">
        <v>0</v>
      </c>
      <c r="J319" s="23" t="n">
        <f>H319+I319</f>
        <v>5</v>
      </c>
      <c r="K319" s="23" t="n">
        <v>5</v>
      </c>
      <c r="L319" s="23" t="n">
        <v>5</v>
      </c>
      <c r="M319" s="23" t="n">
        <f>MIN(K319,J319)</f>
        <v>5</v>
      </c>
      <c r="N319" s="23" t="n">
        <f>MIN(L319,J319)</f>
        <v>5</v>
      </c>
      <c r="O319" s="25" t="n">
        <f>IF(K319=0,0,MIN(1,J319/K319))</f>
        <v>1</v>
      </c>
      <c r="P319" s="23" t="n">
        <f>IF(J319&gt;0,MAX(K319-J319,0),0)</f>
        <v>0</v>
      </c>
      <c r="Q319" s="23" t="n">
        <f>IF(J319=0,K319,0)</f>
        <v>0</v>
      </c>
      <c r="R319" s="23" t="n">
        <f>MAX(J319-K319,0)</f>
        <v>0</v>
      </c>
      <c r="S319" s="23" t="n">
        <f>IF(J319&gt;0,MAX(L319-J319,0),L319)</f>
        <v>0</v>
      </c>
    </row>
    <row r="320">
      <c r="A320" s="19" t="str">
        <v>德国区</v>
      </c>
      <c r="B320" s="19" t="str">
        <v>杜塞尔多夫3号仓</v>
      </c>
      <c r="C320" s="19" t="str">
        <v>交运组</v>
      </c>
      <c r="D320" s="21" t="n">
        <v>46184</v>
      </c>
      <c r="E320" s="19" t="str">
        <v>2026-06</v>
      </c>
      <c r="F320" s="19" t="str">
        <v>操作员</v>
      </c>
      <c r="G320" s="19" t="str">
        <v>德国区-灵活班次 / DE FLEX</v>
      </c>
      <c r="H320" s="23" t="n">
        <v>1</v>
      </c>
      <c r="I320" s="23" t="n">
        <v>0</v>
      </c>
      <c r="J320" s="23" t="n">
        <f>H320+I320</f>
        <v>1</v>
      </c>
      <c r="K320" s="23" t="n">
        <v>1</v>
      </c>
      <c r="L320" s="23" t="n">
        <v>1</v>
      </c>
      <c r="M320" s="23" t="n">
        <f>MIN(K320,J320)</f>
        <v>1</v>
      </c>
      <c r="N320" s="23" t="n">
        <f>MIN(L320,J320)</f>
        <v>1</v>
      </c>
      <c r="O320" s="25" t="n">
        <f>IF(K320=0,0,MIN(1,J320/K320))</f>
        <v>1</v>
      </c>
      <c r="P320" s="23" t="n">
        <f>IF(J320&gt;0,MAX(K320-J320,0),0)</f>
        <v>0</v>
      </c>
      <c r="Q320" s="23" t="n">
        <f>IF(J320=0,K320,0)</f>
        <v>0</v>
      </c>
      <c r="R320" s="23" t="n">
        <f>MAX(J320-K320,0)</f>
        <v>0</v>
      </c>
      <c r="S320" s="23" t="n">
        <f>IF(J320&gt;0,MAX(L320-J320,0),L320)</f>
        <v>0</v>
      </c>
    </row>
    <row r="321">
      <c r="A321" s="19" t="str">
        <v>德国区</v>
      </c>
      <c r="B321" s="19" t="str">
        <v>杜塞尔多夫3号仓</v>
      </c>
      <c r="C321" s="19" t="str">
        <v>入库组</v>
      </c>
      <c r="D321" s="21" t="n">
        <v>46142</v>
      </c>
      <c r="E321" s="19" t="str">
        <v>2026-04</v>
      </c>
      <c r="F321" s="19" t="str">
        <v>操作员</v>
      </c>
      <c r="G321" s="19" t="str">
        <v>德国区-灵活班次 / DE FLEX</v>
      </c>
      <c r="H321" s="23" t="n">
        <v>5</v>
      </c>
      <c r="I321" s="23" t="n">
        <v>0</v>
      </c>
      <c r="J321" s="23" t="n">
        <f>H321+I321</f>
        <v>5</v>
      </c>
      <c r="K321" s="23" t="n">
        <v>4</v>
      </c>
      <c r="L321" s="23" t="n">
        <v>4</v>
      </c>
      <c r="M321" s="23" t="n">
        <f>MIN(K321,J321)</f>
        <v>4</v>
      </c>
      <c r="N321" s="23" t="n">
        <f>MIN(L321,J321)</f>
        <v>4</v>
      </c>
      <c r="O321" s="25" t="n">
        <f>IF(K321=0,0,MIN(1,J321/K321))</f>
        <v>1</v>
      </c>
      <c r="P321" s="23" t="n">
        <f>IF(J321&gt;0,MAX(K321-J321,0),0)</f>
        <v>0</v>
      </c>
      <c r="Q321" s="23" t="n">
        <f>IF(J321=0,K321,0)</f>
        <v>0</v>
      </c>
      <c r="R321" s="23" t="n">
        <f>MAX(J321-K321,0)</f>
        <v>1</v>
      </c>
      <c r="S321" s="23" t="n">
        <f>IF(J321&gt;0,MAX(L321-J321,0),L321)</f>
        <v>0</v>
      </c>
    </row>
    <row r="322">
      <c r="A322" s="19" t="str">
        <v>德国区</v>
      </c>
      <c r="B322" s="19" t="str">
        <v>杜塞尔多夫3号仓</v>
      </c>
      <c r="C322" s="19" t="str">
        <v>包装组</v>
      </c>
      <c r="D322" s="21" t="n">
        <v>46147</v>
      </c>
      <c r="E322" s="19" t="str">
        <v>2026-05</v>
      </c>
      <c r="F322" s="19" t="str">
        <v>操作员</v>
      </c>
      <c r="G322" s="19" t="str">
        <v>德国区-灵活班次 / DE FLEX</v>
      </c>
      <c r="H322" s="23" t="n">
        <v>1</v>
      </c>
      <c r="I322" s="23" t="n">
        <v>0</v>
      </c>
      <c r="J322" s="23" t="n">
        <f>H322+I322</f>
        <v>1</v>
      </c>
      <c r="K322" s="23" t="n">
        <v>1</v>
      </c>
      <c r="L322" s="23" t="n">
        <v>1</v>
      </c>
      <c r="M322" s="23" t="n">
        <f>MIN(K322,J322)</f>
        <v>1</v>
      </c>
      <c r="N322" s="23" t="n">
        <f>MIN(L322,J322)</f>
        <v>1</v>
      </c>
      <c r="O322" s="25" t="n">
        <f>IF(K322=0,0,MIN(1,J322/K322))</f>
        <v>1</v>
      </c>
      <c r="P322" s="23" t="n">
        <f>IF(J322&gt;0,MAX(K322-J322,0),0)</f>
        <v>0</v>
      </c>
      <c r="Q322" s="23" t="n">
        <f>IF(J322=0,K322,0)</f>
        <v>0</v>
      </c>
      <c r="R322" s="23" t="n">
        <f>MAX(J322-K322,0)</f>
        <v>0</v>
      </c>
      <c r="S322" s="23" t="n">
        <f>IF(J322&gt;0,MAX(L322-J322,0),L322)</f>
        <v>0</v>
      </c>
    </row>
    <row r="323">
      <c r="A323" s="19" t="str">
        <v>德国区</v>
      </c>
      <c r="B323" s="19" t="str">
        <v>杜塞尔多夫3号仓</v>
      </c>
      <c r="C323" s="19" t="str">
        <v>包装组</v>
      </c>
      <c r="D323" s="21" t="n">
        <v>46148</v>
      </c>
      <c r="E323" s="19" t="str">
        <v>2026-05</v>
      </c>
      <c r="F323" s="19" t="str">
        <v>操作员</v>
      </c>
      <c r="G323" s="19" t="str">
        <v>德国区-灵活班次 / DE FLEX</v>
      </c>
      <c r="H323" s="23" t="n">
        <v>1</v>
      </c>
      <c r="I323" s="23" t="n">
        <v>0</v>
      </c>
      <c r="J323" s="23" t="n">
        <f>H323+I323</f>
        <v>1</v>
      </c>
      <c r="K323" s="23" t="n">
        <v>0</v>
      </c>
      <c r="L323" s="23" t="n">
        <v>0</v>
      </c>
      <c r="M323" s="23" t="n">
        <f>MIN(K323,J323)</f>
        <v>0</v>
      </c>
      <c r="N323" s="23" t="n">
        <f>MIN(L323,J323)</f>
        <v>0</v>
      </c>
      <c r="O323" s="25" t="n">
        <f>IF(K323=0,0,MIN(1,J323/K323))</f>
        <v>0</v>
      </c>
      <c r="P323" s="23" t="n">
        <f>IF(J323&gt;0,MAX(K323-J323,0),0)</f>
        <v>0</v>
      </c>
      <c r="Q323" s="23" t="n">
        <f>IF(J323=0,K323,0)</f>
        <v>0</v>
      </c>
      <c r="R323" s="23" t="n">
        <f>MAX(J323-K323,0)</f>
        <v>1</v>
      </c>
      <c r="S323" s="23" t="n">
        <f>IF(J323&gt;0,MAX(L323-J323,0),L323)</f>
        <v>0</v>
      </c>
    </row>
    <row r="324">
      <c r="A324" s="19" t="str">
        <v>德国区</v>
      </c>
      <c r="B324" s="19" t="str">
        <v>杜塞尔多夫3号仓</v>
      </c>
      <c r="C324" s="19" t="str">
        <v>包装组</v>
      </c>
      <c r="D324" s="21" t="n">
        <v>46164</v>
      </c>
      <c r="E324" s="19" t="str">
        <v>2026-05</v>
      </c>
      <c r="F324" s="19" t="str">
        <v>操作员</v>
      </c>
      <c r="G324" s="19" t="str">
        <v>德国区-灵活班次 / DE FLEX</v>
      </c>
      <c r="H324" s="23" t="n">
        <v>1</v>
      </c>
      <c r="I324" s="23" t="n">
        <v>0</v>
      </c>
      <c r="J324" s="23" t="n">
        <f>H324+I324</f>
        <v>1</v>
      </c>
      <c r="K324" s="23" t="n">
        <v>1</v>
      </c>
      <c r="L324" s="23" t="n">
        <v>1</v>
      </c>
      <c r="M324" s="23" t="n">
        <f>MIN(K324,J324)</f>
        <v>1</v>
      </c>
      <c r="N324" s="23" t="n">
        <f>MIN(L324,J324)</f>
        <v>1</v>
      </c>
      <c r="O324" s="25" t="n">
        <f>IF(K324=0,0,MIN(1,J324/K324))</f>
        <v>1</v>
      </c>
      <c r="P324" s="23" t="n">
        <f>IF(J324&gt;0,MAX(K324-J324,0),0)</f>
        <v>0</v>
      </c>
      <c r="Q324" s="23" t="n">
        <f>IF(J324=0,K324,0)</f>
        <v>0</v>
      </c>
      <c r="R324" s="23" t="n">
        <f>MAX(J324-K324,0)</f>
        <v>0</v>
      </c>
      <c r="S324" s="23" t="n">
        <f>IF(J324&gt;0,MAX(L324-J324,0),L324)</f>
        <v>0</v>
      </c>
    </row>
    <row r="325">
      <c r="A325" s="19" t="str">
        <v>德国区</v>
      </c>
      <c r="B325" s="19" t="str">
        <v>杜塞尔多夫3号仓</v>
      </c>
      <c r="C325" s="19" t="str">
        <v>包装组</v>
      </c>
      <c r="D325" s="21" t="n">
        <v>46165</v>
      </c>
      <c r="E325" s="19" t="str">
        <v>2026-05</v>
      </c>
      <c r="F325" s="19" t="str">
        <v>操作员</v>
      </c>
      <c r="G325" s="19" t="str">
        <v>德国区-灵活班次 / DE FLEX</v>
      </c>
      <c r="H325" s="23" t="n">
        <v>1</v>
      </c>
      <c r="I325" s="23" t="n">
        <v>0</v>
      </c>
      <c r="J325" s="23" t="n">
        <f>H325+I325</f>
        <v>1</v>
      </c>
      <c r="K325" s="23" t="n">
        <v>1</v>
      </c>
      <c r="L325" s="23" t="n">
        <v>1</v>
      </c>
      <c r="M325" s="23" t="n">
        <f>MIN(K325,J325)</f>
        <v>1</v>
      </c>
      <c r="N325" s="23" t="n">
        <f>MIN(L325,J325)</f>
        <v>1</v>
      </c>
      <c r="O325" s="25" t="n">
        <f>IF(K325=0,0,MIN(1,J325/K325))</f>
        <v>1</v>
      </c>
      <c r="P325" s="23" t="n">
        <f>IF(J325&gt;0,MAX(K325-J325,0),0)</f>
        <v>0</v>
      </c>
      <c r="Q325" s="23" t="n">
        <f>IF(J325=0,K325,0)</f>
        <v>0</v>
      </c>
      <c r="R325" s="23" t="n">
        <f>MAX(J325-K325,0)</f>
        <v>0</v>
      </c>
      <c r="S325" s="23" t="n">
        <f>IF(J325&gt;0,MAX(L325-J325,0),L325)</f>
        <v>0</v>
      </c>
    </row>
    <row r="326">
      <c r="A326" s="19" t="str">
        <v>德国区</v>
      </c>
      <c r="B326" s="19" t="str">
        <v>杜塞尔多夫3号仓</v>
      </c>
      <c r="C326" s="19" t="str">
        <v>包装组</v>
      </c>
      <c r="D326" s="21" t="n">
        <v>46198</v>
      </c>
      <c r="E326" s="19" t="str">
        <v>2026-06</v>
      </c>
      <c r="F326" s="19" t="str">
        <v>操作员</v>
      </c>
      <c r="G326" s="19" t="str">
        <v>德国区-灵活班次 / DE FLEX</v>
      </c>
      <c r="H326" s="23" t="n">
        <v>5</v>
      </c>
      <c r="I326" s="23" t="n">
        <v>0</v>
      </c>
      <c r="J326" s="23" t="n">
        <f>H326+I326</f>
        <v>5</v>
      </c>
      <c r="K326" s="23" t="n">
        <v>5</v>
      </c>
      <c r="L326" s="23" t="n">
        <v>0</v>
      </c>
      <c r="M326" s="23" t="n">
        <f>MIN(K326,J326)</f>
        <v>5</v>
      </c>
      <c r="N326" s="23" t="n">
        <f>MIN(L326,J326)</f>
        <v>0</v>
      </c>
      <c r="O326" s="25" t="n">
        <f>IF(K326=0,0,MIN(1,J326/K326))</f>
        <v>1</v>
      </c>
      <c r="P326" s="23" t="n">
        <f>IF(J326&gt;0,MAX(K326-J326,0),0)</f>
        <v>0</v>
      </c>
      <c r="Q326" s="23" t="n">
        <f>IF(J326=0,K326,0)</f>
        <v>0</v>
      </c>
      <c r="R326" s="23" t="n">
        <f>MAX(J326-K326,0)</f>
        <v>0</v>
      </c>
      <c r="S326" s="23" t="n">
        <f>IF(J326&gt;0,MAX(L326-J326,0),L326)</f>
        <v>0</v>
      </c>
    </row>
    <row r="327">
      <c r="A327" s="19" t="str">
        <v>德国区</v>
      </c>
      <c r="B327" s="19" t="str">
        <v>杜塞尔多夫3号仓</v>
      </c>
      <c r="C327" s="19" t="str">
        <v>包装组</v>
      </c>
      <c r="D327" s="21" t="n">
        <v>46199</v>
      </c>
      <c r="E327" s="19" t="str">
        <v>2026-06</v>
      </c>
      <c r="F327" s="19" t="str">
        <v>操作员</v>
      </c>
      <c r="G327" s="19" t="str">
        <v>德国区-灵活班次 / DE FLEX</v>
      </c>
      <c r="H327" s="23" t="n">
        <v>5</v>
      </c>
      <c r="I327" s="23" t="n">
        <v>0</v>
      </c>
      <c r="J327" s="23" t="n">
        <f>H327+I327</f>
        <v>5</v>
      </c>
      <c r="K327" s="23" t="n">
        <v>5</v>
      </c>
      <c r="L327" s="23" t="n">
        <v>0</v>
      </c>
      <c r="M327" s="23" t="n">
        <f>MIN(K327,J327)</f>
        <v>5</v>
      </c>
      <c r="N327" s="23" t="n">
        <f>MIN(L327,J327)</f>
        <v>0</v>
      </c>
      <c r="O327" s="25" t="n">
        <f>IF(K327=0,0,MIN(1,J327/K327))</f>
        <v>1</v>
      </c>
      <c r="P327" s="23" t="n">
        <f>IF(J327&gt;0,MAX(K327-J327,0),0)</f>
        <v>0</v>
      </c>
      <c r="Q327" s="23" t="n">
        <f>IF(J327=0,K327,0)</f>
        <v>0</v>
      </c>
      <c r="R327" s="23" t="n">
        <f>MAX(J327-K327,0)</f>
        <v>0</v>
      </c>
      <c r="S327" s="23" t="n">
        <f>IF(J327&gt;0,MAX(L327-J327,0),L327)</f>
        <v>0</v>
      </c>
    </row>
    <row r="328">
      <c r="A328" s="19" t="str">
        <v>德国区</v>
      </c>
      <c r="B328" s="19" t="str">
        <v>杜塞尔多夫3号仓</v>
      </c>
      <c r="C328" s="19" t="str">
        <v>包装组</v>
      </c>
      <c r="D328" s="21" t="n">
        <v>46202</v>
      </c>
      <c r="E328" s="19" t="str">
        <v>2026-06</v>
      </c>
      <c r="F328" s="19" t="str">
        <v>操作员</v>
      </c>
      <c r="G328" s="19" t="str">
        <v>德国区-灵活班次 / DE FLEX</v>
      </c>
      <c r="H328" s="23" t="n">
        <v>1</v>
      </c>
      <c r="I328" s="23" t="n">
        <v>0</v>
      </c>
      <c r="J328" s="23" t="n">
        <f>H328+I328</f>
        <v>1</v>
      </c>
      <c r="K328" s="23" t="n">
        <v>1</v>
      </c>
      <c r="L328" s="23" t="n">
        <v>1</v>
      </c>
      <c r="M328" s="23" t="n">
        <f>MIN(K328,J328)</f>
        <v>1</v>
      </c>
      <c r="N328" s="23" t="n">
        <f>MIN(L328,J328)</f>
        <v>1</v>
      </c>
      <c r="O328" s="25" t="n">
        <f>IF(K328=0,0,MIN(1,J328/K328))</f>
        <v>1</v>
      </c>
      <c r="P328" s="23" t="n">
        <f>IF(J328&gt;0,MAX(K328-J328,0),0)</f>
        <v>0</v>
      </c>
      <c r="Q328" s="23" t="n">
        <f>IF(J328=0,K328,0)</f>
        <v>0</v>
      </c>
      <c r="R328" s="23" t="n">
        <f>MAX(J328-K328,0)</f>
        <v>0</v>
      </c>
      <c r="S328" s="23" t="n">
        <f>IF(J328&gt;0,MAX(L328-J328,0),L328)</f>
        <v>0</v>
      </c>
    </row>
    <row r="329">
      <c r="A329" s="19" t="str">
        <v>德国区</v>
      </c>
      <c r="B329" s="19" t="str">
        <v>杜塞尔多夫3号仓</v>
      </c>
      <c r="C329" s="19" t="str">
        <v>售后组</v>
      </c>
      <c r="D329" s="21" t="n">
        <v>46191</v>
      </c>
      <c r="E329" s="19" t="str">
        <v>2026-06</v>
      </c>
      <c r="F329" s="19" t="str">
        <v>操作员</v>
      </c>
      <c r="G329" s="19" t="str">
        <v>德国区-灵活班次 / DE FLEX</v>
      </c>
      <c r="H329" s="23" t="n">
        <v>1</v>
      </c>
      <c r="I329" s="23" t="n">
        <v>0</v>
      </c>
      <c r="J329" s="23" t="n">
        <f>H329+I329</f>
        <v>1</v>
      </c>
      <c r="K329" s="23" t="n">
        <v>1</v>
      </c>
      <c r="L329" s="23" t="n">
        <v>0</v>
      </c>
      <c r="M329" s="23" t="n">
        <f>MIN(K329,J329)</f>
        <v>1</v>
      </c>
      <c r="N329" s="23" t="n">
        <f>MIN(L329,J329)</f>
        <v>0</v>
      </c>
      <c r="O329" s="25" t="n">
        <f>IF(K329=0,0,MIN(1,J329/K329))</f>
        <v>1</v>
      </c>
      <c r="P329" s="23" t="n">
        <f>IF(J329&gt;0,MAX(K329-J329,0),0)</f>
        <v>0</v>
      </c>
      <c r="Q329" s="23" t="n">
        <f>IF(J329=0,K329,0)</f>
        <v>0</v>
      </c>
      <c r="R329" s="23" t="n">
        <f>MAX(J329-K329,0)</f>
        <v>0</v>
      </c>
      <c r="S329" s="23" t="n">
        <f>IF(J329&gt;0,MAX(L329-J329,0),L329)</f>
        <v>0</v>
      </c>
    </row>
    <row r="330">
      <c r="A330" s="19" t="str">
        <v>德国区</v>
      </c>
      <c r="B330" s="19" t="str">
        <v>杜塞尔多夫3号仓</v>
      </c>
      <c r="C330" s="19" t="str">
        <v>拣货组</v>
      </c>
      <c r="D330" s="21" t="n">
        <v>46155</v>
      </c>
      <c r="E330" s="19" t="str">
        <v>2026-05</v>
      </c>
      <c r="F330" s="19" t="str">
        <v>操作员</v>
      </c>
      <c r="G330" s="19" t="str">
        <v>德国区-灵活班次 / DE FLEX</v>
      </c>
      <c r="H330" s="23" t="n">
        <v>1</v>
      </c>
      <c r="I330" s="23" t="n">
        <v>0</v>
      </c>
      <c r="J330" s="23" t="n">
        <f>H330+I330</f>
        <v>1</v>
      </c>
      <c r="K330" s="23" t="n">
        <v>0</v>
      </c>
      <c r="L330" s="23" t="n">
        <v>0</v>
      </c>
      <c r="M330" s="23" t="n">
        <f>MIN(K330,J330)</f>
        <v>0</v>
      </c>
      <c r="N330" s="23" t="n">
        <f>MIN(L330,J330)</f>
        <v>0</v>
      </c>
      <c r="O330" s="25" t="n">
        <f>IF(K330=0,0,MIN(1,J330/K330))</f>
        <v>0</v>
      </c>
      <c r="P330" s="23" t="n">
        <f>IF(J330&gt;0,MAX(K330-J330,0),0)</f>
        <v>0</v>
      </c>
      <c r="Q330" s="23" t="n">
        <f>IF(J330=0,K330,0)</f>
        <v>0</v>
      </c>
      <c r="R330" s="23" t="n">
        <f>MAX(J330-K330,0)</f>
        <v>1</v>
      </c>
      <c r="S330" s="23" t="n">
        <f>IF(J330&gt;0,MAX(L330-J330,0),L330)</f>
        <v>0</v>
      </c>
    </row>
    <row r="331">
      <c r="A331" s="19" t="str">
        <v>德国区</v>
      </c>
      <c r="B331" s="19" t="str">
        <v>杜塞尔多夫3号仓</v>
      </c>
      <c r="C331" s="19" t="str">
        <v>拣货组</v>
      </c>
      <c r="D331" s="21" t="n">
        <v>46189</v>
      </c>
      <c r="E331" s="19" t="str">
        <v>2026-06</v>
      </c>
      <c r="F331" s="19" t="str">
        <v>操作员</v>
      </c>
      <c r="G331" s="19" t="str">
        <v>德国区-灵活班次 / DE FLEX</v>
      </c>
      <c r="H331" s="23" t="n">
        <v>4</v>
      </c>
      <c r="I331" s="23" t="n">
        <v>0</v>
      </c>
      <c r="J331" s="23" t="n">
        <f>H331+I331</f>
        <v>4</v>
      </c>
      <c r="K331" s="23" t="n">
        <v>5</v>
      </c>
      <c r="L331" s="23" t="n">
        <v>3</v>
      </c>
      <c r="M331" s="23" t="n">
        <f>MIN(K331,J331)</f>
        <v>4</v>
      </c>
      <c r="N331" s="23" t="n">
        <f>MIN(L331,J331)</f>
        <v>3</v>
      </c>
      <c r="O331" s="25" t="n">
        <f>IF(K331=0,0,MIN(1,J331/K331))</f>
        <v>0.8</v>
      </c>
      <c r="P331" s="23" t="n">
        <f>IF(J331&gt;0,MAX(K331-J331,0),0)</f>
        <v>1</v>
      </c>
      <c r="Q331" s="23" t="n">
        <f>IF(J331=0,K331,0)</f>
        <v>0</v>
      </c>
      <c r="R331" s="23" t="n">
        <f>MAX(J331-K331,0)</f>
        <v>0</v>
      </c>
      <c r="S331" s="23" t="n">
        <f>IF(J331&gt;0,MAX(L331-J331,0),L331)</f>
        <v>0</v>
      </c>
    </row>
    <row r="332">
      <c r="A332" s="19" t="str">
        <v>德国区</v>
      </c>
      <c r="B332" s="19" t="str">
        <v>杜塞尔多夫3号仓</v>
      </c>
      <c r="C332" s="19" t="str">
        <v>拣货组</v>
      </c>
      <c r="D332" s="21" t="n">
        <v>46190</v>
      </c>
      <c r="E332" s="19" t="str">
        <v>2026-06</v>
      </c>
      <c r="F332" s="19" t="str">
        <v>操作员</v>
      </c>
      <c r="G332" s="19" t="str">
        <v>德国区-灵活班次 / DE FLEX</v>
      </c>
      <c r="H332" s="23" t="n">
        <v>4</v>
      </c>
      <c r="I332" s="23" t="n">
        <v>0</v>
      </c>
      <c r="J332" s="23" t="n">
        <f>H332+I332</f>
        <v>4</v>
      </c>
      <c r="K332" s="23" t="n">
        <v>5</v>
      </c>
      <c r="L332" s="23" t="n">
        <v>3</v>
      </c>
      <c r="M332" s="23" t="n">
        <f>MIN(K332,J332)</f>
        <v>4</v>
      </c>
      <c r="N332" s="23" t="n">
        <f>MIN(L332,J332)</f>
        <v>3</v>
      </c>
      <c r="O332" s="25" t="n">
        <f>IF(K332=0,0,MIN(1,J332/K332))</f>
        <v>0.8</v>
      </c>
      <c r="P332" s="23" t="n">
        <f>IF(J332&gt;0,MAX(K332-J332,0),0)</f>
        <v>1</v>
      </c>
      <c r="Q332" s="23" t="n">
        <f>IF(J332=0,K332,0)</f>
        <v>0</v>
      </c>
      <c r="R332" s="23" t="n">
        <f>MAX(J332-K332,0)</f>
        <v>0</v>
      </c>
      <c r="S332" s="23" t="n">
        <f>IF(J332&gt;0,MAX(L332-J332,0),L332)</f>
        <v>0</v>
      </c>
    </row>
    <row r="333">
      <c r="A333" s="19" t="str">
        <v>德国区</v>
      </c>
      <c r="B333" s="19" t="str">
        <v>杜塞尔多夫3号仓</v>
      </c>
      <c r="C333" s="19" t="str">
        <v>拣货组</v>
      </c>
      <c r="D333" s="21" t="n">
        <v>46191</v>
      </c>
      <c r="E333" s="19" t="str">
        <v>2026-06</v>
      </c>
      <c r="F333" s="19" t="str">
        <v>操作员</v>
      </c>
      <c r="G333" s="19" t="str">
        <v>德国区-灵活班次 / DE FLEX</v>
      </c>
      <c r="H333" s="23" t="n">
        <v>4</v>
      </c>
      <c r="I333" s="23" t="n">
        <v>0</v>
      </c>
      <c r="J333" s="23" t="n">
        <f>H333+I333</f>
        <v>4</v>
      </c>
      <c r="K333" s="23" t="n">
        <v>0</v>
      </c>
      <c r="L333" s="23" t="n">
        <v>0</v>
      </c>
      <c r="M333" s="23" t="n">
        <f>MIN(K333,J333)</f>
        <v>0</v>
      </c>
      <c r="N333" s="23" t="n">
        <f>MIN(L333,J333)</f>
        <v>0</v>
      </c>
      <c r="O333" s="25" t="n">
        <f>IF(K333=0,0,MIN(1,J333/K333))</f>
        <v>0</v>
      </c>
      <c r="P333" s="23" t="n">
        <f>IF(J333&gt;0,MAX(K333-J333,0),0)</f>
        <v>0</v>
      </c>
      <c r="Q333" s="23" t="n">
        <f>IF(J333=0,K333,0)</f>
        <v>0</v>
      </c>
      <c r="R333" s="23" t="n">
        <f>MAX(J333-K333,0)</f>
        <v>4</v>
      </c>
      <c r="S333" s="23" t="n">
        <f>IF(J333&gt;0,MAX(L333-J333,0),L333)</f>
        <v>0</v>
      </c>
    </row>
    <row r="334">
      <c r="A334" s="19" t="str">
        <v>德国区</v>
      </c>
      <c r="B334" s="19" t="str">
        <v>杜塞尔多夫3号仓</v>
      </c>
      <c r="C334" s="19" t="str">
        <v>拣货组</v>
      </c>
      <c r="D334" s="21" t="n">
        <v>46192</v>
      </c>
      <c r="E334" s="19" t="str">
        <v>2026-06</v>
      </c>
      <c r="F334" s="19" t="str">
        <v>操作员</v>
      </c>
      <c r="G334" s="19" t="str">
        <v>德国区-灵活班次 / DE FLEX</v>
      </c>
      <c r="H334" s="23" t="n">
        <v>5</v>
      </c>
      <c r="I334" s="23" t="n">
        <v>0</v>
      </c>
      <c r="J334" s="23" t="n">
        <f>H334+I334</f>
        <v>5</v>
      </c>
      <c r="K334" s="23" t="n">
        <v>1</v>
      </c>
      <c r="L334" s="23" t="n">
        <v>0</v>
      </c>
      <c r="M334" s="23" t="n">
        <f>MIN(K334,J334)</f>
        <v>1</v>
      </c>
      <c r="N334" s="23" t="n">
        <f>MIN(L334,J334)</f>
        <v>0</v>
      </c>
      <c r="O334" s="25" t="n">
        <f>IF(K334=0,0,MIN(1,J334/K334))</f>
        <v>1</v>
      </c>
      <c r="P334" s="23" t="n">
        <f>IF(J334&gt;0,MAX(K334-J334,0),0)</f>
        <v>0</v>
      </c>
      <c r="Q334" s="23" t="n">
        <f>IF(J334=0,K334,0)</f>
        <v>0</v>
      </c>
      <c r="R334" s="23" t="n">
        <f>MAX(J334-K334,0)</f>
        <v>4</v>
      </c>
      <c r="S334" s="23" t="n">
        <f>IF(J334&gt;0,MAX(L334-J334,0),L334)</f>
        <v>0</v>
      </c>
    </row>
    <row r="335">
      <c r="A335" s="19" t="str">
        <v>德国区</v>
      </c>
      <c r="B335" s="19" t="str">
        <v>杜塞尔多夫3号仓</v>
      </c>
      <c r="C335" s="19" t="str">
        <v>拣货组</v>
      </c>
      <c r="D335" s="21" t="n">
        <v>46202</v>
      </c>
      <c r="E335" s="19" t="str">
        <v>2026-06</v>
      </c>
      <c r="F335" s="19" t="str">
        <v>操作员</v>
      </c>
      <c r="G335" s="19" t="str">
        <v>德国区-灵活班次 / DE FLEX</v>
      </c>
      <c r="H335" s="23" t="n">
        <v>5</v>
      </c>
      <c r="I335" s="23" t="n">
        <v>0</v>
      </c>
      <c r="J335" s="23" t="n">
        <f>H335+I335</f>
        <v>5</v>
      </c>
      <c r="K335" s="23" t="n">
        <v>5</v>
      </c>
      <c r="L335" s="23" t="n">
        <v>5</v>
      </c>
      <c r="M335" s="23" t="n">
        <f>MIN(K335,J335)</f>
        <v>5</v>
      </c>
      <c r="N335" s="23" t="n">
        <f>MIN(L335,J335)</f>
        <v>5</v>
      </c>
      <c r="O335" s="25" t="n">
        <f>IF(K335=0,0,MIN(1,J335/K335))</f>
        <v>1</v>
      </c>
      <c r="P335" s="23" t="n">
        <f>IF(J335&gt;0,MAX(K335-J335,0),0)</f>
        <v>0</v>
      </c>
      <c r="Q335" s="23" t="n">
        <f>IF(J335=0,K335,0)</f>
        <v>0</v>
      </c>
      <c r="R335" s="23" t="n">
        <f>MAX(J335-K335,0)</f>
        <v>0</v>
      </c>
      <c r="S335" s="23" t="n">
        <f>IF(J335&gt;0,MAX(L335-J335,0),L335)</f>
        <v>0</v>
      </c>
    </row>
    <row r="336">
      <c r="A336" s="19" t="str">
        <v>德国区</v>
      </c>
      <c r="B336" s="19" t="str">
        <v>杜塞尔多夫3号仓</v>
      </c>
      <c r="C336" s="19" t="str">
        <v>拣货组</v>
      </c>
      <c r="D336" s="21" t="n">
        <v>46203</v>
      </c>
      <c r="E336" s="19" t="str">
        <v>2026-06</v>
      </c>
      <c r="F336" s="19" t="str">
        <v>操作员</v>
      </c>
      <c r="G336" s="19" t="str">
        <v>德国区-灵活班次 / DE FLEX</v>
      </c>
      <c r="H336" s="23" t="n">
        <v>5</v>
      </c>
      <c r="I336" s="23" t="n">
        <v>0</v>
      </c>
      <c r="J336" s="23" t="n">
        <f>H336+I336</f>
        <v>5</v>
      </c>
      <c r="K336" s="23" t="n">
        <v>5</v>
      </c>
      <c r="L336" s="23" t="n">
        <v>5</v>
      </c>
      <c r="M336" s="23" t="n">
        <f>MIN(K336,J336)</f>
        <v>5</v>
      </c>
      <c r="N336" s="23" t="n">
        <f>MIN(L336,J336)</f>
        <v>5</v>
      </c>
      <c r="O336" s="25" t="n">
        <f>IF(K336=0,0,MIN(1,J336/K336))</f>
        <v>1</v>
      </c>
      <c r="P336" s="23" t="n">
        <f>IF(J336&gt;0,MAX(K336-J336,0),0)</f>
        <v>0</v>
      </c>
      <c r="Q336" s="23" t="n">
        <f>IF(J336=0,K336,0)</f>
        <v>0</v>
      </c>
      <c r="R336" s="23" t="n">
        <f>MAX(J336-K336,0)</f>
        <v>0</v>
      </c>
      <c r="S336" s="23" t="n">
        <f>IF(J336&gt;0,MAX(L336-J336,0),L336)</f>
        <v>0</v>
      </c>
    </row>
    <row r="337">
      <c r="A337" s="19" t="str">
        <v>德国区</v>
      </c>
      <c r="B337" s="19" t="str">
        <v>杜塞尔多夫3号仓</v>
      </c>
      <c r="C337" s="19" t="str">
        <v>理货组</v>
      </c>
      <c r="D337" s="21" t="n">
        <v>46150</v>
      </c>
      <c r="E337" s="19" t="str">
        <v>2026-05</v>
      </c>
      <c r="F337" s="19" t="str">
        <v>操作员</v>
      </c>
      <c r="G337" s="19" t="str">
        <v>德国区-灵活班次 / DE FLEX</v>
      </c>
      <c r="H337" s="23" t="n">
        <v>1</v>
      </c>
      <c r="I337" s="23" t="n">
        <v>0</v>
      </c>
      <c r="J337" s="23" t="n">
        <f>H337+I337</f>
        <v>1</v>
      </c>
      <c r="K337" s="23" t="n">
        <v>1</v>
      </c>
      <c r="L337" s="23" t="n">
        <v>0</v>
      </c>
      <c r="M337" s="23" t="n">
        <f>MIN(K337,J337)</f>
        <v>1</v>
      </c>
      <c r="N337" s="23" t="n">
        <f>MIN(L337,J337)</f>
        <v>0</v>
      </c>
      <c r="O337" s="25" t="n">
        <f>IF(K337=0,0,MIN(1,J337/K337))</f>
        <v>1</v>
      </c>
      <c r="P337" s="23" t="n">
        <f>IF(J337&gt;0,MAX(K337-J337,0),0)</f>
        <v>0</v>
      </c>
      <c r="Q337" s="23" t="n">
        <f>IF(J337=0,K337,0)</f>
        <v>0</v>
      </c>
      <c r="R337" s="23" t="n">
        <f>MAX(J337-K337,0)</f>
        <v>0</v>
      </c>
      <c r="S337" s="23" t="n">
        <f>IF(J337&gt;0,MAX(L337-J337,0),L337)</f>
        <v>0</v>
      </c>
    </row>
    <row r="338">
      <c r="A338" s="19" t="str">
        <v>德国区</v>
      </c>
      <c r="B338" s="19" t="str">
        <v>杜塞尔多夫5号仓</v>
      </c>
      <c r="C338" s="19" t="str">
        <v>入库组</v>
      </c>
      <c r="D338" s="21" t="n">
        <v>46169</v>
      </c>
      <c r="E338" s="19" t="str">
        <v>2026-05</v>
      </c>
      <c r="F338" s="19" t="str">
        <v>操作员</v>
      </c>
      <c r="G338" s="19" t="str">
        <v>德国区-灵活班次 / DE FLEX</v>
      </c>
      <c r="H338" s="23" t="n">
        <v>5</v>
      </c>
      <c r="I338" s="23" t="n">
        <v>0</v>
      </c>
      <c r="J338" s="23" t="n">
        <f>H338+I338</f>
        <v>5</v>
      </c>
      <c r="K338" s="23" t="n">
        <v>5</v>
      </c>
      <c r="L338" s="23" t="n">
        <v>5</v>
      </c>
      <c r="M338" s="23" t="n">
        <f>MIN(K338,J338)</f>
        <v>5</v>
      </c>
      <c r="N338" s="23" t="n">
        <f>MIN(L338,J338)</f>
        <v>5</v>
      </c>
      <c r="O338" s="25" t="n">
        <f>IF(K338=0,0,MIN(1,J338/K338))</f>
        <v>1</v>
      </c>
      <c r="P338" s="23" t="n">
        <f>IF(J338&gt;0,MAX(K338-J338,0),0)</f>
        <v>0</v>
      </c>
      <c r="Q338" s="23" t="n">
        <f>IF(J338=0,K338,0)</f>
        <v>0</v>
      </c>
      <c r="R338" s="23" t="n">
        <f>MAX(J338-K338,0)</f>
        <v>0</v>
      </c>
      <c r="S338" s="23" t="n">
        <f>IF(J338&gt;0,MAX(L338-J338,0),L338)</f>
        <v>0</v>
      </c>
    </row>
    <row r="339">
      <c r="A339" s="19" t="str">
        <v>德国区</v>
      </c>
      <c r="B339" s="19" t="str">
        <v>杜塞尔多夫5号仓</v>
      </c>
      <c r="C339" s="19" t="str">
        <v>入库组</v>
      </c>
      <c r="D339" s="21" t="n">
        <v>46182</v>
      </c>
      <c r="E339" s="19" t="str">
        <v>2026-06</v>
      </c>
      <c r="F339" s="19" t="str">
        <v>操作员</v>
      </c>
      <c r="G339" s="19" t="str">
        <v>德国区-灵活班次 / DE FLEX</v>
      </c>
      <c r="H339" s="23" t="n">
        <v>5</v>
      </c>
      <c r="I339" s="23" t="n">
        <v>0</v>
      </c>
      <c r="J339" s="23" t="n">
        <f>H339+I339</f>
        <v>5</v>
      </c>
      <c r="K339" s="23" t="n">
        <v>6</v>
      </c>
      <c r="L339" s="23" t="n">
        <v>6</v>
      </c>
      <c r="M339" s="23" t="n">
        <f>MIN(K339,J339)</f>
        <v>5</v>
      </c>
      <c r="N339" s="23" t="n">
        <f>MIN(L339,J339)</f>
        <v>5</v>
      </c>
      <c r="O339" s="25" t="n">
        <f>IF(K339=0,0,MIN(1,J339/K339))</f>
        <v>0.8333333333333334</v>
      </c>
      <c r="P339" s="23" t="n">
        <f>IF(J339&gt;0,MAX(K339-J339,0),0)</f>
        <v>1</v>
      </c>
      <c r="Q339" s="23" t="n">
        <f>IF(J339=0,K339,0)</f>
        <v>0</v>
      </c>
      <c r="R339" s="23" t="n">
        <f>MAX(J339-K339,0)</f>
        <v>0</v>
      </c>
      <c r="S339" s="23" t="n">
        <f>IF(J339&gt;0,MAX(L339-J339,0),L339)</f>
        <v>1</v>
      </c>
    </row>
    <row r="340">
      <c r="A340" s="19" t="str">
        <v>德国区</v>
      </c>
      <c r="B340" s="19" t="str">
        <v>杜塞尔多夫5号仓</v>
      </c>
      <c r="C340" s="19" t="str">
        <v>入库组</v>
      </c>
      <c r="D340" s="21" t="n">
        <v>46189</v>
      </c>
      <c r="E340" s="19" t="str">
        <v>2026-06</v>
      </c>
      <c r="F340" s="19" t="str">
        <v>操作员</v>
      </c>
      <c r="G340" s="19" t="str">
        <v>德国区-灵活班次 / DE FLEX</v>
      </c>
      <c r="H340" s="23" t="n">
        <v>3</v>
      </c>
      <c r="I340" s="23" t="n">
        <v>0</v>
      </c>
      <c r="J340" s="23" t="n">
        <f>H340+I340</f>
        <v>3</v>
      </c>
      <c r="K340" s="23" t="n">
        <v>5</v>
      </c>
      <c r="L340" s="23" t="n">
        <v>5</v>
      </c>
      <c r="M340" s="23" t="n">
        <f>MIN(K340,J340)</f>
        <v>3</v>
      </c>
      <c r="N340" s="23" t="n">
        <f>MIN(L340,J340)</f>
        <v>3</v>
      </c>
      <c r="O340" s="25" t="n">
        <f>IF(K340=0,0,MIN(1,J340/K340))</f>
        <v>0.6</v>
      </c>
      <c r="P340" s="23" t="n">
        <f>IF(J340&gt;0,MAX(K340-J340,0),0)</f>
        <v>2</v>
      </c>
      <c r="Q340" s="23" t="n">
        <f>IF(J340=0,K340,0)</f>
        <v>0</v>
      </c>
      <c r="R340" s="23" t="n">
        <f>MAX(J340-K340,0)</f>
        <v>0</v>
      </c>
      <c r="S340" s="23" t="n">
        <f>IF(J340&gt;0,MAX(L340-J340,0),L340)</f>
        <v>2</v>
      </c>
    </row>
    <row r="341">
      <c r="A341" s="19" t="str">
        <v>德国区</v>
      </c>
      <c r="B341" s="19" t="str">
        <v>杜塞尔多夫5号仓</v>
      </c>
      <c r="C341" s="19" t="str">
        <v>入库组</v>
      </c>
      <c r="D341" s="21" t="n">
        <v>46192</v>
      </c>
      <c r="E341" s="19" t="str">
        <v>2026-06</v>
      </c>
      <c r="F341" s="19" t="str">
        <v>操作员</v>
      </c>
      <c r="G341" s="19" t="str">
        <v>德国区-灵活班次 / DE FLEX</v>
      </c>
      <c r="H341" s="23" t="n">
        <v>2</v>
      </c>
      <c r="I341" s="23" t="n">
        <v>0</v>
      </c>
      <c r="J341" s="23" t="n">
        <f>H341+I341</f>
        <v>2</v>
      </c>
      <c r="K341" s="23" t="n">
        <v>2</v>
      </c>
      <c r="L341" s="23" t="n">
        <v>2</v>
      </c>
      <c r="M341" s="23" t="n">
        <f>MIN(K341,J341)</f>
        <v>2</v>
      </c>
      <c r="N341" s="23" t="n">
        <f>MIN(L341,J341)</f>
        <v>2</v>
      </c>
      <c r="O341" s="25" t="n">
        <f>IF(K341=0,0,MIN(1,J341/K341))</f>
        <v>1</v>
      </c>
      <c r="P341" s="23" t="n">
        <f>IF(J341&gt;0,MAX(K341-J341,0),0)</f>
        <v>0</v>
      </c>
      <c r="Q341" s="23" t="n">
        <f>IF(J341=0,K341,0)</f>
        <v>0</v>
      </c>
      <c r="R341" s="23" t="n">
        <f>MAX(J341-K341,0)</f>
        <v>0</v>
      </c>
      <c r="S341" s="23" t="n">
        <f>IF(J341&gt;0,MAX(L341-J341,0),L341)</f>
        <v>0</v>
      </c>
    </row>
    <row r="342">
      <c r="A342" s="19" t="str">
        <v>德国区</v>
      </c>
      <c r="B342" s="19" t="str">
        <v>杜塞尔多夫5号仓</v>
      </c>
      <c r="C342" s="19" t="str">
        <v>包装组</v>
      </c>
      <c r="D342" s="21" t="n">
        <v>46136</v>
      </c>
      <c r="E342" s="19" t="str">
        <v>2026-04</v>
      </c>
      <c r="F342" s="19" t="str">
        <v>操作员</v>
      </c>
      <c r="G342" s="19" t="str">
        <v>德国区-灵活班次 / DE FLEX</v>
      </c>
      <c r="H342" s="23" t="n">
        <v>4</v>
      </c>
      <c r="I342" s="23" t="n">
        <v>0</v>
      </c>
      <c r="J342" s="23" t="n">
        <f>H342+I342</f>
        <v>4</v>
      </c>
      <c r="K342" s="23" t="n">
        <v>4</v>
      </c>
      <c r="L342" s="23" t="n">
        <v>4</v>
      </c>
      <c r="M342" s="23" t="n">
        <f>MIN(K342,J342)</f>
        <v>4</v>
      </c>
      <c r="N342" s="23" t="n">
        <f>MIN(L342,J342)</f>
        <v>4</v>
      </c>
      <c r="O342" s="25" t="n">
        <f>IF(K342=0,0,MIN(1,J342/K342))</f>
        <v>1</v>
      </c>
      <c r="P342" s="23" t="n">
        <f>IF(J342&gt;0,MAX(K342-J342,0),0)</f>
        <v>0</v>
      </c>
      <c r="Q342" s="23" t="n">
        <f>IF(J342=0,K342,0)</f>
        <v>0</v>
      </c>
      <c r="R342" s="23" t="n">
        <f>MAX(J342-K342,0)</f>
        <v>0</v>
      </c>
      <c r="S342" s="23" t="n">
        <f>IF(J342&gt;0,MAX(L342-J342,0),L342)</f>
        <v>0</v>
      </c>
    </row>
    <row r="343">
      <c r="A343" s="19" t="str">
        <v>德国区</v>
      </c>
      <c r="B343" s="19" t="str">
        <v>杜塞尔多夫5号仓</v>
      </c>
      <c r="C343" s="19" t="str">
        <v>包装组</v>
      </c>
      <c r="D343" s="21" t="n">
        <v>46178</v>
      </c>
      <c r="E343" s="19" t="str">
        <v>2026-06</v>
      </c>
      <c r="F343" s="19" t="str">
        <v>操作员</v>
      </c>
      <c r="G343" s="19" t="str">
        <v>德国区5仓7:00出库组班次</v>
      </c>
      <c r="H343" s="23" t="n">
        <v>2</v>
      </c>
      <c r="I343" s="23" t="n">
        <v>0</v>
      </c>
      <c r="J343" s="23" t="n">
        <f>H343+I343</f>
        <v>2</v>
      </c>
      <c r="K343" s="23" t="n">
        <v>5</v>
      </c>
      <c r="L343" s="23" t="n">
        <v>5</v>
      </c>
      <c r="M343" s="23" t="n">
        <f>MIN(K343,J343)</f>
        <v>2</v>
      </c>
      <c r="N343" s="23" t="n">
        <f>MIN(L343,J343)</f>
        <v>2</v>
      </c>
      <c r="O343" s="25" t="n">
        <f>IF(K343=0,0,MIN(1,J343/K343))</f>
        <v>0.4</v>
      </c>
      <c r="P343" s="23" t="n">
        <f>IF(J343&gt;0,MAX(K343-J343,0),0)</f>
        <v>3</v>
      </c>
      <c r="Q343" s="23" t="n">
        <f>IF(J343=0,K343,0)</f>
        <v>0</v>
      </c>
      <c r="R343" s="23" t="n">
        <f>MAX(J343-K343,0)</f>
        <v>0</v>
      </c>
      <c r="S343" s="23" t="n">
        <f>IF(J343&gt;0,MAX(L343-J343,0),L343)</f>
        <v>3</v>
      </c>
    </row>
    <row r="344">
      <c r="A344" s="19" t="str">
        <v>德国区</v>
      </c>
      <c r="B344" s="19" t="str">
        <v>杜塞尔多夫5号仓</v>
      </c>
      <c r="C344" s="19" t="str">
        <v>包装组</v>
      </c>
      <c r="D344" s="21" t="n">
        <v>46179</v>
      </c>
      <c r="E344" s="19" t="str">
        <v>2026-06</v>
      </c>
      <c r="F344" s="19" t="str">
        <v>操作员</v>
      </c>
      <c r="G344" s="19" t="str">
        <v>德国区5仓7:00出库组班次</v>
      </c>
      <c r="H344" s="23" t="n">
        <v>2</v>
      </c>
      <c r="I344" s="23" t="n">
        <v>0</v>
      </c>
      <c r="J344" s="23" t="n">
        <f>H344+I344</f>
        <v>2</v>
      </c>
      <c r="K344" s="23" t="n">
        <v>2</v>
      </c>
      <c r="L344" s="23" t="n">
        <v>2</v>
      </c>
      <c r="M344" s="23" t="n">
        <f>MIN(K344,J344)</f>
        <v>2</v>
      </c>
      <c r="N344" s="23" t="n">
        <f>MIN(L344,J344)</f>
        <v>2</v>
      </c>
      <c r="O344" s="25" t="n">
        <f>IF(K344=0,0,MIN(1,J344/K344))</f>
        <v>1</v>
      </c>
      <c r="P344" s="23" t="n">
        <f>IF(J344&gt;0,MAX(K344-J344,0),0)</f>
        <v>0</v>
      </c>
      <c r="Q344" s="23" t="n">
        <f>IF(J344=0,K344,0)</f>
        <v>0</v>
      </c>
      <c r="R344" s="23" t="n">
        <f>MAX(J344-K344,0)</f>
        <v>0</v>
      </c>
      <c r="S344" s="23" t="n">
        <f>IF(J344&gt;0,MAX(L344-J344,0),L344)</f>
        <v>0</v>
      </c>
    </row>
    <row r="345">
      <c r="A345" s="19" t="str">
        <v>德国区</v>
      </c>
      <c r="B345" s="19" t="str">
        <v>杜塞尔多夫5号仓</v>
      </c>
      <c r="C345" s="19" t="str">
        <v>包装组</v>
      </c>
      <c r="D345" s="21" t="n">
        <v>46197</v>
      </c>
      <c r="E345" s="19" t="str">
        <v>2026-06</v>
      </c>
      <c r="F345" s="19" t="str">
        <v>操作员</v>
      </c>
      <c r="G345" s="19" t="str">
        <v>德国区-灵活班次 / DE FLEX</v>
      </c>
      <c r="H345" s="23" t="n">
        <v>2</v>
      </c>
      <c r="I345" s="23" t="n">
        <v>0</v>
      </c>
      <c r="J345" s="23" t="n">
        <f>H345+I345</f>
        <v>2</v>
      </c>
      <c r="K345" s="23" t="n">
        <v>2</v>
      </c>
      <c r="L345" s="23" t="n">
        <v>2</v>
      </c>
      <c r="M345" s="23" t="n">
        <f>MIN(K345,J345)</f>
        <v>2</v>
      </c>
      <c r="N345" s="23" t="n">
        <f>MIN(L345,J345)</f>
        <v>2</v>
      </c>
      <c r="O345" s="25" t="n">
        <f>IF(K345=0,0,MIN(1,J345/K345))</f>
        <v>1</v>
      </c>
      <c r="P345" s="23" t="n">
        <f>IF(J345&gt;0,MAX(K345-J345,0),0)</f>
        <v>0</v>
      </c>
      <c r="Q345" s="23" t="n">
        <f>IF(J345=0,K345,0)</f>
        <v>0</v>
      </c>
      <c r="R345" s="23" t="n">
        <f>MAX(J345-K345,0)</f>
        <v>0</v>
      </c>
      <c r="S345" s="23" t="n">
        <f>IF(J345&gt;0,MAX(L345-J345,0),L345)</f>
        <v>0</v>
      </c>
    </row>
    <row r="346">
      <c r="A346" s="19" t="str">
        <v>德国区</v>
      </c>
      <c r="B346" s="19" t="str">
        <v>杜塞尔多夫5号仓</v>
      </c>
      <c r="C346" s="19" t="str">
        <v>包装组</v>
      </c>
      <c r="D346" s="21" t="n">
        <v>46199</v>
      </c>
      <c r="E346" s="19" t="str">
        <v>2026-06</v>
      </c>
      <c r="F346" s="19" t="str">
        <v>操作员</v>
      </c>
      <c r="G346" s="19" t="str">
        <v>德国区-灵活班次 / DE FLEX</v>
      </c>
      <c r="H346" s="23" t="n">
        <v>2</v>
      </c>
      <c r="I346" s="23" t="n">
        <v>0</v>
      </c>
      <c r="J346" s="23" t="n">
        <f>H346+I346</f>
        <v>2</v>
      </c>
      <c r="K346" s="23" t="n">
        <v>2</v>
      </c>
      <c r="L346" s="23" t="n">
        <v>2</v>
      </c>
      <c r="M346" s="23" t="n">
        <f>MIN(K346,J346)</f>
        <v>2</v>
      </c>
      <c r="N346" s="23" t="n">
        <f>MIN(L346,J346)</f>
        <v>2</v>
      </c>
      <c r="O346" s="25" t="n">
        <f>IF(K346=0,0,MIN(1,J346/K346))</f>
        <v>1</v>
      </c>
      <c r="P346" s="23" t="n">
        <f>IF(J346&gt;0,MAX(K346-J346,0),0)</f>
        <v>0</v>
      </c>
      <c r="Q346" s="23" t="n">
        <f>IF(J346=0,K346,0)</f>
        <v>0</v>
      </c>
      <c r="R346" s="23" t="n">
        <f>MAX(J346-K346,0)</f>
        <v>0</v>
      </c>
      <c r="S346" s="23" t="n">
        <f>IF(J346&gt;0,MAX(L346-J346,0),L346)</f>
        <v>0</v>
      </c>
    </row>
    <row r="347">
      <c r="A347" s="19" t="str">
        <v>德国区</v>
      </c>
      <c r="B347" s="19" t="str">
        <v>杜塞尔多夫5号仓</v>
      </c>
      <c r="C347" s="19" t="str">
        <v>打包组</v>
      </c>
      <c r="D347" s="21" t="n">
        <v>46134</v>
      </c>
      <c r="E347" s="19" t="str">
        <v>2026-04</v>
      </c>
      <c r="F347" s="19" t="str">
        <v>操作员</v>
      </c>
      <c r="G347" s="19" t="str">
        <v>德国区-灵活班次 / DE FLEX</v>
      </c>
      <c r="H347" s="23" t="n">
        <v>5</v>
      </c>
      <c r="I347" s="23" t="n">
        <v>0</v>
      </c>
      <c r="J347" s="23" t="n">
        <f>H347+I347</f>
        <v>5</v>
      </c>
      <c r="K347" s="23" t="n">
        <v>5</v>
      </c>
      <c r="L347" s="23" t="n">
        <v>4</v>
      </c>
      <c r="M347" s="23" t="n">
        <f>MIN(K347,J347)</f>
        <v>5</v>
      </c>
      <c r="N347" s="23" t="n">
        <f>MIN(L347,J347)</f>
        <v>4</v>
      </c>
      <c r="O347" s="25" t="n">
        <f>IF(K347=0,0,MIN(1,J347/K347))</f>
        <v>1</v>
      </c>
      <c r="P347" s="23" t="n">
        <f>IF(J347&gt;0,MAX(K347-J347,0),0)</f>
        <v>0</v>
      </c>
      <c r="Q347" s="23" t="n">
        <f>IF(J347=0,K347,0)</f>
        <v>0</v>
      </c>
      <c r="R347" s="23" t="n">
        <f>MAX(J347-K347,0)</f>
        <v>0</v>
      </c>
      <c r="S347" s="23" t="n">
        <f>IF(J347&gt;0,MAX(L347-J347,0),L347)</f>
        <v>0</v>
      </c>
    </row>
    <row r="348">
      <c r="A348" s="19" t="str">
        <v>德国区</v>
      </c>
      <c r="B348" s="19" t="str">
        <v>杜塞尔多夫5号仓</v>
      </c>
      <c r="C348" s="19" t="str">
        <v>打包组</v>
      </c>
      <c r="D348" s="21" t="n">
        <v>46135</v>
      </c>
      <c r="E348" s="19" t="str">
        <v>2026-04</v>
      </c>
      <c r="F348" s="19" t="str">
        <v>操作员</v>
      </c>
      <c r="G348" s="19" t="str">
        <v>德国区-灵活班次 / DE FLEX</v>
      </c>
      <c r="H348" s="23" t="n">
        <v>2</v>
      </c>
      <c r="I348" s="23" t="n">
        <v>0</v>
      </c>
      <c r="J348" s="23" t="n">
        <f>H348+I348</f>
        <v>2</v>
      </c>
      <c r="K348" s="23" t="n">
        <v>2</v>
      </c>
      <c r="L348" s="23" t="n">
        <v>2</v>
      </c>
      <c r="M348" s="23" t="n">
        <f>MIN(K348,J348)</f>
        <v>2</v>
      </c>
      <c r="N348" s="23" t="n">
        <f>MIN(L348,J348)</f>
        <v>2</v>
      </c>
      <c r="O348" s="25" t="n">
        <f>IF(K348=0,0,MIN(1,J348/K348))</f>
        <v>1</v>
      </c>
      <c r="P348" s="23" t="n">
        <f>IF(J348&gt;0,MAX(K348-J348,0),0)</f>
        <v>0</v>
      </c>
      <c r="Q348" s="23" t="n">
        <f>IF(J348=0,K348,0)</f>
        <v>0</v>
      </c>
      <c r="R348" s="23" t="n">
        <f>MAX(J348-K348,0)</f>
        <v>0</v>
      </c>
      <c r="S348" s="23" t="n">
        <f>IF(J348&gt;0,MAX(L348-J348,0),L348)</f>
        <v>0</v>
      </c>
    </row>
    <row r="349">
      <c r="A349" s="19" t="str">
        <v>德国区</v>
      </c>
      <c r="B349" s="19" t="str">
        <v>杜塞尔多夫5号仓</v>
      </c>
      <c r="C349" s="19" t="str">
        <v>打包组</v>
      </c>
      <c r="D349" s="21" t="n">
        <v>46149</v>
      </c>
      <c r="E349" s="19" t="str">
        <v>2026-05</v>
      </c>
      <c r="F349" s="19" t="str">
        <v>操作员</v>
      </c>
      <c r="G349" s="19" t="str">
        <v>德国区-灵活班次 / DE FLEX</v>
      </c>
      <c r="H349" s="23" t="n">
        <v>2</v>
      </c>
      <c r="I349" s="23" t="n">
        <v>0</v>
      </c>
      <c r="J349" s="23" t="n">
        <f>H349+I349</f>
        <v>2</v>
      </c>
      <c r="K349" s="23" t="n">
        <v>3</v>
      </c>
      <c r="L349" s="23" t="n">
        <v>3</v>
      </c>
      <c r="M349" s="23" t="n">
        <f>MIN(K349,J349)</f>
        <v>2</v>
      </c>
      <c r="N349" s="23" t="n">
        <f>MIN(L349,J349)</f>
        <v>2</v>
      </c>
      <c r="O349" s="25" t="n">
        <f>IF(K349=0,0,MIN(1,J349/K349))</f>
        <v>0.6666666666666666</v>
      </c>
      <c r="P349" s="23" t="n">
        <f>IF(J349&gt;0,MAX(K349-J349,0),0)</f>
        <v>1</v>
      </c>
      <c r="Q349" s="23" t="n">
        <f>IF(J349=0,K349,0)</f>
        <v>0</v>
      </c>
      <c r="R349" s="23" t="n">
        <f>MAX(J349-K349,0)</f>
        <v>0</v>
      </c>
      <c r="S349" s="23" t="n">
        <f>IF(J349&gt;0,MAX(L349-J349,0),L349)</f>
        <v>1</v>
      </c>
    </row>
    <row r="350">
      <c r="A350" s="19" t="str">
        <v>德国区</v>
      </c>
      <c r="B350" s="19" t="str">
        <v>杜塞尔多夫5号仓</v>
      </c>
      <c r="C350" s="19" t="str">
        <v>打包组</v>
      </c>
      <c r="D350" s="21" t="n">
        <v>46155</v>
      </c>
      <c r="E350" s="19" t="str">
        <v>2026-05</v>
      </c>
      <c r="F350" s="19" t="str">
        <v>操作员</v>
      </c>
      <c r="G350" s="19" t="str">
        <v>德国区-灵活班次 / DE FLEX</v>
      </c>
      <c r="H350" s="23" t="n">
        <v>2</v>
      </c>
      <c r="I350" s="23" t="n">
        <v>0</v>
      </c>
      <c r="J350" s="23" t="n">
        <f>H350+I350</f>
        <v>2</v>
      </c>
      <c r="K350" s="23" t="n">
        <v>3</v>
      </c>
      <c r="L350" s="23" t="n">
        <v>3</v>
      </c>
      <c r="M350" s="23" t="n">
        <f>MIN(K350,J350)</f>
        <v>2</v>
      </c>
      <c r="N350" s="23" t="n">
        <f>MIN(L350,J350)</f>
        <v>2</v>
      </c>
      <c r="O350" s="25" t="n">
        <f>IF(K350=0,0,MIN(1,J350/K350))</f>
        <v>0.6666666666666666</v>
      </c>
      <c r="P350" s="23" t="n">
        <f>IF(J350&gt;0,MAX(K350-J350,0),0)</f>
        <v>1</v>
      </c>
      <c r="Q350" s="23" t="n">
        <f>IF(J350=0,K350,0)</f>
        <v>0</v>
      </c>
      <c r="R350" s="23" t="n">
        <f>MAX(J350-K350,0)</f>
        <v>0</v>
      </c>
      <c r="S350" s="23" t="n">
        <f>IF(J350&gt;0,MAX(L350-J350,0),L350)</f>
        <v>1</v>
      </c>
    </row>
    <row r="351">
      <c r="A351" s="19" t="str">
        <v>德国区</v>
      </c>
      <c r="B351" s="19" t="str">
        <v>杜塞尔多夫5号仓</v>
      </c>
      <c r="C351" s="19" t="str">
        <v>打包组</v>
      </c>
      <c r="D351" s="21" t="n">
        <v>46161</v>
      </c>
      <c r="E351" s="19" t="str">
        <v>2026-05</v>
      </c>
      <c r="F351" s="19" t="str">
        <v>操作员</v>
      </c>
      <c r="G351" s="19" t="str">
        <v>德国区-灵活班次 / DE FLEX</v>
      </c>
      <c r="H351" s="23" t="n">
        <v>3</v>
      </c>
      <c r="I351" s="23" t="n">
        <v>0</v>
      </c>
      <c r="J351" s="23" t="n">
        <f>H351+I351</f>
        <v>3</v>
      </c>
      <c r="K351" s="23" t="n">
        <v>3</v>
      </c>
      <c r="L351" s="23" t="n">
        <v>3</v>
      </c>
      <c r="M351" s="23" t="n">
        <f>MIN(K351,J351)</f>
        <v>3</v>
      </c>
      <c r="N351" s="23" t="n">
        <f>MIN(L351,J351)</f>
        <v>3</v>
      </c>
      <c r="O351" s="25" t="n">
        <f>IF(K351=0,0,MIN(1,J351/K351))</f>
        <v>1</v>
      </c>
      <c r="P351" s="23" t="n">
        <f>IF(J351&gt;0,MAX(K351-J351,0),0)</f>
        <v>0</v>
      </c>
      <c r="Q351" s="23" t="n">
        <f>IF(J351=0,K351,0)</f>
        <v>0</v>
      </c>
      <c r="R351" s="23" t="n">
        <f>MAX(J351-K351,0)</f>
        <v>0</v>
      </c>
      <c r="S351" s="23" t="n">
        <f>IF(J351&gt;0,MAX(L351-J351,0),L351)</f>
        <v>0</v>
      </c>
    </row>
    <row r="352">
      <c r="A352" s="19" t="str">
        <v>德国区</v>
      </c>
      <c r="B352" s="19" t="str">
        <v>杜塞尔多夫5号仓</v>
      </c>
      <c r="C352" s="19" t="str">
        <v>拣货组</v>
      </c>
      <c r="D352" s="21" t="n">
        <v>46140</v>
      </c>
      <c r="E352" s="19" t="str">
        <v>2026-04</v>
      </c>
      <c r="F352" s="19" t="str">
        <v>操作员</v>
      </c>
      <c r="G352" s="19" t="str">
        <v>德国区-灵活班次 / DE FLEX</v>
      </c>
      <c r="H352" s="23" t="n">
        <v>5</v>
      </c>
      <c r="I352" s="23" t="n">
        <v>0</v>
      </c>
      <c r="J352" s="23" t="n">
        <f>H352+I352</f>
        <v>5</v>
      </c>
      <c r="K352" s="23" t="n">
        <v>5</v>
      </c>
      <c r="L352" s="23" t="n">
        <v>5</v>
      </c>
      <c r="M352" s="23" t="n">
        <f>MIN(K352,J352)</f>
        <v>5</v>
      </c>
      <c r="N352" s="23" t="n">
        <f>MIN(L352,J352)</f>
        <v>5</v>
      </c>
      <c r="O352" s="25" t="n">
        <f>IF(K352=0,0,MIN(1,J352/K352))</f>
        <v>1</v>
      </c>
      <c r="P352" s="23" t="n">
        <f>IF(J352&gt;0,MAX(K352-J352,0),0)</f>
        <v>0</v>
      </c>
      <c r="Q352" s="23" t="n">
        <f>IF(J352=0,K352,0)</f>
        <v>0</v>
      </c>
      <c r="R352" s="23" t="n">
        <f>MAX(J352-K352,0)</f>
        <v>0</v>
      </c>
      <c r="S352" s="23" t="n">
        <f>IF(J352&gt;0,MAX(L352-J352,0),L352)</f>
        <v>0</v>
      </c>
    </row>
    <row r="353">
      <c r="A353" s="19" t="str">
        <v>德国区</v>
      </c>
      <c r="B353" s="19" t="str">
        <v>杜塞尔多夫5号仓</v>
      </c>
      <c r="C353" s="19" t="str">
        <v>拣货组</v>
      </c>
      <c r="D353" s="21" t="n">
        <v>46171</v>
      </c>
      <c r="E353" s="19" t="str">
        <v>2026-05</v>
      </c>
      <c r="F353" s="19" t="str">
        <v>操作员</v>
      </c>
      <c r="G353" s="19" t="str">
        <v>德国区-灵活班次 / DE FLEX</v>
      </c>
      <c r="H353" s="23" t="n">
        <v>5</v>
      </c>
      <c r="I353" s="23" t="n">
        <v>0</v>
      </c>
      <c r="J353" s="23" t="n">
        <f>H353+I353</f>
        <v>5</v>
      </c>
      <c r="K353" s="23" t="n">
        <v>5</v>
      </c>
      <c r="L353" s="23" t="n">
        <v>5</v>
      </c>
      <c r="M353" s="23" t="n">
        <f>MIN(K353,J353)</f>
        <v>5</v>
      </c>
      <c r="N353" s="23" t="n">
        <f>MIN(L353,J353)</f>
        <v>5</v>
      </c>
      <c r="O353" s="25" t="n">
        <f>IF(K353=0,0,MIN(1,J353/K353))</f>
        <v>1</v>
      </c>
      <c r="P353" s="23" t="n">
        <f>IF(J353&gt;0,MAX(K353-J353,0),0)</f>
        <v>0</v>
      </c>
      <c r="Q353" s="23" t="n">
        <f>IF(J353=0,K353,0)</f>
        <v>0</v>
      </c>
      <c r="R353" s="23" t="n">
        <f>MAX(J353-K353,0)</f>
        <v>0</v>
      </c>
      <c r="S353" s="23" t="n">
        <f>IF(J353&gt;0,MAX(L353-J353,0),L353)</f>
        <v>0</v>
      </c>
    </row>
    <row r="354">
      <c r="A354" s="19" t="str">
        <v>德国区</v>
      </c>
      <c r="B354" s="19" t="str">
        <v>杜塞尔多夫5号仓</v>
      </c>
      <c r="C354" s="19" t="str">
        <v>拣货组</v>
      </c>
      <c r="D354" s="21" t="n">
        <v>46175</v>
      </c>
      <c r="E354" s="19" t="str">
        <v>2026-06</v>
      </c>
      <c r="F354" s="19" t="str">
        <v>操作员</v>
      </c>
      <c r="G354" s="19" t="str">
        <v>德国区-灵活班次 / DE FLEX</v>
      </c>
      <c r="H354" s="23" t="n">
        <v>5</v>
      </c>
      <c r="I354" s="23" t="n">
        <v>0</v>
      </c>
      <c r="J354" s="23" t="n">
        <f>H354+I354</f>
        <v>5</v>
      </c>
      <c r="K354" s="23" t="n">
        <v>6</v>
      </c>
      <c r="L354" s="23" t="n">
        <v>6</v>
      </c>
      <c r="M354" s="23" t="n">
        <f>MIN(K354,J354)</f>
        <v>5</v>
      </c>
      <c r="N354" s="23" t="n">
        <f>MIN(L354,J354)</f>
        <v>5</v>
      </c>
      <c r="O354" s="25" t="n">
        <f>IF(K354=0,0,MIN(1,J354/K354))</f>
        <v>0.8333333333333334</v>
      </c>
      <c r="P354" s="23" t="n">
        <f>IF(J354&gt;0,MAX(K354-J354,0),0)</f>
        <v>1</v>
      </c>
      <c r="Q354" s="23" t="n">
        <f>IF(J354=0,K354,0)</f>
        <v>0</v>
      </c>
      <c r="R354" s="23" t="n">
        <f>MAX(J354-K354,0)</f>
        <v>0</v>
      </c>
      <c r="S354" s="23" t="n">
        <f>IF(J354&gt;0,MAX(L354-J354,0),L354)</f>
        <v>1</v>
      </c>
    </row>
    <row r="355">
      <c r="A355" s="19" t="str">
        <v>德国区</v>
      </c>
      <c r="B355" s="19" t="str">
        <v>杜塞尔多夫5号仓</v>
      </c>
      <c r="C355" s="19" t="str">
        <v>拣货组</v>
      </c>
      <c r="D355" s="21" t="n">
        <v>46176</v>
      </c>
      <c r="E355" s="19" t="str">
        <v>2026-06</v>
      </c>
      <c r="F355" s="19" t="str">
        <v>操作员</v>
      </c>
      <c r="G355" s="19" t="str">
        <v>德国区-灵活班次 / DE FLEX</v>
      </c>
      <c r="H355" s="23" t="n">
        <v>5</v>
      </c>
      <c r="I355" s="23" t="n">
        <v>0</v>
      </c>
      <c r="J355" s="23" t="n">
        <f>H355+I355</f>
        <v>5</v>
      </c>
      <c r="K355" s="23" t="n">
        <v>5</v>
      </c>
      <c r="L355" s="23" t="n">
        <v>4</v>
      </c>
      <c r="M355" s="23" t="n">
        <f>MIN(K355,J355)</f>
        <v>5</v>
      </c>
      <c r="N355" s="23" t="n">
        <f>MIN(L355,J355)</f>
        <v>4</v>
      </c>
      <c r="O355" s="25" t="n">
        <f>IF(K355=0,0,MIN(1,J355/K355))</f>
        <v>1</v>
      </c>
      <c r="P355" s="23" t="n">
        <f>IF(J355&gt;0,MAX(K355-J355,0),0)</f>
        <v>0</v>
      </c>
      <c r="Q355" s="23" t="n">
        <f>IF(J355=0,K355,0)</f>
        <v>0</v>
      </c>
      <c r="R355" s="23" t="n">
        <f>MAX(J355-K355,0)</f>
        <v>0</v>
      </c>
      <c r="S355" s="23" t="n">
        <f>IF(J355&gt;0,MAX(L355-J355,0),L355)</f>
        <v>0</v>
      </c>
    </row>
    <row r="356">
      <c r="A356" s="19" t="str">
        <v>德国区</v>
      </c>
      <c r="B356" s="19" t="str">
        <v>杜塞尔多夫5号仓</v>
      </c>
      <c r="C356" s="19" t="str">
        <v>拣货组</v>
      </c>
      <c r="D356" s="21" t="n">
        <v>46178</v>
      </c>
      <c r="E356" s="19" t="str">
        <v>2026-06</v>
      </c>
      <c r="F356" s="19" t="str">
        <v>操作员</v>
      </c>
      <c r="G356" s="19" t="str">
        <v>德国区5仓7:00出库组班次</v>
      </c>
      <c r="H356" s="23" t="n">
        <v>2</v>
      </c>
      <c r="I356" s="23" t="n">
        <v>0</v>
      </c>
      <c r="J356" s="23" t="n">
        <f>H356+I356</f>
        <v>2</v>
      </c>
      <c r="K356" s="23" t="n">
        <v>2</v>
      </c>
      <c r="L356" s="23" t="n">
        <v>2</v>
      </c>
      <c r="M356" s="23" t="n">
        <f>MIN(K356,J356)</f>
        <v>2</v>
      </c>
      <c r="N356" s="23" t="n">
        <f>MIN(L356,J356)</f>
        <v>2</v>
      </c>
      <c r="O356" s="25" t="n">
        <f>IF(K356=0,0,MIN(1,J356/K356))</f>
        <v>1</v>
      </c>
      <c r="P356" s="23" t="n">
        <f>IF(J356&gt;0,MAX(K356-J356,0),0)</f>
        <v>0</v>
      </c>
      <c r="Q356" s="23" t="n">
        <f>IF(J356=0,K356,0)</f>
        <v>0</v>
      </c>
      <c r="R356" s="23" t="n">
        <f>MAX(J356-K356,0)</f>
        <v>0</v>
      </c>
      <c r="S356" s="23" t="n">
        <f>IF(J356&gt;0,MAX(L356-J356,0),L356)</f>
        <v>0</v>
      </c>
    </row>
    <row r="357">
      <c r="A357" s="19" t="str">
        <v>德国区</v>
      </c>
      <c r="B357" s="19" t="str">
        <v>杜塞尔多夫5号仓</v>
      </c>
      <c r="C357" s="19" t="str">
        <v>拣货组</v>
      </c>
      <c r="D357" s="21" t="n">
        <v>46179</v>
      </c>
      <c r="E357" s="19" t="str">
        <v>2026-06</v>
      </c>
      <c r="F357" s="19" t="str">
        <v>操作员</v>
      </c>
      <c r="G357" s="19" t="str">
        <v>德国区5仓7:00出库组班次</v>
      </c>
      <c r="H357" s="23" t="n">
        <v>2</v>
      </c>
      <c r="I357" s="23" t="n">
        <v>0</v>
      </c>
      <c r="J357" s="23" t="n">
        <f>H357+I357</f>
        <v>2</v>
      </c>
      <c r="K357" s="23" t="n">
        <v>2</v>
      </c>
      <c r="L357" s="23" t="n">
        <v>2</v>
      </c>
      <c r="M357" s="23" t="n">
        <f>MIN(K357,J357)</f>
        <v>2</v>
      </c>
      <c r="N357" s="23" t="n">
        <f>MIN(L357,J357)</f>
        <v>2</v>
      </c>
      <c r="O357" s="25" t="n">
        <f>IF(K357=0,0,MIN(1,J357/K357))</f>
        <v>1</v>
      </c>
      <c r="P357" s="23" t="n">
        <f>IF(J357&gt;0,MAX(K357-J357,0),0)</f>
        <v>0</v>
      </c>
      <c r="Q357" s="23" t="n">
        <f>IF(J357=0,K357,0)</f>
        <v>0</v>
      </c>
      <c r="R357" s="23" t="n">
        <f>MAX(J357-K357,0)</f>
        <v>0</v>
      </c>
      <c r="S357" s="23" t="n">
        <f>IF(J357&gt;0,MAX(L357-J357,0),L357)</f>
        <v>0</v>
      </c>
    </row>
    <row r="358">
      <c r="A358" s="19" t="str">
        <v>德国区</v>
      </c>
      <c r="B358" s="19" t="str">
        <v>杜塞尔多夫5号仓</v>
      </c>
      <c r="C358" s="19" t="str">
        <v>拣货组</v>
      </c>
      <c r="D358" s="21" t="n">
        <v>46182</v>
      </c>
      <c r="E358" s="19" t="str">
        <v>2026-06</v>
      </c>
      <c r="F358" s="19" t="str">
        <v>操作员</v>
      </c>
      <c r="G358" s="19" t="str">
        <v>德国区-灵活班次 / DE FLEX</v>
      </c>
      <c r="H358" s="23" t="n">
        <v>6</v>
      </c>
      <c r="I358" s="23" t="n">
        <v>0</v>
      </c>
      <c r="J358" s="23" t="n">
        <f>H358+I358</f>
        <v>6</v>
      </c>
      <c r="K358" s="23" t="n">
        <v>6</v>
      </c>
      <c r="L358" s="23" t="n">
        <v>6</v>
      </c>
      <c r="M358" s="23" t="n">
        <f>MIN(K358,J358)</f>
        <v>6</v>
      </c>
      <c r="N358" s="23" t="n">
        <f>MIN(L358,J358)</f>
        <v>6</v>
      </c>
      <c r="O358" s="25" t="n">
        <f>IF(K358=0,0,MIN(1,J358/K358))</f>
        <v>1</v>
      </c>
      <c r="P358" s="23" t="n">
        <f>IF(J358&gt;0,MAX(K358-J358,0),0)</f>
        <v>0</v>
      </c>
      <c r="Q358" s="23" t="n">
        <f>IF(J358=0,K358,0)</f>
        <v>0</v>
      </c>
      <c r="R358" s="23" t="n">
        <f>MAX(J358-K358,0)</f>
        <v>0</v>
      </c>
      <c r="S358" s="23" t="n">
        <f>IF(J358&gt;0,MAX(L358-J358,0),L358)</f>
        <v>0</v>
      </c>
    </row>
    <row r="359">
      <c r="A359" s="19" t="str">
        <v>德国区</v>
      </c>
      <c r="B359" s="19" t="str">
        <v>杜塞尔多夫5号仓</v>
      </c>
      <c r="C359" s="19" t="str">
        <v>拣货组</v>
      </c>
      <c r="D359" s="21" t="n">
        <v>46191</v>
      </c>
      <c r="E359" s="19" t="str">
        <v>2026-06</v>
      </c>
      <c r="F359" s="19" t="str">
        <v>操作员</v>
      </c>
      <c r="G359" s="19" t="str">
        <v>德国区-灵活班次 / DE FLEX</v>
      </c>
      <c r="H359" s="23" t="n">
        <v>5</v>
      </c>
      <c r="I359" s="23" t="n">
        <v>0</v>
      </c>
      <c r="J359" s="23" t="n">
        <f>H359+I359</f>
        <v>5</v>
      </c>
      <c r="K359" s="23" t="n">
        <v>6</v>
      </c>
      <c r="L359" s="23" t="n">
        <v>6</v>
      </c>
      <c r="M359" s="23" t="n">
        <f>MIN(K359,J359)</f>
        <v>5</v>
      </c>
      <c r="N359" s="23" t="n">
        <f>MIN(L359,J359)</f>
        <v>5</v>
      </c>
      <c r="O359" s="25" t="n">
        <f>IF(K359=0,0,MIN(1,J359/K359))</f>
        <v>0.8333333333333334</v>
      </c>
      <c r="P359" s="23" t="n">
        <f>IF(J359&gt;0,MAX(K359-J359,0),0)</f>
        <v>1</v>
      </c>
      <c r="Q359" s="23" t="n">
        <f>IF(J359=0,K359,0)</f>
        <v>0</v>
      </c>
      <c r="R359" s="23" t="n">
        <f>MAX(J359-K359,0)</f>
        <v>0</v>
      </c>
      <c r="S359" s="23" t="n">
        <f>IF(J359&gt;0,MAX(L359-J359,0),L359)</f>
        <v>1</v>
      </c>
    </row>
    <row r="360">
      <c r="A360" s="19" t="str">
        <v>德国区</v>
      </c>
      <c r="B360" s="19" t="str">
        <v>杜塞尔多夫5号仓</v>
      </c>
      <c r="C360" s="19" t="str">
        <v>理货组</v>
      </c>
      <c r="D360" s="21" t="n">
        <v>46133</v>
      </c>
      <c r="E360" s="19" t="str">
        <v>2026-04</v>
      </c>
      <c r="F360" s="19" t="str">
        <v>操作员</v>
      </c>
      <c r="G360" s="19" t="str">
        <v>德国区-灵活班次 / DE FLEX</v>
      </c>
      <c r="H360" s="23" t="n">
        <v>2</v>
      </c>
      <c r="I360" s="23" t="n">
        <v>0</v>
      </c>
      <c r="J360" s="23" t="n">
        <f>H360+I360</f>
        <v>2</v>
      </c>
      <c r="K360" s="23" t="n">
        <v>2</v>
      </c>
      <c r="L360" s="23" t="n">
        <v>2</v>
      </c>
      <c r="M360" s="23" t="n">
        <f>MIN(K360,J360)</f>
        <v>2</v>
      </c>
      <c r="N360" s="23" t="n">
        <f>MIN(L360,J360)</f>
        <v>2</v>
      </c>
      <c r="O360" s="25" t="n">
        <f>IF(K360=0,0,MIN(1,J360/K360))</f>
        <v>1</v>
      </c>
      <c r="P360" s="23" t="n">
        <f>IF(J360&gt;0,MAX(K360-J360,0),0)</f>
        <v>0</v>
      </c>
      <c r="Q360" s="23" t="n">
        <f>IF(J360=0,K360,0)</f>
        <v>0</v>
      </c>
      <c r="R360" s="23" t="n">
        <f>MAX(J360-K360,0)</f>
        <v>0</v>
      </c>
      <c r="S360" s="23" t="n">
        <f>IF(J360&gt;0,MAX(L360-J360,0),L360)</f>
        <v>0</v>
      </c>
    </row>
    <row r="361">
      <c r="A361" s="19" t="str">
        <v>德国区</v>
      </c>
      <c r="B361" s="19" t="str">
        <v>杜塞尔多夫5号仓</v>
      </c>
      <c r="C361" s="19" t="str">
        <v>理货组</v>
      </c>
      <c r="D361" s="21" t="n">
        <v>46140</v>
      </c>
      <c r="E361" s="19" t="str">
        <v>2026-04</v>
      </c>
      <c r="F361" s="19" t="str">
        <v>操作员</v>
      </c>
      <c r="G361" s="19" t="str">
        <v>德国区-灵活班次 / DE FLEX</v>
      </c>
      <c r="H361" s="23" t="n">
        <v>2</v>
      </c>
      <c r="I361" s="23" t="n">
        <v>0</v>
      </c>
      <c r="J361" s="23" t="n">
        <f>H361+I361</f>
        <v>2</v>
      </c>
      <c r="K361" s="23" t="n">
        <v>3</v>
      </c>
      <c r="L361" s="23" t="n">
        <v>3</v>
      </c>
      <c r="M361" s="23" t="n">
        <f>MIN(K361,J361)</f>
        <v>2</v>
      </c>
      <c r="N361" s="23" t="n">
        <f>MIN(L361,J361)</f>
        <v>2</v>
      </c>
      <c r="O361" s="25" t="n">
        <f>IF(K361=0,0,MIN(1,J361/K361))</f>
        <v>0.6666666666666666</v>
      </c>
      <c r="P361" s="23" t="n">
        <f>IF(J361&gt;0,MAX(K361-J361,0),0)</f>
        <v>1</v>
      </c>
      <c r="Q361" s="23" t="n">
        <f>IF(J361=0,K361,0)</f>
        <v>0</v>
      </c>
      <c r="R361" s="23" t="n">
        <f>MAX(J361-K361,0)</f>
        <v>0</v>
      </c>
      <c r="S361" s="23" t="n">
        <f>IF(J361&gt;0,MAX(L361-J361,0),L361)</f>
        <v>1</v>
      </c>
    </row>
    <row r="362">
      <c r="A362" s="19" t="str">
        <v>德国区</v>
      </c>
      <c r="B362" s="19" t="str">
        <v>杜塞尔多夫5号仓</v>
      </c>
      <c r="C362" s="19" t="str">
        <v>理货组</v>
      </c>
      <c r="D362" s="21" t="n">
        <v>46147</v>
      </c>
      <c r="E362" s="19" t="str">
        <v>2026-05</v>
      </c>
      <c r="F362" s="19" t="str">
        <v>操作员</v>
      </c>
      <c r="G362" s="19" t="str">
        <v>德国区-灵活班次 / DE FLEX</v>
      </c>
      <c r="H362" s="23" t="n">
        <v>2</v>
      </c>
      <c r="I362" s="23" t="n">
        <v>0</v>
      </c>
      <c r="J362" s="23" t="n">
        <f>H362+I362</f>
        <v>2</v>
      </c>
      <c r="K362" s="23" t="n">
        <v>3</v>
      </c>
      <c r="L362" s="23" t="n">
        <v>3</v>
      </c>
      <c r="M362" s="23" t="n">
        <f>MIN(K362,J362)</f>
        <v>2</v>
      </c>
      <c r="N362" s="23" t="n">
        <f>MIN(L362,J362)</f>
        <v>2</v>
      </c>
      <c r="O362" s="25" t="n">
        <f>IF(K362=0,0,MIN(1,J362/K362))</f>
        <v>0.6666666666666666</v>
      </c>
      <c r="P362" s="23" t="n">
        <f>IF(J362&gt;0,MAX(K362-J362,0),0)</f>
        <v>1</v>
      </c>
      <c r="Q362" s="23" t="n">
        <f>IF(J362=0,K362,0)</f>
        <v>0</v>
      </c>
      <c r="R362" s="23" t="n">
        <f>MAX(J362-K362,0)</f>
        <v>0</v>
      </c>
      <c r="S362" s="23" t="n">
        <f>IF(J362&gt;0,MAX(L362-J362,0),L362)</f>
        <v>1</v>
      </c>
    </row>
    <row r="363">
      <c r="A363" s="19" t="str">
        <v>德国区</v>
      </c>
      <c r="B363" s="19" t="str">
        <v>杜塞尔多夫6号仓</v>
      </c>
      <c r="C363" s="19" t="str">
        <v>入库组</v>
      </c>
      <c r="D363" s="21" t="n">
        <v>46129</v>
      </c>
      <c r="E363" s="19" t="str">
        <v>2026-04</v>
      </c>
      <c r="F363" s="19" t="str">
        <v>操作员</v>
      </c>
      <c r="G363" s="19" t="str">
        <v>德国区-灵活班次 / DE FLEX</v>
      </c>
      <c r="H363" s="23" t="n">
        <v>0</v>
      </c>
      <c r="I363" s="23" t="n">
        <v>0</v>
      </c>
      <c r="J363" s="23" t="n">
        <f>H363+I363</f>
        <v>0</v>
      </c>
      <c r="K363" s="23" t="n">
        <v>5</v>
      </c>
      <c r="L363" s="23" t="n">
        <v>4</v>
      </c>
      <c r="M363" s="23" t="n">
        <f>MIN(K363,J363)</f>
        <v>0</v>
      </c>
      <c r="N363" s="23" t="n">
        <f>MIN(L363,J363)</f>
        <v>0</v>
      </c>
      <c r="O363" s="25" t="n">
        <f>IF(K363=0,0,MIN(1,J363/K363))</f>
        <v>0</v>
      </c>
      <c r="P363" s="23" t="n">
        <f>IF(J363&gt;0,MAX(K363-J363,0),0)</f>
        <v>0</v>
      </c>
      <c r="Q363" s="23" t="n">
        <f>IF(J363=0,K363,0)</f>
        <v>5</v>
      </c>
      <c r="R363" s="23" t="n">
        <f>MAX(J363-K363,0)</f>
        <v>0</v>
      </c>
      <c r="S363" s="23" t="n">
        <f>IF(J363&gt;0,MAX(L363-J363,0),L363)</f>
        <v>4</v>
      </c>
    </row>
    <row r="364">
      <c r="A364" s="19" t="str">
        <v>德国区</v>
      </c>
      <c r="B364" s="19" t="str">
        <v>杜塞尔多夫6号仓</v>
      </c>
      <c r="C364" s="19" t="str">
        <v>入库组</v>
      </c>
      <c r="D364" s="21" t="n">
        <v>46134</v>
      </c>
      <c r="E364" s="19" t="str">
        <v>2026-04</v>
      </c>
      <c r="F364" s="19" t="str">
        <v>售后处理员</v>
      </c>
      <c r="G364" s="19" t="str">
        <v>德国区-灵活班次 / DE FLEX</v>
      </c>
      <c r="H364" s="23" t="n">
        <v>3</v>
      </c>
      <c r="I364" s="23" t="n">
        <v>0</v>
      </c>
      <c r="J364" s="23" t="n">
        <f>H364+I364</f>
        <v>3</v>
      </c>
      <c r="K364" s="23" t="n">
        <v>3</v>
      </c>
      <c r="L364" s="23" t="n">
        <v>0</v>
      </c>
      <c r="M364" s="23" t="n">
        <f>MIN(K364,J364)</f>
        <v>3</v>
      </c>
      <c r="N364" s="23" t="n">
        <f>MIN(L364,J364)</f>
        <v>0</v>
      </c>
      <c r="O364" s="25" t="n">
        <f>IF(K364=0,0,MIN(1,J364/K364))</f>
        <v>1</v>
      </c>
      <c r="P364" s="23" t="n">
        <f>IF(J364&gt;0,MAX(K364-J364,0),0)</f>
        <v>0</v>
      </c>
      <c r="Q364" s="23" t="n">
        <f>IF(J364=0,K364,0)</f>
        <v>0</v>
      </c>
      <c r="R364" s="23" t="n">
        <f>MAX(J364-K364,0)</f>
        <v>0</v>
      </c>
      <c r="S364" s="23" t="n">
        <f>IF(J364&gt;0,MAX(L364-J364,0),L364)</f>
        <v>0</v>
      </c>
    </row>
    <row r="365">
      <c r="A365" s="19" t="str">
        <v>德国区</v>
      </c>
      <c r="B365" s="19" t="str">
        <v>杜塞尔多夫6号仓</v>
      </c>
      <c r="C365" s="19" t="str">
        <v>入库组</v>
      </c>
      <c r="D365" s="21" t="n">
        <v>46136</v>
      </c>
      <c r="E365" s="19" t="str">
        <v>2026-04</v>
      </c>
      <c r="F365" s="19" t="str">
        <v>操作员</v>
      </c>
      <c r="G365" s="19" t="str">
        <v>德国区-灵活班次 / DE FLEX</v>
      </c>
      <c r="H365" s="23" t="n">
        <v>3</v>
      </c>
      <c r="I365" s="23" t="n">
        <v>0</v>
      </c>
      <c r="J365" s="23" t="n">
        <f>H365+I365</f>
        <v>3</v>
      </c>
      <c r="K365" s="23" t="n">
        <v>0</v>
      </c>
      <c r="L365" s="23" t="n">
        <v>0</v>
      </c>
      <c r="M365" s="23" t="n">
        <f>MIN(K365,J365)</f>
        <v>0</v>
      </c>
      <c r="N365" s="23" t="n">
        <f>MIN(L365,J365)</f>
        <v>0</v>
      </c>
      <c r="O365" s="25" t="n">
        <f>IF(K365=0,0,MIN(1,J365/K365))</f>
        <v>0</v>
      </c>
      <c r="P365" s="23" t="n">
        <f>IF(J365&gt;0,MAX(K365-J365,0),0)</f>
        <v>0</v>
      </c>
      <c r="Q365" s="23" t="n">
        <f>IF(J365=0,K365,0)</f>
        <v>0</v>
      </c>
      <c r="R365" s="23" t="n">
        <f>MAX(J365-K365,0)</f>
        <v>3</v>
      </c>
      <c r="S365" s="23" t="n">
        <f>IF(J365&gt;0,MAX(L365-J365,0),L365)</f>
        <v>0</v>
      </c>
    </row>
    <row r="366">
      <c r="A366" s="19" t="str">
        <v>德国区</v>
      </c>
      <c r="B366" s="19" t="str">
        <v>杜塞尔多夫6号仓</v>
      </c>
      <c r="C366" s="19" t="str">
        <v>入库组</v>
      </c>
      <c r="D366" s="21" t="n">
        <v>46183</v>
      </c>
      <c r="E366" s="19" t="str">
        <v>2026-06</v>
      </c>
      <c r="F366" s="19" t="str">
        <v>操作员</v>
      </c>
      <c r="G366" s="19" t="str">
        <v>德国区7仓8:30班次</v>
      </c>
      <c r="H366" s="23" t="n">
        <v>4</v>
      </c>
      <c r="I366" s="23" t="n">
        <v>0</v>
      </c>
      <c r="J366" s="23" t="n">
        <f>H366+I366</f>
        <v>4</v>
      </c>
      <c r="K366" s="23" t="n">
        <v>5</v>
      </c>
      <c r="L366" s="23" t="n">
        <v>3</v>
      </c>
      <c r="M366" s="23" t="n">
        <f>MIN(K366,J366)</f>
        <v>4</v>
      </c>
      <c r="N366" s="23" t="n">
        <f>MIN(L366,J366)</f>
        <v>3</v>
      </c>
      <c r="O366" s="25" t="n">
        <f>IF(K366=0,0,MIN(1,J366/K366))</f>
        <v>0.8</v>
      </c>
      <c r="P366" s="23" t="n">
        <f>IF(J366&gt;0,MAX(K366-J366,0),0)</f>
        <v>1</v>
      </c>
      <c r="Q366" s="23" t="n">
        <f>IF(J366=0,K366,0)</f>
        <v>0</v>
      </c>
      <c r="R366" s="23" t="n">
        <f>MAX(J366-K366,0)</f>
        <v>0</v>
      </c>
      <c r="S366" s="23" t="n">
        <f>IF(J366&gt;0,MAX(L366-J366,0),L366)</f>
        <v>0</v>
      </c>
    </row>
    <row r="367">
      <c r="A367" s="19" t="str">
        <v>德国区</v>
      </c>
      <c r="B367" s="19" t="str">
        <v>杜塞尔多夫6号仓</v>
      </c>
      <c r="C367" s="19" t="str">
        <v>入库组</v>
      </c>
      <c r="D367" s="21" t="n">
        <v>46191</v>
      </c>
      <c r="E367" s="19" t="str">
        <v>2026-06</v>
      </c>
      <c r="F367" s="19" t="str">
        <v>操作员</v>
      </c>
      <c r="G367" s="19" t="str">
        <v>德国区-灵活班次 / DE FLEX</v>
      </c>
      <c r="H367" s="23" t="n">
        <v>1</v>
      </c>
      <c r="I367" s="23" t="n">
        <v>0</v>
      </c>
      <c r="J367" s="23" t="n">
        <f>H367+I367</f>
        <v>1</v>
      </c>
      <c r="K367" s="23" t="n">
        <v>1</v>
      </c>
      <c r="L367" s="23" t="n">
        <v>0</v>
      </c>
      <c r="M367" s="23" t="n">
        <f>MIN(K367,J367)</f>
        <v>1</v>
      </c>
      <c r="N367" s="23" t="n">
        <f>MIN(L367,J367)</f>
        <v>0</v>
      </c>
      <c r="O367" s="25" t="n">
        <f>IF(K367=0,0,MIN(1,J367/K367))</f>
        <v>1</v>
      </c>
      <c r="P367" s="23" t="n">
        <f>IF(J367&gt;0,MAX(K367-J367,0),0)</f>
        <v>0</v>
      </c>
      <c r="Q367" s="23" t="n">
        <f>IF(J367=0,K367,0)</f>
        <v>0</v>
      </c>
      <c r="R367" s="23" t="n">
        <f>MAX(J367-K367,0)</f>
        <v>0</v>
      </c>
      <c r="S367" s="23" t="n">
        <f>IF(J367&gt;0,MAX(L367-J367,0),L367)</f>
        <v>0</v>
      </c>
    </row>
    <row r="368">
      <c r="A368" s="19" t="str">
        <v>德国区</v>
      </c>
      <c r="B368" s="19" t="str">
        <v>杜塞尔多夫6号仓</v>
      </c>
      <c r="C368" s="19" t="str">
        <v>入库组</v>
      </c>
      <c r="D368" s="21" t="n">
        <v>46197</v>
      </c>
      <c r="E368" s="19" t="str">
        <v>2026-06</v>
      </c>
      <c r="F368" s="19" t="str">
        <v>操作员</v>
      </c>
      <c r="G368" s="19" t="str">
        <v>德国区-灵活班次 / DE FLEX</v>
      </c>
      <c r="H368" s="23" t="n">
        <v>4</v>
      </c>
      <c r="I368" s="23" t="n">
        <v>0</v>
      </c>
      <c r="J368" s="23" t="n">
        <f>H368+I368</f>
        <v>4</v>
      </c>
      <c r="K368" s="23" t="n">
        <v>4</v>
      </c>
      <c r="L368" s="23" t="n">
        <v>4</v>
      </c>
      <c r="M368" s="23" t="n">
        <f>MIN(K368,J368)</f>
        <v>4</v>
      </c>
      <c r="N368" s="23" t="n">
        <f>MIN(L368,J368)</f>
        <v>4</v>
      </c>
      <c r="O368" s="25" t="n">
        <f>IF(K368=0,0,MIN(1,J368/K368))</f>
        <v>1</v>
      </c>
      <c r="P368" s="23" t="n">
        <f>IF(J368&gt;0,MAX(K368-J368,0),0)</f>
        <v>0</v>
      </c>
      <c r="Q368" s="23" t="n">
        <f>IF(J368=0,K368,0)</f>
        <v>0</v>
      </c>
      <c r="R368" s="23" t="n">
        <f>MAX(J368-K368,0)</f>
        <v>0</v>
      </c>
      <c r="S368" s="23" t="n">
        <f>IF(J368&gt;0,MAX(L368-J368,0),L368)</f>
        <v>0</v>
      </c>
    </row>
    <row r="369">
      <c r="A369" s="19" t="str">
        <v>德国区</v>
      </c>
      <c r="B369" s="19" t="str">
        <v>杜塞尔多夫6号仓</v>
      </c>
      <c r="C369" s="19" t="str">
        <v>入库组</v>
      </c>
      <c r="D369" s="21" t="n">
        <v>46198</v>
      </c>
      <c r="E369" s="19" t="str">
        <v>2026-06</v>
      </c>
      <c r="F369" s="19" t="str">
        <v>操作员</v>
      </c>
      <c r="G369" s="19" t="str">
        <v>德国区-灵活班次 / DE FLEX</v>
      </c>
      <c r="H369" s="23" t="n">
        <v>4</v>
      </c>
      <c r="I369" s="23" t="n">
        <v>0</v>
      </c>
      <c r="J369" s="23" t="n">
        <f>H369+I369</f>
        <v>4</v>
      </c>
      <c r="K369" s="23" t="n">
        <v>4</v>
      </c>
      <c r="L369" s="23" t="n">
        <v>4</v>
      </c>
      <c r="M369" s="23" t="n">
        <f>MIN(K369,J369)</f>
        <v>4</v>
      </c>
      <c r="N369" s="23" t="n">
        <f>MIN(L369,J369)</f>
        <v>4</v>
      </c>
      <c r="O369" s="25" t="n">
        <f>IF(K369=0,0,MIN(1,J369/K369))</f>
        <v>1</v>
      </c>
      <c r="P369" s="23" t="n">
        <f>IF(J369&gt;0,MAX(K369-J369,0),0)</f>
        <v>0</v>
      </c>
      <c r="Q369" s="23" t="n">
        <f>IF(J369=0,K369,0)</f>
        <v>0</v>
      </c>
      <c r="R369" s="23" t="n">
        <f>MAX(J369-K369,0)</f>
        <v>0</v>
      </c>
      <c r="S369" s="23" t="n">
        <f>IF(J369&gt;0,MAX(L369-J369,0),L369)</f>
        <v>0</v>
      </c>
    </row>
    <row r="370">
      <c r="A370" s="19" t="str">
        <v>德国区</v>
      </c>
      <c r="B370" s="19" t="str">
        <v>杜塞尔多夫6号仓</v>
      </c>
      <c r="C370" s="19" t="str">
        <v>入库组</v>
      </c>
      <c r="D370" s="21" t="n">
        <v>46199</v>
      </c>
      <c r="E370" s="19" t="str">
        <v>2026-06</v>
      </c>
      <c r="F370" s="19" t="str">
        <v>操作员</v>
      </c>
      <c r="G370" s="19" t="str">
        <v>德国区-灵活班次 / DE FLEX</v>
      </c>
      <c r="H370" s="23" t="n">
        <v>4</v>
      </c>
      <c r="I370" s="23" t="n">
        <v>0</v>
      </c>
      <c r="J370" s="23" t="n">
        <f>H370+I370</f>
        <v>4</v>
      </c>
      <c r="K370" s="23" t="n">
        <v>4</v>
      </c>
      <c r="L370" s="23" t="n">
        <v>4</v>
      </c>
      <c r="M370" s="23" t="n">
        <f>MIN(K370,J370)</f>
        <v>4</v>
      </c>
      <c r="N370" s="23" t="n">
        <f>MIN(L370,J370)</f>
        <v>4</v>
      </c>
      <c r="O370" s="25" t="n">
        <f>IF(K370=0,0,MIN(1,J370/K370))</f>
        <v>1</v>
      </c>
      <c r="P370" s="23" t="n">
        <f>IF(J370&gt;0,MAX(K370-J370,0),0)</f>
        <v>0</v>
      </c>
      <c r="Q370" s="23" t="n">
        <f>IF(J370=0,K370,0)</f>
        <v>0</v>
      </c>
      <c r="R370" s="23" t="n">
        <f>MAX(J370-K370,0)</f>
        <v>0</v>
      </c>
      <c r="S370" s="23" t="n">
        <f>IF(J370&gt;0,MAX(L370-J370,0),L370)</f>
        <v>0</v>
      </c>
    </row>
    <row r="371">
      <c r="A371" s="19" t="str">
        <v>德国区</v>
      </c>
      <c r="B371" s="19" t="str">
        <v>杜塞尔多夫6号仓</v>
      </c>
      <c r="C371" s="19" t="str">
        <v>包装组</v>
      </c>
      <c r="D371" s="21" t="n">
        <v>46181</v>
      </c>
      <c r="E371" s="19" t="str">
        <v>2026-06</v>
      </c>
      <c r="F371" s="19" t="str">
        <v>操作员</v>
      </c>
      <c r="G371" s="19" t="str">
        <v>德国区-灵活班次 / DE FLEX</v>
      </c>
      <c r="H371" s="23" t="n">
        <v>1</v>
      </c>
      <c r="I371" s="23" t="n">
        <v>0</v>
      </c>
      <c r="J371" s="23" t="n">
        <f>H371+I371</f>
        <v>1</v>
      </c>
      <c r="K371" s="23" t="n">
        <v>1</v>
      </c>
      <c r="L371" s="23" t="n">
        <v>1</v>
      </c>
      <c r="M371" s="23" t="n">
        <f>MIN(K371,J371)</f>
        <v>1</v>
      </c>
      <c r="N371" s="23" t="n">
        <f>MIN(L371,J371)</f>
        <v>1</v>
      </c>
      <c r="O371" s="25" t="n">
        <f>IF(K371=0,0,MIN(1,J371/K371))</f>
        <v>1</v>
      </c>
      <c r="P371" s="23" t="n">
        <f>IF(J371&gt;0,MAX(K371-J371,0),0)</f>
        <v>0</v>
      </c>
      <c r="Q371" s="23" t="n">
        <f>IF(J371=0,K371,0)</f>
        <v>0</v>
      </c>
      <c r="R371" s="23" t="n">
        <f>MAX(J371-K371,0)</f>
        <v>0</v>
      </c>
      <c r="S371" s="23" t="n">
        <f>IF(J371&gt;0,MAX(L371-J371,0),L371)</f>
        <v>0</v>
      </c>
    </row>
    <row r="372">
      <c r="A372" s="19" t="str">
        <v>德国区</v>
      </c>
      <c r="B372" s="19" t="str">
        <v>杜塞尔多夫6号仓</v>
      </c>
      <c r="C372" s="19" t="str">
        <v>包装组(自动化)</v>
      </c>
      <c r="D372" s="21" t="n">
        <v>46182</v>
      </c>
      <c r="E372" s="19" t="str">
        <v>2026-06</v>
      </c>
      <c r="F372" s="19" t="str">
        <v>操作员</v>
      </c>
      <c r="G372" s="19" t="str">
        <v>德国区6仓7点班次</v>
      </c>
      <c r="H372" s="23" t="n">
        <v>2</v>
      </c>
      <c r="I372" s="23" t="n">
        <v>0</v>
      </c>
      <c r="J372" s="23" t="n">
        <f>H372+I372</f>
        <v>2</v>
      </c>
      <c r="K372" s="23" t="n">
        <v>2</v>
      </c>
      <c r="L372" s="23" t="n">
        <v>2</v>
      </c>
      <c r="M372" s="23" t="n">
        <f>MIN(K372,J372)</f>
        <v>2</v>
      </c>
      <c r="N372" s="23" t="n">
        <f>MIN(L372,J372)</f>
        <v>2</v>
      </c>
      <c r="O372" s="25" t="n">
        <f>IF(K372=0,0,MIN(1,J372/K372))</f>
        <v>1</v>
      </c>
      <c r="P372" s="23" t="n">
        <f>IF(J372&gt;0,MAX(K372-J372,0),0)</f>
        <v>0</v>
      </c>
      <c r="Q372" s="23" t="n">
        <f>IF(J372=0,K372,0)</f>
        <v>0</v>
      </c>
      <c r="R372" s="23" t="n">
        <f>MAX(J372-K372,0)</f>
        <v>0</v>
      </c>
      <c r="S372" s="23" t="n">
        <f>IF(J372&gt;0,MAX(L372-J372,0),L372)</f>
        <v>0</v>
      </c>
    </row>
    <row r="373">
      <c r="A373" s="19" t="str">
        <v>德国区</v>
      </c>
      <c r="B373" s="19" t="str">
        <v>杜塞尔多夫6号仓</v>
      </c>
      <c r="C373" s="19" t="str">
        <v>包装组(自动化)</v>
      </c>
      <c r="D373" s="21" t="n">
        <v>46192</v>
      </c>
      <c r="E373" s="19" t="str">
        <v>2026-06</v>
      </c>
      <c r="F373" s="19" t="str">
        <v>操作员</v>
      </c>
      <c r="G373" s="19" t="str">
        <v>德国区6仓7点班次</v>
      </c>
      <c r="H373" s="23" t="n">
        <v>3</v>
      </c>
      <c r="I373" s="23" t="n">
        <v>0</v>
      </c>
      <c r="J373" s="23" t="n">
        <f>H373+I373</f>
        <v>3</v>
      </c>
      <c r="K373" s="23" t="n">
        <v>4</v>
      </c>
      <c r="L373" s="23" t="n">
        <v>2</v>
      </c>
      <c r="M373" s="23" t="n">
        <f>MIN(K373,J373)</f>
        <v>3</v>
      </c>
      <c r="N373" s="23" t="n">
        <f>MIN(L373,J373)</f>
        <v>2</v>
      </c>
      <c r="O373" s="25" t="n">
        <f>IF(K373=0,0,MIN(1,J373/K373))</f>
        <v>0.75</v>
      </c>
      <c r="P373" s="23" t="n">
        <f>IF(J373&gt;0,MAX(K373-J373,0),0)</f>
        <v>1</v>
      </c>
      <c r="Q373" s="23" t="n">
        <f>IF(J373=0,K373,0)</f>
        <v>0</v>
      </c>
      <c r="R373" s="23" t="n">
        <f>MAX(J373-K373,0)</f>
        <v>0</v>
      </c>
      <c r="S373" s="23" t="n">
        <f>IF(J373&gt;0,MAX(L373-J373,0),L373)</f>
        <v>0</v>
      </c>
    </row>
    <row r="374">
      <c r="A374" s="19" t="str">
        <v>德国区</v>
      </c>
      <c r="B374" s="19" t="str">
        <v>杜塞尔多夫6号仓</v>
      </c>
      <c r="C374" s="19" t="str">
        <v>售后组</v>
      </c>
      <c r="D374" s="21" t="n">
        <v>46202</v>
      </c>
      <c r="E374" s="19" t="str">
        <v>2026-06</v>
      </c>
      <c r="F374" s="19" t="str">
        <v>操作员</v>
      </c>
      <c r="G374" s="19" t="str">
        <v>德国区-灵活班次 / DE FLEX</v>
      </c>
      <c r="H374" s="23" t="n">
        <v>4</v>
      </c>
      <c r="I374" s="23" t="n">
        <v>0</v>
      </c>
      <c r="J374" s="23" t="n">
        <f>H374+I374</f>
        <v>4</v>
      </c>
      <c r="K374" s="23" t="n">
        <v>5</v>
      </c>
      <c r="L374" s="23" t="n">
        <v>5</v>
      </c>
      <c r="M374" s="23" t="n">
        <f>MIN(K374,J374)</f>
        <v>4</v>
      </c>
      <c r="N374" s="23" t="n">
        <f>MIN(L374,J374)</f>
        <v>4</v>
      </c>
      <c r="O374" s="25" t="n">
        <f>IF(K374=0,0,MIN(1,J374/K374))</f>
        <v>0.8</v>
      </c>
      <c r="P374" s="23" t="n">
        <f>IF(J374&gt;0,MAX(K374-J374,0),0)</f>
        <v>1</v>
      </c>
      <c r="Q374" s="23" t="n">
        <f>IF(J374=0,K374,0)</f>
        <v>0</v>
      </c>
      <c r="R374" s="23" t="n">
        <f>MAX(J374-K374,0)</f>
        <v>0</v>
      </c>
      <c r="S374" s="23" t="n">
        <f>IF(J374&gt;0,MAX(L374-J374,0),L374)</f>
        <v>1</v>
      </c>
    </row>
    <row r="375">
      <c r="A375" s="19" t="str">
        <v>德国区</v>
      </c>
      <c r="B375" s="19" t="str">
        <v>杜塞尔多夫6号仓</v>
      </c>
      <c r="C375" s="19" t="str">
        <v>售后组</v>
      </c>
      <c r="D375" s="21" t="n">
        <v>46203</v>
      </c>
      <c r="E375" s="19" t="str">
        <v>2026-06</v>
      </c>
      <c r="F375" s="19" t="str">
        <v>操作员</v>
      </c>
      <c r="G375" s="19" t="str">
        <v>德国区-灵活班次 / DE FLEX</v>
      </c>
      <c r="H375" s="23" t="n">
        <v>4</v>
      </c>
      <c r="I375" s="23" t="n">
        <v>0</v>
      </c>
      <c r="J375" s="23" t="n">
        <f>H375+I375</f>
        <v>4</v>
      </c>
      <c r="K375" s="23" t="n">
        <v>5</v>
      </c>
      <c r="L375" s="23" t="n">
        <v>5</v>
      </c>
      <c r="M375" s="23" t="n">
        <f>MIN(K375,J375)</f>
        <v>4</v>
      </c>
      <c r="N375" s="23" t="n">
        <f>MIN(L375,J375)</f>
        <v>4</v>
      </c>
      <c r="O375" s="25" t="n">
        <f>IF(K375=0,0,MIN(1,J375/K375))</f>
        <v>0.8</v>
      </c>
      <c r="P375" s="23" t="n">
        <f>IF(J375&gt;0,MAX(K375-J375,0),0)</f>
        <v>1</v>
      </c>
      <c r="Q375" s="23" t="n">
        <f>IF(J375=0,K375,0)</f>
        <v>0</v>
      </c>
      <c r="R375" s="23" t="n">
        <f>MAX(J375-K375,0)</f>
        <v>0</v>
      </c>
      <c r="S375" s="23" t="n">
        <f>IF(J375&gt;0,MAX(L375-J375,0),L375)</f>
        <v>1</v>
      </c>
    </row>
    <row r="376">
      <c r="A376" s="19" t="str">
        <v>德国区</v>
      </c>
      <c r="B376" s="19" t="str">
        <v>杜塞尔多夫6号仓</v>
      </c>
      <c r="C376" s="19" t="str">
        <v>拣货组</v>
      </c>
      <c r="D376" s="21" t="n">
        <v>46150</v>
      </c>
      <c r="E376" s="19" t="str">
        <v>2026-05</v>
      </c>
      <c r="F376" s="19" t="str">
        <v>操作员</v>
      </c>
      <c r="G376" s="19" t="str">
        <v>德国区-灵活班次 / DE FLEX</v>
      </c>
      <c r="H376" s="23" t="n">
        <v>4</v>
      </c>
      <c r="I376" s="23" t="n">
        <v>0</v>
      </c>
      <c r="J376" s="23" t="n">
        <f>H376+I376</f>
        <v>4</v>
      </c>
      <c r="K376" s="23" t="n">
        <v>4</v>
      </c>
      <c r="L376" s="23" t="n">
        <v>2</v>
      </c>
      <c r="M376" s="23" t="n">
        <f>MIN(K376,J376)</f>
        <v>4</v>
      </c>
      <c r="N376" s="23" t="n">
        <f>MIN(L376,J376)</f>
        <v>2</v>
      </c>
      <c r="O376" s="25" t="n">
        <f>IF(K376=0,0,MIN(1,J376/K376))</f>
        <v>1</v>
      </c>
      <c r="P376" s="23" t="n">
        <f>IF(J376&gt;0,MAX(K376-J376,0),0)</f>
        <v>0</v>
      </c>
      <c r="Q376" s="23" t="n">
        <f>IF(J376=0,K376,0)</f>
        <v>0</v>
      </c>
      <c r="R376" s="23" t="n">
        <f>MAX(J376-K376,0)</f>
        <v>0</v>
      </c>
      <c r="S376" s="23" t="n">
        <f>IF(J376&gt;0,MAX(L376-J376,0),L376)</f>
        <v>0</v>
      </c>
    </row>
    <row r="377">
      <c r="A377" s="19" t="str">
        <v>德国区</v>
      </c>
      <c r="B377" s="19" t="str">
        <v>杜塞尔多夫6号仓</v>
      </c>
      <c r="C377" s="19" t="str">
        <v>拣货组</v>
      </c>
      <c r="D377" s="21" t="n">
        <v>46154</v>
      </c>
      <c r="E377" s="19" t="str">
        <v>2026-05</v>
      </c>
      <c r="F377" s="19" t="str">
        <v>操作员</v>
      </c>
      <c r="G377" s="19" t="str">
        <v>德国区-灵活班次 / DE FLEX</v>
      </c>
      <c r="H377" s="23" t="n">
        <v>2</v>
      </c>
      <c r="I377" s="23" t="n">
        <v>0</v>
      </c>
      <c r="J377" s="23" t="n">
        <f>H377+I377</f>
        <v>2</v>
      </c>
      <c r="K377" s="23" t="n">
        <v>2</v>
      </c>
      <c r="L377" s="23" t="n">
        <v>2</v>
      </c>
      <c r="M377" s="23" t="n">
        <f>MIN(K377,J377)</f>
        <v>2</v>
      </c>
      <c r="N377" s="23" t="n">
        <f>MIN(L377,J377)</f>
        <v>2</v>
      </c>
      <c r="O377" s="25" t="n">
        <f>IF(K377=0,0,MIN(1,J377/K377))</f>
        <v>1</v>
      </c>
      <c r="P377" s="23" t="n">
        <f>IF(J377&gt;0,MAX(K377-J377,0),0)</f>
        <v>0</v>
      </c>
      <c r="Q377" s="23" t="n">
        <f>IF(J377=0,K377,0)</f>
        <v>0</v>
      </c>
      <c r="R377" s="23" t="n">
        <f>MAX(J377-K377,0)</f>
        <v>0</v>
      </c>
      <c r="S377" s="23" t="n">
        <f>IF(J377&gt;0,MAX(L377-J377,0),L377)</f>
        <v>0</v>
      </c>
    </row>
    <row r="378">
      <c r="A378" s="19" t="str">
        <v>德国区</v>
      </c>
      <c r="B378" s="19" t="str">
        <v>杜塞尔多夫6号仓</v>
      </c>
      <c r="C378" s="19" t="str">
        <v>拣货组</v>
      </c>
      <c r="D378" s="21" t="n">
        <v>46182</v>
      </c>
      <c r="E378" s="19" t="str">
        <v>2026-06</v>
      </c>
      <c r="F378" s="19" t="str">
        <v>操作员</v>
      </c>
      <c r="G378" s="19" t="str">
        <v>德国区-灵活班次 / DE FLEX</v>
      </c>
      <c r="H378" s="23" t="n">
        <v>4</v>
      </c>
      <c r="I378" s="23" t="n">
        <v>0</v>
      </c>
      <c r="J378" s="23" t="n">
        <f>H378+I378</f>
        <v>4</v>
      </c>
      <c r="K378" s="23" t="n">
        <v>4</v>
      </c>
      <c r="L378" s="23" t="n">
        <v>4</v>
      </c>
      <c r="M378" s="23" t="n">
        <f>MIN(K378,J378)</f>
        <v>4</v>
      </c>
      <c r="N378" s="23" t="n">
        <f>MIN(L378,J378)</f>
        <v>4</v>
      </c>
      <c r="O378" s="25" t="n">
        <f>IF(K378=0,0,MIN(1,J378/K378))</f>
        <v>1</v>
      </c>
      <c r="P378" s="23" t="n">
        <f>IF(J378&gt;0,MAX(K378-J378,0),0)</f>
        <v>0</v>
      </c>
      <c r="Q378" s="23" t="n">
        <f>IF(J378=0,K378,0)</f>
        <v>0</v>
      </c>
      <c r="R378" s="23" t="n">
        <f>MAX(J378-K378,0)</f>
        <v>0</v>
      </c>
      <c r="S378" s="23" t="n">
        <f>IF(J378&gt;0,MAX(L378-J378,0),L378)</f>
        <v>0</v>
      </c>
    </row>
    <row r="379">
      <c r="A379" s="19" t="str">
        <v>德国区</v>
      </c>
      <c r="B379" s="19" t="str">
        <v>杜塞尔多夫6号仓</v>
      </c>
      <c r="C379" s="19" t="str">
        <v>拣货组</v>
      </c>
      <c r="D379" s="21" t="n">
        <v>46183</v>
      </c>
      <c r="E379" s="19" t="str">
        <v>2026-06</v>
      </c>
      <c r="F379" s="19" t="str">
        <v>操作员</v>
      </c>
      <c r="G379" s="19" t="str">
        <v>德国区-灵活班次 / DE FLEX</v>
      </c>
      <c r="H379" s="23" t="n">
        <v>3</v>
      </c>
      <c r="I379" s="23" t="n">
        <v>0</v>
      </c>
      <c r="J379" s="23" t="n">
        <f>H379+I379</f>
        <v>3</v>
      </c>
      <c r="K379" s="23" t="n">
        <v>4</v>
      </c>
      <c r="L379" s="23" t="n">
        <v>4</v>
      </c>
      <c r="M379" s="23" t="n">
        <f>MIN(K379,J379)</f>
        <v>3</v>
      </c>
      <c r="N379" s="23" t="n">
        <f>MIN(L379,J379)</f>
        <v>3</v>
      </c>
      <c r="O379" s="25" t="n">
        <f>IF(K379=0,0,MIN(1,J379/K379))</f>
        <v>0.75</v>
      </c>
      <c r="P379" s="23" t="n">
        <f>IF(J379&gt;0,MAX(K379-J379,0),0)</f>
        <v>1</v>
      </c>
      <c r="Q379" s="23" t="n">
        <f>IF(J379=0,K379,0)</f>
        <v>0</v>
      </c>
      <c r="R379" s="23" t="n">
        <f>MAX(J379-K379,0)</f>
        <v>0</v>
      </c>
      <c r="S379" s="23" t="n">
        <f>IF(J379&gt;0,MAX(L379-J379,0),L379)</f>
        <v>1</v>
      </c>
    </row>
    <row r="380">
      <c r="A380" s="19" t="str">
        <v>德国区</v>
      </c>
      <c r="B380" s="19" t="str">
        <v>杜塞尔多夫6号仓</v>
      </c>
      <c r="C380" s="19" t="str">
        <v>拣货组</v>
      </c>
      <c r="D380" s="21" t="n">
        <v>46184</v>
      </c>
      <c r="E380" s="19" t="str">
        <v>2026-06</v>
      </c>
      <c r="F380" s="19" t="str">
        <v>操作员</v>
      </c>
      <c r="G380" s="19" t="str">
        <v>德国区-灵活班次 / DE FLEX</v>
      </c>
      <c r="H380" s="23" t="n">
        <v>3</v>
      </c>
      <c r="I380" s="23" t="n">
        <v>0</v>
      </c>
      <c r="J380" s="23" t="n">
        <f>H380+I380</f>
        <v>3</v>
      </c>
      <c r="K380" s="23" t="n">
        <v>3</v>
      </c>
      <c r="L380" s="23" t="n">
        <v>1</v>
      </c>
      <c r="M380" s="23" t="n">
        <f>MIN(K380,J380)</f>
        <v>3</v>
      </c>
      <c r="N380" s="23" t="n">
        <f>MIN(L380,J380)</f>
        <v>1</v>
      </c>
      <c r="O380" s="25" t="n">
        <f>IF(K380=0,0,MIN(1,J380/K380))</f>
        <v>1</v>
      </c>
      <c r="P380" s="23" t="n">
        <f>IF(J380&gt;0,MAX(K380-J380,0),0)</f>
        <v>0</v>
      </c>
      <c r="Q380" s="23" t="n">
        <f>IF(J380=0,K380,0)</f>
        <v>0</v>
      </c>
      <c r="R380" s="23" t="n">
        <f>MAX(J380-K380,0)</f>
        <v>0</v>
      </c>
      <c r="S380" s="23" t="n">
        <f>IF(J380&gt;0,MAX(L380-J380,0),L380)</f>
        <v>0</v>
      </c>
    </row>
    <row r="381">
      <c r="A381" s="19" t="str">
        <v>德国区</v>
      </c>
      <c r="B381" s="19" t="str">
        <v>杜塞尔多夫6号仓</v>
      </c>
      <c r="C381" s="19" t="str">
        <v>拣货组</v>
      </c>
      <c r="D381" s="21" t="n">
        <v>46198</v>
      </c>
      <c r="E381" s="19" t="str">
        <v>2026-06</v>
      </c>
      <c r="F381" s="19" t="str">
        <v>操作员</v>
      </c>
      <c r="G381" s="19" t="str">
        <v>德国区6仓7点班次</v>
      </c>
      <c r="H381" s="23" t="n">
        <v>3</v>
      </c>
      <c r="I381" s="23" t="n">
        <v>0</v>
      </c>
      <c r="J381" s="23" t="n">
        <f>H381+I381</f>
        <v>3</v>
      </c>
      <c r="K381" s="23" t="n">
        <v>4</v>
      </c>
      <c r="L381" s="23" t="n">
        <v>3</v>
      </c>
      <c r="M381" s="23" t="n">
        <f>MIN(K381,J381)</f>
        <v>3</v>
      </c>
      <c r="N381" s="23" t="n">
        <f>MIN(L381,J381)</f>
        <v>3</v>
      </c>
      <c r="O381" s="25" t="n">
        <f>IF(K381=0,0,MIN(1,J381/K381))</f>
        <v>0.75</v>
      </c>
      <c r="P381" s="23" t="n">
        <f>IF(J381&gt;0,MAX(K381-J381,0),0)</f>
        <v>1</v>
      </c>
      <c r="Q381" s="23" t="n">
        <f>IF(J381=0,K381,0)</f>
        <v>0</v>
      </c>
      <c r="R381" s="23" t="n">
        <f>MAX(J381-K381,0)</f>
        <v>0</v>
      </c>
      <c r="S381" s="23" t="n">
        <f>IF(J381&gt;0,MAX(L381-J381,0),L381)</f>
        <v>0</v>
      </c>
    </row>
    <row r="382">
      <c r="A382" s="19" t="str">
        <v>德国区</v>
      </c>
      <c r="B382" s="19" t="str">
        <v>杜塞尔多夫6号仓</v>
      </c>
      <c r="C382" s="19" t="str">
        <v>拣货组</v>
      </c>
      <c r="D382" s="21" t="n">
        <v>46199</v>
      </c>
      <c r="E382" s="19" t="str">
        <v>2026-06</v>
      </c>
      <c r="F382" s="19" t="str">
        <v>操作员</v>
      </c>
      <c r="G382" s="19" t="str">
        <v>德国区6仓7点班次</v>
      </c>
      <c r="H382" s="23" t="n">
        <v>4</v>
      </c>
      <c r="I382" s="23" t="n">
        <v>0</v>
      </c>
      <c r="J382" s="23" t="n">
        <f>H382+I382</f>
        <v>4</v>
      </c>
      <c r="K382" s="23" t="n">
        <v>4</v>
      </c>
      <c r="L382" s="23" t="n">
        <v>3</v>
      </c>
      <c r="M382" s="23" t="n">
        <f>MIN(K382,J382)</f>
        <v>4</v>
      </c>
      <c r="N382" s="23" t="n">
        <f>MIN(L382,J382)</f>
        <v>3</v>
      </c>
      <c r="O382" s="25" t="n">
        <f>IF(K382=0,0,MIN(1,J382/K382))</f>
        <v>1</v>
      </c>
      <c r="P382" s="23" t="n">
        <f>IF(J382&gt;0,MAX(K382-J382,0),0)</f>
        <v>0</v>
      </c>
      <c r="Q382" s="23" t="n">
        <f>IF(J382=0,K382,0)</f>
        <v>0</v>
      </c>
      <c r="R382" s="23" t="n">
        <f>MAX(J382-K382,0)</f>
        <v>0</v>
      </c>
      <c r="S382" s="23" t="n">
        <f>IF(J382&gt;0,MAX(L382-J382,0),L382)</f>
        <v>0</v>
      </c>
    </row>
    <row r="383">
      <c r="A383" s="19" t="str">
        <v>德国区</v>
      </c>
      <c r="B383" s="19" t="str">
        <v>杜塞尔多夫6号仓</v>
      </c>
      <c r="C383" s="19" t="str">
        <v>拣货组</v>
      </c>
      <c r="D383" s="21" t="n">
        <v>46200</v>
      </c>
      <c r="E383" s="19" t="str">
        <v>2026-06</v>
      </c>
      <c r="F383" s="19" t="str">
        <v>操作员</v>
      </c>
      <c r="G383" s="19" t="str">
        <v>德国区6仓7点班次</v>
      </c>
      <c r="H383" s="23" t="n">
        <v>1</v>
      </c>
      <c r="I383" s="23" t="n">
        <v>0</v>
      </c>
      <c r="J383" s="23" t="n">
        <f>H383+I383</f>
        <v>1</v>
      </c>
      <c r="K383" s="23" t="n">
        <v>0</v>
      </c>
      <c r="L383" s="23" t="n">
        <v>0</v>
      </c>
      <c r="M383" s="23" t="n">
        <f>MIN(K383,J383)</f>
        <v>0</v>
      </c>
      <c r="N383" s="23" t="n">
        <f>MIN(L383,J383)</f>
        <v>0</v>
      </c>
      <c r="O383" s="25" t="n">
        <f>IF(K383=0,0,MIN(1,J383/K383))</f>
        <v>0</v>
      </c>
      <c r="P383" s="23" t="n">
        <f>IF(J383&gt;0,MAX(K383-J383,0),0)</f>
        <v>0</v>
      </c>
      <c r="Q383" s="23" t="n">
        <f>IF(J383=0,K383,0)</f>
        <v>0</v>
      </c>
      <c r="R383" s="23" t="n">
        <f>MAX(J383-K383,0)</f>
        <v>1</v>
      </c>
      <c r="S383" s="23" t="n">
        <f>IF(J383&gt;0,MAX(L383-J383,0),L383)</f>
        <v>0</v>
      </c>
    </row>
    <row r="384">
      <c r="A384" s="19" t="str">
        <v>德国区</v>
      </c>
      <c r="B384" s="19" t="str">
        <v>杜塞尔多夫6号仓</v>
      </c>
      <c r="C384" s="19" t="str">
        <v>拣货组</v>
      </c>
      <c r="D384" s="21" t="n">
        <v>46201</v>
      </c>
      <c r="E384" s="19" t="str">
        <v>2026-06</v>
      </c>
      <c r="F384" s="19" t="str">
        <v>操作员</v>
      </c>
      <c r="G384" s="19" t="str">
        <v>德国区6仓7点班次</v>
      </c>
      <c r="H384" s="23" t="n">
        <v>1</v>
      </c>
      <c r="I384" s="23" t="n">
        <v>0</v>
      </c>
      <c r="J384" s="23" t="n">
        <f>H384+I384</f>
        <v>1</v>
      </c>
      <c r="K384" s="23" t="n">
        <v>0</v>
      </c>
      <c r="L384" s="23" t="n">
        <v>0</v>
      </c>
      <c r="M384" s="23" t="n">
        <f>MIN(K384,J384)</f>
        <v>0</v>
      </c>
      <c r="N384" s="23" t="n">
        <f>MIN(L384,J384)</f>
        <v>0</v>
      </c>
      <c r="O384" s="25" t="n">
        <f>IF(K384=0,0,MIN(1,J384/K384))</f>
        <v>0</v>
      </c>
      <c r="P384" s="23" t="n">
        <f>IF(J384&gt;0,MAX(K384-J384,0),0)</f>
        <v>0</v>
      </c>
      <c r="Q384" s="23" t="n">
        <f>IF(J384=0,K384,0)</f>
        <v>0</v>
      </c>
      <c r="R384" s="23" t="n">
        <f>MAX(J384-K384,0)</f>
        <v>1</v>
      </c>
      <c r="S384" s="23" t="n">
        <f>IF(J384&gt;0,MAX(L384-J384,0),L384)</f>
        <v>0</v>
      </c>
    </row>
    <row r="385">
      <c r="A385" s="19" t="str">
        <v>德国区</v>
      </c>
      <c r="B385" s="19" t="str">
        <v>杜塞尔多夫6号仓</v>
      </c>
      <c r="C385" s="19" t="str">
        <v>拣货组</v>
      </c>
      <c r="D385" s="21" t="n">
        <v>46202</v>
      </c>
      <c r="E385" s="19" t="str">
        <v>2026-06</v>
      </c>
      <c r="F385" s="19" t="str">
        <v>操作员</v>
      </c>
      <c r="G385" s="19" t="str">
        <v>德国区6仓7点班次</v>
      </c>
      <c r="H385" s="23" t="n">
        <v>1</v>
      </c>
      <c r="I385" s="23" t="n">
        <v>0</v>
      </c>
      <c r="J385" s="23" t="n">
        <f>H385+I385</f>
        <v>1</v>
      </c>
      <c r="K385" s="23" t="n">
        <v>0</v>
      </c>
      <c r="L385" s="23" t="n">
        <v>0</v>
      </c>
      <c r="M385" s="23" t="n">
        <f>MIN(K385,J385)</f>
        <v>0</v>
      </c>
      <c r="N385" s="23" t="n">
        <f>MIN(L385,J385)</f>
        <v>0</v>
      </c>
      <c r="O385" s="25" t="n">
        <f>IF(K385=0,0,MIN(1,J385/K385))</f>
        <v>0</v>
      </c>
      <c r="P385" s="23" t="n">
        <f>IF(J385&gt;0,MAX(K385-J385,0),0)</f>
        <v>0</v>
      </c>
      <c r="Q385" s="23" t="n">
        <f>IF(J385=0,K385,0)</f>
        <v>0</v>
      </c>
      <c r="R385" s="23" t="n">
        <f>MAX(J385-K385,0)</f>
        <v>1</v>
      </c>
      <c r="S385" s="23" t="n">
        <f>IF(J385&gt;0,MAX(L385-J385,0),L385)</f>
        <v>0</v>
      </c>
    </row>
    <row r="386">
      <c r="A386" s="19" t="str">
        <v>德国区</v>
      </c>
      <c r="B386" s="19" t="str">
        <v>杜塞尔多夫6号仓</v>
      </c>
      <c r="C386" s="19" t="str">
        <v>拣货组</v>
      </c>
      <c r="D386" s="21" t="n">
        <v>46203</v>
      </c>
      <c r="E386" s="19" t="str">
        <v>2026-06</v>
      </c>
      <c r="F386" s="19" t="str">
        <v>操作员</v>
      </c>
      <c r="G386" s="19" t="str">
        <v>德国区6仓7点班次</v>
      </c>
      <c r="H386" s="23" t="n">
        <v>1</v>
      </c>
      <c r="I386" s="23" t="n">
        <v>0</v>
      </c>
      <c r="J386" s="23" t="n">
        <f>H386+I386</f>
        <v>1</v>
      </c>
      <c r="K386" s="23" t="n">
        <v>0</v>
      </c>
      <c r="L386" s="23" t="n">
        <v>0</v>
      </c>
      <c r="M386" s="23" t="n">
        <f>MIN(K386,J386)</f>
        <v>0</v>
      </c>
      <c r="N386" s="23" t="n">
        <f>MIN(L386,J386)</f>
        <v>0</v>
      </c>
      <c r="O386" s="25" t="n">
        <f>IF(K386=0,0,MIN(1,J386/K386))</f>
        <v>0</v>
      </c>
      <c r="P386" s="23" t="n">
        <f>IF(J386&gt;0,MAX(K386-J386,0),0)</f>
        <v>0</v>
      </c>
      <c r="Q386" s="23" t="n">
        <f>IF(J386=0,K386,0)</f>
        <v>0</v>
      </c>
      <c r="R386" s="23" t="n">
        <f>MAX(J386-K386,0)</f>
        <v>1</v>
      </c>
      <c r="S386" s="23" t="n">
        <f>IF(J386&gt;0,MAX(L386-J386,0),L386)</f>
        <v>0</v>
      </c>
    </row>
    <row r="387">
      <c r="A387" s="19" t="str">
        <v>德国区</v>
      </c>
      <c r="B387" s="19" t="str">
        <v>杜塞尔多夫6号仓</v>
      </c>
      <c r="C387" s="19" t="str">
        <v>拣货组(自动化)</v>
      </c>
      <c r="D387" s="21" t="n">
        <v>46203</v>
      </c>
      <c r="E387" s="19" t="str">
        <v>2026-06</v>
      </c>
      <c r="F387" s="19" t="str">
        <v>操作员</v>
      </c>
      <c r="G387" s="19" t="str">
        <v>德国区6仓7点班次</v>
      </c>
      <c r="H387" s="23" t="n">
        <v>3</v>
      </c>
      <c r="I387" s="23" t="n">
        <v>0</v>
      </c>
      <c r="J387" s="23" t="n">
        <f>H387+I387</f>
        <v>3</v>
      </c>
      <c r="K387" s="23" t="n">
        <v>4</v>
      </c>
      <c r="L387" s="23" t="n">
        <v>3</v>
      </c>
      <c r="M387" s="23" t="n">
        <f>MIN(K387,J387)</f>
        <v>3</v>
      </c>
      <c r="N387" s="23" t="n">
        <f>MIN(L387,J387)</f>
        <v>3</v>
      </c>
      <c r="O387" s="25" t="n">
        <f>IF(K387=0,0,MIN(1,J387/K387))</f>
        <v>0.75</v>
      </c>
      <c r="P387" s="23" t="n">
        <f>IF(J387&gt;0,MAX(K387-J387,0),0)</f>
        <v>1</v>
      </c>
      <c r="Q387" s="23" t="n">
        <f>IF(J387=0,K387,0)</f>
        <v>0</v>
      </c>
      <c r="R387" s="23" t="n">
        <f>MAX(J387-K387,0)</f>
        <v>0</v>
      </c>
      <c r="S387" s="23" t="n">
        <f>IF(J387&gt;0,MAX(L387-J387,0),L387)</f>
        <v>0</v>
      </c>
    </row>
    <row r="388">
      <c r="A388" s="19" t="str">
        <v>德国区</v>
      </c>
      <c r="B388" s="19" t="str">
        <v>杜塞尔多夫6号仓</v>
      </c>
      <c r="C388" s="19" t="str">
        <v>理货组</v>
      </c>
      <c r="D388" s="21" t="n">
        <v>46192</v>
      </c>
      <c r="E388" s="19" t="str">
        <v>2026-06</v>
      </c>
      <c r="F388" s="19" t="str">
        <v>操作员</v>
      </c>
      <c r="G388" s="19" t="str">
        <v>德国区6仓8:30班次</v>
      </c>
      <c r="H388" s="23" t="n">
        <v>2</v>
      </c>
      <c r="I388" s="23" t="n">
        <v>0</v>
      </c>
      <c r="J388" s="23" t="n">
        <f>H388+I388</f>
        <v>2</v>
      </c>
      <c r="K388" s="23" t="n">
        <v>2</v>
      </c>
      <c r="L388" s="23" t="n">
        <v>1</v>
      </c>
      <c r="M388" s="23" t="n">
        <f>MIN(K388,J388)</f>
        <v>2</v>
      </c>
      <c r="N388" s="23" t="n">
        <f>MIN(L388,J388)</f>
        <v>1</v>
      </c>
      <c r="O388" s="25" t="n">
        <f>IF(K388=0,0,MIN(1,J388/K388))</f>
        <v>1</v>
      </c>
      <c r="P388" s="23" t="n">
        <f>IF(J388&gt;0,MAX(K388-J388,0),0)</f>
        <v>0</v>
      </c>
      <c r="Q388" s="23" t="n">
        <f>IF(J388=0,K388,0)</f>
        <v>0</v>
      </c>
      <c r="R388" s="23" t="n">
        <f>MAX(J388-K388,0)</f>
        <v>0</v>
      </c>
      <c r="S388" s="23" t="n">
        <f>IF(J388&gt;0,MAX(L388-J388,0),L388)</f>
        <v>0</v>
      </c>
    </row>
    <row r="389">
      <c r="A389" s="19" t="str">
        <v>德国区</v>
      </c>
      <c r="B389" s="19" t="str">
        <v>杜塞尔多夫6号仓</v>
      </c>
      <c r="C389" s="19" t="str">
        <v>理货组</v>
      </c>
      <c r="D389" s="21" t="n">
        <v>46202</v>
      </c>
      <c r="E389" s="19" t="str">
        <v>2026-06</v>
      </c>
      <c r="F389" s="19" t="str">
        <v>操作员</v>
      </c>
      <c r="G389" s="19" t="str">
        <v>德国区7仓8:30班次</v>
      </c>
      <c r="H389" s="23" t="n">
        <v>2</v>
      </c>
      <c r="I389" s="23" t="n">
        <v>0</v>
      </c>
      <c r="J389" s="23" t="n">
        <f>H389+I389</f>
        <v>2</v>
      </c>
      <c r="K389" s="23" t="n">
        <v>2</v>
      </c>
      <c r="L389" s="23" t="n">
        <v>2</v>
      </c>
      <c r="M389" s="23" t="n">
        <f>MIN(K389,J389)</f>
        <v>2</v>
      </c>
      <c r="N389" s="23" t="n">
        <f>MIN(L389,J389)</f>
        <v>2</v>
      </c>
      <c r="O389" s="25" t="n">
        <f>IF(K389=0,0,MIN(1,J389/K389))</f>
        <v>1</v>
      </c>
      <c r="P389" s="23" t="n">
        <f>IF(J389&gt;0,MAX(K389-J389,0),0)</f>
        <v>0</v>
      </c>
      <c r="Q389" s="23" t="n">
        <f>IF(J389=0,K389,0)</f>
        <v>0</v>
      </c>
      <c r="R389" s="23" t="n">
        <f>MAX(J389-K389,0)</f>
        <v>0</v>
      </c>
      <c r="S389" s="23" t="n">
        <f>IF(J389&gt;0,MAX(L389-J389,0),L389)</f>
        <v>0</v>
      </c>
    </row>
    <row r="390">
      <c r="A390" s="19" t="str">
        <v>德国区</v>
      </c>
      <c r="B390" s="19" t="str">
        <v>杜塞尔多夫6号仓</v>
      </c>
      <c r="C390" s="19" t="str">
        <v>理货组</v>
      </c>
      <c r="D390" s="21" t="n">
        <v>46203</v>
      </c>
      <c r="E390" s="19" t="str">
        <v>2026-06</v>
      </c>
      <c r="F390" s="19" t="str">
        <v>操作员</v>
      </c>
      <c r="G390" s="19" t="str">
        <v>德国区6仓7点班次</v>
      </c>
      <c r="H390" s="23" t="n">
        <v>2</v>
      </c>
      <c r="I390" s="23" t="n">
        <v>0</v>
      </c>
      <c r="J390" s="23" t="n">
        <f>H390+I390</f>
        <v>2</v>
      </c>
      <c r="K390" s="23" t="n">
        <v>4</v>
      </c>
      <c r="L390" s="23" t="n">
        <v>2</v>
      </c>
      <c r="M390" s="23" t="n">
        <f>MIN(K390,J390)</f>
        <v>2</v>
      </c>
      <c r="N390" s="23" t="n">
        <f>MIN(L390,J390)</f>
        <v>2</v>
      </c>
      <c r="O390" s="25" t="n">
        <f>IF(K390=0,0,MIN(1,J390/K390))</f>
        <v>0.5</v>
      </c>
      <c r="P390" s="23" t="n">
        <f>IF(J390&gt;0,MAX(K390-J390,0),0)</f>
        <v>2</v>
      </c>
      <c r="Q390" s="23" t="n">
        <f>IF(J390=0,K390,0)</f>
        <v>0</v>
      </c>
      <c r="R390" s="23" t="n">
        <f>MAX(J390-K390,0)</f>
        <v>0</v>
      </c>
      <c r="S390" s="23" t="n">
        <f>IF(J390&gt;0,MAX(L390-J390,0),L390)</f>
        <v>0</v>
      </c>
    </row>
    <row r="391">
      <c r="A391" s="19" t="str">
        <v>德国区</v>
      </c>
      <c r="B391" s="19" t="str">
        <v>杜塞尔多夫6号仓</v>
      </c>
      <c r="C391" s="19" t="str">
        <v>理货组</v>
      </c>
      <c r="D391" s="21" t="n">
        <v>46203</v>
      </c>
      <c r="E391" s="19" t="str">
        <v>2026-06</v>
      </c>
      <c r="F391" s="19" t="str">
        <v>操作员</v>
      </c>
      <c r="G391" s="19" t="str">
        <v>德国区7仓8:30班次</v>
      </c>
      <c r="H391" s="23" t="n">
        <v>2</v>
      </c>
      <c r="I391" s="23" t="n">
        <v>0</v>
      </c>
      <c r="J391" s="23" t="n">
        <f>H391+I391</f>
        <v>2</v>
      </c>
      <c r="K391" s="23" t="n">
        <v>2</v>
      </c>
      <c r="L391" s="23" t="n">
        <v>2</v>
      </c>
      <c r="M391" s="23" t="n">
        <f>MIN(K391,J391)</f>
        <v>2</v>
      </c>
      <c r="N391" s="23" t="n">
        <f>MIN(L391,J391)</f>
        <v>2</v>
      </c>
      <c r="O391" s="25" t="n">
        <f>IF(K391=0,0,MIN(1,J391/K391))</f>
        <v>1</v>
      </c>
      <c r="P391" s="23" t="n">
        <f>IF(J391&gt;0,MAX(K391-J391,0),0)</f>
        <v>0</v>
      </c>
      <c r="Q391" s="23" t="n">
        <f>IF(J391=0,K391,0)</f>
        <v>0</v>
      </c>
      <c r="R391" s="23" t="n">
        <f>MAX(J391-K391,0)</f>
        <v>0</v>
      </c>
      <c r="S391" s="23" t="n">
        <f>IF(J391&gt;0,MAX(L391-J391,0),L391)</f>
        <v>0</v>
      </c>
    </row>
    <row r="392">
      <c r="A392" s="19" t="str">
        <v>德国区</v>
      </c>
      <c r="B392" s="19" t="str">
        <v>杜塞尔多夫7号仓</v>
      </c>
      <c r="C392" s="19" t="str">
        <v>交运组</v>
      </c>
      <c r="D392" s="21" t="n">
        <v>46174</v>
      </c>
      <c r="E392" s="19" t="str">
        <v>2026-06</v>
      </c>
      <c r="F392" s="19" t="str">
        <v>操作员</v>
      </c>
      <c r="G392" s="19" t="str">
        <v>德国区-灵活班次 / DE FLEX</v>
      </c>
      <c r="H392" s="23" t="n">
        <v>1</v>
      </c>
      <c r="I392" s="23" t="n">
        <v>0</v>
      </c>
      <c r="J392" s="23" t="n">
        <f>H392+I392</f>
        <v>1</v>
      </c>
      <c r="K392" s="23" t="n">
        <v>1</v>
      </c>
      <c r="L392" s="23" t="n">
        <v>1</v>
      </c>
      <c r="M392" s="23" t="n">
        <f>MIN(K392,J392)</f>
        <v>1</v>
      </c>
      <c r="N392" s="23" t="n">
        <f>MIN(L392,J392)</f>
        <v>1</v>
      </c>
      <c r="O392" s="25" t="n">
        <f>IF(K392=0,0,MIN(1,J392/K392))</f>
        <v>1</v>
      </c>
      <c r="P392" s="23" t="n">
        <f>IF(J392&gt;0,MAX(K392-J392,0),0)</f>
        <v>0</v>
      </c>
      <c r="Q392" s="23" t="n">
        <f>IF(J392=0,K392,0)</f>
        <v>0</v>
      </c>
      <c r="R392" s="23" t="n">
        <f>MAX(J392-K392,0)</f>
        <v>0</v>
      </c>
      <c r="S392" s="23" t="n">
        <f>IF(J392&gt;0,MAX(L392-J392,0),L392)</f>
        <v>0</v>
      </c>
    </row>
    <row r="393">
      <c r="A393" s="19" t="str">
        <v>德国区</v>
      </c>
      <c r="B393" s="19" t="str">
        <v>杜塞尔多夫7号仓</v>
      </c>
      <c r="C393" s="19" t="str">
        <v>入库组</v>
      </c>
      <c r="D393" s="21" t="n">
        <v>46129</v>
      </c>
      <c r="E393" s="19" t="str">
        <v>2026-04</v>
      </c>
      <c r="F393" s="19" t="str">
        <v>操作员</v>
      </c>
      <c r="G393" s="19" t="str">
        <v>德国区-灵活班次 / DE FLEX</v>
      </c>
      <c r="H393" s="23" t="n">
        <v>0</v>
      </c>
      <c r="I393" s="23" t="n">
        <v>0</v>
      </c>
      <c r="J393" s="23" t="n">
        <f>H393+I393</f>
        <v>0</v>
      </c>
      <c r="K393" s="23" t="n">
        <v>5</v>
      </c>
      <c r="L393" s="23" t="n">
        <v>0</v>
      </c>
      <c r="M393" s="23" t="n">
        <f>MIN(K393,J393)</f>
        <v>0</v>
      </c>
      <c r="N393" s="23" t="n">
        <f>MIN(L393,J393)</f>
        <v>0</v>
      </c>
      <c r="O393" s="25" t="n">
        <f>IF(K393=0,0,MIN(1,J393/K393))</f>
        <v>0</v>
      </c>
      <c r="P393" s="23" t="n">
        <f>IF(J393&gt;0,MAX(K393-J393,0),0)</f>
        <v>0</v>
      </c>
      <c r="Q393" s="23" t="n">
        <f>IF(J393=0,K393,0)</f>
        <v>5</v>
      </c>
      <c r="R393" s="23" t="n">
        <f>MAX(J393-K393,0)</f>
        <v>0</v>
      </c>
      <c r="S393" s="23" t="n">
        <f>IF(J393&gt;0,MAX(L393-J393,0),L393)</f>
        <v>0</v>
      </c>
    </row>
    <row r="394">
      <c r="A394" s="19" t="str">
        <v>德国区</v>
      </c>
      <c r="B394" s="19" t="str">
        <v>杜塞尔多夫7号仓</v>
      </c>
      <c r="C394" s="19" t="str">
        <v>入库组</v>
      </c>
      <c r="D394" s="21" t="n">
        <v>46141</v>
      </c>
      <c r="E394" s="19" t="str">
        <v>2026-04</v>
      </c>
      <c r="F394" s="19" t="str">
        <v>操作员</v>
      </c>
      <c r="G394" s="19" t="str">
        <v>德国区-灵活班次 / DE FLEX</v>
      </c>
      <c r="H394" s="23" t="n">
        <v>3</v>
      </c>
      <c r="I394" s="23" t="n">
        <v>0</v>
      </c>
      <c r="J394" s="23" t="n">
        <f>H394+I394</f>
        <v>3</v>
      </c>
      <c r="K394" s="23" t="n">
        <v>3</v>
      </c>
      <c r="L394" s="23" t="n">
        <v>0</v>
      </c>
      <c r="M394" s="23" t="n">
        <f>MIN(K394,J394)</f>
        <v>3</v>
      </c>
      <c r="N394" s="23" t="n">
        <f>MIN(L394,J394)</f>
        <v>0</v>
      </c>
      <c r="O394" s="25" t="n">
        <f>IF(K394=0,0,MIN(1,J394/K394))</f>
        <v>1</v>
      </c>
      <c r="P394" s="23" t="n">
        <f>IF(J394&gt;0,MAX(K394-J394,0),0)</f>
        <v>0</v>
      </c>
      <c r="Q394" s="23" t="n">
        <f>IF(J394=0,K394,0)</f>
        <v>0</v>
      </c>
      <c r="R394" s="23" t="n">
        <f>MAX(J394-K394,0)</f>
        <v>0</v>
      </c>
      <c r="S394" s="23" t="n">
        <f>IF(J394&gt;0,MAX(L394-J394,0),L394)</f>
        <v>0</v>
      </c>
    </row>
    <row r="395">
      <c r="A395" s="19" t="str">
        <v>德国区</v>
      </c>
      <c r="B395" s="19" t="str">
        <v>杜塞尔多夫7号仓</v>
      </c>
      <c r="C395" s="19" t="str">
        <v>入库组</v>
      </c>
      <c r="D395" s="21" t="n">
        <v>46142</v>
      </c>
      <c r="E395" s="19" t="str">
        <v>2026-04</v>
      </c>
      <c r="F395" s="19" t="str">
        <v>操作员</v>
      </c>
      <c r="G395" s="19" t="str">
        <v>德国区-灵活班次 / DE FLEX</v>
      </c>
      <c r="H395" s="23" t="n">
        <v>3</v>
      </c>
      <c r="I395" s="23" t="n">
        <v>0</v>
      </c>
      <c r="J395" s="23" t="n">
        <f>H395+I395</f>
        <v>3</v>
      </c>
      <c r="K395" s="23" t="n">
        <v>3</v>
      </c>
      <c r="L395" s="23" t="n">
        <v>3</v>
      </c>
      <c r="M395" s="23" t="n">
        <f>MIN(K395,J395)</f>
        <v>3</v>
      </c>
      <c r="N395" s="23" t="n">
        <f>MIN(L395,J395)</f>
        <v>3</v>
      </c>
      <c r="O395" s="25" t="n">
        <f>IF(K395=0,0,MIN(1,J395/K395))</f>
        <v>1</v>
      </c>
      <c r="P395" s="23" t="n">
        <f>IF(J395&gt;0,MAX(K395-J395,0),0)</f>
        <v>0</v>
      </c>
      <c r="Q395" s="23" t="n">
        <f>IF(J395=0,K395,0)</f>
        <v>0</v>
      </c>
      <c r="R395" s="23" t="n">
        <f>MAX(J395-K395,0)</f>
        <v>0</v>
      </c>
      <c r="S395" s="23" t="n">
        <f>IF(J395&gt;0,MAX(L395-J395,0),L395)</f>
        <v>0</v>
      </c>
    </row>
    <row r="396">
      <c r="A396" s="19" t="str">
        <v>德国区</v>
      </c>
      <c r="B396" s="19" t="str">
        <v>杜塞尔多夫7号仓</v>
      </c>
      <c r="C396" s="19" t="str">
        <v>入库组</v>
      </c>
      <c r="D396" s="21" t="n">
        <v>46161</v>
      </c>
      <c r="E396" s="19" t="str">
        <v>2026-05</v>
      </c>
      <c r="F396" s="19" t="str">
        <v>操作员</v>
      </c>
      <c r="G396" s="19" t="str">
        <v>德国区-灵活班次 / DE FLEX</v>
      </c>
      <c r="H396" s="23" t="n">
        <v>2</v>
      </c>
      <c r="I396" s="23" t="n">
        <v>0</v>
      </c>
      <c r="J396" s="23" t="n">
        <f>H396+I396</f>
        <v>2</v>
      </c>
      <c r="K396" s="23" t="n">
        <v>2</v>
      </c>
      <c r="L396" s="23" t="n">
        <v>2</v>
      </c>
      <c r="M396" s="23" t="n">
        <f>MIN(K396,J396)</f>
        <v>2</v>
      </c>
      <c r="N396" s="23" t="n">
        <f>MIN(L396,J396)</f>
        <v>2</v>
      </c>
      <c r="O396" s="25" t="n">
        <f>IF(K396=0,0,MIN(1,J396/K396))</f>
        <v>1</v>
      </c>
      <c r="P396" s="23" t="n">
        <f>IF(J396&gt;0,MAX(K396-J396,0),0)</f>
        <v>0</v>
      </c>
      <c r="Q396" s="23" t="n">
        <f>IF(J396=0,K396,0)</f>
        <v>0</v>
      </c>
      <c r="R396" s="23" t="n">
        <f>MAX(J396-K396,0)</f>
        <v>0</v>
      </c>
      <c r="S396" s="23" t="n">
        <f>IF(J396&gt;0,MAX(L396-J396,0),L396)</f>
        <v>0</v>
      </c>
    </row>
    <row r="397">
      <c r="A397" s="19" t="str">
        <v>德国区</v>
      </c>
      <c r="B397" s="19" t="str">
        <v>杜塞尔多夫7号仓</v>
      </c>
      <c r="C397" s="19" t="str">
        <v>入库组</v>
      </c>
      <c r="D397" s="21" t="n">
        <v>46162</v>
      </c>
      <c r="E397" s="19" t="str">
        <v>2026-05</v>
      </c>
      <c r="F397" s="19" t="str">
        <v>操作员</v>
      </c>
      <c r="G397" s="19" t="str">
        <v>德国区-灵活班次 / DE FLEX</v>
      </c>
      <c r="H397" s="23" t="n">
        <v>2</v>
      </c>
      <c r="I397" s="23" t="n">
        <v>0</v>
      </c>
      <c r="J397" s="23" t="n">
        <f>H397+I397</f>
        <v>2</v>
      </c>
      <c r="K397" s="23" t="n">
        <v>2</v>
      </c>
      <c r="L397" s="23" t="n">
        <v>2</v>
      </c>
      <c r="M397" s="23" t="n">
        <f>MIN(K397,J397)</f>
        <v>2</v>
      </c>
      <c r="N397" s="23" t="n">
        <f>MIN(L397,J397)</f>
        <v>2</v>
      </c>
      <c r="O397" s="25" t="n">
        <f>IF(K397=0,0,MIN(1,J397/K397))</f>
        <v>1</v>
      </c>
      <c r="P397" s="23" t="n">
        <f>IF(J397&gt;0,MAX(K397-J397,0),0)</f>
        <v>0</v>
      </c>
      <c r="Q397" s="23" t="n">
        <f>IF(J397=0,K397,0)</f>
        <v>0</v>
      </c>
      <c r="R397" s="23" t="n">
        <f>MAX(J397-K397,0)</f>
        <v>0</v>
      </c>
      <c r="S397" s="23" t="n">
        <f>IF(J397&gt;0,MAX(L397-J397,0),L397)</f>
        <v>0</v>
      </c>
    </row>
    <row r="398">
      <c r="A398" s="19" t="str">
        <v>德国区</v>
      </c>
      <c r="B398" s="19" t="str">
        <v>杜塞尔多夫7号仓</v>
      </c>
      <c r="C398" s="19" t="str">
        <v>入库组</v>
      </c>
      <c r="D398" s="21" t="n">
        <v>46163</v>
      </c>
      <c r="E398" s="19" t="str">
        <v>2026-05</v>
      </c>
      <c r="F398" s="19" t="str">
        <v>操作员</v>
      </c>
      <c r="G398" s="19" t="str">
        <v>德国区-灵活班次 / DE FLEX</v>
      </c>
      <c r="H398" s="23" t="n">
        <v>2</v>
      </c>
      <c r="I398" s="23" t="n">
        <v>0</v>
      </c>
      <c r="J398" s="23" t="n">
        <f>H398+I398</f>
        <v>2</v>
      </c>
      <c r="K398" s="23" t="n">
        <v>2</v>
      </c>
      <c r="L398" s="23" t="n">
        <v>2</v>
      </c>
      <c r="M398" s="23" t="n">
        <f>MIN(K398,J398)</f>
        <v>2</v>
      </c>
      <c r="N398" s="23" t="n">
        <f>MIN(L398,J398)</f>
        <v>2</v>
      </c>
      <c r="O398" s="25" t="n">
        <f>IF(K398=0,0,MIN(1,J398/K398))</f>
        <v>1</v>
      </c>
      <c r="P398" s="23" t="n">
        <f>IF(J398&gt;0,MAX(K398-J398,0),0)</f>
        <v>0</v>
      </c>
      <c r="Q398" s="23" t="n">
        <f>IF(J398=0,K398,0)</f>
        <v>0</v>
      </c>
      <c r="R398" s="23" t="n">
        <f>MAX(J398-K398,0)</f>
        <v>0</v>
      </c>
      <c r="S398" s="23" t="n">
        <f>IF(J398&gt;0,MAX(L398-J398,0),L398)</f>
        <v>0</v>
      </c>
    </row>
    <row r="399">
      <c r="A399" s="19" t="str">
        <v>德国区</v>
      </c>
      <c r="B399" s="19" t="str">
        <v>杜塞尔多夫7号仓</v>
      </c>
      <c r="C399" s="19" t="str">
        <v>入库组</v>
      </c>
      <c r="D399" s="21" t="n">
        <v>46168</v>
      </c>
      <c r="E399" s="19" t="str">
        <v>2026-05</v>
      </c>
      <c r="F399" s="19" t="str">
        <v>操作员</v>
      </c>
      <c r="G399" s="19" t="str">
        <v>德国区-灵活班次 / DE FLEX</v>
      </c>
      <c r="H399" s="23" t="n">
        <v>2</v>
      </c>
      <c r="I399" s="23" t="n">
        <v>0</v>
      </c>
      <c r="J399" s="23" t="n">
        <f>H399+I399</f>
        <v>2</v>
      </c>
      <c r="K399" s="23" t="n">
        <v>3</v>
      </c>
      <c r="L399" s="23" t="n">
        <v>0</v>
      </c>
      <c r="M399" s="23" t="n">
        <f>MIN(K399,J399)</f>
        <v>2</v>
      </c>
      <c r="N399" s="23" t="n">
        <f>MIN(L399,J399)</f>
        <v>0</v>
      </c>
      <c r="O399" s="25" t="n">
        <f>IF(K399=0,0,MIN(1,J399/K399))</f>
        <v>0.6666666666666666</v>
      </c>
      <c r="P399" s="23" t="n">
        <f>IF(J399&gt;0,MAX(K399-J399,0),0)</f>
        <v>1</v>
      </c>
      <c r="Q399" s="23" t="n">
        <f>IF(J399=0,K399,0)</f>
        <v>0</v>
      </c>
      <c r="R399" s="23" t="n">
        <f>MAX(J399-K399,0)</f>
        <v>0</v>
      </c>
      <c r="S399" s="23" t="n">
        <f>IF(J399&gt;0,MAX(L399-J399,0),L399)</f>
        <v>0</v>
      </c>
    </row>
    <row r="400">
      <c r="A400" s="19" t="str">
        <v>德国区</v>
      </c>
      <c r="B400" s="19" t="str">
        <v>杜塞尔多夫7号仓</v>
      </c>
      <c r="C400" s="19" t="str">
        <v>入库组</v>
      </c>
      <c r="D400" s="21" t="n">
        <v>46169</v>
      </c>
      <c r="E400" s="19" t="str">
        <v>2026-05</v>
      </c>
      <c r="F400" s="19" t="str">
        <v>操作员</v>
      </c>
      <c r="G400" s="19" t="str">
        <v>德国区-灵活班次 / DE FLEX</v>
      </c>
      <c r="H400" s="23" t="n">
        <v>2</v>
      </c>
      <c r="I400" s="23" t="n">
        <v>0</v>
      </c>
      <c r="J400" s="23" t="n">
        <f>H400+I400</f>
        <v>2</v>
      </c>
      <c r="K400" s="23" t="n">
        <v>3</v>
      </c>
      <c r="L400" s="23" t="n">
        <v>0</v>
      </c>
      <c r="M400" s="23" t="n">
        <f>MIN(K400,J400)</f>
        <v>2</v>
      </c>
      <c r="N400" s="23" t="n">
        <f>MIN(L400,J400)</f>
        <v>0</v>
      </c>
      <c r="O400" s="25" t="n">
        <f>IF(K400=0,0,MIN(1,J400/K400))</f>
        <v>0.6666666666666666</v>
      </c>
      <c r="P400" s="23" t="n">
        <f>IF(J400&gt;0,MAX(K400-J400,0),0)</f>
        <v>1</v>
      </c>
      <c r="Q400" s="23" t="n">
        <f>IF(J400=0,K400,0)</f>
        <v>0</v>
      </c>
      <c r="R400" s="23" t="n">
        <f>MAX(J400-K400,0)</f>
        <v>0</v>
      </c>
      <c r="S400" s="23" t="n">
        <f>IF(J400&gt;0,MAX(L400-J400,0),L400)</f>
        <v>0</v>
      </c>
    </row>
    <row r="401">
      <c r="A401" s="19" t="str">
        <v>德国区</v>
      </c>
      <c r="B401" s="19" t="str">
        <v>杜塞尔多夫7号仓</v>
      </c>
      <c r="C401" s="19" t="str">
        <v>入库组</v>
      </c>
      <c r="D401" s="21" t="n">
        <v>46170</v>
      </c>
      <c r="E401" s="19" t="str">
        <v>2026-05</v>
      </c>
      <c r="F401" s="19" t="str">
        <v>操作员</v>
      </c>
      <c r="G401" s="19" t="str">
        <v>德国区-灵活班次 / DE FLEX</v>
      </c>
      <c r="H401" s="23" t="n">
        <v>5</v>
      </c>
      <c r="I401" s="23" t="n">
        <v>0</v>
      </c>
      <c r="J401" s="23" t="n">
        <f>H401+I401</f>
        <v>5</v>
      </c>
      <c r="K401" s="23" t="n">
        <v>8</v>
      </c>
      <c r="L401" s="23" t="n">
        <v>6</v>
      </c>
      <c r="M401" s="23" t="n">
        <f>MIN(K401,J401)</f>
        <v>5</v>
      </c>
      <c r="N401" s="23" t="n">
        <f>MIN(L401,J401)</f>
        <v>5</v>
      </c>
      <c r="O401" s="25" t="n">
        <f>IF(K401=0,0,MIN(1,J401/K401))</f>
        <v>0.625</v>
      </c>
      <c r="P401" s="23" t="n">
        <f>IF(J401&gt;0,MAX(K401-J401,0),0)</f>
        <v>3</v>
      </c>
      <c r="Q401" s="23" t="n">
        <f>IF(J401=0,K401,0)</f>
        <v>0</v>
      </c>
      <c r="R401" s="23" t="n">
        <f>MAX(J401-K401,0)</f>
        <v>0</v>
      </c>
      <c r="S401" s="23" t="n">
        <f>IF(J401&gt;0,MAX(L401-J401,0),L401)</f>
        <v>1</v>
      </c>
    </row>
    <row r="402">
      <c r="A402" s="19" t="str">
        <v>德国区</v>
      </c>
      <c r="B402" s="19" t="str">
        <v>杜塞尔多夫7号仓</v>
      </c>
      <c r="C402" s="19" t="str">
        <v>入库组</v>
      </c>
      <c r="D402" s="21" t="n">
        <v>46171</v>
      </c>
      <c r="E402" s="19" t="str">
        <v>2026-05</v>
      </c>
      <c r="F402" s="19" t="str">
        <v>操作员</v>
      </c>
      <c r="G402" s="19" t="str">
        <v>德国区-灵活班次 / DE FLEX</v>
      </c>
      <c r="H402" s="23" t="n">
        <v>2</v>
      </c>
      <c r="I402" s="23" t="n">
        <v>0</v>
      </c>
      <c r="J402" s="23" t="n">
        <f>H402+I402</f>
        <v>2</v>
      </c>
      <c r="K402" s="23" t="n">
        <v>4</v>
      </c>
      <c r="L402" s="23" t="n">
        <v>4</v>
      </c>
      <c r="M402" s="23" t="n">
        <f>MIN(K402,J402)</f>
        <v>2</v>
      </c>
      <c r="N402" s="23" t="n">
        <f>MIN(L402,J402)</f>
        <v>2</v>
      </c>
      <c r="O402" s="25" t="n">
        <f>IF(K402=0,0,MIN(1,J402/K402))</f>
        <v>0.5</v>
      </c>
      <c r="P402" s="23" t="n">
        <f>IF(J402&gt;0,MAX(K402-J402,0),0)</f>
        <v>2</v>
      </c>
      <c r="Q402" s="23" t="n">
        <f>IF(J402=0,K402,0)</f>
        <v>0</v>
      </c>
      <c r="R402" s="23" t="n">
        <f>MAX(J402-K402,0)</f>
        <v>0</v>
      </c>
      <c r="S402" s="23" t="n">
        <f>IF(J402&gt;0,MAX(L402-J402,0),L402)</f>
        <v>2</v>
      </c>
    </row>
    <row r="403">
      <c r="A403" s="19" t="str">
        <v>德国区</v>
      </c>
      <c r="B403" s="19" t="str">
        <v>杜塞尔多夫7号仓</v>
      </c>
      <c r="C403" s="19" t="str">
        <v>入库组</v>
      </c>
      <c r="D403" s="21" t="n">
        <v>46175</v>
      </c>
      <c r="E403" s="19" t="str">
        <v>2026-06</v>
      </c>
      <c r="F403" s="19" t="str">
        <v>操作员</v>
      </c>
      <c r="G403" s="19" t="str">
        <v>德国区-灵活班次 / DE FLEX</v>
      </c>
      <c r="H403" s="23" t="n">
        <v>1</v>
      </c>
      <c r="I403" s="23" t="n">
        <v>0</v>
      </c>
      <c r="J403" s="23" t="n">
        <f>H403+I403</f>
        <v>1</v>
      </c>
      <c r="K403" s="23" t="n">
        <v>1</v>
      </c>
      <c r="L403" s="23" t="n">
        <v>1</v>
      </c>
      <c r="M403" s="23" t="n">
        <f>MIN(K403,J403)</f>
        <v>1</v>
      </c>
      <c r="N403" s="23" t="n">
        <f>MIN(L403,J403)</f>
        <v>1</v>
      </c>
      <c r="O403" s="25" t="n">
        <f>IF(K403=0,0,MIN(1,J403/K403))</f>
        <v>1</v>
      </c>
      <c r="P403" s="23" t="n">
        <f>IF(J403&gt;0,MAX(K403-J403,0),0)</f>
        <v>0</v>
      </c>
      <c r="Q403" s="23" t="n">
        <f>IF(J403=0,K403,0)</f>
        <v>0</v>
      </c>
      <c r="R403" s="23" t="n">
        <f>MAX(J403-K403,0)</f>
        <v>0</v>
      </c>
      <c r="S403" s="23" t="n">
        <f>IF(J403&gt;0,MAX(L403-J403,0),L403)</f>
        <v>0</v>
      </c>
    </row>
    <row r="404">
      <c r="A404" s="19" t="str">
        <v>德国区</v>
      </c>
      <c r="B404" s="19" t="str">
        <v>杜塞尔多夫7号仓</v>
      </c>
      <c r="C404" s="19" t="str">
        <v>入库组</v>
      </c>
      <c r="D404" s="21" t="n">
        <v>46181</v>
      </c>
      <c r="E404" s="19" t="str">
        <v>2026-06</v>
      </c>
      <c r="F404" s="19" t="str">
        <v>操作员</v>
      </c>
      <c r="G404" s="19" t="str">
        <v>德国区-灵活班次 / DE FLEX</v>
      </c>
      <c r="H404" s="23" t="n">
        <v>1</v>
      </c>
      <c r="I404" s="23" t="n">
        <v>0</v>
      </c>
      <c r="J404" s="23" t="n">
        <f>H404+I404</f>
        <v>1</v>
      </c>
      <c r="K404" s="23" t="n">
        <v>1</v>
      </c>
      <c r="L404" s="23" t="n">
        <v>1</v>
      </c>
      <c r="M404" s="23" t="n">
        <f>MIN(K404,J404)</f>
        <v>1</v>
      </c>
      <c r="N404" s="23" t="n">
        <f>MIN(L404,J404)</f>
        <v>1</v>
      </c>
      <c r="O404" s="25" t="n">
        <f>IF(K404=0,0,MIN(1,J404/K404))</f>
        <v>1</v>
      </c>
      <c r="P404" s="23" t="n">
        <f>IF(J404&gt;0,MAX(K404-J404,0),0)</f>
        <v>0</v>
      </c>
      <c r="Q404" s="23" t="n">
        <f>IF(J404=0,K404,0)</f>
        <v>0</v>
      </c>
      <c r="R404" s="23" t="n">
        <f>MAX(J404-K404,0)</f>
        <v>0</v>
      </c>
      <c r="S404" s="23" t="n">
        <f>IF(J404&gt;0,MAX(L404-J404,0),L404)</f>
        <v>0</v>
      </c>
    </row>
    <row r="405">
      <c r="A405" s="19" t="str">
        <v>德国区</v>
      </c>
      <c r="B405" s="19" t="str">
        <v>杜塞尔多夫7号仓</v>
      </c>
      <c r="C405" s="19" t="str">
        <v>入库组</v>
      </c>
      <c r="D405" s="21" t="n">
        <v>46182</v>
      </c>
      <c r="E405" s="19" t="str">
        <v>2026-06</v>
      </c>
      <c r="F405" s="19" t="str">
        <v>操作员</v>
      </c>
      <c r="G405" s="19" t="str">
        <v>德国区-灵活班次 / DE FLEX</v>
      </c>
      <c r="H405" s="23" t="n">
        <v>2</v>
      </c>
      <c r="I405" s="23" t="n">
        <v>0</v>
      </c>
      <c r="J405" s="23" t="n">
        <f>H405+I405</f>
        <v>2</v>
      </c>
      <c r="K405" s="23" t="n">
        <v>2</v>
      </c>
      <c r="L405" s="23" t="n">
        <v>2</v>
      </c>
      <c r="M405" s="23" t="n">
        <f>MIN(K405,J405)</f>
        <v>2</v>
      </c>
      <c r="N405" s="23" t="n">
        <f>MIN(L405,J405)</f>
        <v>2</v>
      </c>
      <c r="O405" s="25" t="n">
        <f>IF(K405=0,0,MIN(1,J405/K405))</f>
        <v>1</v>
      </c>
      <c r="P405" s="23" t="n">
        <f>IF(J405&gt;0,MAX(K405-J405,0),0)</f>
        <v>0</v>
      </c>
      <c r="Q405" s="23" t="n">
        <f>IF(J405=0,K405,0)</f>
        <v>0</v>
      </c>
      <c r="R405" s="23" t="n">
        <f>MAX(J405-K405,0)</f>
        <v>0</v>
      </c>
      <c r="S405" s="23" t="n">
        <f>IF(J405&gt;0,MAX(L405-J405,0),L405)</f>
        <v>0</v>
      </c>
    </row>
    <row r="406">
      <c r="A406" s="19" t="str">
        <v>德国区</v>
      </c>
      <c r="B406" s="19" t="str">
        <v>杜塞尔多夫7号仓</v>
      </c>
      <c r="C406" s="19" t="str">
        <v>入库组</v>
      </c>
      <c r="D406" s="21" t="n">
        <v>46183</v>
      </c>
      <c r="E406" s="19" t="str">
        <v>2026-06</v>
      </c>
      <c r="F406" s="19" t="str">
        <v>操作员</v>
      </c>
      <c r="G406" s="19" t="str">
        <v>德国区-灵活班次 / DE FLEX</v>
      </c>
      <c r="H406" s="23" t="n">
        <v>2</v>
      </c>
      <c r="I406" s="23" t="n">
        <v>0</v>
      </c>
      <c r="J406" s="23" t="n">
        <f>H406+I406</f>
        <v>2</v>
      </c>
      <c r="K406" s="23" t="n">
        <v>2</v>
      </c>
      <c r="L406" s="23" t="n">
        <v>2</v>
      </c>
      <c r="M406" s="23" t="n">
        <f>MIN(K406,J406)</f>
        <v>2</v>
      </c>
      <c r="N406" s="23" t="n">
        <f>MIN(L406,J406)</f>
        <v>2</v>
      </c>
      <c r="O406" s="25" t="n">
        <f>IF(K406=0,0,MIN(1,J406/K406))</f>
        <v>1</v>
      </c>
      <c r="P406" s="23" t="n">
        <f>IF(J406&gt;0,MAX(K406-J406,0),0)</f>
        <v>0</v>
      </c>
      <c r="Q406" s="23" t="n">
        <f>IF(J406=0,K406,0)</f>
        <v>0</v>
      </c>
      <c r="R406" s="23" t="n">
        <f>MAX(J406-K406,0)</f>
        <v>0</v>
      </c>
      <c r="S406" s="23" t="n">
        <f>IF(J406&gt;0,MAX(L406-J406,0),L406)</f>
        <v>0</v>
      </c>
    </row>
    <row r="407">
      <c r="A407" s="19" t="str">
        <v>德国区</v>
      </c>
      <c r="B407" s="19" t="str">
        <v>杜塞尔多夫7号仓</v>
      </c>
      <c r="C407" s="19" t="str">
        <v>包装组</v>
      </c>
      <c r="D407" s="21" t="n">
        <v>46147</v>
      </c>
      <c r="E407" s="19" t="str">
        <v>2026-05</v>
      </c>
      <c r="F407" s="19" t="str">
        <v>操作员</v>
      </c>
      <c r="G407" s="19" t="str">
        <v>德国区-灵活班次 / DE FLEX</v>
      </c>
      <c r="H407" s="23" t="n">
        <v>0</v>
      </c>
      <c r="I407" s="23" t="n">
        <v>1</v>
      </c>
      <c r="J407" s="23" t="n">
        <f>H407+I407</f>
        <v>1</v>
      </c>
      <c r="K407" s="23" t="n">
        <v>2</v>
      </c>
      <c r="L407" s="23" t="n">
        <v>2</v>
      </c>
      <c r="M407" s="23" t="n">
        <f>MIN(K407,J407)</f>
        <v>1</v>
      </c>
      <c r="N407" s="23" t="n">
        <f>MIN(L407,J407)</f>
        <v>1</v>
      </c>
      <c r="O407" s="25" t="n">
        <f>IF(K407=0,0,MIN(1,J407/K407))</f>
        <v>0.5</v>
      </c>
      <c r="P407" s="23" t="n">
        <f>IF(J407&gt;0,MAX(K407-J407,0),0)</f>
        <v>1</v>
      </c>
      <c r="Q407" s="23" t="n">
        <f>IF(J407=0,K407,0)</f>
        <v>0</v>
      </c>
      <c r="R407" s="23" t="n">
        <f>MAX(J407-K407,0)</f>
        <v>0</v>
      </c>
      <c r="S407" s="23" t="n">
        <f>IF(J407&gt;0,MAX(L407-J407,0),L407)</f>
        <v>1</v>
      </c>
    </row>
    <row r="408">
      <c r="A408" s="19" t="str">
        <v>德国区</v>
      </c>
      <c r="B408" s="19" t="str">
        <v>杜塞尔多夫7号仓</v>
      </c>
      <c r="C408" s="19" t="str">
        <v>包装组</v>
      </c>
      <c r="D408" s="21" t="n">
        <v>46190</v>
      </c>
      <c r="E408" s="19" t="str">
        <v>2026-06</v>
      </c>
      <c r="F408" s="19" t="str">
        <v>操作员</v>
      </c>
      <c r="G408" s="19" t="str">
        <v>德国区-灵活班次 / DE FLEX</v>
      </c>
      <c r="H408" s="23" t="n">
        <v>2</v>
      </c>
      <c r="I408" s="23" t="n">
        <v>0</v>
      </c>
      <c r="J408" s="23" t="n">
        <f>H408+I408</f>
        <v>2</v>
      </c>
      <c r="K408" s="23" t="n">
        <v>2</v>
      </c>
      <c r="L408" s="23" t="n">
        <v>2</v>
      </c>
      <c r="M408" s="23" t="n">
        <f>MIN(K408,J408)</f>
        <v>2</v>
      </c>
      <c r="N408" s="23" t="n">
        <f>MIN(L408,J408)</f>
        <v>2</v>
      </c>
      <c r="O408" s="25" t="n">
        <f>IF(K408=0,0,MIN(1,J408/K408))</f>
        <v>1</v>
      </c>
      <c r="P408" s="23" t="n">
        <f>IF(J408&gt;0,MAX(K408-J408,0),0)</f>
        <v>0</v>
      </c>
      <c r="Q408" s="23" t="n">
        <f>IF(J408=0,K408,0)</f>
        <v>0</v>
      </c>
      <c r="R408" s="23" t="n">
        <f>MAX(J408-K408,0)</f>
        <v>0</v>
      </c>
      <c r="S408" s="23" t="n">
        <f>IF(J408&gt;0,MAX(L408-J408,0),L408)</f>
        <v>0</v>
      </c>
    </row>
    <row r="409">
      <c r="A409" s="19" t="str">
        <v>德国区</v>
      </c>
      <c r="B409" s="19" t="str">
        <v>杜塞尔多夫7号仓</v>
      </c>
      <c r="C409" s="19" t="str">
        <v>名创组</v>
      </c>
      <c r="D409" s="21" t="n">
        <v>46175</v>
      </c>
      <c r="E409" s="19" t="str">
        <v>2026-06</v>
      </c>
      <c r="F409" s="19" t="str">
        <v>操作员</v>
      </c>
      <c r="G409" s="19" t="str">
        <v>德国区-灵活班次 / DE FLEX</v>
      </c>
      <c r="H409" s="23" t="n">
        <v>2</v>
      </c>
      <c r="I409" s="23" t="n">
        <v>0</v>
      </c>
      <c r="J409" s="23" t="n">
        <f>H409+I409</f>
        <v>2</v>
      </c>
      <c r="K409" s="23" t="n">
        <v>3</v>
      </c>
      <c r="L409" s="23" t="n">
        <v>3</v>
      </c>
      <c r="M409" s="23" t="n">
        <f>MIN(K409,J409)</f>
        <v>2</v>
      </c>
      <c r="N409" s="23" t="n">
        <f>MIN(L409,J409)</f>
        <v>2</v>
      </c>
      <c r="O409" s="25" t="n">
        <f>IF(K409=0,0,MIN(1,J409/K409))</f>
        <v>0.6666666666666666</v>
      </c>
      <c r="P409" s="23" t="n">
        <f>IF(J409&gt;0,MAX(K409-J409,0),0)</f>
        <v>1</v>
      </c>
      <c r="Q409" s="23" t="n">
        <f>IF(J409=0,K409,0)</f>
        <v>0</v>
      </c>
      <c r="R409" s="23" t="n">
        <f>MAX(J409-K409,0)</f>
        <v>0</v>
      </c>
      <c r="S409" s="23" t="n">
        <f>IF(J409&gt;0,MAX(L409-J409,0),L409)</f>
        <v>1</v>
      </c>
    </row>
    <row r="410">
      <c r="A410" s="19" t="str">
        <v>德国区</v>
      </c>
      <c r="B410" s="19" t="str">
        <v>杜塞尔多夫7号仓</v>
      </c>
      <c r="C410" s="19" t="str">
        <v>名创组</v>
      </c>
      <c r="D410" s="21" t="n">
        <v>46176</v>
      </c>
      <c r="E410" s="19" t="str">
        <v>2026-06</v>
      </c>
      <c r="F410" s="19" t="str">
        <v>操作员</v>
      </c>
      <c r="G410" s="19" t="str">
        <v>德国区-灵活班次 / DE FLEX</v>
      </c>
      <c r="H410" s="23" t="n">
        <v>2</v>
      </c>
      <c r="I410" s="23" t="n">
        <v>0</v>
      </c>
      <c r="J410" s="23" t="n">
        <f>H410+I410</f>
        <v>2</v>
      </c>
      <c r="K410" s="23" t="n">
        <v>0</v>
      </c>
      <c r="L410" s="23" t="n">
        <v>0</v>
      </c>
      <c r="M410" s="23" t="n">
        <f>MIN(K410,J410)</f>
        <v>0</v>
      </c>
      <c r="N410" s="23" t="n">
        <f>MIN(L410,J410)</f>
        <v>0</v>
      </c>
      <c r="O410" s="25" t="n">
        <f>IF(K410=0,0,MIN(1,J410/K410))</f>
        <v>0</v>
      </c>
      <c r="P410" s="23" t="n">
        <f>IF(J410&gt;0,MAX(K410-J410,0),0)</f>
        <v>0</v>
      </c>
      <c r="Q410" s="23" t="n">
        <f>IF(J410=0,K410,0)</f>
        <v>0</v>
      </c>
      <c r="R410" s="23" t="n">
        <f>MAX(J410-K410,0)</f>
        <v>2</v>
      </c>
      <c r="S410" s="23" t="n">
        <f>IF(J410&gt;0,MAX(L410-J410,0),L410)</f>
        <v>0</v>
      </c>
    </row>
    <row r="411">
      <c r="A411" s="19" t="str">
        <v>德国区</v>
      </c>
      <c r="B411" s="19" t="str">
        <v>杜塞尔多夫7号仓</v>
      </c>
      <c r="C411" s="19" t="str">
        <v>名创组</v>
      </c>
      <c r="D411" s="21" t="n">
        <v>46189</v>
      </c>
      <c r="E411" s="19" t="str">
        <v>2026-06</v>
      </c>
      <c r="F411" s="19" t="str">
        <v>操作员</v>
      </c>
      <c r="G411" s="19" t="str">
        <v>德国区-灵活班次 / DE FLEX</v>
      </c>
      <c r="H411" s="23" t="n">
        <v>2</v>
      </c>
      <c r="I411" s="23" t="n">
        <v>0</v>
      </c>
      <c r="J411" s="23" t="n">
        <f>H411+I411</f>
        <v>2</v>
      </c>
      <c r="K411" s="23" t="n">
        <v>2</v>
      </c>
      <c r="L411" s="23" t="n">
        <v>0</v>
      </c>
      <c r="M411" s="23" t="n">
        <f>MIN(K411,J411)</f>
        <v>2</v>
      </c>
      <c r="N411" s="23" t="n">
        <f>MIN(L411,J411)</f>
        <v>0</v>
      </c>
      <c r="O411" s="25" t="n">
        <f>IF(K411=0,0,MIN(1,J411/K411))</f>
        <v>1</v>
      </c>
      <c r="P411" s="23" t="n">
        <f>IF(J411&gt;0,MAX(K411-J411,0),0)</f>
        <v>0</v>
      </c>
      <c r="Q411" s="23" t="n">
        <f>IF(J411=0,K411,0)</f>
        <v>0</v>
      </c>
      <c r="R411" s="23" t="n">
        <f>MAX(J411-K411,0)</f>
        <v>0</v>
      </c>
      <c r="S411" s="23" t="n">
        <f>IF(J411&gt;0,MAX(L411-J411,0),L411)</f>
        <v>0</v>
      </c>
    </row>
    <row r="412">
      <c r="A412" s="19" t="str">
        <v>德国区</v>
      </c>
      <c r="B412" s="19" t="str">
        <v>杜塞尔多夫7号仓</v>
      </c>
      <c r="C412" s="19" t="str">
        <v>拣货组</v>
      </c>
      <c r="D412" s="21" t="n">
        <v>46140</v>
      </c>
      <c r="E412" s="19" t="str">
        <v>2026-04</v>
      </c>
      <c r="F412" s="19" t="str">
        <v>操作员</v>
      </c>
      <c r="G412" s="19" t="str">
        <v>德国区-灵活班次 / DE FLEX</v>
      </c>
      <c r="H412" s="23" t="n">
        <v>2</v>
      </c>
      <c r="I412" s="23" t="n">
        <v>0</v>
      </c>
      <c r="J412" s="23" t="n">
        <f>H412+I412</f>
        <v>2</v>
      </c>
      <c r="K412" s="23" t="n">
        <v>4</v>
      </c>
      <c r="L412" s="23" t="n">
        <v>0</v>
      </c>
      <c r="M412" s="23" t="n">
        <f>MIN(K412,J412)</f>
        <v>2</v>
      </c>
      <c r="N412" s="23" t="n">
        <f>MIN(L412,J412)</f>
        <v>0</v>
      </c>
      <c r="O412" s="25" t="n">
        <f>IF(K412=0,0,MIN(1,J412/K412))</f>
        <v>0.5</v>
      </c>
      <c r="P412" s="23" t="n">
        <f>IF(J412&gt;0,MAX(K412-J412,0),0)</f>
        <v>2</v>
      </c>
      <c r="Q412" s="23" t="n">
        <f>IF(J412=0,K412,0)</f>
        <v>0</v>
      </c>
      <c r="R412" s="23" t="n">
        <f>MAX(J412-K412,0)</f>
        <v>0</v>
      </c>
      <c r="S412" s="23" t="n">
        <f>IF(J412&gt;0,MAX(L412-J412,0),L412)</f>
        <v>0</v>
      </c>
    </row>
    <row r="413">
      <c r="A413" s="19" t="str">
        <v>德国区</v>
      </c>
      <c r="B413" s="19" t="str">
        <v>杜塞尔多夫7号仓</v>
      </c>
      <c r="C413" s="19" t="str">
        <v>拣货组</v>
      </c>
      <c r="D413" s="21" t="n">
        <v>46154</v>
      </c>
      <c r="E413" s="19" t="str">
        <v>2026-05</v>
      </c>
      <c r="F413" s="19" t="str">
        <v>操作员</v>
      </c>
      <c r="G413" s="19" t="str">
        <v>德国区-灵活班次 / DE FLEX</v>
      </c>
      <c r="H413" s="23" t="n">
        <v>2</v>
      </c>
      <c r="I413" s="23" t="n">
        <v>0</v>
      </c>
      <c r="J413" s="23" t="n">
        <f>H413+I413</f>
        <v>2</v>
      </c>
      <c r="K413" s="23" t="n">
        <v>2</v>
      </c>
      <c r="L413" s="23" t="n">
        <v>2</v>
      </c>
      <c r="M413" s="23" t="n">
        <f>MIN(K413,J413)</f>
        <v>2</v>
      </c>
      <c r="N413" s="23" t="n">
        <f>MIN(L413,J413)</f>
        <v>2</v>
      </c>
      <c r="O413" s="25" t="n">
        <f>IF(K413=0,0,MIN(1,J413/K413))</f>
        <v>1</v>
      </c>
      <c r="P413" s="23" t="n">
        <f>IF(J413&gt;0,MAX(K413-J413,0),0)</f>
        <v>0</v>
      </c>
      <c r="Q413" s="23" t="n">
        <f>IF(J413=0,K413,0)</f>
        <v>0</v>
      </c>
      <c r="R413" s="23" t="n">
        <f>MAX(J413-K413,0)</f>
        <v>0</v>
      </c>
      <c r="S413" s="23" t="n">
        <f>IF(J413&gt;0,MAX(L413-J413,0),L413)</f>
        <v>0</v>
      </c>
    </row>
    <row r="414">
      <c r="A414" s="19" t="str">
        <v>德国区</v>
      </c>
      <c r="B414" s="19" t="str">
        <v>杜塞尔多夫7号仓</v>
      </c>
      <c r="C414" s="19" t="str">
        <v>拣货组</v>
      </c>
      <c r="D414" s="21" t="n">
        <v>46189</v>
      </c>
      <c r="E414" s="19" t="str">
        <v>2026-06</v>
      </c>
      <c r="F414" s="19" t="str">
        <v>操作员</v>
      </c>
      <c r="G414" s="19" t="str">
        <v>德国区-灵活班次 / DE FLEX</v>
      </c>
      <c r="H414" s="23" t="n">
        <v>3</v>
      </c>
      <c r="I414" s="23" t="n">
        <v>0</v>
      </c>
      <c r="J414" s="23" t="n">
        <f>H414+I414</f>
        <v>3</v>
      </c>
      <c r="K414" s="23" t="n">
        <v>3</v>
      </c>
      <c r="L414" s="23" t="n">
        <v>3</v>
      </c>
      <c r="M414" s="23" t="n">
        <f>MIN(K414,J414)</f>
        <v>3</v>
      </c>
      <c r="N414" s="23" t="n">
        <f>MIN(L414,J414)</f>
        <v>3</v>
      </c>
      <c r="O414" s="25" t="n">
        <f>IF(K414=0,0,MIN(1,J414/K414))</f>
        <v>1</v>
      </c>
      <c r="P414" s="23" t="n">
        <f>IF(J414&gt;0,MAX(K414-J414,0),0)</f>
        <v>0</v>
      </c>
      <c r="Q414" s="23" t="n">
        <f>IF(J414=0,K414,0)</f>
        <v>0</v>
      </c>
      <c r="R414" s="23" t="n">
        <f>MAX(J414-K414,0)</f>
        <v>0</v>
      </c>
      <c r="S414" s="23" t="n">
        <f>IF(J414&gt;0,MAX(L414-J414,0),L414)</f>
        <v>0</v>
      </c>
    </row>
    <row r="415">
      <c r="A415" s="19" t="str">
        <v>德国区</v>
      </c>
      <c r="B415" s="19" t="str">
        <v>杜塞尔多夫7号仓</v>
      </c>
      <c r="C415" s="19" t="str">
        <v>理货组</v>
      </c>
      <c r="D415" s="21" t="n">
        <v>46147</v>
      </c>
      <c r="E415" s="19" t="str">
        <v>2026-05</v>
      </c>
      <c r="F415" s="19" t="str">
        <v>操作员</v>
      </c>
      <c r="G415" s="19" t="str">
        <v>德国区-灵活班次 / DE FLEX</v>
      </c>
      <c r="H415" s="23" t="n">
        <v>2</v>
      </c>
      <c r="I415" s="23" t="n">
        <v>0</v>
      </c>
      <c r="J415" s="23" t="n">
        <f>H415+I415</f>
        <v>2</v>
      </c>
      <c r="K415" s="23" t="n">
        <v>2</v>
      </c>
      <c r="L415" s="23" t="n">
        <v>2</v>
      </c>
      <c r="M415" s="23" t="n">
        <f>MIN(K415,J415)</f>
        <v>2</v>
      </c>
      <c r="N415" s="23" t="n">
        <f>MIN(L415,J415)</f>
        <v>2</v>
      </c>
      <c r="O415" s="25" t="n">
        <f>IF(K415=0,0,MIN(1,J415/K415))</f>
        <v>1</v>
      </c>
      <c r="P415" s="23" t="n">
        <f>IF(J415&gt;0,MAX(K415-J415,0),0)</f>
        <v>0</v>
      </c>
      <c r="Q415" s="23" t="n">
        <f>IF(J415=0,K415,0)</f>
        <v>0</v>
      </c>
      <c r="R415" s="23" t="n">
        <f>MAX(J415-K415,0)</f>
        <v>0</v>
      </c>
      <c r="S415" s="23" t="n">
        <f>IF(J415&gt;0,MAX(L415-J415,0),L415)</f>
        <v>0</v>
      </c>
    </row>
    <row r="416">
      <c r="A416" s="19" t="str">
        <v>德国区</v>
      </c>
      <c r="B416" s="19" t="str">
        <v>杜塞尔多夫7号仓</v>
      </c>
      <c r="C416" s="19" t="str">
        <v>理货组</v>
      </c>
      <c r="D416" s="21" t="n">
        <v>46148</v>
      </c>
      <c r="E416" s="19" t="str">
        <v>2026-05</v>
      </c>
      <c r="F416" s="19" t="str">
        <v>操作员</v>
      </c>
      <c r="G416" s="19" t="str">
        <v>德国区-灵活班次 / DE FLEX</v>
      </c>
      <c r="H416" s="23" t="n">
        <v>2</v>
      </c>
      <c r="I416" s="23" t="n">
        <v>0</v>
      </c>
      <c r="J416" s="23" t="n">
        <f>H416+I416</f>
        <v>2</v>
      </c>
      <c r="K416" s="23" t="n">
        <v>2</v>
      </c>
      <c r="L416" s="23" t="n">
        <v>1</v>
      </c>
      <c r="M416" s="23" t="n">
        <f>MIN(K416,J416)</f>
        <v>2</v>
      </c>
      <c r="N416" s="23" t="n">
        <f>MIN(L416,J416)</f>
        <v>1</v>
      </c>
      <c r="O416" s="25" t="n">
        <f>IF(K416=0,0,MIN(1,J416/K416))</f>
        <v>1</v>
      </c>
      <c r="P416" s="23" t="n">
        <f>IF(J416&gt;0,MAX(K416-J416,0),0)</f>
        <v>0</v>
      </c>
      <c r="Q416" s="23" t="n">
        <f>IF(J416=0,K416,0)</f>
        <v>0</v>
      </c>
      <c r="R416" s="23" t="n">
        <f>MAX(J416-K416,0)</f>
        <v>0</v>
      </c>
      <c r="S416" s="23" t="n">
        <f>IF(J416&gt;0,MAX(L416-J416,0),L416)</f>
        <v>0</v>
      </c>
    </row>
    <row r="417">
      <c r="A417" s="19" t="str">
        <v>德国区</v>
      </c>
      <c r="B417" s="19" t="str">
        <v>杜塞尔多夫7号仓</v>
      </c>
      <c r="C417" s="19" t="str">
        <v>理货组</v>
      </c>
      <c r="D417" s="21" t="n">
        <v>46168</v>
      </c>
      <c r="E417" s="19" t="str">
        <v>2026-05</v>
      </c>
      <c r="F417" s="19" t="str">
        <v>保洁员</v>
      </c>
      <c r="G417" s="19" t="str">
        <v>德国区-灵活班次 / DE FLEX</v>
      </c>
      <c r="H417" s="23" t="n">
        <v>1</v>
      </c>
      <c r="I417" s="23" t="n">
        <v>0</v>
      </c>
      <c r="J417" s="23" t="n">
        <f>H417+I417</f>
        <v>1</v>
      </c>
      <c r="K417" s="23" t="n">
        <v>1</v>
      </c>
      <c r="L417" s="23" t="n">
        <v>1</v>
      </c>
      <c r="M417" s="23" t="n">
        <f>MIN(K417,J417)</f>
        <v>1</v>
      </c>
      <c r="N417" s="23" t="n">
        <f>MIN(L417,J417)</f>
        <v>1</v>
      </c>
      <c r="O417" s="25" t="n">
        <f>IF(K417=0,0,MIN(1,J417/K417))</f>
        <v>1</v>
      </c>
      <c r="P417" s="23" t="n">
        <f>IF(J417&gt;0,MAX(K417-J417,0),0)</f>
        <v>0</v>
      </c>
      <c r="Q417" s="23" t="n">
        <f>IF(J417=0,K417,0)</f>
        <v>0</v>
      </c>
      <c r="R417" s="23" t="n">
        <f>MAX(J417-K417,0)</f>
        <v>0</v>
      </c>
      <c r="S417" s="23" t="n">
        <f>IF(J417&gt;0,MAX(L417-J417,0),L417)</f>
        <v>0</v>
      </c>
    </row>
    <row r="418">
      <c r="A418" s="19" t="str">
        <v>德国区</v>
      </c>
      <c r="B418" s="19" t="str">
        <v>杜塞尔多夫7号仓</v>
      </c>
      <c r="C418" s="19" t="str">
        <v>理货组</v>
      </c>
      <c r="D418" s="21" t="n">
        <v>46175</v>
      </c>
      <c r="E418" s="19" t="str">
        <v>2026-06</v>
      </c>
      <c r="F418" s="19" t="str">
        <v>保洁员</v>
      </c>
      <c r="G418" s="19" t="str">
        <v>德国区-灵活班次 / DE FLEX</v>
      </c>
      <c r="H418" s="23" t="n">
        <v>1</v>
      </c>
      <c r="I418" s="23" t="n">
        <v>0</v>
      </c>
      <c r="J418" s="23" t="n">
        <f>H418+I418</f>
        <v>1</v>
      </c>
      <c r="K418" s="23" t="n">
        <v>1</v>
      </c>
      <c r="L418" s="23" t="n">
        <v>1</v>
      </c>
      <c r="M418" s="23" t="n">
        <f>MIN(K418,J418)</f>
        <v>1</v>
      </c>
      <c r="N418" s="23" t="n">
        <f>MIN(L418,J418)</f>
        <v>1</v>
      </c>
      <c r="O418" s="25" t="n">
        <f>IF(K418=0,0,MIN(1,J418/K418))</f>
        <v>1</v>
      </c>
      <c r="P418" s="23" t="n">
        <f>IF(J418&gt;0,MAX(K418-J418,0),0)</f>
        <v>0</v>
      </c>
      <c r="Q418" s="23" t="n">
        <f>IF(J418=0,K418,0)</f>
        <v>0</v>
      </c>
      <c r="R418" s="23" t="n">
        <f>MAX(J418-K418,0)</f>
        <v>0</v>
      </c>
      <c r="S418" s="23" t="n">
        <f>IF(J418&gt;0,MAX(L418-J418,0),L418)</f>
        <v>0</v>
      </c>
    </row>
    <row r="419">
      <c r="A419" s="19" t="str">
        <v>德国区</v>
      </c>
      <c r="B419" s="19" t="str">
        <v>杜塞尔多夫7号仓</v>
      </c>
      <c r="C419" s="19" t="str">
        <v>理货组</v>
      </c>
      <c r="D419" s="21" t="n">
        <v>46188</v>
      </c>
      <c r="E419" s="19" t="str">
        <v>2026-06</v>
      </c>
      <c r="F419" s="19" t="str">
        <v>操作员</v>
      </c>
      <c r="G419" s="19" t="str">
        <v>德国区-灵活班次 / DE FLEX</v>
      </c>
      <c r="H419" s="23" t="n">
        <v>2</v>
      </c>
      <c r="I419" s="23" t="n">
        <v>0</v>
      </c>
      <c r="J419" s="23" t="n">
        <f>H419+I419</f>
        <v>2</v>
      </c>
      <c r="K419" s="23" t="n">
        <v>2</v>
      </c>
      <c r="L419" s="23" t="n">
        <v>2</v>
      </c>
      <c r="M419" s="23" t="n">
        <f>MIN(K419,J419)</f>
        <v>2</v>
      </c>
      <c r="N419" s="23" t="n">
        <f>MIN(L419,J419)</f>
        <v>2</v>
      </c>
      <c r="O419" s="25" t="n">
        <f>IF(K419=0,0,MIN(1,J419/K419))</f>
        <v>1</v>
      </c>
      <c r="P419" s="23" t="n">
        <f>IF(J419&gt;0,MAX(K419-J419,0),0)</f>
        <v>0</v>
      </c>
      <c r="Q419" s="23" t="n">
        <f>IF(J419=0,K419,0)</f>
        <v>0</v>
      </c>
      <c r="R419" s="23" t="n">
        <f>MAX(J419-K419,0)</f>
        <v>0</v>
      </c>
      <c r="S419" s="23" t="n">
        <f>IF(J419&gt;0,MAX(L419-J419,0),L419)</f>
        <v>0</v>
      </c>
    </row>
    <row r="420">
      <c r="A420" s="19" t="str">
        <v>德国区</v>
      </c>
      <c r="B420" s="19" t="str">
        <v>杜塞尔多夫7号仓</v>
      </c>
      <c r="C420" s="19" t="str">
        <v>理货组</v>
      </c>
      <c r="D420" s="21" t="n">
        <v>46192</v>
      </c>
      <c r="E420" s="19" t="str">
        <v>2026-06</v>
      </c>
      <c r="F420" s="19" t="str">
        <v>操作员</v>
      </c>
      <c r="G420" s="19" t="str">
        <v>德国区-灵活班次 / DE FLEX</v>
      </c>
      <c r="H420" s="23" t="n">
        <v>1</v>
      </c>
      <c r="I420" s="23" t="n">
        <v>0</v>
      </c>
      <c r="J420" s="23" t="n">
        <f>H420+I420</f>
        <v>1</v>
      </c>
      <c r="K420" s="23" t="n">
        <v>2</v>
      </c>
      <c r="L420" s="23" t="n">
        <v>2</v>
      </c>
      <c r="M420" s="23" t="n">
        <f>MIN(K420,J420)</f>
        <v>1</v>
      </c>
      <c r="N420" s="23" t="n">
        <f>MIN(L420,J420)</f>
        <v>1</v>
      </c>
      <c r="O420" s="25" t="n">
        <f>IF(K420=0,0,MIN(1,J420/K420))</f>
        <v>0.5</v>
      </c>
      <c r="P420" s="23" t="n">
        <f>IF(J420&gt;0,MAX(K420-J420,0),0)</f>
        <v>1</v>
      </c>
      <c r="Q420" s="23" t="n">
        <f>IF(J420=0,K420,0)</f>
        <v>0</v>
      </c>
      <c r="R420" s="23" t="n">
        <f>MAX(J420-K420,0)</f>
        <v>0</v>
      </c>
      <c r="S420" s="23" t="n">
        <f>IF(J420&gt;0,MAX(L420-J420,0),L420)</f>
        <v>1</v>
      </c>
    </row>
    <row r="421">
      <c r="A421" s="19" t="str">
        <v>德国区</v>
      </c>
      <c r="B421" s="19" t="str">
        <v>杜塞尔多夫7号仓</v>
      </c>
      <c r="C421" s="19" t="str">
        <v>理货组</v>
      </c>
      <c r="D421" s="21" t="n">
        <v>46195</v>
      </c>
      <c r="E421" s="19" t="str">
        <v>2026-06</v>
      </c>
      <c r="F421" s="19" t="str">
        <v>操作员</v>
      </c>
      <c r="G421" s="19" t="str">
        <v>德国区-灵活班次 / DE FLEX</v>
      </c>
      <c r="H421" s="23" t="n">
        <v>2</v>
      </c>
      <c r="I421" s="23" t="n">
        <v>0</v>
      </c>
      <c r="J421" s="23" t="n">
        <f>H421+I421</f>
        <v>2</v>
      </c>
      <c r="K421" s="23" t="n">
        <v>2</v>
      </c>
      <c r="L421" s="23" t="n">
        <v>1</v>
      </c>
      <c r="M421" s="23" t="n">
        <f>MIN(K421,J421)</f>
        <v>2</v>
      </c>
      <c r="N421" s="23" t="n">
        <f>MIN(L421,J421)</f>
        <v>1</v>
      </c>
      <c r="O421" s="25" t="n">
        <f>IF(K421=0,0,MIN(1,J421/K421))</f>
        <v>1</v>
      </c>
      <c r="P421" s="23" t="n">
        <f>IF(J421&gt;0,MAX(K421-J421,0),0)</f>
        <v>0</v>
      </c>
      <c r="Q421" s="23" t="n">
        <f>IF(J421=0,K421,0)</f>
        <v>0</v>
      </c>
      <c r="R421" s="23" t="n">
        <f>MAX(J421-K421,0)</f>
        <v>0</v>
      </c>
      <c r="S421" s="23" t="n">
        <f>IF(J421&gt;0,MAX(L421-J421,0),L421)</f>
        <v>0</v>
      </c>
    </row>
    <row r="422">
      <c r="A422" s="19" t="str">
        <v>德国区</v>
      </c>
      <c r="B422" s="19" t="str">
        <v>杜塞尔多夫7号仓</v>
      </c>
      <c r="C422" s="19" t="str">
        <v>理货组</v>
      </c>
      <c r="D422" s="21" t="n">
        <v>46197</v>
      </c>
      <c r="E422" s="19" t="str">
        <v>2026-06</v>
      </c>
      <c r="F422" s="19" t="str">
        <v>操作员</v>
      </c>
      <c r="G422" s="19" t="str">
        <v>德国区-灵活班次 / DE FLEX</v>
      </c>
      <c r="H422" s="23" t="n">
        <v>2</v>
      </c>
      <c r="I422" s="23" t="n">
        <v>0</v>
      </c>
      <c r="J422" s="23" t="n">
        <f>H422+I422</f>
        <v>2</v>
      </c>
      <c r="K422" s="23" t="n">
        <v>3</v>
      </c>
      <c r="L422" s="23" t="n">
        <v>3</v>
      </c>
      <c r="M422" s="23" t="n">
        <f>MIN(K422,J422)</f>
        <v>2</v>
      </c>
      <c r="N422" s="23" t="n">
        <f>MIN(L422,J422)</f>
        <v>2</v>
      </c>
      <c r="O422" s="25" t="n">
        <f>IF(K422=0,0,MIN(1,J422/K422))</f>
        <v>0.6666666666666666</v>
      </c>
      <c r="P422" s="23" t="n">
        <f>IF(J422&gt;0,MAX(K422-J422,0),0)</f>
        <v>1</v>
      </c>
      <c r="Q422" s="23" t="n">
        <f>IF(J422=0,K422,0)</f>
        <v>0</v>
      </c>
      <c r="R422" s="23" t="n">
        <f>MAX(J422-K422,0)</f>
        <v>0</v>
      </c>
      <c r="S422" s="23" t="n">
        <f>IF(J422&gt;0,MAX(L422-J422,0),L422)</f>
        <v>1</v>
      </c>
    </row>
    <row r="423">
      <c r="A423" s="19" t="str">
        <v>德国区</v>
      </c>
      <c r="B423" s="19" t="str">
        <v>杜塞尔多夫7号仓</v>
      </c>
      <c r="C423" s="19" t="str">
        <v>理货组</v>
      </c>
      <c r="D423" s="21" t="n">
        <v>46202</v>
      </c>
      <c r="E423" s="19" t="str">
        <v>2026-06</v>
      </c>
      <c r="F423" s="19" t="str">
        <v>操作员</v>
      </c>
      <c r="G423" s="19" t="str">
        <v>德国区-灵活班次 / DE FLEX</v>
      </c>
      <c r="H423" s="23" t="n">
        <v>3</v>
      </c>
      <c r="I423" s="23" t="n">
        <v>0</v>
      </c>
      <c r="J423" s="23" t="n">
        <f>H423+I423</f>
        <v>3</v>
      </c>
      <c r="K423" s="23" t="n">
        <v>3</v>
      </c>
      <c r="L423" s="23" t="n">
        <v>3</v>
      </c>
      <c r="M423" s="23" t="n">
        <f>MIN(K423,J423)</f>
        <v>3</v>
      </c>
      <c r="N423" s="23" t="n">
        <f>MIN(L423,J423)</f>
        <v>3</v>
      </c>
      <c r="O423" s="25" t="n">
        <f>IF(K423=0,0,MIN(1,J423/K423))</f>
        <v>1</v>
      </c>
      <c r="P423" s="23" t="n">
        <f>IF(J423&gt;0,MAX(K423-J423,0),0)</f>
        <v>0</v>
      </c>
      <c r="Q423" s="23" t="n">
        <f>IF(J423=0,K423,0)</f>
        <v>0</v>
      </c>
      <c r="R423" s="23" t="n">
        <f>MAX(J423-K423,0)</f>
        <v>0</v>
      </c>
      <c r="S423" s="23" t="n">
        <f>IF(J423&gt;0,MAX(L423-J423,0),L423)</f>
        <v>0</v>
      </c>
    </row>
    <row r="424">
      <c r="A424" s="19" t="str">
        <v>德国区</v>
      </c>
      <c r="B424" s="19" t="str">
        <v>杜塞尔多夫7号仓</v>
      </c>
      <c r="C424" s="19" t="str">
        <v>理货组</v>
      </c>
      <c r="D424" s="21" t="n">
        <v>46203</v>
      </c>
      <c r="E424" s="19" t="str">
        <v>2026-06</v>
      </c>
      <c r="F424" s="19" t="str">
        <v>操作员</v>
      </c>
      <c r="G424" s="19" t="str">
        <v>德国区-灵活班次 / DE FLEX</v>
      </c>
      <c r="H424" s="23" t="n">
        <v>2</v>
      </c>
      <c r="I424" s="23" t="n">
        <v>0</v>
      </c>
      <c r="J424" s="23" t="n">
        <f>H424+I424</f>
        <v>2</v>
      </c>
      <c r="K424" s="23" t="n">
        <v>2</v>
      </c>
      <c r="L424" s="23" t="n">
        <v>2</v>
      </c>
      <c r="M424" s="23" t="n">
        <f>MIN(K424,J424)</f>
        <v>2</v>
      </c>
      <c r="N424" s="23" t="n">
        <f>MIN(L424,J424)</f>
        <v>2</v>
      </c>
      <c r="O424" s="25" t="n">
        <f>IF(K424=0,0,MIN(1,J424/K424))</f>
        <v>1</v>
      </c>
      <c r="P424" s="23" t="n">
        <f>IF(J424&gt;0,MAX(K424-J424,0),0)</f>
        <v>0</v>
      </c>
      <c r="Q424" s="23" t="n">
        <f>IF(J424=0,K424,0)</f>
        <v>0</v>
      </c>
      <c r="R424" s="23" t="n">
        <f>MAX(J424-K424,0)</f>
        <v>0</v>
      </c>
      <c r="S424" s="23" t="n">
        <f>IF(J424&gt;0,MAX(L424-J424,0),L424)</f>
        <v>0</v>
      </c>
    </row>
    <row r="425">
      <c r="A425" s="19" t="str">
        <v>德国区</v>
      </c>
      <c r="B425" s="19" t="str">
        <v>杜塞尔多夫9号仓</v>
      </c>
      <c r="C425" s="19" t="str">
        <v>交运组</v>
      </c>
      <c r="D425" s="21" t="n">
        <v>46176</v>
      </c>
      <c r="E425" s="19" t="str">
        <v>2026-06</v>
      </c>
      <c r="F425" s="19" t="str">
        <v>操作员</v>
      </c>
      <c r="G425" s="19" t="str">
        <v>德国区-灵活班次 / DE FLEX</v>
      </c>
      <c r="H425" s="23" t="n">
        <v>8</v>
      </c>
      <c r="I425" s="23" t="n">
        <v>0</v>
      </c>
      <c r="J425" s="23" t="n">
        <f>H425+I425</f>
        <v>8</v>
      </c>
      <c r="K425" s="23" t="n">
        <v>11</v>
      </c>
      <c r="L425" s="23" t="n">
        <v>8</v>
      </c>
      <c r="M425" s="23" t="n">
        <f>MIN(K425,J425)</f>
        <v>8</v>
      </c>
      <c r="N425" s="23" t="n">
        <f>MIN(L425,J425)</f>
        <v>8</v>
      </c>
      <c r="O425" s="25" t="n">
        <f>IF(K425=0,0,MIN(1,J425/K425))</f>
        <v>0.7272727272727273</v>
      </c>
      <c r="P425" s="23" t="n">
        <f>IF(J425&gt;0,MAX(K425-J425,0),0)</f>
        <v>3</v>
      </c>
      <c r="Q425" s="23" t="n">
        <f>IF(J425=0,K425,0)</f>
        <v>0</v>
      </c>
      <c r="R425" s="23" t="n">
        <f>MAX(J425-K425,0)</f>
        <v>0</v>
      </c>
      <c r="S425" s="23" t="n">
        <f>IF(J425&gt;0,MAX(L425-J425,0),L425)</f>
        <v>0</v>
      </c>
    </row>
    <row r="426">
      <c r="A426" s="19" t="str">
        <v>德国区</v>
      </c>
      <c r="B426" s="19" t="str">
        <v>杜塞尔多夫9号仓</v>
      </c>
      <c r="C426" s="19" t="str">
        <v>交运组</v>
      </c>
      <c r="D426" s="21" t="n">
        <v>46177</v>
      </c>
      <c r="E426" s="19" t="str">
        <v>2026-06</v>
      </c>
      <c r="F426" s="19" t="str">
        <v>操作员</v>
      </c>
      <c r="G426" s="19" t="str">
        <v>德国区-灵活班次 / DE FLEX</v>
      </c>
      <c r="H426" s="23" t="n">
        <v>0</v>
      </c>
      <c r="I426" s="23" t="n">
        <v>0</v>
      </c>
      <c r="J426" s="23" t="n">
        <f>H426+I426</f>
        <v>0</v>
      </c>
      <c r="K426" s="23" t="n">
        <v>0</v>
      </c>
      <c r="L426" s="23" t="n">
        <v>0</v>
      </c>
      <c r="M426" s="23" t="n">
        <f>MIN(K426,J426)</f>
        <v>0</v>
      </c>
      <c r="N426" s="23" t="n">
        <f>MIN(L426,J426)</f>
        <v>0</v>
      </c>
      <c r="O426" s="25" t="n">
        <f>IF(K426=0,0,MIN(1,J426/K426))</f>
        <v>0</v>
      </c>
      <c r="P426" s="23" t="n">
        <f>IF(J426&gt;0,MAX(K426-J426,0),0)</f>
        <v>0</v>
      </c>
      <c r="Q426" s="23" t="n">
        <f>IF(J426=0,K426,0)</f>
        <v>0</v>
      </c>
      <c r="R426" s="23" t="n">
        <f>MAX(J426-K426,0)</f>
        <v>0</v>
      </c>
      <c r="S426" s="23" t="n">
        <f>IF(J426&gt;0,MAX(L426-J426,0),L426)</f>
        <v>0</v>
      </c>
    </row>
    <row r="427">
      <c r="A427" s="19" t="str">
        <v>德国区</v>
      </c>
      <c r="B427" s="19" t="str">
        <v>杜塞尔多夫9号仓</v>
      </c>
      <c r="C427" s="19" t="str">
        <v>交运组</v>
      </c>
      <c r="D427" s="21" t="n">
        <v>46178</v>
      </c>
      <c r="E427" s="19" t="str">
        <v>2026-06</v>
      </c>
      <c r="F427" s="19" t="str">
        <v>操作员</v>
      </c>
      <c r="G427" s="19" t="str">
        <v>德国区-灵活班次 / DE FLEX</v>
      </c>
      <c r="H427" s="23" t="n">
        <v>7</v>
      </c>
      <c r="I427" s="23" t="n">
        <v>0</v>
      </c>
      <c r="J427" s="23" t="n">
        <f>H427+I427</f>
        <v>7</v>
      </c>
      <c r="K427" s="23" t="n">
        <v>9</v>
      </c>
      <c r="L427" s="23" t="n">
        <v>8</v>
      </c>
      <c r="M427" s="23" t="n">
        <f>MIN(K427,J427)</f>
        <v>7</v>
      </c>
      <c r="N427" s="23" t="n">
        <f>MIN(L427,J427)</f>
        <v>7</v>
      </c>
      <c r="O427" s="25" t="n">
        <f>IF(K427=0,0,MIN(1,J427/K427))</f>
        <v>0.7777777777777778</v>
      </c>
      <c r="P427" s="23" t="n">
        <f>IF(J427&gt;0,MAX(K427-J427,0),0)</f>
        <v>2</v>
      </c>
      <c r="Q427" s="23" t="n">
        <f>IF(J427=0,K427,0)</f>
        <v>0</v>
      </c>
      <c r="R427" s="23" t="n">
        <f>MAX(J427-K427,0)</f>
        <v>0</v>
      </c>
      <c r="S427" s="23" t="n">
        <f>IF(J427&gt;0,MAX(L427-J427,0),L427)</f>
        <v>1</v>
      </c>
    </row>
    <row r="428">
      <c r="A428" s="19" t="str">
        <v>德国区</v>
      </c>
      <c r="B428" s="19" t="str">
        <v>杜塞尔多夫9号仓</v>
      </c>
      <c r="C428" s="19" t="str">
        <v>入库组</v>
      </c>
      <c r="D428" s="21" t="n">
        <v>46140</v>
      </c>
      <c r="E428" s="19" t="str">
        <v>2026-04</v>
      </c>
      <c r="F428" s="19" t="str">
        <v>操作员</v>
      </c>
      <c r="G428" s="19" t="str">
        <v>德国区-灵活班次 / DE FLEX</v>
      </c>
      <c r="H428" s="23" t="n">
        <v>3</v>
      </c>
      <c r="I428" s="23" t="n">
        <v>0</v>
      </c>
      <c r="J428" s="23" t="n">
        <f>H428+I428</f>
        <v>3</v>
      </c>
      <c r="K428" s="23" t="n">
        <v>4</v>
      </c>
      <c r="L428" s="23" t="n">
        <v>4</v>
      </c>
      <c r="M428" s="23" t="n">
        <f>MIN(K428,J428)</f>
        <v>3</v>
      </c>
      <c r="N428" s="23" t="n">
        <f>MIN(L428,J428)</f>
        <v>3</v>
      </c>
      <c r="O428" s="25" t="n">
        <f>IF(K428=0,0,MIN(1,J428/K428))</f>
        <v>0.75</v>
      </c>
      <c r="P428" s="23" t="n">
        <f>IF(J428&gt;0,MAX(K428-J428,0),0)</f>
        <v>1</v>
      </c>
      <c r="Q428" s="23" t="n">
        <f>IF(J428=0,K428,0)</f>
        <v>0</v>
      </c>
      <c r="R428" s="23" t="n">
        <f>MAX(J428-K428,0)</f>
        <v>0</v>
      </c>
      <c r="S428" s="23" t="n">
        <f>IF(J428&gt;0,MAX(L428-J428,0),L428)</f>
        <v>1</v>
      </c>
    </row>
    <row r="429">
      <c r="A429" s="19" t="str">
        <v>德国区</v>
      </c>
      <c r="B429" s="19" t="str">
        <v>杜塞尔多夫9号仓</v>
      </c>
      <c r="C429" s="19" t="str">
        <v>入库组</v>
      </c>
      <c r="D429" s="21" t="n">
        <v>46141</v>
      </c>
      <c r="E429" s="19" t="str">
        <v>2026-04</v>
      </c>
      <c r="F429" s="19" t="str">
        <v>操作员</v>
      </c>
      <c r="G429" s="19" t="str">
        <v>德国区-灵活班次 / DE FLEX</v>
      </c>
      <c r="H429" s="23" t="n">
        <v>0</v>
      </c>
      <c r="I429" s="23" t="n">
        <v>0</v>
      </c>
      <c r="J429" s="23" t="n">
        <f>H429+I429</f>
        <v>0</v>
      </c>
      <c r="K429" s="23" t="n">
        <v>3</v>
      </c>
      <c r="L429" s="23" t="n">
        <v>3</v>
      </c>
      <c r="M429" s="23" t="n">
        <f>MIN(K429,J429)</f>
        <v>0</v>
      </c>
      <c r="N429" s="23" t="n">
        <f>MIN(L429,J429)</f>
        <v>0</v>
      </c>
      <c r="O429" s="25" t="n">
        <f>IF(K429=0,0,MIN(1,J429/K429))</f>
        <v>0</v>
      </c>
      <c r="P429" s="23" t="n">
        <f>IF(J429&gt;0,MAX(K429-J429,0),0)</f>
        <v>0</v>
      </c>
      <c r="Q429" s="23" t="n">
        <f>IF(J429=0,K429,0)</f>
        <v>3</v>
      </c>
      <c r="R429" s="23" t="n">
        <f>MAX(J429-K429,0)</f>
        <v>0</v>
      </c>
      <c r="S429" s="23" t="n">
        <f>IF(J429&gt;0,MAX(L429-J429,0),L429)</f>
        <v>3</v>
      </c>
    </row>
    <row r="430">
      <c r="A430" s="19" t="str">
        <v>德国区</v>
      </c>
      <c r="B430" s="19" t="str">
        <v>杜塞尔多夫9号仓</v>
      </c>
      <c r="C430" s="19" t="str">
        <v>入库组</v>
      </c>
      <c r="D430" s="21" t="n">
        <v>46142</v>
      </c>
      <c r="E430" s="19" t="str">
        <v>2026-04</v>
      </c>
      <c r="F430" s="19" t="str">
        <v>操作员</v>
      </c>
      <c r="G430" s="19" t="str">
        <v>德国区-灵活班次 / DE FLEX</v>
      </c>
      <c r="H430" s="23" t="n">
        <v>2</v>
      </c>
      <c r="I430" s="23" t="n">
        <v>0</v>
      </c>
      <c r="J430" s="23" t="n">
        <f>H430+I430</f>
        <v>2</v>
      </c>
      <c r="K430" s="23" t="n">
        <v>2</v>
      </c>
      <c r="L430" s="23" t="n">
        <v>2</v>
      </c>
      <c r="M430" s="23" t="n">
        <f>MIN(K430,J430)</f>
        <v>2</v>
      </c>
      <c r="N430" s="23" t="n">
        <f>MIN(L430,J430)</f>
        <v>2</v>
      </c>
      <c r="O430" s="25" t="n">
        <f>IF(K430=0,0,MIN(1,J430/K430))</f>
        <v>1</v>
      </c>
      <c r="P430" s="23" t="n">
        <f>IF(J430&gt;0,MAX(K430-J430,0),0)</f>
        <v>0</v>
      </c>
      <c r="Q430" s="23" t="n">
        <f>IF(J430=0,K430,0)</f>
        <v>0</v>
      </c>
      <c r="R430" s="23" t="n">
        <f>MAX(J430-K430,0)</f>
        <v>0</v>
      </c>
      <c r="S430" s="23" t="n">
        <f>IF(J430&gt;0,MAX(L430-J430,0),L430)</f>
        <v>0</v>
      </c>
    </row>
    <row r="431">
      <c r="A431" s="19" t="str">
        <v>德国区</v>
      </c>
      <c r="B431" s="19" t="str">
        <v>杜塞尔多夫9号仓</v>
      </c>
      <c r="C431" s="19" t="str">
        <v>入库组</v>
      </c>
      <c r="D431" s="21" t="n">
        <v>46164</v>
      </c>
      <c r="E431" s="19" t="str">
        <v>2026-05</v>
      </c>
      <c r="F431" s="19" t="str">
        <v>操作员</v>
      </c>
      <c r="G431" s="19" t="str">
        <v>德国区-灵活班次 / DE FLEX</v>
      </c>
      <c r="H431" s="23" t="n">
        <v>1</v>
      </c>
      <c r="I431" s="23" t="n">
        <v>0</v>
      </c>
      <c r="J431" s="23" t="n">
        <f>H431+I431</f>
        <v>1</v>
      </c>
      <c r="K431" s="23" t="n">
        <v>1</v>
      </c>
      <c r="L431" s="23" t="n">
        <v>1</v>
      </c>
      <c r="M431" s="23" t="n">
        <f>MIN(K431,J431)</f>
        <v>1</v>
      </c>
      <c r="N431" s="23" t="n">
        <f>MIN(L431,J431)</f>
        <v>1</v>
      </c>
      <c r="O431" s="25" t="n">
        <f>IF(K431=0,0,MIN(1,J431/K431))</f>
        <v>1</v>
      </c>
      <c r="P431" s="23" t="n">
        <f>IF(J431&gt;0,MAX(K431-J431,0),0)</f>
        <v>0</v>
      </c>
      <c r="Q431" s="23" t="n">
        <f>IF(J431=0,K431,0)</f>
        <v>0</v>
      </c>
      <c r="R431" s="23" t="n">
        <f>MAX(J431-K431,0)</f>
        <v>0</v>
      </c>
      <c r="S431" s="23" t="n">
        <f>IF(J431&gt;0,MAX(L431-J431,0),L431)</f>
        <v>0</v>
      </c>
    </row>
    <row r="432">
      <c r="A432" s="19" t="str">
        <v>德国区</v>
      </c>
      <c r="B432" s="19" t="str">
        <v>杜塞尔多夫9号仓</v>
      </c>
      <c r="C432" s="19" t="str">
        <v>入库组</v>
      </c>
      <c r="D432" s="21" t="n">
        <v>46165</v>
      </c>
      <c r="E432" s="19" t="str">
        <v>2026-05</v>
      </c>
      <c r="F432" s="19" t="str">
        <v>操作员</v>
      </c>
      <c r="G432" s="19" t="str">
        <v>德国区-灵活班次 / DE FLEX</v>
      </c>
      <c r="H432" s="23" t="n">
        <v>0</v>
      </c>
      <c r="I432" s="23" t="n">
        <v>0</v>
      </c>
      <c r="J432" s="23" t="n">
        <f>H432+I432</f>
        <v>0</v>
      </c>
      <c r="K432" s="23" t="n">
        <v>1</v>
      </c>
      <c r="L432" s="23" t="n">
        <v>1</v>
      </c>
      <c r="M432" s="23" t="n">
        <f>MIN(K432,J432)</f>
        <v>0</v>
      </c>
      <c r="N432" s="23" t="n">
        <f>MIN(L432,J432)</f>
        <v>0</v>
      </c>
      <c r="O432" s="25" t="n">
        <f>IF(K432=0,0,MIN(1,J432/K432))</f>
        <v>0</v>
      </c>
      <c r="P432" s="23" t="n">
        <f>IF(J432&gt;0,MAX(K432-J432,0),0)</f>
        <v>0</v>
      </c>
      <c r="Q432" s="23" t="n">
        <f>IF(J432=0,K432,0)</f>
        <v>1</v>
      </c>
      <c r="R432" s="23" t="n">
        <f>MAX(J432-K432,0)</f>
        <v>0</v>
      </c>
      <c r="S432" s="23" t="n">
        <f>IF(J432&gt;0,MAX(L432-J432,0),L432)</f>
        <v>1</v>
      </c>
    </row>
    <row r="433">
      <c r="A433" s="19" t="str">
        <v>德国区</v>
      </c>
      <c r="B433" s="19" t="str">
        <v>杜塞尔多夫9号仓</v>
      </c>
      <c r="C433" s="19" t="str">
        <v>入库组</v>
      </c>
      <c r="D433" s="21" t="n">
        <v>46166</v>
      </c>
      <c r="E433" s="19" t="str">
        <v>2026-05</v>
      </c>
      <c r="F433" s="19" t="str">
        <v>操作员</v>
      </c>
      <c r="G433" s="19" t="str">
        <v>德国区-灵活班次 / DE FLEX</v>
      </c>
      <c r="H433" s="23" t="n">
        <v>0</v>
      </c>
      <c r="I433" s="23" t="n">
        <v>0</v>
      </c>
      <c r="J433" s="23" t="n">
        <f>H433+I433</f>
        <v>0</v>
      </c>
      <c r="K433" s="23" t="n">
        <v>1</v>
      </c>
      <c r="L433" s="23" t="n">
        <v>1</v>
      </c>
      <c r="M433" s="23" t="n">
        <f>MIN(K433,J433)</f>
        <v>0</v>
      </c>
      <c r="N433" s="23" t="n">
        <f>MIN(L433,J433)</f>
        <v>0</v>
      </c>
      <c r="O433" s="25" t="n">
        <f>IF(K433=0,0,MIN(1,J433/K433))</f>
        <v>0</v>
      </c>
      <c r="P433" s="23" t="n">
        <f>IF(J433&gt;0,MAX(K433-J433,0),0)</f>
        <v>0</v>
      </c>
      <c r="Q433" s="23" t="n">
        <f>IF(J433=0,K433,0)</f>
        <v>1</v>
      </c>
      <c r="R433" s="23" t="n">
        <f>MAX(J433-K433,0)</f>
        <v>0</v>
      </c>
      <c r="S433" s="23" t="n">
        <f>IF(J433&gt;0,MAX(L433-J433,0),L433)</f>
        <v>1</v>
      </c>
    </row>
    <row r="434">
      <c r="A434" s="19" t="str">
        <v>德国区</v>
      </c>
      <c r="B434" s="19" t="str">
        <v>杜塞尔多夫9号仓</v>
      </c>
      <c r="C434" s="19" t="str">
        <v>入库组</v>
      </c>
      <c r="D434" s="21" t="n">
        <v>46167</v>
      </c>
      <c r="E434" s="19" t="str">
        <v>2026-05</v>
      </c>
      <c r="F434" s="19" t="str">
        <v>操作员</v>
      </c>
      <c r="G434" s="19" t="str">
        <v>德国区-灵活班次 / DE FLEX</v>
      </c>
      <c r="H434" s="23" t="n">
        <v>0</v>
      </c>
      <c r="I434" s="23" t="n">
        <v>0</v>
      </c>
      <c r="J434" s="23" t="n">
        <f>H434+I434</f>
        <v>0</v>
      </c>
      <c r="K434" s="23" t="n">
        <v>1</v>
      </c>
      <c r="L434" s="23" t="n">
        <v>0</v>
      </c>
      <c r="M434" s="23" t="n">
        <f>MIN(K434,J434)</f>
        <v>0</v>
      </c>
      <c r="N434" s="23" t="n">
        <f>MIN(L434,J434)</f>
        <v>0</v>
      </c>
      <c r="O434" s="25" t="n">
        <f>IF(K434=0,0,MIN(1,J434/K434))</f>
        <v>0</v>
      </c>
      <c r="P434" s="23" t="n">
        <f>IF(J434&gt;0,MAX(K434-J434,0),0)</f>
        <v>0</v>
      </c>
      <c r="Q434" s="23" t="n">
        <f>IF(J434=0,K434,0)</f>
        <v>1</v>
      </c>
      <c r="R434" s="23" t="n">
        <f>MAX(J434-K434,0)</f>
        <v>0</v>
      </c>
      <c r="S434" s="23" t="n">
        <f>IF(J434&gt;0,MAX(L434-J434,0),L434)</f>
        <v>0</v>
      </c>
    </row>
    <row r="435">
      <c r="A435" s="19" t="str">
        <v>德国区</v>
      </c>
      <c r="B435" s="19" t="str">
        <v>杜塞尔多夫9号仓</v>
      </c>
      <c r="C435" s="19" t="str">
        <v>入库组</v>
      </c>
      <c r="D435" s="21" t="n">
        <v>46168</v>
      </c>
      <c r="E435" s="19" t="str">
        <v>2026-05</v>
      </c>
      <c r="F435" s="19" t="str">
        <v>操作员</v>
      </c>
      <c r="G435" s="19" t="str">
        <v>德国区-灵活班次 / DE FLEX</v>
      </c>
      <c r="H435" s="23" t="n">
        <v>0</v>
      </c>
      <c r="I435" s="23" t="n">
        <v>0</v>
      </c>
      <c r="J435" s="23" t="n">
        <f>H435+I435</f>
        <v>0</v>
      </c>
      <c r="K435" s="23" t="n">
        <v>1</v>
      </c>
      <c r="L435" s="23" t="n">
        <v>0</v>
      </c>
      <c r="M435" s="23" t="n">
        <f>MIN(K435,J435)</f>
        <v>0</v>
      </c>
      <c r="N435" s="23" t="n">
        <f>MIN(L435,J435)</f>
        <v>0</v>
      </c>
      <c r="O435" s="25" t="n">
        <f>IF(K435=0,0,MIN(1,J435/K435))</f>
        <v>0</v>
      </c>
      <c r="P435" s="23" t="n">
        <f>IF(J435&gt;0,MAX(K435-J435,0),0)</f>
        <v>0</v>
      </c>
      <c r="Q435" s="23" t="n">
        <f>IF(J435=0,K435,0)</f>
        <v>1</v>
      </c>
      <c r="R435" s="23" t="n">
        <f>MAX(J435-K435,0)</f>
        <v>0</v>
      </c>
      <c r="S435" s="23" t="n">
        <f>IF(J435&gt;0,MAX(L435-J435,0),L435)</f>
        <v>0</v>
      </c>
    </row>
    <row r="436">
      <c r="A436" s="19" t="str">
        <v>德国区</v>
      </c>
      <c r="B436" s="19" t="str">
        <v>杜塞尔多夫9号仓</v>
      </c>
      <c r="C436" s="19" t="str">
        <v>入库组</v>
      </c>
      <c r="D436" s="21" t="n">
        <v>46169</v>
      </c>
      <c r="E436" s="19" t="str">
        <v>2026-05</v>
      </c>
      <c r="F436" s="19" t="str">
        <v>操作员</v>
      </c>
      <c r="G436" s="19" t="str">
        <v>德国区-灵活班次 / DE FLEX</v>
      </c>
      <c r="H436" s="23" t="n">
        <v>0</v>
      </c>
      <c r="I436" s="23" t="n">
        <v>0</v>
      </c>
      <c r="J436" s="23" t="n">
        <f>H436+I436</f>
        <v>0</v>
      </c>
      <c r="K436" s="23" t="n">
        <v>1</v>
      </c>
      <c r="L436" s="23" t="n">
        <v>0</v>
      </c>
      <c r="M436" s="23" t="n">
        <f>MIN(K436,J436)</f>
        <v>0</v>
      </c>
      <c r="N436" s="23" t="n">
        <f>MIN(L436,J436)</f>
        <v>0</v>
      </c>
      <c r="O436" s="25" t="n">
        <f>IF(K436=0,0,MIN(1,J436/K436))</f>
        <v>0</v>
      </c>
      <c r="P436" s="23" t="n">
        <f>IF(J436&gt;0,MAX(K436-J436,0),0)</f>
        <v>0</v>
      </c>
      <c r="Q436" s="23" t="n">
        <f>IF(J436=0,K436,0)</f>
        <v>1</v>
      </c>
      <c r="R436" s="23" t="n">
        <f>MAX(J436-K436,0)</f>
        <v>0</v>
      </c>
      <c r="S436" s="23" t="n">
        <f>IF(J436&gt;0,MAX(L436-J436,0),L436)</f>
        <v>0</v>
      </c>
    </row>
    <row r="437">
      <c r="A437" s="19" t="str">
        <v>德国区</v>
      </c>
      <c r="B437" s="19" t="str">
        <v>杜塞尔多夫9号仓</v>
      </c>
      <c r="C437" s="19" t="str">
        <v>入库组</v>
      </c>
      <c r="D437" s="21" t="n">
        <v>46170</v>
      </c>
      <c r="E437" s="19" t="str">
        <v>2026-05</v>
      </c>
      <c r="F437" s="19" t="str">
        <v>操作员</v>
      </c>
      <c r="G437" s="19" t="str">
        <v>德国区-灵活班次 / DE FLEX</v>
      </c>
      <c r="H437" s="23" t="n">
        <v>0</v>
      </c>
      <c r="I437" s="23" t="n">
        <v>0</v>
      </c>
      <c r="J437" s="23" t="n">
        <f>H437+I437</f>
        <v>0</v>
      </c>
      <c r="K437" s="23" t="n">
        <v>1</v>
      </c>
      <c r="L437" s="23" t="n">
        <v>1</v>
      </c>
      <c r="M437" s="23" t="n">
        <f>MIN(K437,J437)</f>
        <v>0</v>
      </c>
      <c r="N437" s="23" t="n">
        <f>MIN(L437,J437)</f>
        <v>0</v>
      </c>
      <c r="O437" s="25" t="n">
        <f>IF(K437=0,0,MIN(1,J437/K437))</f>
        <v>0</v>
      </c>
      <c r="P437" s="23" t="n">
        <f>IF(J437&gt;0,MAX(K437-J437,0),0)</f>
        <v>0</v>
      </c>
      <c r="Q437" s="23" t="n">
        <f>IF(J437=0,K437,0)</f>
        <v>1</v>
      </c>
      <c r="R437" s="23" t="n">
        <f>MAX(J437-K437,0)</f>
        <v>0</v>
      </c>
      <c r="S437" s="23" t="n">
        <f>IF(J437&gt;0,MAX(L437-J437,0),L437)</f>
        <v>1</v>
      </c>
    </row>
    <row r="438">
      <c r="A438" s="19" t="str">
        <v>德国区</v>
      </c>
      <c r="B438" s="19" t="str">
        <v>杜塞尔多夫9号仓</v>
      </c>
      <c r="C438" s="19" t="str">
        <v>入库组</v>
      </c>
      <c r="D438" s="21" t="n">
        <v>46171</v>
      </c>
      <c r="E438" s="19" t="str">
        <v>2026-05</v>
      </c>
      <c r="F438" s="19" t="str">
        <v>操作员</v>
      </c>
      <c r="G438" s="19" t="str">
        <v>德国区-灵活班次 / DE FLEX</v>
      </c>
      <c r="H438" s="23" t="n">
        <v>0</v>
      </c>
      <c r="I438" s="23" t="n">
        <v>0</v>
      </c>
      <c r="J438" s="23" t="n">
        <f>H438+I438</f>
        <v>0</v>
      </c>
      <c r="K438" s="23" t="n">
        <v>1</v>
      </c>
      <c r="L438" s="23" t="n">
        <v>0</v>
      </c>
      <c r="M438" s="23" t="n">
        <f>MIN(K438,J438)</f>
        <v>0</v>
      </c>
      <c r="N438" s="23" t="n">
        <f>MIN(L438,J438)</f>
        <v>0</v>
      </c>
      <c r="O438" s="25" t="n">
        <f>IF(K438=0,0,MIN(1,J438/K438))</f>
        <v>0</v>
      </c>
      <c r="P438" s="23" t="n">
        <f>IF(J438&gt;0,MAX(K438-J438,0),0)</f>
        <v>0</v>
      </c>
      <c r="Q438" s="23" t="n">
        <f>IF(J438=0,K438,0)</f>
        <v>1</v>
      </c>
      <c r="R438" s="23" t="n">
        <f>MAX(J438-K438,0)</f>
        <v>0</v>
      </c>
      <c r="S438" s="23" t="n">
        <f>IF(J438&gt;0,MAX(L438-J438,0),L438)</f>
        <v>0</v>
      </c>
    </row>
    <row r="439">
      <c r="A439" s="19" t="str">
        <v>德国区</v>
      </c>
      <c r="B439" s="19" t="str">
        <v>杜塞尔多夫9号仓</v>
      </c>
      <c r="C439" s="19" t="str">
        <v>入库组</v>
      </c>
      <c r="D439" s="21" t="n">
        <v>46172</v>
      </c>
      <c r="E439" s="19" t="str">
        <v>2026-05</v>
      </c>
      <c r="F439" s="19" t="str">
        <v>操作员</v>
      </c>
      <c r="G439" s="19" t="str">
        <v>德国区-灵活班次 / DE FLEX</v>
      </c>
      <c r="H439" s="23" t="n">
        <v>0</v>
      </c>
      <c r="I439" s="23" t="n">
        <v>0</v>
      </c>
      <c r="J439" s="23" t="n">
        <f>H439+I439</f>
        <v>0</v>
      </c>
      <c r="K439" s="23" t="n">
        <v>1</v>
      </c>
      <c r="L439" s="23" t="n">
        <v>0</v>
      </c>
      <c r="M439" s="23" t="n">
        <f>MIN(K439,J439)</f>
        <v>0</v>
      </c>
      <c r="N439" s="23" t="n">
        <f>MIN(L439,J439)</f>
        <v>0</v>
      </c>
      <c r="O439" s="25" t="n">
        <f>IF(K439=0,0,MIN(1,J439/K439))</f>
        <v>0</v>
      </c>
      <c r="P439" s="23" t="n">
        <f>IF(J439&gt;0,MAX(K439-J439,0),0)</f>
        <v>0</v>
      </c>
      <c r="Q439" s="23" t="n">
        <f>IF(J439=0,K439,0)</f>
        <v>1</v>
      </c>
      <c r="R439" s="23" t="n">
        <f>MAX(J439-K439,0)</f>
        <v>0</v>
      </c>
      <c r="S439" s="23" t="n">
        <f>IF(J439&gt;0,MAX(L439-J439,0),L439)</f>
        <v>0</v>
      </c>
    </row>
    <row r="440">
      <c r="A440" s="19" t="str">
        <v>德国区</v>
      </c>
      <c r="B440" s="19" t="str">
        <v>杜塞尔多夫9号仓</v>
      </c>
      <c r="C440" s="19" t="str">
        <v>入库组</v>
      </c>
      <c r="D440" s="21" t="n">
        <v>46196</v>
      </c>
      <c r="E440" s="19" t="str">
        <v>2026-06</v>
      </c>
      <c r="F440" s="19" t="str">
        <v>操作员</v>
      </c>
      <c r="G440" s="19" t="str">
        <v>德国区-灵活班次 / DE FLEX</v>
      </c>
      <c r="H440" s="23" t="n">
        <v>5</v>
      </c>
      <c r="I440" s="23" t="n">
        <v>0</v>
      </c>
      <c r="J440" s="23" t="n">
        <f>H440+I440</f>
        <v>5</v>
      </c>
      <c r="K440" s="23" t="n">
        <v>6</v>
      </c>
      <c r="L440" s="23" t="n">
        <v>6</v>
      </c>
      <c r="M440" s="23" t="n">
        <f>MIN(K440,J440)</f>
        <v>5</v>
      </c>
      <c r="N440" s="23" t="n">
        <f>MIN(L440,J440)</f>
        <v>5</v>
      </c>
      <c r="O440" s="25" t="n">
        <f>IF(K440=0,0,MIN(1,J440/K440))</f>
        <v>0.8333333333333334</v>
      </c>
      <c r="P440" s="23" t="n">
        <f>IF(J440&gt;0,MAX(K440-J440,0),0)</f>
        <v>1</v>
      </c>
      <c r="Q440" s="23" t="n">
        <f>IF(J440=0,K440,0)</f>
        <v>0</v>
      </c>
      <c r="R440" s="23" t="n">
        <f>MAX(J440-K440,0)</f>
        <v>0</v>
      </c>
      <c r="S440" s="23" t="n">
        <f>IF(J440&gt;0,MAX(L440-J440,0),L440)</f>
        <v>1</v>
      </c>
    </row>
    <row r="441">
      <c r="A441" s="19" t="str">
        <v>德国区</v>
      </c>
      <c r="B441" s="19" t="str">
        <v>杜塞尔多夫9号仓</v>
      </c>
      <c r="C441" s="19" t="str">
        <v>包装组</v>
      </c>
      <c r="D441" s="21" t="n">
        <v>46149</v>
      </c>
      <c r="E441" s="19" t="str">
        <v>2026-05</v>
      </c>
      <c r="F441" s="19" t="str">
        <v>操作员</v>
      </c>
      <c r="G441" s="19" t="str">
        <v>德国区-灵活班次 / DE FLEX</v>
      </c>
      <c r="H441" s="23" t="n">
        <v>5</v>
      </c>
      <c r="I441" s="23" t="n">
        <v>0</v>
      </c>
      <c r="J441" s="23" t="n">
        <f>H441+I441</f>
        <v>5</v>
      </c>
      <c r="K441" s="23" t="n">
        <v>5</v>
      </c>
      <c r="L441" s="23" t="n">
        <v>4</v>
      </c>
      <c r="M441" s="23" t="n">
        <f>MIN(K441,J441)</f>
        <v>5</v>
      </c>
      <c r="N441" s="23" t="n">
        <f>MIN(L441,J441)</f>
        <v>4</v>
      </c>
      <c r="O441" s="25" t="n">
        <f>IF(K441=0,0,MIN(1,J441/K441))</f>
        <v>1</v>
      </c>
      <c r="P441" s="23" t="n">
        <f>IF(J441&gt;0,MAX(K441-J441,0),0)</f>
        <v>0</v>
      </c>
      <c r="Q441" s="23" t="n">
        <f>IF(J441=0,K441,0)</f>
        <v>0</v>
      </c>
      <c r="R441" s="23" t="n">
        <f>MAX(J441-K441,0)</f>
        <v>0</v>
      </c>
      <c r="S441" s="23" t="n">
        <f>IF(J441&gt;0,MAX(L441-J441,0),L441)</f>
        <v>0</v>
      </c>
    </row>
    <row r="442">
      <c r="A442" s="19" t="str">
        <v>德国区</v>
      </c>
      <c r="B442" s="19" t="str">
        <v>杜塞尔多夫9号仓</v>
      </c>
      <c r="C442" s="19" t="str">
        <v>包装组</v>
      </c>
      <c r="D442" s="21" t="n">
        <v>46150</v>
      </c>
      <c r="E442" s="19" t="str">
        <v>2026-05</v>
      </c>
      <c r="F442" s="19" t="str">
        <v>操作员</v>
      </c>
      <c r="G442" s="19" t="str">
        <v>德国区-灵活班次 / DE FLEX</v>
      </c>
      <c r="H442" s="23" t="n">
        <v>4</v>
      </c>
      <c r="I442" s="23" t="n">
        <v>0</v>
      </c>
      <c r="J442" s="23" t="n">
        <f>H442+I442</f>
        <v>4</v>
      </c>
      <c r="K442" s="23" t="n">
        <v>4</v>
      </c>
      <c r="L442" s="23" t="n">
        <v>4</v>
      </c>
      <c r="M442" s="23" t="n">
        <f>MIN(K442,J442)</f>
        <v>4</v>
      </c>
      <c r="N442" s="23" t="n">
        <f>MIN(L442,J442)</f>
        <v>4</v>
      </c>
      <c r="O442" s="25" t="n">
        <f>IF(K442=0,0,MIN(1,J442/K442))</f>
        <v>1</v>
      </c>
      <c r="P442" s="23" t="n">
        <f>IF(J442&gt;0,MAX(K442-J442,0),0)</f>
        <v>0</v>
      </c>
      <c r="Q442" s="23" t="n">
        <f>IF(J442=0,K442,0)</f>
        <v>0</v>
      </c>
      <c r="R442" s="23" t="n">
        <f>MAX(J442-K442,0)</f>
        <v>0</v>
      </c>
      <c r="S442" s="23" t="n">
        <f>IF(J442&gt;0,MAX(L442-J442,0),L442)</f>
        <v>0</v>
      </c>
    </row>
    <row r="443">
      <c r="A443" s="19" t="str">
        <v>德国区</v>
      </c>
      <c r="B443" s="19" t="str">
        <v>杜塞尔多夫9号仓</v>
      </c>
      <c r="C443" s="19" t="str">
        <v>包装组</v>
      </c>
      <c r="D443" s="21" t="n">
        <v>46154</v>
      </c>
      <c r="E443" s="19" t="str">
        <v>2026-05</v>
      </c>
      <c r="F443" s="19" t="str">
        <v>操作员</v>
      </c>
      <c r="G443" s="19" t="str">
        <v>德国区-灵活班次 / DE FLEX</v>
      </c>
      <c r="H443" s="23" t="n">
        <v>2</v>
      </c>
      <c r="I443" s="23" t="n">
        <v>0</v>
      </c>
      <c r="J443" s="23" t="n">
        <f>H443+I443</f>
        <v>2</v>
      </c>
      <c r="K443" s="23" t="n">
        <v>2</v>
      </c>
      <c r="L443" s="23" t="n">
        <v>0</v>
      </c>
      <c r="M443" s="23" t="n">
        <f>MIN(K443,J443)</f>
        <v>2</v>
      </c>
      <c r="N443" s="23" t="n">
        <f>MIN(L443,J443)</f>
        <v>0</v>
      </c>
      <c r="O443" s="25" t="n">
        <f>IF(K443=0,0,MIN(1,J443/K443))</f>
        <v>1</v>
      </c>
      <c r="P443" s="23" t="n">
        <f>IF(J443&gt;0,MAX(K443-J443,0),0)</f>
        <v>0</v>
      </c>
      <c r="Q443" s="23" t="n">
        <f>IF(J443=0,K443,0)</f>
        <v>0</v>
      </c>
      <c r="R443" s="23" t="n">
        <f>MAX(J443-K443,0)</f>
        <v>0</v>
      </c>
      <c r="S443" s="23" t="n">
        <f>IF(J443&gt;0,MAX(L443-J443,0),L443)</f>
        <v>0</v>
      </c>
    </row>
    <row r="444">
      <c r="A444" s="19" t="str">
        <v>德国区</v>
      </c>
      <c r="B444" s="19" t="str">
        <v>杜塞尔多夫9号仓</v>
      </c>
      <c r="C444" s="19" t="str">
        <v>包装组</v>
      </c>
      <c r="D444" s="21" t="n">
        <v>46155</v>
      </c>
      <c r="E444" s="19" t="str">
        <v>2026-05</v>
      </c>
      <c r="F444" s="19" t="str">
        <v>操作员</v>
      </c>
      <c r="G444" s="19" t="str">
        <v>德国区-灵活班次 / DE FLEX</v>
      </c>
      <c r="H444" s="23" t="n">
        <v>2</v>
      </c>
      <c r="I444" s="23" t="n">
        <v>0</v>
      </c>
      <c r="J444" s="23" t="n">
        <f>H444+I444</f>
        <v>2</v>
      </c>
      <c r="K444" s="23" t="n">
        <v>2</v>
      </c>
      <c r="L444" s="23" t="n">
        <v>2</v>
      </c>
      <c r="M444" s="23" t="n">
        <f>MIN(K444,J444)</f>
        <v>2</v>
      </c>
      <c r="N444" s="23" t="n">
        <f>MIN(L444,J444)</f>
        <v>2</v>
      </c>
      <c r="O444" s="25" t="n">
        <f>IF(K444=0,0,MIN(1,J444/K444))</f>
        <v>1</v>
      </c>
      <c r="P444" s="23" t="n">
        <f>IF(J444&gt;0,MAX(K444-J444,0),0)</f>
        <v>0</v>
      </c>
      <c r="Q444" s="23" t="n">
        <f>IF(J444=0,K444,0)</f>
        <v>0</v>
      </c>
      <c r="R444" s="23" t="n">
        <f>MAX(J444-K444,0)</f>
        <v>0</v>
      </c>
      <c r="S444" s="23" t="n">
        <f>IF(J444&gt;0,MAX(L444-J444,0),L444)</f>
        <v>0</v>
      </c>
    </row>
    <row r="445">
      <c r="A445" s="19" t="str">
        <v>德国区</v>
      </c>
      <c r="B445" s="19" t="str">
        <v>杜塞尔多夫9号仓</v>
      </c>
      <c r="C445" s="19" t="str">
        <v>包装组</v>
      </c>
      <c r="D445" s="21" t="n">
        <v>46156</v>
      </c>
      <c r="E445" s="19" t="str">
        <v>2026-05</v>
      </c>
      <c r="F445" s="19" t="str">
        <v>操作员</v>
      </c>
      <c r="G445" s="19" t="str">
        <v>德国区-灵活班次 / DE FLEX</v>
      </c>
      <c r="H445" s="23" t="n">
        <v>2</v>
      </c>
      <c r="I445" s="23" t="n">
        <v>0</v>
      </c>
      <c r="J445" s="23" t="n">
        <f>H445+I445</f>
        <v>2</v>
      </c>
      <c r="K445" s="23" t="n">
        <v>2</v>
      </c>
      <c r="L445" s="23" t="n">
        <v>0</v>
      </c>
      <c r="M445" s="23" t="n">
        <f>MIN(K445,J445)</f>
        <v>2</v>
      </c>
      <c r="N445" s="23" t="n">
        <f>MIN(L445,J445)</f>
        <v>0</v>
      </c>
      <c r="O445" s="25" t="n">
        <f>IF(K445=0,0,MIN(1,J445/K445))</f>
        <v>1</v>
      </c>
      <c r="P445" s="23" t="n">
        <f>IF(J445&gt;0,MAX(K445-J445,0),0)</f>
        <v>0</v>
      </c>
      <c r="Q445" s="23" t="n">
        <f>IF(J445=0,K445,0)</f>
        <v>0</v>
      </c>
      <c r="R445" s="23" t="n">
        <f>MAX(J445-K445,0)</f>
        <v>0</v>
      </c>
      <c r="S445" s="23" t="n">
        <f>IF(J445&gt;0,MAX(L445-J445,0),L445)</f>
        <v>0</v>
      </c>
    </row>
    <row r="446">
      <c r="A446" s="19" t="str">
        <v>德国区</v>
      </c>
      <c r="B446" s="19" t="str">
        <v>杜塞尔多夫9号仓</v>
      </c>
      <c r="C446" s="19" t="str">
        <v>包装组</v>
      </c>
      <c r="D446" s="21" t="n">
        <v>46157</v>
      </c>
      <c r="E446" s="19" t="str">
        <v>2026-05</v>
      </c>
      <c r="F446" s="19" t="str">
        <v>操作员</v>
      </c>
      <c r="G446" s="19" t="str">
        <v>德国区-灵活班次 / DE FLEX</v>
      </c>
      <c r="H446" s="23" t="n">
        <v>2</v>
      </c>
      <c r="I446" s="23" t="n">
        <v>0</v>
      </c>
      <c r="J446" s="23" t="n">
        <f>H446+I446</f>
        <v>2</v>
      </c>
      <c r="K446" s="23" t="n">
        <v>2</v>
      </c>
      <c r="L446" s="23" t="n">
        <v>2</v>
      </c>
      <c r="M446" s="23" t="n">
        <f>MIN(K446,J446)</f>
        <v>2</v>
      </c>
      <c r="N446" s="23" t="n">
        <f>MIN(L446,J446)</f>
        <v>2</v>
      </c>
      <c r="O446" s="25" t="n">
        <f>IF(K446=0,0,MIN(1,J446/K446))</f>
        <v>1</v>
      </c>
      <c r="P446" s="23" t="n">
        <f>IF(J446&gt;0,MAX(K446-J446,0),0)</f>
        <v>0</v>
      </c>
      <c r="Q446" s="23" t="n">
        <f>IF(J446=0,K446,0)</f>
        <v>0</v>
      </c>
      <c r="R446" s="23" t="n">
        <f>MAX(J446-K446,0)</f>
        <v>0</v>
      </c>
      <c r="S446" s="23" t="n">
        <f>IF(J446&gt;0,MAX(L446-J446,0),L446)</f>
        <v>0</v>
      </c>
    </row>
    <row r="447">
      <c r="A447" s="19" t="str">
        <v>德国区</v>
      </c>
      <c r="B447" s="19" t="str">
        <v>杜塞尔多夫9号仓</v>
      </c>
      <c r="C447" s="19" t="str">
        <v>包装组</v>
      </c>
      <c r="D447" s="21" t="n">
        <v>46175</v>
      </c>
      <c r="E447" s="19" t="str">
        <v>2026-06</v>
      </c>
      <c r="F447" s="19" t="str">
        <v>操作员</v>
      </c>
      <c r="G447" s="19" t="str">
        <v>德国区-灵活班次 / DE FLEX</v>
      </c>
      <c r="H447" s="23" t="n">
        <v>5</v>
      </c>
      <c r="I447" s="23" t="n">
        <v>0</v>
      </c>
      <c r="J447" s="23" t="n">
        <f>H447+I447</f>
        <v>5</v>
      </c>
      <c r="K447" s="23" t="n">
        <v>6</v>
      </c>
      <c r="L447" s="23" t="n">
        <v>6</v>
      </c>
      <c r="M447" s="23" t="n">
        <f>MIN(K447,J447)</f>
        <v>5</v>
      </c>
      <c r="N447" s="23" t="n">
        <f>MIN(L447,J447)</f>
        <v>5</v>
      </c>
      <c r="O447" s="25" t="n">
        <f>IF(K447=0,0,MIN(1,J447/K447))</f>
        <v>0.8333333333333334</v>
      </c>
      <c r="P447" s="23" t="n">
        <f>IF(J447&gt;0,MAX(K447-J447,0),0)</f>
        <v>1</v>
      </c>
      <c r="Q447" s="23" t="n">
        <f>IF(J447=0,K447,0)</f>
        <v>0</v>
      </c>
      <c r="R447" s="23" t="n">
        <f>MAX(J447-K447,0)</f>
        <v>0</v>
      </c>
      <c r="S447" s="23" t="n">
        <f>IF(J447&gt;0,MAX(L447-J447,0),L447)</f>
        <v>1</v>
      </c>
    </row>
    <row r="448">
      <c r="A448" s="19" t="str">
        <v>德国区</v>
      </c>
      <c r="B448" s="19" t="str">
        <v>杜塞尔多夫9号仓</v>
      </c>
      <c r="C448" s="19" t="str">
        <v>拣货组</v>
      </c>
      <c r="D448" s="21" t="n">
        <v>46142</v>
      </c>
      <c r="E448" s="19" t="str">
        <v>2026-04</v>
      </c>
      <c r="F448" s="19" t="str">
        <v>操作员</v>
      </c>
      <c r="G448" s="19" t="str">
        <v>德国区-灵活班次 / DE FLEX</v>
      </c>
      <c r="H448" s="23" t="n">
        <v>4</v>
      </c>
      <c r="I448" s="23" t="n">
        <v>0</v>
      </c>
      <c r="J448" s="23" t="n">
        <f>H448+I448</f>
        <v>4</v>
      </c>
      <c r="K448" s="23" t="n">
        <v>4</v>
      </c>
      <c r="L448" s="23" t="n">
        <v>4</v>
      </c>
      <c r="M448" s="23" t="n">
        <f>MIN(K448,J448)</f>
        <v>4</v>
      </c>
      <c r="N448" s="23" t="n">
        <f>MIN(L448,J448)</f>
        <v>4</v>
      </c>
      <c r="O448" s="25" t="n">
        <f>IF(K448=0,0,MIN(1,J448/K448))</f>
        <v>1</v>
      </c>
      <c r="P448" s="23" t="n">
        <f>IF(J448&gt;0,MAX(K448-J448,0),0)</f>
        <v>0</v>
      </c>
      <c r="Q448" s="23" t="n">
        <f>IF(J448=0,K448,0)</f>
        <v>0</v>
      </c>
      <c r="R448" s="23" t="n">
        <f>MAX(J448-K448,0)</f>
        <v>0</v>
      </c>
      <c r="S448" s="23" t="n">
        <f>IF(J448&gt;0,MAX(L448-J448,0),L448)</f>
        <v>0</v>
      </c>
    </row>
    <row r="449">
      <c r="A449" s="19" t="str">
        <v>德国区</v>
      </c>
      <c r="B449" s="19" t="str">
        <v>杜塞尔多夫9号仓</v>
      </c>
      <c r="C449" s="19" t="str">
        <v>拣货组</v>
      </c>
      <c r="D449" s="21" t="n">
        <v>46163</v>
      </c>
      <c r="E449" s="19" t="str">
        <v>2026-05</v>
      </c>
      <c r="F449" s="19" t="str">
        <v>操作员</v>
      </c>
      <c r="G449" s="19" t="str">
        <v>德国区-灵活班次 / DE FLEX</v>
      </c>
      <c r="H449" s="23" t="n">
        <v>1</v>
      </c>
      <c r="I449" s="23" t="n">
        <v>0</v>
      </c>
      <c r="J449" s="23" t="n">
        <f>H449+I449</f>
        <v>1</v>
      </c>
      <c r="K449" s="23" t="n">
        <v>1</v>
      </c>
      <c r="L449" s="23" t="n">
        <v>1</v>
      </c>
      <c r="M449" s="23" t="n">
        <f>MIN(K449,J449)</f>
        <v>1</v>
      </c>
      <c r="N449" s="23" t="n">
        <f>MIN(L449,J449)</f>
        <v>1</v>
      </c>
      <c r="O449" s="25" t="n">
        <f>IF(K449=0,0,MIN(1,J449/K449))</f>
        <v>1</v>
      </c>
      <c r="P449" s="23" t="n">
        <f>IF(J449&gt;0,MAX(K449-J449,0),0)</f>
        <v>0</v>
      </c>
      <c r="Q449" s="23" t="n">
        <f>IF(J449=0,K449,0)</f>
        <v>0</v>
      </c>
      <c r="R449" s="23" t="n">
        <f>MAX(J449-K449,0)</f>
        <v>0</v>
      </c>
      <c r="S449" s="23" t="n">
        <f>IF(J449&gt;0,MAX(L449-J449,0),L449)</f>
        <v>0</v>
      </c>
    </row>
    <row r="450">
      <c r="A450" s="19" t="str">
        <v>德国区</v>
      </c>
      <c r="B450" s="19" t="str">
        <v>杜塞尔多夫9号仓</v>
      </c>
      <c r="C450" s="19" t="str">
        <v>拣货组</v>
      </c>
      <c r="D450" s="21" t="n">
        <v>46203</v>
      </c>
      <c r="E450" s="19" t="str">
        <v>2026-06</v>
      </c>
      <c r="F450" s="19" t="str">
        <v>操作员</v>
      </c>
      <c r="G450" s="19" t="str">
        <v>德国区-灵活班次 / DE FLEX</v>
      </c>
      <c r="H450" s="23" t="n">
        <v>5</v>
      </c>
      <c r="I450" s="23" t="n">
        <v>0</v>
      </c>
      <c r="J450" s="23" t="n">
        <f>H450+I450</f>
        <v>5</v>
      </c>
      <c r="K450" s="23" t="n">
        <v>5</v>
      </c>
      <c r="L450" s="23" t="n">
        <v>2</v>
      </c>
      <c r="M450" s="23" t="n">
        <f>MIN(K450,J450)</f>
        <v>5</v>
      </c>
      <c r="N450" s="23" t="n">
        <f>MIN(L450,J450)</f>
        <v>2</v>
      </c>
      <c r="O450" s="25" t="n">
        <f>IF(K450=0,0,MIN(1,J450/K450))</f>
        <v>1</v>
      </c>
      <c r="P450" s="23" t="n">
        <f>IF(J450&gt;0,MAX(K450-J450,0),0)</f>
        <v>0</v>
      </c>
      <c r="Q450" s="23" t="n">
        <f>IF(J450=0,K450,0)</f>
        <v>0</v>
      </c>
      <c r="R450" s="23" t="n">
        <f>MAX(J450-K450,0)</f>
        <v>0</v>
      </c>
      <c r="S450" s="23" t="n">
        <f>IF(J450&gt;0,MAX(L450-J450,0),L450)</f>
        <v>0</v>
      </c>
    </row>
    <row r="451">
      <c r="A451" s="19" t="str">
        <v>德国区</v>
      </c>
      <c r="B451" s="19" t="str">
        <v>杜塞尔多夫9号仓</v>
      </c>
      <c r="C451" s="19" t="str">
        <v>理货组</v>
      </c>
      <c r="D451" s="21" t="n">
        <v>46140</v>
      </c>
      <c r="E451" s="19" t="str">
        <v>2026-04</v>
      </c>
      <c r="F451" s="19" t="str">
        <v>操作员</v>
      </c>
      <c r="G451" s="19" t="str">
        <v>德国区-灵活班次 / DE FLEX</v>
      </c>
      <c r="H451" s="23" t="n">
        <v>2</v>
      </c>
      <c r="I451" s="23" t="n">
        <v>0</v>
      </c>
      <c r="J451" s="23" t="n">
        <f>H451+I451</f>
        <v>2</v>
      </c>
      <c r="K451" s="23" t="n">
        <v>2</v>
      </c>
      <c r="L451" s="23" t="n">
        <v>2</v>
      </c>
      <c r="M451" s="23" t="n">
        <f>MIN(K451,J451)</f>
        <v>2</v>
      </c>
      <c r="N451" s="23" t="n">
        <f>MIN(L451,J451)</f>
        <v>2</v>
      </c>
      <c r="O451" s="25" t="n">
        <f>IF(K451=0,0,MIN(1,J451/K451))</f>
        <v>1</v>
      </c>
      <c r="P451" s="23" t="n">
        <f>IF(J451&gt;0,MAX(K451-J451,0),0)</f>
        <v>0</v>
      </c>
      <c r="Q451" s="23" t="n">
        <f>IF(J451=0,K451,0)</f>
        <v>0</v>
      </c>
      <c r="R451" s="23" t="n">
        <f>MAX(J451-K451,0)</f>
        <v>0</v>
      </c>
      <c r="S451" s="23" t="n">
        <f>IF(J451&gt;0,MAX(L451-J451,0),L451)</f>
        <v>0</v>
      </c>
    </row>
    <row r="452">
      <c r="A452" s="19" t="str">
        <v>德国区</v>
      </c>
      <c r="B452" s="19" t="str">
        <v>杜塞尔多夫9号仓</v>
      </c>
      <c r="C452" s="19" t="str">
        <v>理货组</v>
      </c>
      <c r="D452" s="21" t="n">
        <v>46146</v>
      </c>
      <c r="E452" s="19" t="str">
        <v>2026-05</v>
      </c>
      <c r="F452" s="19" t="str">
        <v>操作员</v>
      </c>
      <c r="G452" s="19" t="str">
        <v>德国区-灵活班次 / DE FLEX</v>
      </c>
      <c r="H452" s="23" t="n">
        <v>4</v>
      </c>
      <c r="I452" s="23" t="n">
        <v>0</v>
      </c>
      <c r="J452" s="23" t="n">
        <f>H452+I452</f>
        <v>4</v>
      </c>
      <c r="K452" s="23" t="n">
        <v>4</v>
      </c>
      <c r="L452" s="23" t="n">
        <v>2</v>
      </c>
      <c r="M452" s="23" t="n">
        <f>MIN(K452,J452)</f>
        <v>4</v>
      </c>
      <c r="N452" s="23" t="n">
        <f>MIN(L452,J452)</f>
        <v>2</v>
      </c>
      <c r="O452" s="25" t="n">
        <f>IF(K452=0,0,MIN(1,J452/K452))</f>
        <v>1</v>
      </c>
      <c r="P452" s="23" t="n">
        <f>IF(J452&gt;0,MAX(K452-J452,0),0)</f>
        <v>0</v>
      </c>
      <c r="Q452" s="23" t="n">
        <f>IF(J452=0,K452,0)</f>
        <v>0</v>
      </c>
      <c r="R452" s="23" t="n">
        <f>MAX(J452-K452,0)</f>
        <v>0</v>
      </c>
      <c r="S452" s="23" t="n">
        <f>IF(J452&gt;0,MAX(L452-J452,0),L452)</f>
        <v>0</v>
      </c>
    </row>
    <row r="453">
      <c r="A453" s="19" t="str">
        <v>德国区</v>
      </c>
      <c r="B453" s="19" t="str">
        <v>杜塞尔多夫9号仓</v>
      </c>
      <c r="C453" s="19" t="str">
        <v>理货组</v>
      </c>
      <c r="D453" s="21" t="n">
        <v>46154</v>
      </c>
      <c r="E453" s="19" t="str">
        <v>2026-05</v>
      </c>
      <c r="F453" s="19" t="str">
        <v>操作员</v>
      </c>
      <c r="G453" s="19" t="str">
        <v>德国区-灵活班次 / DE FLEX</v>
      </c>
      <c r="H453" s="23" t="n">
        <v>5</v>
      </c>
      <c r="I453" s="23" t="n">
        <v>0</v>
      </c>
      <c r="J453" s="23" t="n">
        <f>H453+I453</f>
        <v>5</v>
      </c>
      <c r="K453" s="23" t="n">
        <v>5</v>
      </c>
      <c r="L453" s="23" t="n">
        <v>5</v>
      </c>
      <c r="M453" s="23" t="n">
        <f>MIN(K453,J453)</f>
        <v>5</v>
      </c>
      <c r="N453" s="23" t="n">
        <f>MIN(L453,J453)</f>
        <v>5</v>
      </c>
      <c r="O453" s="25" t="n">
        <f>IF(K453=0,0,MIN(1,J453/K453))</f>
        <v>1</v>
      </c>
      <c r="P453" s="23" t="n">
        <f>IF(J453&gt;0,MAX(K453-J453,0),0)</f>
        <v>0</v>
      </c>
      <c r="Q453" s="23" t="n">
        <f>IF(J453=0,K453,0)</f>
        <v>0</v>
      </c>
      <c r="R453" s="23" t="n">
        <f>MAX(J453-K453,0)</f>
        <v>0</v>
      </c>
      <c r="S453" s="23" t="n">
        <f>IF(J453&gt;0,MAX(L453-J453,0),L453)</f>
        <v>0</v>
      </c>
    </row>
    <row r="454">
      <c r="A454" s="19" t="str">
        <v>德国区</v>
      </c>
      <c r="B454" s="19" t="str">
        <v>杜塞尔多夫9号仓</v>
      </c>
      <c r="C454" s="19" t="str">
        <v>理货组</v>
      </c>
      <c r="D454" s="21" t="n">
        <v>46195</v>
      </c>
      <c r="E454" s="19" t="str">
        <v>2026-06</v>
      </c>
      <c r="F454" s="19" t="str">
        <v>操作员</v>
      </c>
      <c r="G454" s="19" t="str">
        <v>德国区-灵活班次 / DE FLEX</v>
      </c>
      <c r="H454" s="23" t="n">
        <v>3</v>
      </c>
      <c r="I454" s="23" t="n">
        <v>0</v>
      </c>
      <c r="J454" s="23" t="n">
        <f>H454+I454</f>
        <v>3</v>
      </c>
      <c r="K454" s="23" t="n">
        <v>3</v>
      </c>
      <c r="L454" s="23" t="n">
        <v>3</v>
      </c>
      <c r="M454" s="23" t="n">
        <f>MIN(K454,J454)</f>
        <v>3</v>
      </c>
      <c r="N454" s="23" t="n">
        <f>MIN(L454,J454)</f>
        <v>3</v>
      </c>
      <c r="O454" s="25" t="n">
        <f>IF(K454=0,0,MIN(1,J454/K454))</f>
        <v>1</v>
      </c>
      <c r="P454" s="23" t="n">
        <f>IF(J454&gt;0,MAX(K454-J454,0),0)</f>
        <v>0</v>
      </c>
      <c r="Q454" s="23" t="n">
        <f>IF(J454=0,K454,0)</f>
        <v>0</v>
      </c>
      <c r="R454" s="23" t="n">
        <f>MAX(J454-K454,0)</f>
        <v>0</v>
      </c>
      <c r="S454" s="23" t="n">
        <f>IF(J454&gt;0,MAX(L454-J454,0),L454)</f>
        <v>0</v>
      </c>
    </row>
    <row r="455">
      <c r="A455" s="19" t="str">
        <v>德国区</v>
      </c>
      <c r="B455" s="19" t="str">
        <v>杜塞尔多夫9号仓</v>
      </c>
      <c r="C455" s="19" t="str">
        <v>理货组</v>
      </c>
      <c r="D455" s="21" t="n">
        <v>46196</v>
      </c>
      <c r="E455" s="19" t="str">
        <v>2026-06</v>
      </c>
      <c r="F455" s="19" t="str">
        <v>操作员</v>
      </c>
      <c r="G455" s="19" t="str">
        <v>德国区-灵活班次 / DE FLEX</v>
      </c>
      <c r="H455" s="23" t="n">
        <v>3</v>
      </c>
      <c r="I455" s="23" t="n">
        <v>0</v>
      </c>
      <c r="J455" s="23" t="n">
        <f>H455+I455</f>
        <v>3</v>
      </c>
      <c r="K455" s="23" t="n">
        <v>3</v>
      </c>
      <c r="L455" s="23" t="n">
        <v>3</v>
      </c>
      <c r="M455" s="23" t="n">
        <f>MIN(K455,J455)</f>
        <v>3</v>
      </c>
      <c r="N455" s="23" t="n">
        <f>MIN(L455,J455)</f>
        <v>3</v>
      </c>
      <c r="O455" s="25" t="n">
        <f>IF(K455=0,0,MIN(1,J455/K455))</f>
        <v>1</v>
      </c>
      <c r="P455" s="23" t="n">
        <f>IF(J455&gt;0,MAX(K455-J455,0),0)</f>
        <v>0</v>
      </c>
      <c r="Q455" s="23" t="n">
        <f>IF(J455=0,K455,0)</f>
        <v>0</v>
      </c>
      <c r="R455" s="23" t="n">
        <f>MAX(J455-K455,0)</f>
        <v>0</v>
      </c>
      <c r="S455" s="23" t="n">
        <f>IF(J455&gt;0,MAX(L455-J455,0),L455)</f>
        <v>0</v>
      </c>
    </row>
    <row r="456">
      <c r="A456" s="19" t="str">
        <v>德国区</v>
      </c>
      <c r="B456" s="19" t="str">
        <v>杜塞尔多夫9号仓</v>
      </c>
      <c r="C456" s="19" t="str">
        <v>理货组</v>
      </c>
      <c r="D456" s="21" t="n">
        <v>46197</v>
      </c>
      <c r="E456" s="19" t="str">
        <v>2026-06</v>
      </c>
      <c r="F456" s="19" t="str">
        <v>操作员</v>
      </c>
      <c r="G456" s="19" t="str">
        <v>德国区-灵活班次 / DE FLEX</v>
      </c>
      <c r="H456" s="23" t="n">
        <v>3</v>
      </c>
      <c r="I456" s="23" t="n">
        <v>0</v>
      </c>
      <c r="J456" s="23" t="n">
        <f>H456+I456</f>
        <v>3</v>
      </c>
      <c r="K456" s="23" t="n">
        <v>3</v>
      </c>
      <c r="L456" s="23" t="n">
        <v>3</v>
      </c>
      <c r="M456" s="23" t="n">
        <f>MIN(K456,J456)</f>
        <v>3</v>
      </c>
      <c r="N456" s="23" t="n">
        <f>MIN(L456,J456)</f>
        <v>3</v>
      </c>
      <c r="O456" s="25" t="n">
        <f>IF(K456=0,0,MIN(1,J456/K456))</f>
        <v>1</v>
      </c>
      <c r="P456" s="23" t="n">
        <f>IF(J456&gt;0,MAX(K456-J456,0),0)</f>
        <v>0</v>
      </c>
      <c r="Q456" s="23" t="n">
        <f>IF(J456=0,K456,0)</f>
        <v>0</v>
      </c>
      <c r="R456" s="23" t="n">
        <f>MAX(J456-K456,0)</f>
        <v>0</v>
      </c>
      <c r="S456" s="23" t="n">
        <f>IF(J456&gt;0,MAX(L456-J456,0),L456)</f>
        <v>0</v>
      </c>
    </row>
    <row r="457">
      <c r="A457" s="19" t="str">
        <v>德国区</v>
      </c>
      <c r="B457" s="19" t="str">
        <v>杜塞尔多夫9号仓</v>
      </c>
      <c r="C457" s="19" t="str">
        <v>理货组</v>
      </c>
      <c r="D457" s="21" t="n">
        <v>46198</v>
      </c>
      <c r="E457" s="19" t="str">
        <v>2026-06</v>
      </c>
      <c r="F457" s="19" t="str">
        <v>操作员</v>
      </c>
      <c r="G457" s="19" t="str">
        <v>德国区-灵活班次 / DE FLEX</v>
      </c>
      <c r="H457" s="23" t="n">
        <v>3</v>
      </c>
      <c r="I457" s="23" t="n">
        <v>0</v>
      </c>
      <c r="J457" s="23" t="n">
        <f>H457+I457</f>
        <v>3</v>
      </c>
      <c r="K457" s="23" t="n">
        <v>3</v>
      </c>
      <c r="L457" s="23" t="n">
        <v>3</v>
      </c>
      <c r="M457" s="23" t="n">
        <f>MIN(K457,J457)</f>
        <v>3</v>
      </c>
      <c r="N457" s="23" t="n">
        <f>MIN(L457,J457)</f>
        <v>3</v>
      </c>
      <c r="O457" s="25" t="n">
        <f>IF(K457=0,0,MIN(1,J457/K457))</f>
        <v>1</v>
      </c>
      <c r="P457" s="23" t="n">
        <f>IF(J457&gt;0,MAX(K457-J457,0),0)</f>
        <v>0</v>
      </c>
      <c r="Q457" s="23" t="n">
        <f>IF(J457=0,K457,0)</f>
        <v>0</v>
      </c>
      <c r="R457" s="23" t="n">
        <f>MAX(J457-K457,0)</f>
        <v>0</v>
      </c>
      <c r="S457" s="23" t="n">
        <f>IF(J457&gt;0,MAX(L457-J457,0),L457)</f>
        <v>0</v>
      </c>
    </row>
    <row r="458">
      <c r="A458" s="19" t="str">
        <v>德国区</v>
      </c>
      <c r="B458" s="19" t="str">
        <v>杜塞尔多夫9号仓</v>
      </c>
      <c r="C458" s="19" t="str">
        <v>理货组</v>
      </c>
      <c r="D458" s="21" t="n">
        <v>46199</v>
      </c>
      <c r="E458" s="19" t="str">
        <v>2026-06</v>
      </c>
      <c r="F458" s="19" t="str">
        <v>操作员</v>
      </c>
      <c r="G458" s="19" t="str">
        <v>德国区-灵活班次 / DE FLEX</v>
      </c>
      <c r="H458" s="23" t="n">
        <v>3</v>
      </c>
      <c r="I458" s="23" t="n">
        <v>0</v>
      </c>
      <c r="J458" s="23" t="n">
        <f>H458+I458</f>
        <v>3</v>
      </c>
      <c r="K458" s="23" t="n">
        <v>3</v>
      </c>
      <c r="L458" s="23" t="n">
        <v>3</v>
      </c>
      <c r="M458" s="23" t="n">
        <f>MIN(K458,J458)</f>
        <v>3</v>
      </c>
      <c r="N458" s="23" t="n">
        <f>MIN(L458,J458)</f>
        <v>3</v>
      </c>
      <c r="O458" s="25" t="n">
        <f>IF(K458=0,0,MIN(1,J458/K458))</f>
        <v>1</v>
      </c>
      <c r="P458" s="23" t="n">
        <f>IF(J458&gt;0,MAX(K458-J458,0),0)</f>
        <v>0</v>
      </c>
      <c r="Q458" s="23" t="n">
        <f>IF(J458=0,K458,0)</f>
        <v>0</v>
      </c>
      <c r="R458" s="23" t="n">
        <f>MAX(J458-K458,0)</f>
        <v>0</v>
      </c>
      <c r="S458" s="23" t="n">
        <f>IF(J458&gt;0,MAX(L458-J458,0),L458)</f>
        <v>0</v>
      </c>
    </row>
    <row r="459">
      <c r="A459" s="19" t="str">
        <v>德国区</v>
      </c>
      <c r="B459" s="19" t="str">
        <v>杜塞尔多夫9号仓</v>
      </c>
      <c r="C459" s="19" t="str">
        <v>理货组</v>
      </c>
      <c r="D459" s="21" t="n">
        <v>46200</v>
      </c>
      <c r="E459" s="19" t="str">
        <v>2026-06</v>
      </c>
      <c r="F459" s="19" t="str">
        <v>操作员</v>
      </c>
      <c r="G459" s="19" t="str">
        <v>德国区-灵活班次 / DE FLEX</v>
      </c>
      <c r="H459" s="23" t="n">
        <v>3</v>
      </c>
      <c r="I459" s="23" t="n">
        <v>0</v>
      </c>
      <c r="J459" s="23" t="n">
        <f>H459+I459</f>
        <v>3</v>
      </c>
      <c r="K459" s="23" t="n">
        <v>3</v>
      </c>
      <c r="L459" s="23" t="n">
        <v>3</v>
      </c>
      <c r="M459" s="23" t="n">
        <f>MIN(K459,J459)</f>
        <v>3</v>
      </c>
      <c r="N459" s="23" t="n">
        <f>MIN(L459,J459)</f>
        <v>3</v>
      </c>
      <c r="O459" s="25" t="n">
        <f>IF(K459=0,0,MIN(1,J459/K459))</f>
        <v>1</v>
      </c>
      <c r="P459" s="23" t="n">
        <f>IF(J459&gt;0,MAX(K459-J459,0),0)</f>
        <v>0</v>
      </c>
      <c r="Q459" s="23" t="n">
        <f>IF(J459=0,K459,0)</f>
        <v>0</v>
      </c>
      <c r="R459" s="23" t="n">
        <f>MAX(J459-K459,0)</f>
        <v>0</v>
      </c>
      <c r="S459" s="23" t="n">
        <f>IF(J459&gt;0,MAX(L459-J459,0),L459)</f>
        <v>0</v>
      </c>
    </row>
    <row r="460">
      <c r="A460" s="19" t="str">
        <v>德国区</v>
      </c>
      <c r="B460" s="19" t="str">
        <v>杜塞尔多夫9号仓</v>
      </c>
      <c r="C460" s="19" t="str">
        <v>理货组</v>
      </c>
      <c r="D460" s="21" t="n">
        <v>46201</v>
      </c>
      <c r="E460" s="19" t="str">
        <v>2026-06</v>
      </c>
      <c r="F460" s="19" t="str">
        <v>操作员</v>
      </c>
      <c r="G460" s="19" t="str">
        <v>德国区-灵活班次 / DE FLEX</v>
      </c>
      <c r="H460" s="23" t="n">
        <v>3</v>
      </c>
      <c r="I460" s="23" t="n">
        <v>0</v>
      </c>
      <c r="J460" s="23" t="n">
        <f>H460+I460</f>
        <v>3</v>
      </c>
      <c r="K460" s="23" t="n">
        <v>3</v>
      </c>
      <c r="L460" s="23" t="n">
        <v>3</v>
      </c>
      <c r="M460" s="23" t="n">
        <f>MIN(K460,J460)</f>
        <v>3</v>
      </c>
      <c r="N460" s="23" t="n">
        <f>MIN(L460,J460)</f>
        <v>3</v>
      </c>
      <c r="O460" s="25" t="n">
        <f>IF(K460=0,0,MIN(1,J460/K460))</f>
        <v>1</v>
      </c>
      <c r="P460" s="23" t="n">
        <f>IF(J460&gt;0,MAX(K460-J460,0),0)</f>
        <v>0</v>
      </c>
      <c r="Q460" s="23" t="n">
        <f>IF(J460=0,K460,0)</f>
        <v>0</v>
      </c>
      <c r="R460" s="23" t="n">
        <f>MAX(J460-K460,0)</f>
        <v>0</v>
      </c>
      <c r="S460" s="23" t="n">
        <f>IF(J460&gt;0,MAX(L460-J460,0),L460)</f>
        <v>0</v>
      </c>
    </row>
    <row r="461">
      <c r="A461" s="19" t="str">
        <v>德国区</v>
      </c>
      <c r="B461" s="19" t="str">
        <v>杜塞尔多夫9号仓</v>
      </c>
      <c r="C461" s="19" t="str">
        <v>理货组</v>
      </c>
      <c r="D461" s="21" t="n">
        <v>46202</v>
      </c>
      <c r="E461" s="19" t="str">
        <v>2026-06</v>
      </c>
      <c r="F461" s="19" t="str">
        <v>操作员</v>
      </c>
      <c r="G461" s="19" t="str">
        <v>德国区-灵活班次 / DE FLEX</v>
      </c>
      <c r="H461" s="23" t="n">
        <v>3</v>
      </c>
      <c r="I461" s="23" t="n">
        <v>0</v>
      </c>
      <c r="J461" s="23" t="n">
        <f>H461+I461</f>
        <v>3</v>
      </c>
      <c r="K461" s="23" t="n">
        <v>3</v>
      </c>
      <c r="L461" s="23" t="n">
        <v>3</v>
      </c>
      <c r="M461" s="23" t="n">
        <f>MIN(K461,J461)</f>
        <v>3</v>
      </c>
      <c r="N461" s="23" t="n">
        <f>MIN(L461,J461)</f>
        <v>3</v>
      </c>
      <c r="O461" s="25" t="n">
        <f>IF(K461=0,0,MIN(1,J461/K461))</f>
        <v>1</v>
      </c>
      <c r="P461" s="23" t="n">
        <f>IF(J461&gt;0,MAX(K461-J461,0),0)</f>
        <v>0</v>
      </c>
      <c r="Q461" s="23" t="n">
        <f>IF(J461=0,K461,0)</f>
        <v>0</v>
      </c>
      <c r="R461" s="23" t="n">
        <f>MAX(J461-K461,0)</f>
        <v>0</v>
      </c>
      <c r="S461" s="23" t="n">
        <f>IF(J461&gt;0,MAX(L461-J461,0),L461)</f>
        <v>0</v>
      </c>
    </row>
    <row r="462">
      <c r="A462" s="19" t="str">
        <v>德国区</v>
      </c>
      <c r="B462" s="19" t="str">
        <v>杜塞尔多夫9号仓</v>
      </c>
      <c r="C462" s="19" t="str">
        <v>理货组</v>
      </c>
      <c r="D462" s="21" t="n">
        <v>46203</v>
      </c>
      <c r="E462" s="19" t="str">
        <v>2026-06</v>
      </c>
      <c r="F462" s="19" t="str">
        <v>操作员</v>
      </c>
      <c r="G462" s="19" t="str">
        <v>德国区-灵活班次 / DE FLEX</v>
      </c>
      <c r="H462" s="23" t="n">
        <v>5</v>
      </c>
      <c r="I462" s="23" t="n">
        <v>0</v>
      </c>
      <c r="J462" s="23" t="n">
        <f>H462+I462</f>
        <v>5</v>
      </c>
      <c r="K462" s="23" t="n">
        <v>5</v>
      </c>
      <c r="L462" s="23" t="n">
        <v>3</v>
      </c>
      <c r="M462" s="23" t="n">
        <f>MIN(K462,J462)</f>
        <v>5</v>
      </c>
      <c r="N462" s="23" t="n">
        <f>MIN(L462,J462)</f>
        <v>3</v>
      </c>
      <c r="O462" s="25" t="n">
        <f>IF(K462=0,0,MIN(1,J462/K462))</f>
        <v>1</v>
      </c>
      <c r="P462" s="23" t="n">
        <f>IF(J462&gt;0,MAX(K462-J462,0),0)</f>
        <v>0</v>
      </c>
      <c r="Q462" s="23" t="n">
        <f>IF(J462=0,K462,0)</f>
        <v>0</v>
      </c>
      <c r="R462" s="23" t="n">
        <f>MAX(J462-K462,0)</f>
        <v>0</v>
      </c>
      <c r="S462" s="23" t="n">
        <f>IF(J462&gt;0,MAX(L462-J462,0),L462)</f>
        <v>0</v>
      </c>
    </row>
    <row r="463">
      <c r="A463" s="19" t="str">
        <v>意大利区</v>
      </c>
      <c r="B463" s="19" t="str">
        <v>米兰1号仓</v>
      </c>
      <c r="C463" s="19" t="str">
        <v>售后组</v>
      </c>
      <c r="D463" s="21" t="n">
        <v>46183</v>
      </c>
      <c r="E463" s="19" t="str">
        <v>2026-06</v>
      </c>
      <c r="F463" s="19" t="str">
        <v>操作员</v>
      </c>
      <c r="G463" s="19" t="str">
        <v>IT 08:00-16:30</v>
      </c>
      <c r="H463" s="23" t="n">
        <v>1</v>
      </c>
      <c r="I463" s="23" t="n">
        <v>0</v>
      </c>
      <c r="J463" s="23" t="n">
        <f>H463+I463</f>
        <v>1</v>
      </c>
      <c r="K463" s="23" t="n">
        <v>1</v>
      </c>
      <c r="L463" s="23" t="n">
        <v>1</v>
      </c>
      <c r="M463" s="23" t="n">
        <f>MIN(K463,J463)</f>
        <v>1</v>
      </c>
      <c r="N463" s="23" t="n">
        <f>MIN(L463,J463)</f>
        <v>1</v>
      </c>
      <c r="O463" s="25" t="n">
        <f>IF(K463=0,0,MIN(1,J463/K463))</f>
        <v>1</v>
      </c>
      <c r="P463" s="23" t="n">
        <f>IF(J463&gt;0,MAX(K463-J463,0),0)</f>
        <v>0</v>
      </c>
      <c r="Q463" s="23" t="n">
        <f>IF(J463=0,K463,0)</f>
        <v>0</v>
      </c>
      <c r="R463" s="23" t="n">
        <f>MAX(J463-K463,0)</f>
        <v>0</v>
      </c>
      <c r="S463" s="23" t="n">
        <f>IF(J463&gt;0,MAX(L463-J463,0),L463)</f>
        <v>0</v>
      </c>
    </row>
    <row r="464">
      <c r="A464" s="19" t="str">
        <v>意大利区</v>
      </c>
      <c r="B464" s="19" t="str">
        <v>米兰1号仓</v>
      </c>
      <c r="C464" s="19" t="str">
        <v>拣货组</v>
      </c>
      <c r="D464" s="21" t="n">
        <v>46168</v>
      </c>
      <c r="E464" s="19" t="str">
        <v>2026-05</v>
      </c>
      <c r="F464" s="19" t="str">
        <v>操作员</v>
      </c>
      <c r="G464" s="19" t="str">
        <v>IT 08:00-16:30</v>
      </c>
      <c r="H464" s="23" t="n">
        <v>1</v>
      </c>
      <c r="I464" s="23" t="n">
        <v>0</v>
      </c>
      <c r="J464" s="23" t="n">
        <f>H464+I464</f>
        <v>1</v>
      </c>
      <c r="K464" s="23" t="n">
        <v>1</v>
      </c>
      <c r="L464" s="23" t="n">
        <v>0</v>
      </c>
      <c r="M464" s="23" t="n">
        <f>MIN(K464,J464)</f>
        <v>1</v>
      </c>
      <c r="N464" s="23" t="n">
        <f>MIN(L464,J464)</f>
        <v>0</v>
      </c>
      <c r="O464" s="25" t="n">
        <f>IF(K464=0,0,MIN(1,J464/K464))</f>
        <v>1</v>
      </c>
      <c r="P464" s="23" t="n">
        <f>IF(J464&gt;0,MAX(K464-J464,0),0)</f>
        <v>0</v>
      </c>
      <c r="Q464" s="23" t="n">
        <f>IF(J464=0,K464,0)</f>
        <v>0</v>
      </c>
      <c r="R464" s="23" t="n">
        <f>MAX(J464-K464,0)</f>
        <v>0</v>
      </c>
      <c r="S464" s="23" t="n">
        <f>IF(J464&gt;0,MAX(L464-J464,0),L464)</f>
        <v>0</v>
      </c>
    </row>
    <row r="465">
      <c r="A465" s="19" t="str">
        <v>意大利区</v>
      </c>
      <c r="B465" s="19" t="str">
        <v>米兰1号仓</v>
      </c>
      <c r="C465" s="19" t="str">
        <v>拣货组</v>
      </c>
      <c r="D465" s="21" t="n">
        <v>46169</v>
      </c>
      <c r="E465" s="19" t="str">
        <v>2026-05</v>
      </c>
      <c r="F465" s="19" t="str">
        <v>操作员</v>
      </c>
      <c r="G465" s="19" t="str">
        <v>IT 08:00-16:30</v>
      </c>
      <c r="H465" s="23" t="n">
        <v>1</v>
      </c>
      <c r="I465" s="23" t="n">
        <v>0</v>
      </c>
      <c r="J465" s="23" t="n">
        <f>H465+I465</f>
        <v>1</v>
      </c>
      <c r="K465" s="23" t="n">
        <v>1</v>
      </c>
      <c r="L465" s="23" t="n">
        <v>0</v>
      </c>
      <c r="M465" s="23" t="n">
        <f>MIN(K465,J465)</f>
        <v>1</v>
      </c>
      <c r="N465" s="23" t="n">
        <f>MIN(L465,J465)</f>
        <v>0</v>
      </c>
      <c r="O465" s="25" t="n">
        <f>IF(K465=0,0,MIN(1,J465/K465))</f>
        <v>1</v>
      </c>
      <c r="P465" s="23" t="n">
        <f>IF(J465&gt;0,MAX(K465-J465,0),0)</f>
        <v>0</v>
      </c>
      <c r="Q465" s="23" t="n">
        <f>IF(J465=0,K465,0)</f>
        <v>0</v>
      </c>
      <c r="R465" s="23" t="n">
        <f>MAX(J465-K465,0)</f>
        <v>0</v>
      </c>
      <c r="S465" s="23" t="n">
        <f>IF(J465&gt;0,MAX(L465-J465,0),L465)</f>
        <v>0</v>
      </c>
    </row>
    <row r="466">
      <c r="A466" s="19" t="str">
        <v>意大利区</v>
      </c>
      <c r="B466" s="19" t="str">
        <v>米兰1号仓</v>
      </c>
      <c r="C466" s="19" t="str">
        <v>拣货组</v>
      </c>
      <c r="D466" s="21" t="n">
        <v>46170</v>
      </c>
      <c r="E466" s="19" t="str">
        <v>2026-05</v>
      </c>
      <c r="F466" s="19" t="str">
        <v>操作员</v>
      </c>
      <c r="G466" s="19" t="str">
        <v>IT 08:00-16:30</v>
      </c>
      <c r="H466" s="23" t="n">
        <v>1</v>
      </c>
      <c r="I466" s="23" t="n">
        <v>0</v>
      </c>
      <c r="J466" s="23" t="n">
        <f>H466+I466</f>
        <v>1</v>
      </c>
      <c r="K466" s="23" t="n">
        <v>1</v>
      </c>
      <c r="L466" s="23" t="n">
        <v>0</v>
      </c>
      <c r="M466" s="23" t="n">
        <f>MIN(K466,J466)</f>
        <v>1</v>
      </c>
      <c r="N466" s="23" t="n">
        <f>MIN(L466,J466)</f>
        <v>0</v>
      </c>
      <c r="O466" s="25" t="n">
        <f>IF(K466=0,0,MIN(1,J466/K466))</f>
        <v>1</v>
      </c>
      <c r="P466" s="23" t="n">
        <f>IF(J466&gt;0,MAX(K466-J466,0),0)</f>
        <v>0</v>
      </c>
      <c r="Q466" s="23" t="n">
        <f>IF(J466=0,K466,0)</f>
        <v>0</v>
      </c>
      <c r="R466" s="23" t="n">
        <f>MAX(J466-K466,0)</f>
        <v>0</v>
      </c>
      <c r="S466" s="23" t="n">
        <f>IF(J466&gt;0,MAX(L466-J466,0),L466)</f>
        <v>0</v>
      </c>
    </row>
    <row r="467">
      <c r="A467" s="19" t="str">
        <v>意大利区</v>
      </c>
      <c r="B467" s="19" t="str">
        <v>米兰1号仓</v>
      </c>
      <c r="C467" s="19" t="str">
        <v>拣货组</v>
      </c>
      <c r="D467" s="21" t="n">
        <v>46171</v>
      </c>
      <c r="E467" s="19" t="str">
        <v>2026-05</v>
      </c>
      <c r="F467" s="19" t="str">
        <v>操作员</v>
      </c>
      <c r="G467" s="19" t="str">
        <v>IT 08:00-16:30</v>
      </c>
      <c r="H467" s="23" t="n">
        <v>1</v>
      </c>
      <c r="I467" s="23" t="n">
        <v>0</v>
      </c>
      <c r="J467" s="23" t="n">
        <f>H467+I467</f>
        <v>1</v>
      </c>
      <c r="K467" s="23" t="n">
        <v>1</v>
      </c>
      <c r="L467" s="23" t="n">
        <v>0</v>
      </c>
      <c r="M467" s="23" t="n">
        <f>MIN(K467,J467)</f>
        <v>1</v>
      </c>
      <c r="N467" s="23" t="n">
        <f>MIN(L467,J467)</f>
        <v>0</v>
      </c>
      <c r="O467" s="25" t="n">
        <f>IF(K467=0,0,MIN(1,J467/K467))</f>
        <v>1</v>
      </c>
      <c r="P467" s="23" t="n">
        <f>IF(J467&gt;0,MAX(K467-J467,0),0)</f>
        <v>0</v>
      </c>
      <c r="Q467" s="23" t="n">
        <f>IF(J467=0,K467,0)</f>
        <v>0</v>
      </c>
      <c r="R467" s="23" t="n">
        <f>MAX(J467-K467,0)</f>
        <v>0</v>
      </c>
      <c r="S467" s="23" t="n">
        <f>IF(J467&gt;0,MAX(L467-J467,0),L467)</f>
        <v>0</v>
      </c>
    </row>
    <row r="468">
      <c r="A468" s="19" t="str">
        <v>意大利区</v>
      </c>
      <c r="B468" s="19" t="str">
        <v>米兰1号仓</v>
      </c>
      <c r="C468" s="19" t="str">
        <v>拣货组</v>
      </c>
      <c r="D468" s="21" t="n">
        <v>46172</v>
      </c>
      <c r="E468" s="19" t="str">
        <v>2026-05</v>
      </c>
      <c r="F468" s="19" t="str">
        <v>操作员</v>
      </c>
      <c r="G468" s="19" t="str">
        <v>IT 08:00-16:30</v>
      </c>
      <c r="H468" s="23" t="n">
        <v>1</v>
      </c>
      <c r="I468" s="23" t="n">
        <v>0</v>
      </c>
      <c r="J468" s="23" t="n">
        <f>H468+I468</f>
        <v>1</v>
      </c>
      <c r="K468" s="23" t="n">
        <v>1</v>
      </c>
      <c r="L468" s="23" t="n">
        <v>0</v>
      </c>
      <c r="M468" s="23" t="n">
        <f>MIN(K468,J468)</f>
        <v>1</v>
      </c>
      <c r="N468" s="23" t="n">
        <f>MIN(L468,J468)</f>
        <v>0</v>
      </c>
      <c r="O468" s="25" t="n">
        <f>IF(K468=0,0,MIN(1,J468/K468))</f>
        <v>1</v>
      </c>
      <c r="P468" s="23" t="n">
        <f>IF(J468&gt;0,MAX(K468-J468,0),0)</f>
        <v>0</v>
      </c>
      <c r="Q468" s="23" t="n">
        <f>IF(J468=0,K468,0)</f>
        <v>0</v>
      </c>
      <c r="R468" s="23" t="n">
        <f>MAX(J468-K468,0)</f>
        <v>0</v>
      </c>
      <c r="S468" s="23" t="n">
        <f>IF(J468&gt;0,MAX(L468-J468,0),L468)</f>
        <v>0</v>
      </c>
    </row>
    <row r="469">
      <c r="A469" s="19" t="str">
        <v>意大利区</v>
      </c>
      <c r="B469" s="19" t="str">
        <v>米兰1号仓</v>
      </c>
      <c r="C469" s="19" t="str">
        <v>拣货组</v>
      </c>
      <c r="D469" s="21" t="n">
        <v>46173</v>
      </c>
      <c r="E469" s="19" t="str">
        <v>2026-05</v>
      </c>
      <c r="F469" s="19" t="str">
        <v>操作员</v>
      </c>
      <c r="G469" s="19" t="str">
        <v>IT 08:00-16:30</v>
      </c>
      <c r="H469" s="23" t="n">
        <v>1</v>
      </c>
      <c r="I469" s="23" t="n">
        <v>0</v>
      </c>
      <c r="J469" s="23" t="n">
        <f>H469+I469</f>
        <v>1</v>
      </c>
      <c r="K469" s="23" t="n">
        <v>1</v>
      </c>
      <c r="L469" s="23" t="n">
        <v>0</v>
      </c>
      <c r="M469" s="23" t="n">
        <f>MIN(K469,J469)</f>
        <v>1</v>
      </c>
      <c r="N469" s="23" t="n">
        <f>MIN(L469,J469)</f>
        <v>0</v>
      </c>
      <c r="O469" s="25" t="n">
        <f>IF(K469=0,0,MIN(1,J469/K469))</f>
        <v>1</v>
      </c>
      <c r="P469" s="23" t="n">
        <f>IF(J469&gt;0,MAX(K469-J469,0),0)</f>
        <v>0</v>
      </c>
      <c r="Q469" s="23" t="n">
        <f>IF(J469=0,K469,0)</f>
        <v>0</v>
      </c>
      <c r="R469" s="23" t="n">
        <f>MAX(J469-K469,0)</f>
        <v>0</v>
      </c>
      <c r="S469" s="23" t="n">
        <f>IF(J469&gt;0,MAX(L469-J469,0),L469)</f>
        <v>0</v>
      </c>
    </row>
    <row r="470">
      <c r="A470" s="19" t="str">
        <v>意大利区</v>
      </c>
      <c r="B470" s="19" t="str">
        <v>米兰1号仓</v>
      </c>
      <c r="C470" s="19" t="str">
        <v>拣货组</v>
      </c>
      <c r="D470" s="21" t="n">
        <v>46174</v>
      </c>
      <c r="E470" s="19" t="str">
        <v>2026-06</v>
      </c>
      <c r="F470" s="19" t="str">
        <v>操作员</v>
      </c>
      <c r="G470" s="19" t="str">
        <v>IT 08:00-16:30</v>
      </c>
      <c r="H470" s="23" t="n">
        <v>1</v>
      </c>
      <c r="I470" s="23" t="n">
        <v>0</v>
      </c>
      <c r="J470" s="23" t="n">
        <f>H470+I470</f>
        <v>1</v>
      </c>
      <c r="K470" s="23" t="n">
        <v>1</v>
      </c>
      <c r="L470" s="23" t="n">
        <v>0</v>
      </c>
      <c r="M470" s="23" t="n">
        <f>MIN(K470,J470)</f>
        <v>1</v>
      </c>
      <c r="N470" s="23" t="n">
        <f>MIN(L470,J470)</f>
        <v>0</v>
      </c>
      <c r="O470" s="25" t="n">
        <f>IF(K470=0,0,MIN(1,J470/K470))</f>
        <v>1</v>
      </c>
      <c r="P470" s="23" t="n">
        <f>IF(J470&gt;0,MAX(K470-J470,0),0)</f>
        <v>0</v>
      </c>
      <c r="Q470" s="23" t="n">
        <f>IF(J470=0,K470,0)</f>
        <v>0</v>
      </c>
      <c r="R470" s="23" t="n">
        <f>MAX(J470-K470,0)</f>
        <v>0</v>
      </c>
      <c r="S470" s="23" t="n">
        <f>IF(J470&gt;0,MAX(L470-J470,0),L470)</f>
        <v>0</v>
      </c>
    </row>
    <row r="471">
      <c r="A471" s="19" t="str">
        <v>意大利区</v>
      </c>
      <c r="B471" s="19" t="str">
        <v>米兰1号仓</v>
      </c>
      <c r="C471" s="19" t="str">
        <v>拣货组</v>
      </c>
      <c r="D471" s="21" t="n">
        <v>46175</v>
      </c>
      <c r="E471" s="19" t="str">
        <v>2026-06</v>
      </c>
      <c r="F471" s="19" t="str">
        <v>操作员</v>
      </c>
      <c r="G471" s="19" t="str">
        <v>IT 08:00-16:30</v>
      </c>
      <c r="H471" s="23" t="n">
        <v>1</v>
      </c>
      <c r="I471" s="23" t="n">
        <v>0</v>
      </c>
      <c r="J471" s="23" t="n">
        <f>H471+I471</f>
        <v>1</v>
      </c>
      <c r="K471" s="23" t="n">
        <v>1</v>
      </c>
      <c r="L471" s="23" t="n">
        <v>0</v>
      </c>
      <c r="M471" s="23" t="n">
        <f>MIN(K471,J471)</f>
        <v>1</v>
      </c>
      <c r="N471" s="23" t="n">
        <f>MIN(L471,J471)</f>
        <v>0</v>
      </c>
      <c r="O471" s="25" t="n">
        <f>IF(K471=0,0,MIN(1,J471/K471))</f>
        <v>1</v>
      </c>
      <c r="P471" s="23" t="n">
        <f>IF(J471&gt;0,MAX(K471-J471,0),0)</f>
        <v>0</v>
      </c>
      <c r="Q471" s="23" t="n">
        <f>IF(J471=0,K471,0)</f>
        <v>0</v>
      </c>
      <c r="R471" s="23" t="n">
        <f>MAX(J471-K471,0)</f>
        <v>0</v>
      </c>
      <c r="S471" s="23" t="n">
        <f>IF(J471&gt;0,MAX(L471-J471,0),L471)</f>
        <v>0</v>
      </c>
    </row>
    <row r="472">
      <c r="A472" s="19" t="str">
        <v>意大利区</v>
      </c>
      <c r="B472" s="19" t="str">
        <v>米兰1号仓</v>
      </c>
      <c r="C472" s="19" t="str">
        <v>拣货组</v>
      </c>
      <c r="D472" s="21" t="n">
        <v>46188</v>
      </c>
      <c r="E472" s="19" t="str">
        <v>2026-06</v>
      </c>
      <c r="F472" s="19" t="str">
        <v>操作员</v>
      </c>
      <c r="G472" s="19" t="str">
        <v>IT 09:00-17:30</v>
      </c>
      <c r="H472" s="23" t="n">
        <v>5</v>
      </c>
      <c r="I472" s="23" t="n">
        <v>0</v>
      </c>
      <c r="J472" s="23" t="n">
        <f>H472+I472</f>
        <v>5</v>
      </c>
      <c r="K472" s="23" t="n">
        <v>5</v>
      </c>
      <c r="L472" s="23" t="n">
        <v>5</v>
      </c>
      <c r="M472" s="23" t="n">
        <f>MIN(K472,J472)</f>
        <v>5</v>
      </c>
      <c r="N472" s="23" t="n">
        <f>MIN(L472,J472)</f>
        <v>5</v>
      </c>
      <c r="O472" s="25" t="n">
        <f>IF(K472=0,0,MIN(1,J472/K472))</f>
        <v>1</v>
      </c>
      <c r="P472" s="23" t="n">
        <f>IF(J472&gt;0,MAX(K472-J472,0),0)</f>
        <v>0</v>
      </c>
      <c r="Q472" s="23" t="n">
        <f>IF(J472=0,K472,0)</f>
        <v>0</v>
      </c>
      <c r="R472" s="23" t="n">
        <f>MAX(J472-K472,0)</f>
        <v>0</v>
      </c>
      <c r="S472" s="23" t="n">
        <f>IF(J472&gt;0,MAX(L472-J472,0),L472)</f>
        <v>0</v>
      </c>
    </row>
    <row r="473">
      <c r="A473" s="19" t="str">
        <v>意大利区</v>
      </c>
      <c r="B473" s="19" t="str">
        <v>米兰1号仓</v>
      </c>
      <c r="C473" s="19" t="str">
        <v>拣货组</v>
      </c>
      <c r="D473" s="21" t="n">
        <v>46189</v>
      </c>
      <c r="E473" s="19" t="str">
        <v>2026-06</v>
      </c>
      <c r="F473" s="19" t="str">
        <v>操作员</v>
      </c>
      <c r="G473" s="19" t="str">
        <v>IT 09:00-17:30</v>
      </c>
      <c r="H473" s="23" t="n">
        <v>5</v>
      </c>
      <c r="I473" s="23" t="n">
        <v>0</v>
      </c>
      <c r="J473" s="23" t="n">
        <f>H473+I473</f>
        <v>5</v>
      </c>
      <c r="K473" s="23" t="n">
        <v>5</v>
      </c>
      <c r="L473" s="23" t="n">
        <v>4</v>
      </c>
      <c r="M473" s="23" t="n">
        <f>MIN(K473,J473)</f>
        <v>5</v>
      </c>
      <c r="N473" s="23" t="n">
        <f>MIN(L473,J473)</f>
        <v>4</v>
      </c>
      <c r="O473" s="25" t="n">
        <f>IF(K473=0,0,MIN(1,J473/K473))</f>
        <v>1</v>
      </c>
      <c r="P473" s="23" t="n">
        <f>IF(J473&gt;0,MAX(K473-J473,0),0)</f>
        <v>0</v>
      </c>
      <c r="Q473" s="23" t="n">
        <f>IF(J473=0,K473,0)</f>
        <v>0</v>
      </c>
      <c r="R473" s="23" t="n">
        <f>MAX(J473-K473,0)</f>
        <v>0</v>
      </c>
      <c r="S473" s="23" t="n">
        <f>IF(J473&gt;0,MAX(L473-J473,0),L473)</f>
        <v>0</v>
      </c>
    </row>
    <row r="474">
      <c r="A474" s="19" t="str">
        <v>意大利区</v>
      </c>
      <c r="B474" s="19" t="str">
        <v>米兰2号仓</v>
      </c>
      <c r="C474" s="19" t="str">
        <v>交运组</v>
      </c>
      <c r="D474" s="21" t="n">
        <v>46183</v>
      </c>
      <c r="E474" s="19" t="str">
        <v>2026-06</v>
      </c>
      <c r="F474" s="19" t="str">
        <v>操作员</v>
      </c>
      <c r="G474" s="19" t="str">
        <v>IT 09:00-17:30</v>
      </c>
      <c r="H474" s="23" t="n">
        <v>1</v>
      </c>
      <c r="I474" s="23" t="n">
        <v>0</v>
      </c>
      <c r="J474" s="23" t="n">
        <f>H474+I474</f>
        <v>1</v>
      </c>
      <c r="K474" s="23" t="n">
        <v>1</v>
      </c>
      <c r="L474" s="23" t="n">
        <v>1</v>
      </c>
      <c r="M474" s="23" t="n">
        <f>MIN(K474,J474)</f>
        <v>1</v>
      </c>
      <c r="N474" s="23" t="n">
        <f>MIN(L474,J474)</f>
        <v>1</v>
      </c>
      <c r="O474" s="25" t="n">
        <f>IF(K474=0,0,MIN(1,J474/K474))</f>
        <v>1</v>
      </c>
      <c r="P474" s="23" t="n">
        <f>IF(J474&gt;0,MAX(K474-J474,0),0)</f>
        <v>0</v>
      </c>
      <c r="Q474" s="23" t="n">
        <f>IF(J474=0,K474,0)</f>
        <v>0</v>
      </c>
      <c r="R474" s="23" t="n">
        <f>MAX(J474-K474,0)</f>
        <v>0</v>
      </c>
      <c r="S474" s="23" t="n">
        <f>IF(J474&gt;0,MAX(L474-J474,0),L474)</f>
        <v>0</v>
      </c>
    </row>
    <row r="475">
      <c r="A475" s="19" t="str">
        <v>意大利区</v>
      </c>
      <c r="B475" s="19" t="str">
        <v>米兰2号仓</v>
      </c>
      <c r="C475" s="19" t="str">
        <v>交运组</v>
      </c>
      <c r="D475" s="21" t="n">
        <v>46196</v>
      </c>
      <c r="E475" s="19" t="str">
        <v>2026-06</v>
      </c>
      <c r="F475" s="19" t="str">
        <v>操作员</v>
      </c>
      <c r="G475" s="19" t="str">
        <v>IT 09:00-17:30</v>
      </c>
      <c r="H475" s="23" t="n">
        <v>4</v>
      </c>
      <c r="I475" s="23" t="n">
        <v>0</v>
      </c>
      <c r="J475" s="23" t="n">
        <f>H475+I475</f>
        <v>4</v>
      </c>
      <c r="K475" s="23" t="n">
        <v>8</v>
      </c>
      <c r="L475" s="23" t="n">
        <v>4</v>
      </c>
      <c r="M475" s="23" t="n">
        <f>MIN(K475,J475)</f>
        <v>4</v>
      </c>
      <c r="N475" s="23" t="n">
        <f>MIN(L475,J475)</f>
        <v>4</v>
      </c>
      <c r="O475" s="25" t="n">
        <f>IF(K475=0,0,MIN(1,J475/K475))</f>
        <v>0.5</v>
      </c>
      <c r="P475" s="23" t="n">
        <f>IF(J475&gt;0,MAX(K475-J475,0),0)</f>
        <v>4</v>
      </c>
      <c r="Q475" s="23" t="n">
        <f>IF(J475=0,K475,0)</f>
        <v>0</v>
      </c>
      <c r="R475" s="23" t="n">
        <f>MAX(J475-K475,0)</f>
        <v>0</v>
      </c>
      <c r="S475" s="23" t="n">
        <f>IF(J475&gt;0,MAX(L475-J475,0),L475)</f>
        <v>0</v>
      </c>
    </row>
    <row r="476">
      <c r="A476" s="19" t="str">
        <v>意大利区</v>
      </c>
      <c r="B476" s="19" t="str">
        <v>米兰2号仓</v>
      </c>
      <c r="C476" s="19" t="str">
        <v>交运组</v>
      </c>
      <c r="D476" s="21" t="n">
        <v>46197</v>
      </c>
      <c r="E476" s="19" t="str">
        <v>2026-06</v>
      </c>
      <c r="F476" s="19" t="str">
        <v>操作员</v>
      </c>
      <c r="G476" s="19" t="str">
        <v>IT 09:00-17:30</v>
      </c>
      <c r="H476" s="23" t="n">
        <v>4</v>
      </c>
      <c r="I476" s="23" t="n">
        <v>0</v>
      </c>
      <c r="J476" s="23" t="n">
        <f>H476+I476</f>
        <v>4</v>
      </c>
      <c r="K476" s="23" t="n">
        <v>4</v>
      </c>
      <c r="L476" s="23" t="n">
        <v>0</v>
      </c>
      <c r="M476" s="23" t="n">
        <f>MIN(K476,J476)</f>
        <v>4</v>
      </c>
      <c r="N476" s="23" t="n">
        <f>MIN(L476,J476)</f>
        <v>0</v>
      </c>
      <c r="O476" s="25" t="n">
        <f>IF(K476=0,0,MIN(1,J476/K476))</f>
        <v>1</v>
      </c>
      <c r="P476" s="23" t="n">
        <f>IF(J476&gt;0,MAX(K476-J476,0),0)</f>
        <v>0</v>
      </c>
      <c r="Q476" s="23" t="n">
        <f>IF(J476=0,K476,0)</f>
        <v>0</v>
      </c>
      <c r="R476" s="23" t="n">
        <f>MAX(J476-K476,0)</f>
        <v>0</v>
      </c>
      <c r="S476" s="23" t="n">
        <f>IF(J476&gt;0,MAX(L476-J476,0),L476)</f>
        <v>0</v>
      </c>
    </row>
    <row r="477">
      <c r="A477" s="19" t="str">
        <v>意大利区</v>
      </c>
      <c r="B477" s="19" t="str">
        <v>米兰2号仓</v>
      </c>
      <c r="C477" s="19" t="str">
        <v>交运组</v>
      </c>
      <c r="D477" s="21" t="n">
        <v>46198</v>
      </c>
      <c r="E477" s="19" t="str">
        <v>2026-06</v>
      </c>
      <c r="F477" s="19" t="str">
        <v>操作员</v>
      </c>
      <c r="G477" s="19" t="str">
        <v>IT 09:00-17:30</v>
      </c>
      <c r="H477" s="23" t="n">
        <v>4</v>
      </c>
      <c r="I477" s="23" t="n">
        <v>0</v>
      </c>
      <c r="J477" s="23" t="n">
        <f>H477+I477</f>
        <v>4</v>
      </c>
      <c r="K477" s="23" t="n">
        <v>4</v>
      </c>
      <c r="L477" s="23" t="n">
        <v>0</v>
      </c>
      <c r="M477" s="23" t="n">
        <f>MIN(K477,J477)</f>
        <v>4</v>
      </c>
      <c r="N477" s="23" t="n">
        <f>MIN(L477,J477)</f>
        <v>0</v>
      </c>
      <c r="O477" s="25" t="n">
        <f>IF(K477=0,0,MIN(1,J477/K477))</f>
        <v>1</v>
      </c>
      <c r="P477" s="23" t="n">
        <f>IF(J477&gt;0,MAX(K477-J477,0),0)</f>
        <v>0</v>
      </c>
      <c r="Q477" s="23" t="n">
        <f>IF(J477=0,K477,0)</f>
        <v>0</v>
      </c>
      <c r="R477" s="23" t="n">
        <f>MAX(J477-K477,0)</f>
        <v>0</v>
      </c>
      <c r="S477" s="23" t="n">
        <f>IF(J477&gt;0,MAX(L477-J477,0),L477)</f>
        <v>0</v>
      </c>
    </row>
    <row r="478">
      <c r="A478" s="19" t="str">
        <v>意大利区</v>
      </c>
      <c r="B478" s="19" t="str">
        <v>米兰2号仓</v>
      </c>
      <c r="C478" s="19" t="str">
        <v>交运组</v>
      </c>
      <c r="D478" s="21" t="n">
        <v>46199</v>
      </c>
      <c r="E478" s="19" t="str">
        <v>2026-06</v>
      </c>
      <c r="F478" s="19" t="str">
        <v>操作员</v>
      </c>
      <c r="G478" s="19" t="str">
        <v>IT 09:00-17:30</v>
      </c>
      <c r="H478" s="23" t="n">
        <v>4</v>
      </c>
      <c r="I478" s="23" t="n">
        <v>0</v>
      </c>
      <c r="J478" s="23" t="n">
        <f>H478+I478</f>
        <v>4</v>
      </c>
      <c r="K478" s="23" t="n">
        <v>4</v>
      </c>
      <c r="L478" s="23" t="n">
        <v>0</v>
      </c>
      <c r="M478" s="23" t="n">
        <f>MIN(K478,J478)</f>
        <v>4</v>
      </c>
      <c r="N478" s="23" t="n">
        <f>MIN(L478,J478)</f>
        <v>0</v>
      </c>
      <c r="O478" s="25" t="n">
        <f>IF(K478=0,0,MIN(1,J478/K478))</f>
        <v>1</v>
      </c>
      <c r="P478" s="23" t="n">
        <f>IF(J478&gt;0,MAX(K478-J478,0),0)</f>
        <v>0</v>
      </c>
      <c r="Q478" s="23" t="n">
        <f>IF(J478=0,K478,0)</f>
        <v>0</v>
      </c>
      <c r="R478" s="23" t="n">
        <f>MAX(J478-K478,0)</f>
        <v>0</v>
      </c>
      <c r="S478" s="23" t="n">
        <f>IF(J478&gt;0,MAX(L478-J478,0),L478)</f>
        <v>0</v>
      </c>
    </row>
    <row r="479">
      <c r="A479" s="19" t="str">
        <v>意大利区</v>
      </c>
      <c r="B479" s="19" t="str">
        <v>米兰2号仓</v>
      </c>
      <c r="C479" s="19" t="str">
        <v>包装组</v>
      </c>
      <c r="D479" s="21" t="n">
        <v>46183</v>
      </c>
      <c r="E479" s="19" t="str">
        <v>2026-06</v>
      </c>
      <c r="F479" s="19" t="str">
        <v>操作员</v>
      </c>
      <c r="G479" s="19" t="str">
        <v>IT 08:00-16:30</v>
      </c>
      <c r="H479" s="23" t="n">
        <v>1</v>
      </c>
      <c r="I479" s="23" t="n">
        <v>0</v>
      </c>
      <c r="J479" s="23" t="n">
        <f>H479+I479</f>
        <v>1</v>
      </c>
      <c r="K479" s="23" t="n">
        <v>1</v>
      </c>
      <c r="L479" s="23" t="n">
        <v>1</v>
      </c>
      <c r="M479" s="23" t="n">
        <f>MIN(K479,J479)</f>
        <v>1</v>
      </c>
      <c r="N479" s="23" t="n">
        <f>MIN(L479,J479)</f>
        <v>1</v>
      </c>
      <c r="O479" s="25" t="n">
        <f>IF(K479=0,0,MIN(1,J479/K479))</f>
        <v>1</v>
      </c>
      <c r="P479" s="23" t="n">
        <f>IF(J479&gt;0,MAX(K479-J479,0),0)</f>
        <v>0</v>
      </c>
      <c r="Q479" s="23" t="n">
        <f>IF(J479=0,K479,0)</f>
        <v>0</v>
      </c>
      <c r="R479" s="23" t="n">
        <f>MAX(J479-K479,0)</f>
        <v>0</v>
      </c>
      <c r="S479" s="23" t="n">
        <f>IF(J479&gt;0,MAX(L479-J479,0),L479)</f>
        <v>0</v>
      </c>
    </row>
    <row r="480">
      <c r="A480" s="19" t="str">
        <v>意大利区</v>
      </c>
      <c r="B480" s="19" t="str">
        <v>米兰2号仓</v>
      </c>
      <c r="C480" s="19" t="str">
        <v>包装组</v>
      </c>
      <c r="D480" s="21" t="n">
        <v>46195</v>
      </c>
      <c r="E480" s="19" t="str">
        <v>2026-06</v>
      </c>
      <c r="F480" s="19" t="str">
        <v>操作员</v>
      </c>
      <c r="G480" s="19" t="str">
        <v>IT 08:00-16:30</v>
      </c>
      <c r="H480" s="23" t="n">
        <v>0</v>
      </c>
      <c r="I480" s="23" t="n">
        <v>0</v>
      </c>
      <c r="J480" s="23" t="n">
        <f>H480+I480</f>
        <v>0</v>
      </c>
      <c r="K480" s="23" t="n">
        <v>0</v>
      </c>
      <c r="L480" s="23" t="n">
        <v>0</v>
      </c>
      <c r="M480" s="23" t="n">
        <f>MIN(K480,J480)</f>
        <v>0</v>
      </c>
      <c r="N480" s="23" t="n">
        <f>MIN(L480,J480)</f>
        <v>0</v>
      </c>
      <c r="O480" s="25" t="n">
        <f>IF(K480=0,0,MIN(1,J480/K480))</f>
        <v>0</v>
      </c>
      <c r="P480" s="23" t="n">
        <f>IF(J480&gt;0,MAX(K480-J480,0),0)</f>
        <v>0</v>
      </c>
      <c r="Q480" s="23" t="n">
        <f>IF(J480=0,K480,0)</f>
        <v>0</v>
      </c>
      <c r="R480" s="23" t="n">
        <f>MAX(J480-K480,0)</f>
        <v>0</v>
      </c>
      <c r="S480" s="23" t="n">
        <f>IF(J480&gt;0,MAX(L480-J480,0),L480)</f>
        <v>0</v>
      </c>
    </row>
    <row r="481">
      <c r="A481" s="19" t="str">
        <v>意大利区</v>
      </c>
      <c r="B481" s="19" t="str">
        <v>米兰2号仓</v>
      </c>
      <c r="C481" s="19" t="str">
        <v>包装组</v>
      </c>
      <c r="D481" s="21" t="n">
        <v>46195</v>
      </c>
      <c r="E481" s="19" t="str">
        <v>2026-06</v>
      </c>
      <c r="F481" s="19" t="str">
        <v>操作员</v>
      </c>
      <c r="G481" s="19" t="str">
        <v>IT 08:30-17:00</v>
      </c>
      <c r="H481" s="23" t="n">
        <v>1</v>
      </c>
      <c r="I481" s="23" t="n">
        <v>0</v>
      </c>
      <c r="J481" s="23" t="n">
        <f>H481+I481</f>
        <v>1</v>
      </c>
      <c r="K481" s="23" t="n">
        <v>1</v>
      </c>
      <c r="L481" s="23" t="n">
        <v>1</v>
      </c>
      <c r="M481" s="23" t="n">
        <f>MIN(K481,J481)</f>
        <v>1</v>
      </c>
      <c r="N481" s="23" t="n">
        <f>MIN(L481,J481)</f>
        <v>1</v>
      </c>
      <c r="O481" s="25" t="n">
        <f>IF(K481=0,0,MIN(1,J481/K481))</f>
        <v>1</v>
      </c>
      <c r="P481" s="23" t="n">
        <f>IF(J481&gt;0,MAX(K481-J481,0),0)</f>
        <v>0</v>
      </c>
      <c r="Q481" s="23" t="n">
        <f>IF(J481=0,K481,0)</f>
        <v>0</v>
      </c>
      <c r="R481" s="23" t="n">
        <f>MAX(J481-K481,0)</f>
        <v>0</v>
      </c>
      <c r="S481" s="23" t="n">
        <f>IF(J481&gt;0,MAX(L481-J481,0),L481)</f>
        <v>0</v>
      </c>
    </row>
    <row r="482">
      <c r="A482" s="19" t="str">
        <v>意大利区</v>
      </c>
      <c r="B482" s="19" t="str">
        <v>米兰2号仓</v>
      </c>
      <c r="C482" s="19" t="str">
        <v>包装组</v>
      </c>
      <c r="D482" s="21" t="n">
        <v>46196</v>
      </c>
      <c r="E482" s="19" t="str">
        <v>2026-06</v>
      </c>
      <c r="F482" s="19" t="str">
        <v>操作员</v>
      </c>
      <c r="G482" s="19" t="str">
        <v>IT 08:00-16:30</v>
      </c>
      <c r="H482" s="23" t="n">
        <v>0</v>
      </c>
      <c r="I482" s="23" t="n">
        <v>0</v>
      </c>
      <c r="J482" s="23" t="n">
        <f>H482+I482</f>
        <v>0</v>
      </c>
      <c r="K482" s="23" t="n">
        <v>0</v>
      </c>
      <c r="L482" s="23" t="n">
        <v>0</v>
      </c>
      <c r="M482" s="23" t="n">
        <f>MIN(K482,J482)</f>
        <v>0</v>
      </c>
      <c r="N482" s="23" t="n">
        <f>MIN(L482,J482)</f>
        <v>0</v>
      </c>
      <c r="O482" s="25" t="n">
        <f>IF(K482=0,0,MIN(1,J482/K482))</f>
        <v>0</v>
      </c>
      <c r="P482" s="23" t="n">
        <f>IF(J482&gt;0,MAX(K482-J482,0),0)</f>
        <v>0</v>
      </c>
      <c r="Q482" s="23" t="n">
        <f>IF(J482=0,K482,0)</f>
        <v>0</v>
      </c>
      <c r="R482" s="23" t="n">
        <f>MAX(J482-K482,0)</f>
        <v>0</v>
      </c>
      <c r="S482" s="23" t="n">
        <f>IF(J482&gt;0,MAX(L482-J482,0),L482)</f>
        <v>0</v>
      </c>
    </row>
    <row r="483">
      <c r="A483" s="19" t="str">
        <v>意大利区</v>
      </c>
      <c r="B483" s="19" t="str">
        <v>米兰2号仓</v>
      </c>
      <c r="C483" s="19" t="str">
        <v>包装组</v>
      </c>
      <c r="D483" s="21" t="n">
        <v>46196</v>
      </c>
      <c r="E483" s="19" t="str">
        <v>2026-06</v>
      </c>
      <c r="F483" s="19" t="str">
        <v>操作员</v>
      </c>
      <c r="G483" s="19" t="str">
        <v>IT 08:30-17:00</v>
      </c>
      <c r="H483" s="23" t="n">
        <v>1</v>
      </c>
      <c r="I483" s="23" t="n">
        <v>0</v>
      </c>
      <c r="J483" s="23" t="n">
        <f>H483+I483</f>
        <v>1</v>
      </c>
      <c r="K483" s="23" t="n">
        <v>1</v>
      </c>
      <c r="L483" s="23" t="n">
        <v>1</v>
      </c>
      <c r="M483" s="23" t="n">
        <f>MIN(K483,J483)</f>
        <v>1</v>
      </c>
      <c r="N483" s="23" t="n">
        <f>MIN(L483,J483)</f>
        <v>1</v>
      </c>
      <c r="O483" s="25" t="n">
        <f>IF(K483=0,0,MIN(1,J483/K483))</f>
        <v>1</v>
      </c>
      <c r="P483" s="23" t="n">
        <f>IF(J483&gt;0,MAX(K483-J483,0),0)</f>
        <v>0</v>
      </c>
      <c r="Q483" s="23" t="n">
        <f>IF(J483=0,K483,0)</f>
        <v>0</v>
      </c>
      <c r="R483" s="23" t="n">
        <f>MAX(J483-K483,0)</f>
        <v>0</v>
      </c>
      <c r="S483" s="23" t="n">
        <f>IF(J483&gt;0,MAX(L483-J483,0),L483)</f>
        <v>0</v>
      </c>
    </row>
    <row r="484">
      <c r="A484" s="19" t="str">
        <v>意大利区</v>
      </c>
      <c r="B484" s="19" t="str">
        <v>米兰2号仓</v>
      </c>
      <c r="C484" s="19" t="str">
        <v>包装组</v>
      </c>
      <c r="D484" s="21" t="n">
        <v>46197</v>
      </c>
      <c r="E484" s="19" t="str">
        <v>2026-06</v>
      </c>
      <c r="F484" s="19" t="str">
        <v>操作员</v>
      </c>
      <c r="G484" s="19" t="str">
        <v>IT 08:00-16:30</v>
      </c>
      <c r="H484" s="23" t="n">
        <v>0</v>
      </c>
      <c r="I484" s="23" t="n">
        <v>0</v>
      </c>
      <c r="J484" s="23" t="n">
        <f>H484+I484</f>
        <v>0</v>
      </c>
      <c r="K484" s="23" t="n">
        <v>0</v>
      </c>
      <c r="L484" s="23" t="n">
        <v>0</v>
      </c>
      <c r="M484" s="23" t="n">
        <f>MIN(K484,J484)</f>
        <v>0</v>
      </c>
      <c r="N484" s="23" t="n">
        <f>MIN(L484,J484)</f>
        <v>0</v>
      </c>
      <c r="O484" s="25" t="n">
        <f>IF(K484=0,0,MIN(1,J484/K484))</f>
        <v>0</v>
      </c>
      <c r="P484" s="23" t="n">
        <f>IF(J484&gt;0,MAX(K484-J484,0),0)</f>
        <v>0</v>
      </c>
      <c r="Q484" s="23" t="n">
        <f>IF(J484=0,K484,0)</f>
        <v>0</v>
      </c>
      <c r="R484" s="23" t="n">
        <f>MAX(J484-K484,0)</f>
        <v>0</v>
      </c>
      <c r="S484" s="23" t="n">
        <f>IF(J484&gt;0,MAX(L484-J484,0),L484)</f>
        <v>0</v>
      </c>
    </row>
    <row r="485">
      <c r="A485" s="19" t="str">
        <v>意大利区</v>
      </c>
      <c r="B485" s="19" t="str">
        <v>米兰2号仓</v>
      </c>
      <c r="C485" s="19" t="str">
        <v>包装组</v>
      </c>
      <c r="D485" s="21" t="n">
        <v>46197</v>
      </c>
      <c r="E485" s="19" t="str">
        <v>2026-06</v>
      </c>
      <c r="F485" s="19" t="str">
        <v>操作员</v>
      </c>
      <c r="G485" s="19" t="str">
        <v>IT 08:30-17:00</v>
      </c>
      <c r="H485" s="23" t="n">
        <v>1</v>
      </c>
      <c r="I485" s="23" t="n">
        <v>0</v>
      </c>
      <c r="J485" s="23" t="n">
        <f>H485+I485</f>
        <v>1</v>
      </c>
      <c r="K485" s="23" t="n">
        <v>1</v>
      </c>
      <c r="L485" s="23" t="n">
        <v>1</v>
      </c>
      <c r="M485" s="23" t="n">
        <f>MIN(K485,J485)</f>
        <v>1</v>
      </c>
      <c r="N485" s="23" t="n">
        <f>MIN(L485,J485)</f>
        <v>1</v>
      </c>
      <c r="O485" s="25" t="n">
        <f>IF(K485=0,0,MIN(1,J485/K485))</f>
        <v>1</v>
      </c>
      <c r="P485" s="23" t="n">
        <f>IF(J485&gt;0,MAX(K485-J485,0),0)</f>
        <v>0</v>
      </c>
      <c r="Q485" s="23" t="n">
        <f>IF(J485=0,K485,0)</f>
        <v>0</v>
      </c>
      <c r="R485" s="23" t="n">
        <f>MAX(J485-K485,0)</f>
        <v>0</v>
      </c>
      <c r="S485" s="23" t="n">
        <f>IF(J485&gt;0,MAX(L485-J485,0),L485)</f>
        <v>0</v>
      </c>
    </row>
    <row r="486">
      <c r="A486" s="19" t="str">
        <v>意大利区</v>
      </c>
      <c r="B486" s="19" t="str">
        <v>米兰2号仓</v>
      </c>
      <c r="C486" s="19" t="str">
        <v>包装组</v>
      </c>
      <c r="D486" s="21" t="n">
        <v>46198</v>
      </c>
      <c r="E486" s="19" t="str">
        <v>2026-06</v>
      </c>
      <c r="F486" s="19" t="str">
        <v>操作员</v>
      </c>
      <c r="G486" s="19" t="str">
        <v>IT 08:00-16:30</v>
      </c>
      <c r="H486" s="23" t="n">
        <v>0</v>
      </c>
      <c r="I486" s="23" t="n">
        <v>0</v>
      </c>
      <c r="J486" s="23" t="n">
        <f>H486+I486</f>
        <v>0</v>
      </c>
      <c r="K486" s="23" t="n">
        <v>0</v>
      </c>
      <c r="L486" s="23" t="n">
        <v>0</v>
      </c>
      <c r="M486" s="23" t="n">
        <f>MIN(K486,J486)</f>
        <v>0</v>
      </c>
      <c r="N486" s="23" t="n">
        <f>MIN(L486,J486)</f>
        <v>0</v>
      </c>
      <c r="O486" s="25" t="n">
        <f>IF(K486=0,0,MIN(1,J486/K486))</f>
        <v>0</v>
      </c>
      <c r="P486" s="23" t="n">
        <f>IF(J486&gt;0,MAX(K486-J486,0),0)</f>
        <v>0</v>
      </c>
      <c r="Q486" s="23" t="n">
        <f>IF(J486=0,K486,0)</f>
        <v>0</v>
      </c>
      <c r="R486" s="23" t="n">
        <f>MAX(J486-K486,0)</f>
        <v>0</v>
      </c>
      <c r="S486" s="23" t="n">
        <f>IF(J486&gt;0,MAX(L486-J486,0),L486)</f>
        <v>0</v>
      </c>
    </row>
    <row r="487">
      <c r="A487" s="19" t="str">
        <v>意大利区</v>
      </c>
      <c r="B487" s="19" t="str">
        <v>米兰2号仓</v>
      </c>
      <c r="C487" s="19" t="str">
        <v>包装组</v>
      </c>
      <c r="D487" s="21" t="n">
        <v>46198</v>
      </c>
      <c r="E487" s="19" t="str">
        <v>2026-06</v>
      </c>
      <c r="F487" s="19" t="str">
        <v>操作员</v>
      </c>
      <c r="G487" s="19" t="str">
        <v>IT 08:30-17:00</v>
      </c>
      <c r="H487" s="23" t="n">
        <v>1</v>
      </c>
      <c r="I487" s="23" t="n">
        <v>0</v>
      </c>
      <c r="J487" s="23" t="n">
        <f>H487+I487</f>
        <v>1</v>
      </c>
      <c r="K487" s="23" t="n">
        <v>1</v>
      </c>
      <c r="L487" s="23" t="n">
        <v>1</v>
      </c>
      <c r="M487" s="23" t="n">
        <f>MIN(K487,J487)</f>
        <v>1</v>
      </c>
      <c r="N487" s="23" t="n">
        <f>MIN(L487,J487)</f>
        <v>1</v>
      </c>
      <c r="O487" s="25" t="n">
        <f>IF(K487=0,0,MIN(1,J487/K487))</f>
        <v>1</v>
      </c>
      <c r="P487" s="23" t="n">
        <f>IF(J487&gt;0,MAX(K487-J487,0),0)</f>
        <v>0</v>
      </c>
      <c r="Q487" s="23" t="n">
        <f>IF(J487=0,K487,0)</f>
        <v>0</v>
      </c>
      <c r="R487" s="23" t="n">
        <f>MAX(J487-K487,0)</f>
        <v>0</v>
      </c>
      <c r="S487" s="23" t="n">
        <f>IF(J487&gt;0,MAX(L487-J487,0),L487)</f>
        <v>0</v>
      </c>
    </row>
    <row r="488">
      <c r="A488" s="19" t="str">
        <v>意大利区</v>
      </c>
      <c r="B488" s="19" t="str">
        <v>米兰2号仓</v>
      </c>
      <c r="C488" s="19" t="str">
        <v>包装组</v>
      </c>
      <c r="D488" s="21" t="n">
        <v>46199</v>
      </c>
      <c r="E488" s="19" t="str">
        <v>2026-06</v>
      </c>
      <c r="F488" s="19" t="str">
        <v>操作员</v>
      </c>
      <c r="G488" s="19" t="str">
        <v>IT 08:00-16:30</v>
      </c>
      <c r="H488" s="23" t="n">
        <v>0</v>
      </c>
      <c r="I488" s="23" t="n">
        <v>0</v>
      </c>
      <c r="J488" s="23" t="n">
        <f>H488+I488</f>
        <v>0</v>
      </c>
      <c r="K488" s="23" t="n">
        <v>0</v>
      </c>
      <c r="L488" s="23" t="n">
        <v>0</v>
      </c>
      <c r="M488" s="23" t="n">
        <f>MIN(K488,J488)</f>
        <v>0</v>
      </c>
      <c r="N488" s="23" t="n">
        <f>MIN(L488,J488)</f>
        <v>0</v>
      </c>
      <c r="O488" s="25" t="n">
        <f>IF(K488=0,0,MIN(1,J488/K488))</f>
        <v>0</v>
      </c>
      <c r="P488" s="23" t="n">
        <f>IF(J488&gt;0,MAX(K488-J488,0),0)</f>
        <v>0</v>
      </c>
      <c r="Q488" s="23" t="n">
        <f>IF(J488=0,K488,0)</f>
        <v>0</v>
      </c>
      <c r="R488" s="23" t="n">
        <f>MAX(J488-K488,0)</f>
        <v>0</v>
      </c>
      <c r="S488" s="23" t="n">
        <f>IF(J488&gt;0,MAX(L488-J488,0),L488)</f>
        <v>0</v>
      </c>
    </row>
    <row r="489">
      <c r="A489" s="19" t="str">
        <v>意大利区</v>
      </c>
      <c r="B489" s="19" t="str">
        <v>米兰2号仓</v>
      </c>
      <c r="C489" s="19" t="str">
        <v>包装组</v>
      </c>
      <c r="D489" s="21" t="n">
        <v>46199</v>
      </c>
      <c r="E489" s="19" t="str">
        <v>2026-06</v>
      </c>
      <c r="F489" s="19" t="str">
        <v>操作员</v>
      </c>
      <c r="G489" s="19" t="str">
        <v>IT 08:30-17:00</v>
      </c>
      <c r="H489" s="23" t="n">
        <v>1</v>
      </c>
      <c r="I489" s="23" t="n">
        <v>0</v>
      </c>
      <c r="J489" s="23" t="n">
        <f>H489+I489</f>
        <v>1</v>
      </c>
      <c r="K489" s="23" t="n">
        <v>1</v>
      </c>
      <c r="L489" s="23" t="n">
        <v>1</v>
      </c>
      <c r="M489" s="23" t="n">
        <f>MIN(K489,J489)</f>
        <v>1</v>
      </c>
      <c r="N489" s="23" t="n">
        <f>MIN(L489,J489)</f>
        <v>1</v>
      </c>
      <c r="O489" s="25" t="n">
        <f>IF(K489=0,0,MIN(1,J489/K489))</f>
        <v>1</v>
      </c>
      <c r="P489" s="23" t="n">
        <f>IF(J489&gt;0,MAX(K489-J489,0),0)</f>
        <v>0</v>
      </c>
      <c r="Q489" s="23" t="n">
        <f>IF(J489=0,K489,0)</f>
        <v>0</v>
      </c>
      <c r="R489" s="23" t="n">
        <f>MAX(J489-K489,0)</f>
        <v>0</v>
      </c>
      <c r="S489" s="23" t="n">
        <f>IF(J489&gt;0,MAX(L489-J489,0),L489)</f>
        <v>0</v>
      </c>
    </row>
    <row r="490">
      <c r="A490" s="19" t="str">
        <v>意大利区</v>
      </c>
      <c r="B490" s="19" t="str">
        <v>米兰2号仓</v>
      </c>
      <c r="C490" s="19" t="str">
        <v>包装组</v>
      </c>
      <c r="D490" s="21" t="n">
        <v>46200</v>
      </c>
      <c r="E490" s="19" t="str">
        <v>2026-06</v>
      </c>
      <c r="F490" s="19" t="str">
        <v>操作员</v>
      </c>
      <c r="G490" s="19" t="str">
        <v>IT 08:00-16:30</v>
      </c>
      <c r="H490" s="23" t="n">
        <v>0</v>
      </c>
      <c r="I490" s="23" t="n">
        <v>0</v>
      </c>
      <c r="J490" s="23" t="n">
        <f>H490+I490</f>
        <v>0</v>
      </c>
      <c r="K490" s="23" t="n">
        <v>1</v>
      </c>
      <c r="L490" s="23" t="n">
        <v>0</v>
      </c>
      <c r="M490" s="23" t="n">
        <f>MIN(K490,J490)</f>
        <v>0</v>
      </c>
      <c r="N490" s="23" t="n">
        <f>MIN(L490,J490)</f>
        <v>0</v>
      </c>
      <c r="O490" s="25" t="n">
        <f>IF(K490=0,0,MIN(1,J490/K490))</f>
        <v>0</v>
      </c>
      <c r="P490" s="23" t="n">
        <f>IF(J490&gt;0,MAX(K490-J490,0),0)</f>
        <v>0</v>
      </c>
      <c r="Q490" s="23" t="n">
        <f>IF(J490=0,K490,0)</f>
        <v>1</v>
      </c>
      <c r="R490" s="23" t="n">
        <f>MAX(J490-K490,0)</f>
        <v>0</v>
      </c>
      <c r="S490" s="23" t="n">
        <f>IF(J490&gt;0,MAX(L490-J490,0),L490)</f>
        <v>0</v>
      </c>
    </row>
    <row r="491">
      <c r="A491" s="19" t="str">
        <v>意大利区</v>
      </c>
      <c r="B491" s="19" t="str">
        <v>米兰2号仓</v>
      </c>
      <c r="C491" s="19" t="str">
        <v>包装组</v>
      </c>
      <c r="D491" s="21" t="n">
        <v>46200</v>
      </c>
      <c r="E491" s="19" t="str">
        <v>2026-06</v>
      </c>
      <c r="F491" s="19" t="str">
        <v>操作员</v>
      </c>
      <c r="G491" s="19" t="str">
        <v>IT 08:30-17:00</v>
      </c>
      <c r="H491" s="23" t="n">
        <v>1</v>
      </c>
      <c r="I491" s="23" t="n">
        <v>0</v>
      </c>
      <c r="J491" s="23" t="n">
        <f>H491+I491</f>
        <v>1</v>
      </c>
      <c r="K491" s="23" t="n">
        <v>1</v>
      </c>
      <c r="L491" s="23" t="n">
        <v>1</v>
      </c>
      <c r="M491" s="23" t="n">
        <f>MIN(K491,J491)</f>
        <v>1</v>
      </c>
      <c r="N491" s="23" t="n">
        <f>MIN(L491,J491)</f>
        <v>1</v>
      </c>
      <c r="O491" s="25" t="n">
        <f>IF(K491=0,0,MIN(1,J491/K491))</f>
        <v>1</v>
      </c>
      <c r="P491" s="23" t="n">
        <f>IF(J491&gt;0,MAX(K491-J491,0),0)</f>
        <v>0</v>
      </c>
      <c r="Q491" s="23" t="n">
        <f>IF(J491=0,K491,0)</f>
        <v>0</v>
      </c>
      <c r="R491" s="23" t="n">
        <f>MAX(J491-K491,0)</f>
        <v>0</v>
      </c>
      <c r="S491" s="23" t="n">
        <f>IF(J491&gt;0,MAX(L491-J491,0),L491)</f>
        <v>0</v>
      </c>
    </row>
    <row r="492">
      <c r="A492" s="19" t="str">
        <v>意大利区</v>
      </c>
      <c r="B492" s="19" t="str">
        <v>米兰2号仓</v>
      </c>
      <c r="C492" s="19" t="str">
        <v>包装组</v>
      </c>
      <c r="D492" s="21" t="n">
        <v>46201</v>
      </c>
      <c r="E492" s="19" t="str">
        <v>2026-06</v>
      </c>
      <c r="F492" s="19" t="str">
        <v>操作员</v>
      </c>
      <c r="G492" s="19" t="str">
        <v>IT 08:00-16:30</v>
      </c>
      <c r="H492" s="23" t="n">
        <v>0</v>
      </c>
      <c r="I492" s="23" t="n">
        <v>0</v>
      </c>
      <c r="J492" s="23" t="n">
        <f>H492+I492</f>
        <v>0</v>
      </c>
      <c r="K492" s="23" t="n">
        <v>1</v>
      </c>
      <c r="L492" s="23" t="n">
        <v>0</v>
      </c>
      <c r="M492" s="23" t="n">
        <f>MIN(K492,J492)</f>
        <v>0</v>
      </c>
      <c r="N492" s="23" t="n">
        <f>MIN(L492,J492)</f>
        <v>0</v>
      </c>
      <c r="O492" s="25" t="n">
        <f>IF(K492=0,0,MIN(1,J492/K492))</f>
        <v>0</v>
      </c>
      <c r="P492" s="23" t="n">
        <f>IF(J492&gt;0,MAX(K492-J492,0),0)</f>
        <v>0</v>
      </c>
      <c r="Q492" s="23" t="n">
        <f>IF(J492=0,K492,0)</f>
        <v>1</v>
      </c>
      <c r="R492" s="23" t="n">
        <f>MAX(J492-K492,0)</f>
        <v>0</v>
      </c>
      <c r="S492" s="23" t="n">
        <f>IF(J492&gt;0,MAX(L492-J492,0),L492)</f>
        <v>0</v>
      </c>
    </row>
    <row r="493">
      <c r="A493" s="19" t="str">
        <v>意大利区</v>
      </c>
      <c r="B493" s="19" t="str">
        <v>米兰2号仓</v>
      </c>
      <c r="C493" s="19" t="str">
        <v>包装组</v>
      </c>
      <c r="D493" s="21" t="n">
        <v>46201</v>
      </c>
      <c r="E493" s="19" t="str">
        <v>2026-06</v>
      </c>
      <c r="F493" s="19" t="str">
        <v>操作员</v>
      </c>
      <c r="G493" s="19" t="str">
        <v>IT 08:30-17:00</v>
      </c>
      <c r="H493" s="23" t="n">
        <v>1</v>
      </c>
      <c r="I493" s="23" t="n">
        <v>0</v>
      </c>
      <c r="J493" s="23" t="n">
        <f>H493+I493</f>
        <v>1</v>
      </c>
      <c r="K493" s="23" t="n">
        <v>1</v>
      </c>
      <c r="L493" s="23" t="n">
        <v>1</v>
      </c>
      <c r="M493" s="23" t="n">
        <f>MIN(K493,J493)</f>
        <v>1</v>
      </c>
      <c r="N493" s="23" t="n">
        <f>MIN(L493,J493)</f>
        <v>1</v>
      </c>
      <c r="O493" s="25" t="n">
        <f>IF(K493=0,0,MIN(1,J493/K493))</f>
        <v>1</v>
      </c>
      <c r="P493" s="23" t="n">
        <f>IF(J493&gt;0,MAX(K493-J493,0),0)</f>
        <v>0</v>
      </c>
      <c r="Q493" s="23" t="n">
        <f>IF(J493=0,K493,0)</f>
        <v>0</v>
      </c>
      <c r="R493" s="23" t="n">
        <f>MAX(J493-K493,0)</f>
        <v>0</v>
      </c>
      <c r="S493" s="23" t="n">
        <f>IF(J493&gt;0,MAX(L493-J493,0),L493)</f>
        <v>0</v>
      </c>
    </row>
    <row r="494">
      <c r="A494" s="19" t="str">
        <v>意大利区</v>
      </c>
      <c r="B494" s="19" t="str">
        <v>米兰2号仓</v>
      </c>
      <c r="C494" s="19" t="str">
        <v>拣货组</v>
      </c>
      <c r="D494" s="21" t="n">
        <v>46197</v>
      </c>
      <c r="E494" s="19" t="str">
        <v>2026-06</v>
      </c>
      <c r="F494" s="19" t="str">
        <v>操作员</v>
      </c>
      <c r="G494" s="19" t="str">
        <v>IT 08:00-16:30</v>
      </c>
      <c r="H494" s="23" t="n">
        <v>2</v>
      </c>
      <c r="I494" s="23" t="n">
        <v>0</v>
      </c>
      <c r="J494" s="23" t="n">
        <f>H494+I494</f>
        <v>2</v>
      </c>
      <c r="K494" s="23" t="n">
        <v>2</v>
      </c>
      <c r="L494" s="23" t="n">
        <v>2</v>
      </c>
      <c r="M494" s="23" t="n">
        <f>MIN(K494,J494)</f>
        <v>2</v>
      </c>
      <c r="N494" s="23" t="n">
        <f>MIN(L494,J494)</f>
        <v>2</v>
      </c>
      <c r="O494" s="25" t="n">
        <f>IF(K494=0,0,MIN(1,J494/K494))</f>
        <v>1</v>
      </c>
      <c r="P494" s="23" t="n">
        <f>IF(J494&gt;0,MAX(K494-J494,0),0)</f>
        <v>0</v>
      </c>
      <c r="Q494" s="23" t="n">
        <f>IF(J494=0,K494,0)</f>
        <v>0</v>
      </c>
      <c r="R494" s="23" t="n">
        <f>MAX(J494-K494,0)</f>
        <v>0</v>
      </c>
      <c r="S494" s="23" t="n">
        <f>IF(J494&gt;0,MAX(L494-J494,0),L494)</f>
        <v>0</v>
      </c>
    </row>
    <row r="495">
      <c r="A495" s="19" t="str">
        <v>意大利区</v>
      </c>
      <c r="B495" s="19" t="str">
        <v>米兰2号仓</v>
      </c>
      <c r="C495" s="19" t="str">
        <v>拣货组</v>
      </c>
      <c r="D495" s="21" t="n">
        <v>46198</v>
      </c>
      <c r="E495" s="19" t="str">
        <v>2026-06</v>
      </c>
      <c r="F495" s="19" t="str">
        <v>操作员</v>
      </c>
      <c r="G495" s="19" t="str">
        <v>IT 08:00-16:30</v>
      </c>
      <c r="H495" s="23" t="n">
        <v>2</v>
      </c>
      <c r="I495" s="23" t="n">
        <v>0</v>
      </c>
      <c r="J495" s="23" t="n">
        <f>H495+I495</f>
        <v>2</v>
      </c>
      <c r="K495" s="23" t="n">
        <v>2</v>
      </c>
      <c r="L495" s="23" t="n">
        <v>2</v>
      </c>
      <c r="M495" s="23" t="n">
        <f>MIN(K495,J495)</f>
        <v>2</v>
      </c>
      <c r="N495" s="23" t="n">
        <f>MIN(L495,J495)</f>
        <v>2</v>
      </c>
      <c r="O495" s="25" t="n">
        <f>IF(K495=0,0,MIN(1,J495/K495))</f>
        <v>1</v>
      </c>
      <c r="P495" s="23" t="n">
        <f>IF(J495&gt;0,MAX(K495-J495,0),0)</f>
        <v>0</v>
      </c>
      <c r="Q495" s="23" t="n">
        <f>IF(J495=0,K495,0)</f>
        <v>0</v>
      </c>
      <c r="R495" s="23" t="n">
        <f>MAX(J495-K495,0)</f>
        <v>0</v>
      </c>
      <c r="S495" s="23" t="n">
        <f>IF(J495&gt;0,MAX(L495-J495,0),L495)</f>
        <v>0</v>
      </c>
    </row>
    <row r="496">
      <c r="A496" s="19" t="str">
        <v>意大利区</v>
      </c>
      <c r="B496" s="19" t="str">
        <v>米兰2号仓</v>
      </c>
      <c r="C496" s="19" t="str">
        <v>拣货组</v>
      </c>
      <c r="D496" s="21" t="n">
        <v>46199</v>
      </c>
      <c r="E496" s="19" t="str">
        <v>2026-06</v>
      </c>
      <c r="F496" s="19" t="str">
        <v>操作员</v>
      </c>
      <c r="G496" s="19" t="str">
        <v>IT 08:00-16:30</v>
      </c>
      <c r="H496" s="23" t="n">
        <v>2</v>
      </c>
      <c r="I496" s="23" t="n">
        <v>0</v>
      </c>
      <c r="J496" s="23" t="n">
        <f>H496+I496</f>
        <v>2</v>
      </c>
      <c r="K496" s="23" t="n">
        <v>2</v>
      </c>
      <c r="L496" s="23" t="n">
        <v>2</v>
      </c>
      <c r="M496" s="23" t="n">
        <f>MIN(K496,J496)</f>
        <v>2</v>
      </c>
      <c r="N496" s="23" t="n">
        <f>MIN(L496,J496)</f>
        <v>2</v>
      </c>
      <c r="O496" s="25" t="n">
        <f>IF(K496=0,0,MIN(1,J496/K496))</f>
        <v>1</v>
      </c>
      <c r="P496" s="23" t="n">
        <f>IF(J496&gt;0,MAX(K496-J496,0),0)</f>
        <v>0</v>
      </c>
      <c r="Q496" s="23" t="n">
        <f>IF(J496=0,K496,0)</f>
        <v>0</v>
      </c>
      <c r="R496" s="23" t="n">
        <f>MAX(J496-K496,0)</f>
        <v>0</v>
      </c>
      <c r="S496" s="23" t="n">
        <f>IF(J496&gt;0,MAX(L496-J496,0),L496)</f>
        <v>0</v>
      </c>
    </row>
    <row r="497">
      <c r="A497" s="19" t="str">
        <v>意大利区</v>
      </c>
      <c r="B497" s="19" t="str">
        <v>米兰2号仓</v>
      </c>
      <c r="C497" s="19" t="str">
        <v>拣货组</v>
      </c>
      <c r="D497" s="21" t="n">
        <v>46200</v>
      </c>
      <c r="E497" s="19" t="str">
        <v>2026-06</v>
      </c>
      <c r="F497" s="19" t="str">
        <v>操作员</v>
      </c>
      <c r="G497" s="19" t="str">
        <v>IT 08:00-16:30</v>
      </c>
      <c r="H497" s="23" t="n">
        <v>2</v>
      </c>
      <c r="I497" s="23" t="n">
        <v>0</v>
      </c>
      <c r="J497" s="23" t="n">
        <f>H497+I497</f>
        <v>2</v>
      </c>
      <c r="K497" s="23" t="n">
        <v>2</v>
      </c>
      <c r="L497" s="23" t="n">
        <v>2</v>
      </c>
      <c r="M497" s="23" t="n">
        <f>MIN(K497,J497)</f>
        <v>2</v>
      </c>
      <c r="N497" s="23" t="n">
        <f>MIN(L497,J497)</f>
        <v>2</v>
      </c>
      <c r="O497" s="25" t="n">
        <f>IF(K497=0,0,MIN(1,J497/K497))</f>
        <v>1</v>
      </c>
      <c r="P497" s="23" t="n">
        <f>IF(J497&gt;0,MAX(K497-J497,0),0)</f>
        <v>0</v>
      </c>
      <c r="Q497" s="23" t="n">
        <f>IF(J497=0,K497,0)</f>
        <v>0</v>
      </c>
      <c r="R497" s="23" t="n">
        <f>MAX(J497-K497,0)</f>
        <v>0</v>
      </c>
      <c r="S497" s="23" t="n">
        <f>IF(J497&gt;0,MAX(L497-J497,0),L497)</f>
        <v>0</v>
      </c>
    </row>
    <row r="498">
      <c r="A498" s="19" t="str">
        <v>意大利区</v>
      </c>
      <c r="B498" s="19" t="str">
        <v>米兰2号仓</v>
      </c>
      <c r="C498" s="19" t="str">
        <v>拣货组</v>
      </c>
      <c r="D498" s="21" t="n">
        <v>46201</v>
      </c>
      <c r="E498" s="19" t="str">
        <v>2026-06</v>
      </c>
      <c r="F498" s="19" t="str">
        <v>操作员</v>
      </c>
      <c r="G498" s="19" t="str">
        <v>IT 08:00-16:30</v>
      </c>
      <c r="H498" s="23" t="n">
        <v>2</v>
      </c>
      <c r="I498" s="23" t="n">
        <v>0</v>
      </c>
      <c r="J498" s="23" t="n">
        <f>H498+I498</f>
        <v>2</v>
      </c>
      <c r="K498" s="23" t="n">
        <v>2</v>
      </c>
      <c r="L498" s="23" t="n">
        <v>2</v>
      </c>
      <c r="M498" s="23" t="n">
        <f>MIN(K498,J498)</f>
        <v>2</v>
      </c>
      <c r="N498" s="23" t="n">
        <f>MIN(L498,J498)</f>
        <v>2</v>
      </c>
      <c r="O498" s="25" t="n">
        <f>IF(K498=0,0,MIN(1,J498/K498))</f>
        <v>1</v>
      </c>
      <c r="P498" s="23" t="n">
        <f>IF(J498&gt;0,MAX(K498-J498,0),0)</f>
        <v>0</v>
      </c>
      <c r="Q498" s="23" t="n">
        <f>IF(J498=0,K498,0)</f>
        <v>0</v>
      </c>
      <c r="R498" s="23" t="n">
        <f>MAX(J498-K498,0)</f>
        <v>0</v>
      </c>
      <c r="S498" s="23" t="n">
        <f>IF(J498&gt;0,MAX(L498-J498,0),L498)</f>
        <v>0</v>
      </c>
    </row>
    <row r="499">
      <c r="A499" s="19" t="str">
        <v>意大利区</v>
      </c>
      <c r="B499" s="19" t="str">
        <v>米兰2号仓</v>
      </c>
      <c r="C499" s="19" t="str">
        <v>拣货组</v>
      </c>
      <c r="D499" s="21" t="n">
        <v>46202</v>
      </c>
      <c r="E499" s="19" t="str">
        <v>2026-06</v>
      </c>
      <c r="F499" s="19" t="str">
        <v>操作员</v>
      </c>
      <c r="G499" s="19" t="str">
        <v>IT 08:00-16:30</v>
      </c>
      <c r="H499" s="23" t="n">
        <v>2</v>
      </c>
      <c r="I499" s="23" t="n">
        <v>0</v>
      </c>
      <c r="J499" s="23" t="n">
        <f>H499+I499</f>
        <v>2</v>
      </c>
      <c r="K499" s="23" t="n">
        <v>2</v>
      </c>
      <c r="L499" s="23" t="n">
        <v>2</v>
      </c>
      <c r="M499" s="23" t="n">
        <f>MIN(K499,J499)</f>
        <v>2</v>
      </c>
      <c r="N499" s="23" t="n">
        <f>MIN(L499,J499)</f>
        <v>2</v>
      </c>
      <c r="O499" s="25" t="n">
        <f>IF(K499=0,0,MIN(1,J499/K499))</f>
        <v>1</v>
      </c>
      <c r="P499" s="23" t="n">
        <f>IF(J499&gt;0,MAX(K499-J499,0),0)</f>
        <v>0</v>
      </c>
      <c r="Q499" s="23" t="n">
        <f>IF(J499=0,K499,0)</f>
        <v>0</v>
      </c>
      <c r="R499" s="23" t="n">
        <f>MAX(J499-K499,0)</f>
        <v>0</v>
      </c>
      <c r="S499" s="23" t="n">
        <f>IF(J499&gt;0,MAX(L499-J499,0),L499)</f>
        <v>0</v>
      </c>
    </row>
    <row r="500">
      <c r="A500" s="19" t="str">
        <v>意大利区</v>
      </c>
      <c r="B500" s="19" t="str">
        <v>米兰2号仓</v>
      </c>
      <c r="C500" s="19" t="str">
        <v>拣货组</v>
      </c>
      <c r="D500" s="21" t="n">
        <v>46203</v>
      </c>
      <c r="E500" s="19" t="str">
        <v>2026-06</v>
      </c>
      <c r="F500" s="19" t="str">
        <v>操作员</v>
      </c>
      <c r="G500" s="19" t="str">
        <v>IT 08:00-16:30</v>
      </c>
      <c r="H500" s="23" t="n">
        <v>2</v>
      </c>
      <c r="I500" s="23" t="n">
        <v>0</v>
      </c>
      <c r="J500" s="23" t="n">
        <f>H500+I500</f>
        <v>2</v>
      </c>
      <c r="K500" s="23" t="n">
        <v>2</v>
      </c>
      <c r="L500" s="23" t="n">
        <v>2</v>
      </c>
      <c r="M500" s="23" t="n">
        <f>MIN(K500,J500)</f>
        <v>2</v>
      </c>
      <c r="N500" s="23" t="n">
        <f>MIN(L500,J500)</f>
        <v>2</v>
      </c>
      <c r="O500" s="25" t="n">
        <f>IF(K500=0,0,MIN(1,J500/K500))</f>
        <v>1</v>
      </c>
      <c r="P500" s="23" t="n">
        <f>IF(J500&gt;0,MAX(K500-J500,0),0)</f>
        <v>0</v>
      </c>
      <c r="Q500" s="23" t="n">
        <f>IF(J500=0,K500,0)</f>
        <v>0</v>
      </c>
      <c r="R500" s="23" t="n">
        <f>MAX(J500-K500,0)</f>
        <v>0</v>
      </c>
      <c r="S500" s="23" t="n">
        <f>IF(J500&gt;0,MAX(L500-J500,0),L500)</f>
        <v>0</v>
      </c>
    </row>
    <row r="501">
      <c r="A501" s="19" t="str">
        <v>意大利区</v>
      </c>
      <c r="B501" s="19" t="str">
        <v>米兰3号仓(SN)</v>
      </c>
      <c r="C501" s="19" t="str">
        <v>A班组-收货组</v>
      </c>
      <c r="D501" s="21" t="n">
        <v>46193</v>
      </c>
      <c r="E501" s="19" t="str">
        <v>2026-06</v>
      </c>
      <c r="F501" s="19" t="str">
        <v>操作员</v>
      </c>
      <c r="G501" s="19" t="str">
        <v>IT 08:00-16:30</v>
      </c>
      <c r="H501" s="23" t="n">
        <v>8</v>
      </c>
      <c r="I501" s="23" t="n">
        <v>0</v>
      </c>
      <c r="J501" s="23" t="n">
        <f>H501+I501</f>
        <v>8</v>
      </c>
      <c r="K501" s="23" t="n">
        <v>8</v>
      </c>
      <c r="L501" s="23" t="n">
        <v>8</v>
      </c>
      <c r="M501" s="23" t="n">
        <f>MIN(K501,J501)</f>
        <v>8</v>
      </c>
      <c r="N501" s="23" t="n">
        <f>MIN(L501,J501)</f>
        <v>8</v>
      </c>
      <c r="O501" s="25" t="n">
        <f>IF(K501=0,0,MIN(1,J501/K501))</f>
        <v>1</v>
      </c>
      <c r="P501" s="23" t="n">
        <f>IF(J501&gt;0,MAX(K501-J501,0),0)</f>
        <v>0</v>
      </c>
      <c r="Q501" s="23" t="n">
        <f>IF(J501=0,K501,0)</f>
        <v>0</v>
      </c>
      <c r="R501" s="23" t="n">
        <f>MAX(J501-K501,0)</f>
        <v>0</v>
      </c>
      <c r="S501" s="23" t="n">
        <f>IF(J501&gt;0,MAX(L501-J501,0),L501)</f>
        <v>0</v>
      </c>
    </row>
    <row r="502">
      <c r="A502" s="19" t="str">
        <v>意大利区</v>
      </c>
      <c r="B502" s="19" t="str">
        <v>米兰3号仓(SN)</v>
      </c>
      <c r="C502" s="19" t="str">
        <v>A班组-收货组</v>
      </c>
      <c r="D502" s="21" t="n">
        <v>46194</v>
      </c>
      <c r="E502" s="19" t="str">
        <v>2026-06</v>
      </c>
      <c r="F502" s="19" t="str">
        <v>操作员</v>
      </c>
      <c r="G502" s="19" t="str">
        <v>IT 08:00-16:30</v>
      </c>
      <c r="H502" s="23" t="n">
        <v>18</v>
      </c>
      <c r="I502" s="23" t="n">
        <v>0</v>
      </c>
      <c r="J502" s="23" t="n">
        <f>H502+I502</f>
        <v>18</v>
      </c>
      <c r="K502" s="23" t="n">
        <v>18</v>
      </c>
      <c r="L502" s="23" t="n">
        <v>18</v>
      </c>
      <c r="M502" s="23" t="n">
        <f>MIN(K502,J502)</f>
        <v>18</v>
      </c>
      <c r="N502" s="23" t="n">
        <f>MIN(L502,J502)</f>
        <v>18</v>
      </c>
      <c r="O502" s="25" t="n">
        <f>IF(K502=0,0,MIN(1,J502/K502))</f>
        <v>1</v>
      </c>
      <c r="P502" s="23" t="n">
        <f>IF(J502&gt;0,MAX(K502-J502,0),0)</f>
        <v>0</v>
      </c>
      <c r="Q502" s="23" t="n">
        <f>IF(J502=0,K502,0)</f>
        <v>0</v>
      </c>
      <c r="R502" s="23" t="n">
        <f>MAX(J502-K502,0)</f>
        <v>0</v>
      </c>
      <c r="S502" s="23" t="n">
        <f>IF(J502&gt;0,MAX(L502-J502,0),L502)</f>
        <v>0</v>
      </c>
    </row>
    <row r="503">
      <c r="A503" s="19" t="str">
        <v>意大利区</v>
      </c>
      <c r="B503" s="19" t="str">
        <v>米兰3号仓(SN)</v>
      </c>
      <c r="C503" s="19" t="str">
        <v>A班组-收货组</v>
      </c>
      <c r="D503" s="21" t="n">
        <v>46195</v>
      </c>
      <c r="E503" s="19" t="str">
        <v>2026-06</v>
      </c>
      <c r="F503" s="19" t="str">
        <v>操作员</v>
      </c>
      <c r="G503" s="19" t="str">
        <v>IT 08:00-16:30</v>
      </c>
      <c r="H503" s="23" t="n">
        <v>18</v>
      </c>
      <c r="I503" s="23" t="n">
        <v>0</v>
      </c>
      <c r="J503" s="23" t="n">
        <f>H503+I503</f>
        <v>18</v>
      </c>
      <c r="K503" s="23" t="n">
        <v>18</v>
      </c>
      <c r="L503" s="23" t="n">
        <v>18</v>
      </c>
      <c r="M503" s="23" t="n">
        <f>MIN(K503,J503)</f>
        <v>18</v>
      </c>
      <c r="N503" s="23" t="n">
        <f>MIN(L503,J503)</f>
        <v>18</v>
      </c>
      <c r="O503" s="25" t="n">
        <f>IF(K503=0,0,MIN(1,J503/K503))</f>
        <v>1</v>
      </c>
      <c r="P503" s="23" t="n">
        <f>IF(J503&gt;0,MAX(K503-J503,0),0)</f>
        <v>0</v>
      </c>
      <c r="Q503" s="23" t="n">
        <f>IF(J503=0,K503,0)</f>
        <v>0</v>
      </c>
      <c r="R503" s="23" t="n">
        <f>MAX(J503-K503,0)</f>
        <v>0</v>
      </c>
      <c r="S503" s="23" t="n">
        <f>IF(J503&gt;0,MAX(L503-J503,0),L503)</f>
        <v>0</v>
      </c>
    </row>
    <row r="504">
      <c r="A504" s="19" t="str">
        <v>意大利区</v>
      </c>
      <c r="B504" s="19" t="str">
        <v>米兰3号仓(SN)</v>
      </c>
      <c r="C504" s="19" t="str">
        <v>A班组-收货组</v>
      </c>
      <c r="D504" s="21" t="n">
        <v>46196</v>
      </c>
      <c r="E504" s="19" t="str">
        <v>2026-06</v>
      </c>
      <c r="F504" s="19" t="str">
        <v>操作员</v>
      </c>
      <c r="G504" s="19" t="str">
        <v>IT 08:00-16:30</v>
      </c>
      <c r="H504" s="23" t="n">
        <v>18</v>
      </c>
      <c r="I504" s="23" t="n">
        <v>0</v>
      </c>
      <c r="J504" s="23" t="n">
        <f>H504+I504</f>
        <v>18</v>
      </c>
      <c r="K504" s="23" t="n">
        <v>18</v>
      </c>
      <c r="L504" s="23" t="n">
        <v>18</v>
      </c>
      <c r="M504" s="23" t="n">
        <f>MIN(K504,J504)</f>
        <v>18</v>
      </c>
      <c r="N504" s="23" t="n">
        <f>MIN(L504,J504)</f>
        <v>18</v>
      </c>
      <c r="O504" s="25" t="n">
        <f>IF(K504=0,0,MIN(1,J504/K504))</f>
        <v>1</v>
      </c>
      <c r="P504" s="23" t="n">
        <f>IF(J504&gt;0,MAX(K504-J504,0),0)</f>
        <v>0</v>
      </c>
      <c r="Q504" s="23" t="n">
        <f>IF(J504=0,K504,0)</f>
        <v>0</v>
      </c>
      <c r="R504" s="23" t="n">
        <f>MAX(J504-K504,0)</f>
        <v>0</v>
      </c>
      <c r="S504" s="23" t="n">
        <f>IF(J504&gt;0,MAX(L504-J504,0),L504)</f>
        <v>0</v>
      </c>
    </row>
    <row r="505">
      <c r="A505" s="19" t="str">
        <v>意大利区</v>
      </c>
      <c r="B505" s="19" t="str">
        <v>米兰3号仓(SN)</v>
      </c>
      <c r="C505" s="19" t="str">
        <v>A班组-收货组</v>
      </c>
      <c r="D505" s="21" t="n">
        <v>46197</v>
      </c>
      <c r="E505" s="19" t="str">
        <v>2026-06</v>
      </c>
      <c r="F505" s="19" t="str">
        <v>操作员</v>
      </c>
      <c r="G505" s="19" t="str">
        <v>IT 08:00-16:30</v>
      </c>
      <c r="H505" s="23" t="n">
        <v>18</v>
      </c>
      <c r="I505" s="23" t="n">
        <v>0</v>
      </c>
      <c r="J505" s="23" t="n">
        <f>H505+I505</f>
        <v>18</v>
      </c>
      <c r="K505" s="23" t="n">
        <v>18</v>
      </c>
      <c r="L505" s="23" t="n">
        <v>18</v>
      </c>
      <c r="M505" s="23" t="n">
        <f>MIN(K505,J505)</f>
        <v>18</v>
      </c>
      <c r="N505" s="23" t="n">
        <f>MIN(L505,J505)</f>
        <v>18</v>
      </c>
      <c r="O505" s="25" t="n">
        <f>IF(K505=0,0,MIN(1,J505/K505))</f>
        <v>1</v>
      </c>
      <c r="P505" s="23" t="n">
        <f>IF(J505&gt;0,MAX(K505-J505,0),0)</f>
        <v>0</v>
      </c>
      <c r="Q505" s="23" t="n">
        <f>IF(J505=0,K505,0)</f>
        <v>0</v>
      </c>
      <c r="R505" s="23" t="n">
        <f>MAX(J505-K505,0)</f>
        <v>0</v>
      </c>
      <c r="S505" s="23" t="n">
        <f>IF(J505&gt;0,MAX(L505-J505,0),L505)</f>
        <v>0</v>
      </c>
    </row>
    <row r="506">
      <c r="A506" s="19" t="str">
        <v>意大利区</v>
      </c>
      <c r="B506" s="19" t="str">
        <v>米兰3号仓(SN)</v>
      </c>
      <c r="C506" s="19" t="str">
        <v>A班组-收货组</v>
      </c>
      <c r="D506" s="21" t="n">
        <v>46198</v>
      </c>
      <c r="E506" s="19" t="str">
        <v>2026-06</v>
      </c>
      <c r="F506" s="19" t="str">
        <v>操作员</v>
      </c>
      <c r="G506" s="19" t="str">
        <v>IT 08:00-16:30</v>
      </c>
      <c r="H506" s="23" t="n">
        <v>18</v>
      </c>
      <c r="I506" s="23" t="n">
        <v>0</v>
      </c>
      <c r="J506" s="23" t="n">
        <f>H506+I506</f>
        <v>18</v>
      </c>
      <c r="K506" s="23" t="n">
        <v>18</v>
      </c>
      <c r="L506" s="23" t="n">
        <v>18</v>
      </c>
      <c r="M506" s="23" t="n">
        <f>MIN(K506,J506)</f>
        <v>18</v>
      </c>
      <c r="N506" s="23" t="n">
        <f>MIN(L506,J506)</f>
        <v>18</v>
      </c>
      <c r="O506" s="25" t="n">
        <f>IF(K506=0,0,MIN(1,J506/K506))</f>
        <v>1</v>
      </c>
      <c r="P506" s="23" t="n">
        <f>IF(J506&gt;0,MAX(K506-J506,0),0)</f>
        <v>0</v>
      </c>
      <c r="Q506" s="23" t="n">
        <f>IF(J506=0,K506,0)</f>
        <v>0</v>
      </c>
      <c r="R506" s="23" t="n">
        <f>MAX(J506-K506,0)</f>
        <v>0</v>
      </c>
      <c r="S506" s="23" t="n">
        <f>IF(J506&gt;0,MAX(L506-J506,0),L506)</f>
        <v>0</v>
      </c>
    </row>
    <row r="507">
      <c r="A507" s="19" t="str">
        <v>意大利区</v>
      </c>
      <c r="B507" s="19" t="str">
        <v>米兰3号仓(SN)</v>
      </c>
      <c r="C507" s="19" t="str">
        <v>A班组-收货组</v>
      </c>
      <c r="D507" s="21" t="n">
        <v>46199</v>
      </c>
      <c r="E507" s="19" t="str">
        <v>2026-06</v>
      </c>
      <c r="F507" s="19" t="str">
        <v>操作员</v>
      </c>
      <c r="G507" s="19" t="str">
        <v>IT 08:00-16:30</v>
      </c>
      <c r="H507" s="23" t="n">
        <v>18</v>
      </c>
      <c r="I507" s="23" t="n">
        <v>0</v>
      </c>
      <c r="J507" s="23" t="n">
        <f>H507+I507</f>
        <v>18</v>
      </c>
      <c r="K507" s="23" t="n">
        <v>18</v>
      </c>
      <c r="L507" s="23" t="n">
        <v>18</v>
      </c>
      <c r="M507" s="23" t="n">
        <f>MIN(K507,J507)</f>
        <v>18</v>
      </c>
      <c r="N507" s="23" t="n">
        <f>MIN(L507,J507)</f>
        <v>18</v>
      </c>
      <c r="O507" s="25" t="n">
        <f>IF(K507=0,0,MIN(1,J507/K507))</f>
        <v>1</v>
      </c>
      <c r="P507" s="23" t="n">
        <f>IF(J507&gt;0,MAX(K507-J507,0),0)</f>
        <v>0</v>
      </c>
      <c r="Q507" s="23" t="n">
        <f>IF(J507=0,K507,0)</f>
        <v>0</v>
      </c>
      <c r="R507" s="23" t="n">
        <f>MAX(J507-K507,0)</f>
        <v>0</v>
      </c>
      <c r="S507" s="23" t="n">
        <f>IF(J507&gt;0,MAX(L507-J507,0),L507)</f>
        <v>0</v>
      </c>
    </row>
    <row r="508">
      <c r="A508" s="19" t="str">
        <v>意大利区</v>
      </c>
      <c r="B508" s="19" t="str">
        <v>米兰3号仓(SN)</v>
      </c>
      <c r="C508" s="19" t="str">
        <v>A班组-收货组</v>
      </c>
      <c r="D508" s="21" t="n">
        <v>46200</v>
      </c>
      <c r="E508" s="19" t="str">
        <v>2026-06</v>
      </c>
      <c r="F508" s="19" t="str">
        <v>操作员</v>
      </c>
      <c r="G508" s="19" t="str">
        <v>IT 08:00-16:30</v>
      </c>
      <c r="H508" s="23" t="n">
        <v>18</v>
      </c>
      <c r="I508" s="23" t="n">
        <v>0</v>
      </c>
      <c r="J508" s="23" t="n">
        <f>H508+I508</f>
        <v>18</v>
      </c>
      <c r="K508" s="23" t="n">
        <v>18</v>
      </c>
      <c r="L508" s="23" t="n">
        <v>18</v>
      </c>
      <c r="M508" s="23" t="n">
        <f>MIN(K508,J508)</f>
        <v>18</v>
      </c>
      <c r="N508" s="23" t="n">
        <f>MIN(L508,J508)</f>
        <v>18</v>
      </c>
      <c r="O508" s="25" t="n">
        <f>IF(K508=0,0,MIN(1,J508/K508))</f>
        <v>1</v>
      </c>
      <c r="P508" s="23" t="n">
        <f>IF(J508&gt;0,MAX(K508-J508,0),0)</f>
        <v>0</v>
      </c>
      <c r="Q508" s="23" t="n">
        <f>IF(J508=0,K508,0)</f>
        <v>0</v>
      </c>
      <c r="R508" s="23" t="n">
        <f>MAX(J508-K508,0)</f>
        <v>0</v>
      </c>
      <c r="S508" s="23" t="n">
        <f>IF(J508&gt;0,MAX(L508-J508,0),L508)</f>
        <v>0</v>
      </c>
    </row>
    <row r="509">
      <c r="A509" s="19" t="str">
        <v>意大利区</v>
      </c>
      <c r="B509" s="19" t="str">
        <v>米兰3号仓(SN)</v>
      </c>
      <c r="C509" s="19" t="str">
        <v>A班组-收货组</v>
      </c>
      <c r="D509" s="21" t="n">
        <v>46201</v>
      </c>
      <c r="E509" s="19" t="str">
        <v>2026-06</v>
      </c>
      <c r="F509" s="19" t="str">
        <v>操作员</v>
      </c>
      <c r="G509" s="19" t="str">
        <v>IT 08:00-16:30</v>
      </c>
      <c r="H509" s="23" t="n">
        <v>18</v>
      </c>
      <c r="I509" s="23" t="n">
        <v>0</v>
      </c>
      <c r="J509" s="23" t="n">
        <f>H509+I509</f>
        <v>18</v>
      </c>
      <c r="K509" s="23" t="n">
        <v>18</v>
      </c>
      <c r="L509" s="23" t="n">
        <v>18</v>
      </c>
      <c r="M509" s="23" t="n">
        <f>MIN(K509,J509)</f>
        <v>18</v>
      </c>
      <c r="N509" s="23" t="n">
        <f>MIN(L509,J509)</f>
        <v>18</v>
      </c>
      <c r="O509" s="25" t="n">
        <f>IF(K509=0,0,MIN(1,J509/K509))</f>
        <v>1</v>
      </c>
      <c r="P509" s="23" t="n">
        <f>IF(J509&gt;0,MAX(K509-J509,0),0)</f>
        <v>0</v>
      </c>
      <c r="Q509" s="23" t="n">
        <f>IF(J509=0,K509,0)</f>
        <v>0</v>
      </c>
      <c r="R509" s="23" t="n">
        <f>MAX(J509-K509,0)</f>
        <v>0</v>
      </c>
      <c r="S509" s="23" t="n">
        <f>IF(J509&gt;0,MAX(L509-J509,0),L509)</f>
        <v>0</v>
      </c>
    </row>
    <row r="510">
      <c r="A510" s="19" t="str">
        <v>意大利区</v>
      </c>
      <c r="B510" s="19" t="str">
        <v>米兰3号仓(SN)</v>
      </c>
      <c r="C510" s="19" t="str">
        <v>A班组-收货组</v>
      </c>
      <c r="D510" s="21" t="n">
        <v>46202</v>
      </c>
      <c r="E510" s="19" t="str">
        <v>2026-06</v>
      </c>
      <c r="F510" s="19" t="str">
        <v>操作员</v>
      </c>
      <c r="G510" s="19" t="str">
        <v>IT 08:00-16:30</v>
      </c>
      <c r="H510" s="23" t="n">
        <v>18</v>
      </c>
      <c r="I510" s="23" t="n">
        <v>0</v>
      </c>
      <c r="J510" s="23" t="n">
        <f>H510+I510</f>
        <v>18</v>
      </c>
      <c r="K510" s="23" t="n">
        <v>18</v>
      </c>
      <c r="L510" s="23" t="n">
        <v>18</v>
      </c>
      <c r="M510" s="23" t="n">
        <f>MIN(K510,J510)</f>
        <v>18</v>
      </c>
      <c r="N510" s="23" t="n">
        <f>MIN(L510,J510)</f>
        <v>18</v>
      </c>
      <c r="O510" s="25" t="n">
        <f>IF(K510=0,0,MIN(1,J510/K510))</f>
        <v>1</v>
      </c>
      <c r="P510" s="23" t="n">
        <f>IF(J510&gt;0,MAX(K510-J510,0),0)</f>
        <v>0</v>
      </c>
      <c r="Q510" s="23" t="n">
        <f>IF(J510=0,K510,0)</f>
        <v>0</v>
      </c>
      <c r="R510" s="23" t="n">
        <f>MAX(J510-K510,0)</f>
        <v>0</v>
      </c>
      <c r="S510" s="23" t="n">
        <f>IF(J510&gt;0,MAX(L510-J510,0),L510)</f>
        <v>0</v>
      </c>
    </row>
    <row r="511">
      <c r="A511" s="19" t="str">
        <v>捷克区</v>
      </c>
      <c r="B511" s="19" t="str">
        <v>布拉格1号仓</v>
      </c>
      <c r="C511" s="19" t="str">
        <v>包装组</v>
      </c>
      <c r="D511" s="21" t="n">
        <v>46168</v>
      </c>
      <c r="E511" s="19" t="str">
        <v>2026-05</v>
      </c>
      <c r="F511" s="19" t="str">
        <v>操作员</v>
      </c>
      <c r="G511" s="19" t="str">
        <v>捷克区07:00-15:30 / CZ 07:00-15:30</v>
      </c>
      <c r="H511" s="23" t="n">
        <v>0</v>
      </c>
      <c r="I511" s="23" t="n">
        <v>0</v>
      </c>
      <c r="J511" s="23" t="n">
        <f>H511+I511</f>
        <v>0</v>
      </c>
      <c r="K511" s="23" t="n">
        <v>1</v>
      </c>
      <c r="L511" s="23" t="n">
        <v>0</v>
      </c>
      <c r="M511" s="23" t="n">
        <f>MIN(K511,J511)</f>
        <v>0</v>
      </c>
      <c r="N511" s="23" t="n">
        <f>MIN(L511,J511)</f>
        <v>0</v>
      </c>
      <c r="O511" s="25" t="n">
        <f>IF(K511=0,0,MIN(1,J511/K511))</f>
        <v>0</v>
      </c>
      <c r="P511" s="23" t="n">
        <f>IF(J511&gt;0,MAX(K511-J511,0),0)</f>
        <v>0</v>
      </c>
      <c r="Q511" s="23" t="n">
        <f>IF(J511=0,K511,0)</f>
        <v>1</v>
      </c>
      <c r="R511" s="23" t="n">
        <f>MAX(J511-K511,0)</f>
        <v>0</v>
      </c>
      <c r="S511" s="23" t="n">
        <f>IF(J511&gt;0,MAX(L511-J511,0),L511)</f>
        <v>0</v>
      </c>
    </row>
    <row r="512">
      <c r="A512" s="19" t="str">
        <v>捷克区</v>
      </c>
      <c r="B512" s="19" t="str">
        <v>布拉格1号仓</v>
      </c>
      <c r="C512" s="19" t="str">
        <v>包装组</v>
      </c>
      <c r="D512" s="21" t="n">
        <v>46170</v>
      </c>
      <c r="E512" s="19" t="str">
        <v>2026-05</v>
      </c>
      <c r="F512" s="19" t="str">
        <v>操作员</v>
      </c>
      <c r="G512" s="19" t="str">
        <v>捷克区07:00-15:30 / CZ 07:00-15:30</v>
      </c>
      <c r="H512" s="23" t="n">
        <v>1</v>
      </c>
      <c r="I512" s="23" t="n">
        <v>0</v>
      </c>
      <c r="J512" s="23" t="n">
        <f>H512+I512</f>
        <v>1</v>
      </c>
      <c r="K512" s="23" t="n">
        <v>1</v>
      </c>
      <c r="L512" s="23" t="n">
        <v>0</v>
      </c>
      <c r="M512" s="23" t="n">
        <f>MIN(K512,J512)</f>
        <v>1</v>
      </c>
      <c r="N512" s="23" t="n">
        <f>MIN(L512,J512)</f>
        <v>0</v>
      </c>
      <c r="O512" s="25" t="n">
        <f>IF(K512=0,0,MIN(1,J512/K512))</f>
        <v>1</v>
      </c>
      <c r="P512" s="23" t="n">
        <f>IF(J512&gt;0,MAX(K512-J512,0),0)</f>
        <v>0</v>
      </c>
      <c r="Q512" s="23" t="n">
        <f>IF(J512=0,K512,0)</f>
        <v>0</v>
      </c>
      <c r="R512" s="23" t="n">
        <f>MAX(J512-K512,0)</f>
        <v>0</v>
      </c>
      <c r="S512" s="23" t="n">
        <f>IF(J512&gt;0,MAX(L512-J512,0),L512)</f>
        <v>0</v>
      </c>
    </row>
    <row r="513">
      <c r="A513" s="19" t="str">
        <v>捷克区</v>
      </c>
      <c r="B513" s="19" t="str">
        <v>布拉格1号仓</v>
      </c>
      <c r="C513" s="19" t="str">
        <v>包装组</v>
      </c>
      <c r="D513" s="21" t="n">
        <v>46171</v>
      </c>
      <c r="E513" s="19" t="str">
        <v>2026-05</v>
      </c>
      <c r="F513" s="19" t="str">
        <v>操作员</v>
      </c>
      <c r="G513" s="19" t="str">
        <v>捷克区07:00-15:30 / CZ 07:00-15:30</v>
      </c>
      <c r="H513" s="23" t="n">
        <v>1</v>
      </c>
      <c r="I513" s="23" t="n">
        <v>0</v>
      </c>
      <c r="J513" s="23" t="n">
        <f>H513+I513</f>
        <v>1</v>
      </c>
      <c r="K513" s="23" t="n">
        <v>1</v>
      </c>
      <c r="L513" s="23" t="n">
        <v>0</v>
      </c>
      <c r="M513" s="23" t="n">
        <f>MIN(K513,J513)</f>
        <v>1</v>
      </c>
      <c r="N513" s="23" t="n">
        <f>MIN(L513,J513)</f>
        <v>0</v>
      </c>
      <c r="O513" s="25" t="n">
        <f>IF(K513=0,0,MIN(1,J513/K513))</f>
        <v>1</v>
      </c>
      <c r="P513" s="23" t="n">
        <f>IF(J513&gt;0,MAX(K513-J513,0),0)</f>
        <v>0</v>
      </c>
      <c r="Q513" s="23" t="n">
        <f>IF(J513=0,K513,0)</f>
        <v>0</v>
      </c>
      <c r="R513" s="23" t="n">
        <f>MAX(J513-K513,0)</f>
        <v>0</v>
      </c>
      <c r="S513" s="23" t="n">
        <f>IF(J513&gt;0,MAX(L513-J513,0),L513)</f>
        <v>0</v>
      </c>
    </row>
    <row r="514">
      <c r="A514" s="19" t="str">
        <v>捷克区</v>
      </c>
      <c r="B514" s="19" t="str">
        <v>布拉格1号仓</v>
      </c>
      <c r="C514" s="19" t="str">
        <v>包装组</v>
      </c>
      <c r="D514" s="21" t="n">
        <v>46172</v>
      </c>
      <c r="E514" s="19" t="str">
        <v>2026-05</v>
      </c>
      <c r="F514" s="19" t="str">
        <v>操作员</v>
      </c>
      <c r="G514" s="19" t="str">
        <v>捷克区07:00-15:30 / CZ 07:00-15:30</v>
      </c>
      <c r="H514" s="23" t="n">
        <v>1</v>
      </c>
      <c r="I514" s="23" t="n">
        <v>0</v>
      </c>
      <c r="J514" s="23" t="n">
        <f>H514+I514</f>
        <v>1</v>
      </c>
      <c r="K514" s="23" t="n">
        <v>1</v>
      </c>
      <c r="L514" s="23" t="n">
        <v>0</v>
      </c>
      <c r="M514" s="23" t="n">
        <f>MIN(K514,J514)</f>
        <v>1</v>
      </c>
      <c r="N514" s="23" t="n">
        <f>MIN(L514,J514)</f>
        <v>0</v>
      </c>
      <c r="O514" s="25" t="n">
        <f>IF(K514=0,0,MIN(1,J514/K514))</f>
        <v>1</v>
      </c>
      <c r="P514" s="23" t="n">
        <f>IF(J514&gt;0,MAX(K514-J514,0),0)</f>
        <v>0</v>
      </c>
      <c r="Q514" s="23" t="n">
        <f>IF(J514=0,K514,0)</f>
        <v>0</v>
      </c>
      <c r="R514" s="23" t="n">
        <f>MAX(J514-K514,0)</f>
        <v>0</v>
      </c>
      <c r="S514" s="23" t="n">
        <f>IF(J514&gt;0,MAX(L514-J514,0),L514)</f>
        <v>0</v>
      </c>
    </row>
    <row r="515">
      <c r="A515" s="19" t="str">
        <v>捷克区</v>
      </c>
      <c r="B515" s="19" t="str">
        <v>布拉格1号仓</v>
      </c>
      <c r="C515" s="19" t="str">
        <v>包装组</v>
      </c>
      <c r="D515" s="21" t="n">
        <v>46173</v>
      </c>
      <c r="E515" s="19" t="str">
        <v>2026-05</v>
      </c>
      <c r="F515" s="19" t="str">
        <v>操作员</v>
      </c>
      <c r="G515" s="19" t="str">
        <v>捷克区07:00-15:30 / CZ 07:00-15:30</v>
      </c>
      <c r="H515" s="23" t="n">
        <v>1</v>
      </c>
      <c r="I515" s="23" t="n">
        <v>0</v>
      </c>
      <c r="J515" s="23" t="n">
        <f>H515+I515</f>
        <v>1</v>
      </c>
      <c r="K515" s="23" t="n">
        <v>1</v>
      </c>
      <c r="L515" s="23" t="n">
        <v>0</v>
      </c>
      <c r="M515" s="23" t="n">
        <f>MIN(K515,J515)</f>
        <v>1</v>
      </c>
      <c r="N515" s="23" t="n">
        <f>MIN(L515,J515)</f>
        <v>0</v>
      </c>
      <c r="O515" s="25" t="n">
        <f>IF(K515=0,0,MIN(1,J515/K515))</f>
        <v>1</v>
      </c>
      <c r="P515" s="23" t="n">
        <f>IF(J515&gt;0,MAX(K515-J515,0),0)</f>
        <v>0</v>
      </c>
      <c r="Q515" s="23" t="n">
        <f>IF(J515=0,K515,0)</f>
        <v>0</v>
      </c>
      <c r="R515" s="23" t="n">
        <f>MAX(J515-K515,0)</f>
        <v>0</v>
      </c>
      <c r="S515" s="23" t="n">
        <f>IF(J515&gt;0,MAX(L515-J515,0),L515)</f>
        <v>0</v>
      </c>
    </row>
    <row r="516">
      <c r="A516" s="19" t="str">
        <v>捷克区</v>
      </c>
      <c r="B516" s="19" t="str">
        <v>布拉格1号仓</v>
      </c>
      <c r="C516" s="19" t="str">
        <v>包装组</v>
      </c>
      <c r="D516" s="21" t="n">
        <v>46174</v>
      </c>
      <c r="E516" s="19" t="str">
        <v>2026-06</v>
      </c>
      <c r="F516" s="19" t="str">
        <v>操作员</v>
      </c>
      <c r="G516" s="19" t="str">
        <v>捷克区07:00-15:30 / CZ 07:00-15:30</v>
      </c>
      <c r="H516" s="23" t="n">
        <v>1</v>
      </c>
      <c r="I516" s="23" t="n">
        <v>0</v>
      </c>
      <c r="J516" s="23" t="n">
        <f>H516+I516</f>
        <v>1</v>
      </c>
      <c r="K516" s="23" t="n">
        <v>1</v>
      </c>
      <c r="L516" s="23" t="n">
        <v>0</v>
      </c>
      <c r="M516" s="23" t="n">
        <f>MIN(K516,J516)</f>
        <v>1</v>
      </c>
      <c r="N516" s="23" t="n">
        <f>MIN(L516,J516)</f>
        <v>0</v>
      </c>
      <c r="O516" s="25" t="n">
        <f>IF(K516=0,0,MIN(1,J516/K516))</f>
        <v>1</v>
      </c>
      <c r="P516" s="23" t="n">
        <f>IF(J516&gt;0,MAX(K516-J516,0),0)</f>
        <v>0</v>
      </c>
      <c r="Q516" s="23" t="n">
        <f>IF(J516=0,K516,0)</f>
        <v>0</v>
      </c>
      <c r="R516" s="23" t="n">
        <f>MAX(J516-K516,0)</f>
        <v>0</v>
      </c>
      <c r="S516" s="23" t="n">
        <f>IF(J516&gt;0,MAX(L516-J516,0),L516)</f>
        <v>0</v>
      </c>
    </row>
    <row r="517">
      <c r="A517" s="19" t="str">
        <v>捷克区</v>
      </c>
      <c r="B517" s="19" t="str">
        <v>布拉格1号仓</v>
      </c>
      <c r="C517" s="19" t="str">
        <v>包装组</v>
      </c>
      <c r="D517" s="21" t="n">
        <v>46175</v>
      </c>
      <c r="E517" s="19" t="str">
        <v>2026-06</v>
      </c>
      <c r="F517" s="19" t="str">
        <v>操作员</v>
      </c>
      <c r="G517" s="19" t="str">
        <v>捷克区07:00-15:30 / CZ 07:00-15:30</v>
      </c>
      <c r="H517" s="23" t="n">
        <v>1</v>
      </c>
      <c r="I517" s="23" t="n">
        <v>0</v>
      </c>
      <c r="J517" s="23" t="n">
        <f>H517+I517</f>
        <v>1</v>
      </c>
      <c r="K517" s="23" t="n">
        <v>1</v>
      </c>
      <c r="L517" s="23" t="n">
        <v>0</v>
      </c>
      <c r="M517" s="23" t="n">
        <f>MIN(K517,J517)</f>
        <v>1</v>
      </c>
      <c r="N517" s="23" t="n">
        <f>MIN(L517,J517)</f>
        <v>0</v>
      </c>
      <c r="O517" s="25" t="n">
        <f>IF(K517=0,0,MIN(1,J517/K517))</f>
        <v>1</v>
      </c>
      <c r="P517" s="23" t="n">
        <f>IF(J517&gt;0,MAX(K517-J517,0),0)</f>
        <v>0</v>
      </c>
      <c r="Q517" s="23" t="n">
        <f>IF(J517=0,K517,0)</f>
        <v>0</v>
      </c>
      <c r="R517" s="23" t="n">
        <f>MAX(J517-K517,0)</f>
        <v>0</v>
      </c>
      <c r="S517" s="23" t="n">
        <f>IF(J517&gt;0,MAX(L517-J517,0),L517)</f>
        <v>0</v>
      </c>
    </row>
    <row r="518">
      <c r="A518" s="19" t="str">
        <v>捷克区</v>
      </c>
      <c r="B518" s="19" t="str">
        <v>布拉格1号仓</v>
      </c>
      <c r="C518" s="19" t="str">
        <v>包装组</v>
      </c>
      <c r="D518" s="21" t="n">
        <v>46176</v>
      </c>
      <c r="E518" s="19" t="str">
        <v>2026-06</v>
      </c>
      <c r="F518" s="19" t="str">
        <v>操作员</v>
      </c>
      <c r="G518" s="19" t="str">
        <v>捷克区07:00-15:30 / CZ 07:00-15:30</v>
      </c>
      <c r="H518" s="23" t="n">
        <v>1</v>
      </c>
      <c r="I518" s="23" t="n">
        <v>0</v>
      </c>
      <c r="J518" s="23" t="n">
        <f>H518+I518</f>
        <v>1</v>
      </c>
      <c r="K518" s="23" t="n">
        <v>1</v>
      </c>
      <c r="L518" s="23" t="n">
        <v>0</v>
      </c>
      <c r="M518" s="23" t="n">
        <f>MIN(K518,J518)</f>
        <v>1</v>
      </c>
      <c r="N518" s="23" t="n">
        <f>MIN(L518,J518)</f>
        <v>0</v>
      </c>
      <c r="O518" s="25" t="n">
        <f>IF(K518=0,0,MIN(1,J518/K518))</f>
        <v>1</v>
      </c>
      <c r="P518" s="23" t="n">
        <f>IF(J518&gt;0,MAX(K518-J518,0),0)</f>
        <v>0</v>
      </c>
      <c r="Q518" s="23" t="n">
        <f>IF(J518=0,K518,0)</f>
        <v>0</v>
      </c>
      <c r="R518" s="23" t="n">
        <f>MAX(J518-K518,0)</f>
        <v>0</v>
      </c>
      <c r="S518" s="23" t="n">
        <f>IF(J518&gt;0,MAX(L518-J518,0),L518)</f>
        <v>0</v>
      </c>
    </row>
    <row r="519">
      <c r="A519" s="19" t="str">
        <v>捷克区</v>
      </c>
      <c r="B519" s="19" t="str">
        <v>布拉格1号仓</v>
      </c>
      <c r="C519" s="19" t="str">
        <v>包装组</v>
      </c>
      <c r="D519" s="21" t="n">
        <v>46177</v>
      </c>
      <c r="E519" s="19" t="str">
        <v>2026-06</v>
      </c>
      <c r="F519" s="19" t="str">
        <v>操作员</v>
      </c>
      <c r="G519" s="19" t="str">
        <v>捷克区07:00-15:30 / CZ 07:00-15:30</v>
      </c>
      <c r="H519" s="23" t="n">
        <v>1</v>
      </c>
      <c r="I519" s="23" t="n">
        <v>0</v>
      </c>
      <c r="J519" s="23" t="n">
        <f>H519+I519</f>
        <v>1</v>
      </c>
      <c r="K519" s="23" t="n">
        <v>1</v>
      </c>
      <c r="L519" s="23" t="n">
        <v>0</v>
      </c>
      <c r="M519" s="23" t="n">
        <f>MIN(K519,J519)</f>
        <v>1</v>
      </c>
      <c r="N519" s="23" t="n">
        <f>MIN(L519,J519)</f>
        <v>0</v>
      </c>
      <c r="O519" s="25" t="n">
        <f>IF(K519=0,0,MIN(1,J519/K519))</f>
        <v>1</v>
      </c>
      <c r="P519" s="23" t="n">
        <f>IF(J519&gt;0,MAX(K519-J519,0),0)</f>
        <v>0</v>
      </c>
      <c r="Q519" s="23" t="n">
        <f>IF(J519=0,K519,0)</f>
        <v>0</v>
      </c>
      <c r="R519" s="23" t="n">
        <f>MAX(J519-K519,0)</f>
        <v>0</v>
      </c>
      <c r="S519" s="23" t="n">
        <f>IF(J519&gt;0,MAX(L519-J519,0),L519)</f>
        <v>0</v>
      </c>
    </row>
    <row r="520">
      <c r="A520" s="19" t="str">
        <v>捷克区</v>
      </c>
      <c r="B520" s="19" t="str">
        <v>布拉格1号仓</v>
      </c>
      <c r="C520" s="19" t="str">
        <v>包装组</v>
      </c>
      <c r="D520" s="21" t="n">
        <v>46178</v>
      </c>
      <c r="E520" s="19" t="str">
        <v>2026-06</v>
      </c>
      <c r="F520" s="19" t="str">
        <v>操作员</v>
      </c>
      <c r="G520" s="19" t="str">
        <v>捷克区07:00-15:30 / CZ 07:00-15:30</v>
      </c>
      <c r="H520" s="23" t="n">
        <v>2</v>
      </c>
      <c r="I520" s="23" t="n">
        <v>0</v>
      </c>
      <c r="J520" s="23" t="n">
        <f>H520+I520</f>
        <v>2</v>
      </c>
      <c r="K520" s="23" t="n">
        <v>2</v>
      </c>
      <c r="L520" s="23" t="n">
        <v>0</v>
      </c>
      <c r="M520" s="23" t="n">
        <f>MIN(K520,J520)</f>
        <v>2</v>
      </c>
      <c r="N520" s="23" t="n">
        <f>MIN(L520,J520)</f>
        <v>0</v>
      </c>
      <c r="O520" s="25" t="n">
        <f>IF(K520=0,0,MIN(1,J520/K520))</f>
        <v>1</v>
      </c>
      <c r="P520" s="23" t="n">
        <f>IF(J520&gt;0,MAX(K520-J520,0),0)</f>
        <v>0</v>
      </c>
      <c r="Q520" s="23" t="n">
        <f>IF(J520=0,K520,0)</f>
        <v>0</v>
      </c>
      <c r="R520" s="23" t="n">
        <f>MAX(J520-K520,0)</f>
        <v>0</v>
      </c>
      <c r="S520" s="23" t="n">
        <f>IF(J520&gt;0,MAX(L520-J520,0),L520)</f>
        <v>0</v>
      </c>
    </row>
    <row r="521">
      <c r="A521" s="19" t="str">
        <v>捷克区</v>
      </c>
      <c r="B521" s="19" t="str">
        <v>布拉格1号仓</v>
      </c>
      <c r="C521" s="19" t="str">
        <v>包装组</v>
      </c>
      <c r="D521" s="21" t="n">
        <v>46179</v>
      </c>
      <c r="E521" s="19" t="str">
        <v>2026-06</v>
      </c>
      <c r="F521" s="19" t="str">
        <v>操作员</v>
      </c>
      <c r="G521" s="19" t="str">
        <v>捷克区07:00-15:30 / CZ 07:00-15:30</v>
      </c>
      <c r="H521" s="23" t="n">
        <v>1</v>
      </c>
      <c r="I521" s="23" t="n">
        <v>0</v>
      </c>
      <c r="J521" s="23" t="n">
        <f>H521+I521</f>
        <v>1</v>
      </c>
      <c r="K521" s="23" t="n">
        <v>1</v>
      </c>
      <c r="L521" s="23" t="n">
        <v>0</v>
      </c>
      <c r="M521" s="23" t="n">
        <f>MIN(K521,J521)</f>
        <v>1</v>
      </c>
      <c r="N521" s="23" t="n">
        <f>MIN(L521,J521)</f>
        <v>0</v>
      </c>
      <c r="O521" s="25" t="n">
        <f>IF(K521=0,0,MIN(1,J521/K521))</f>
        <v>1</v>
      </c>
      <c r="P521" s="23" t="n">
        <f>IF(J521&gt;0,MAX(K521-J521,0),0)</f>
        <v>0</v>
      </c>
      <c r="Q521" s="23" t="n">
        <f>IF(J521=0,K521,0)</f>
        <v>0</v>
      </c>
      <c r="R521" s="23" t="n">
        <f>MAX(J521-K521,0)</f>
        <v>0</v>
      </c>
      <c r="S521" s="23" t="n">
        <f>IF(J521&gt;0,MAX(L521-J521,0),L521)</f>
        <v>0</v>
      </c>
    </row>
    <row r="522">
      <c r="A522" s="19" t="str">
        <v>捷克区</v>
      </c>
      <c r="B522" s="19" t="str">
        <v>布拉格1号仓</v>
      </c>
      <c r="C522" s="19" t="str">
        <v>包装组</v>
      </c>
      <c r="D522" s="21" t="n">
        <v>46180</v>
      </c>
      <c r="E522" s="19" t="str">
        <v>2026-06</v>
      </c>
      <c r="F522" s="19" t="str">
        <v>操作员</v>
      </c>
      <c r="G522" s="19" t="str">
        <v>捷克区07:00-15:30 / CZ 07:00-15:30</v>
      </c>
      <c r="H522" s="23" t="n">
        <v>1</v>
      </c>
      <c r="I522" s="23" t="n">
        <v>0</v>
      </c>
      <c r="J522" s="23" t="n">
        <f>H522+I522</f>
        <v>1</v>
      </c>
      <c r="K522" s="23" t="n">
        <v>1</v>
      </c>
      <c r="L522" s="23" t="n">
        <v>0</v>
      </c>
      <c r="M522" s="23" t="n">
        <f>MIN(K522,J522)</f>
        <v>1</v>
      </c>
      <c r="N522" s="23" t="n">
        <f>MIN(L522,J522)</f>
        <v>0</v>
      </c>
      <c r="O522" s="25" t="n">
        <f>IF(K522=0,0,MIN(1,J522/K522))</f>
        <v>1</v>
      </c>
      <c r="P522" s="23" t="n">
        <f>IF(J522&gt;0,MAX(K522-J522,0),0)</f>
        <v>0</v>
      </c>
      <c r="Q522" s="23" t="n">
        <f>IF(J522=0,K522,0)</f>
        <v>0</v>
      </c>
      <c r="R522" s="23" t="n">
        <f>MAX(J522-K522,0)</f>
        <v>0</v>
      </c>
      <c r="S522" s="23" t="n">
        <f>IF(J522&gt;0,MAX(L522-J522,0),L522)</f>
        <v>0</v>
      </c>
    </row>
    <row r="523">
      <c r="A523" s="19" t="str">
        <v>捷克区</v>
      </c>
      <c r="B523" s="19" t="str">
        <v>布拉格1号仓</v>
      </c>
      <c r="C523" s="19" t="str">
        <v>包装组</v>
      </c>
      <c r="D523" s="21" t="n">
        <v>46181</v>
      </c>
      <c r="E523" s="19" t="str">
        <v>2026-06</v>
      </c>
      <c r="F523" s="19" t="str">
        <v>操作员</v>
      </c>
      <c r="G523" s="19" t="str">
        <v>捷克区07:00-15:30 / CZ 07:00-15:30</v>
      </c>
      <c r="H523" s="23" t="n">
        <v>1</v>
      </c>
      <c r="I523" s="23" t="n">
        <v>0</v>
      </c>
      <c r="J523" s="23" t="n">
        <f>H523+I523</f>
        <v>1</v>
      </c>
      <c r="K523" s="23" t="n">
        <v>1</v>
      </c>
      <c r="L523" s="23" t="n">
        <v>0</v>
      </c>
      <c r="M523" s="23" t="n">
        <f>MIN(K523,J523)</f>
        <v>1</v>
      </c>
      <c r="N523" s="23" t="n">
        <f>MIN(L523,J523)</f>
        <v>0</v>
      </c>
      <c r="O523" s="25" t="n">
        <f>IF(K523=0,0,MIN(1,J523/K523))</f>
        <v>1</v>
      </c>
      <c r="P523" s="23" t="n">
        <f>IF(J523&gt;0,MAX(K523-J523,0),0)</f>
        <v>0</v>
      </c>
      <c r="Q523" s="23" t="n">
        <f>IF(J523=0,K523,0)</f>
        <v>0</v>
      </c>
      <c r="R523" s="23" t="n">
        <f>MAX(J523-K523,0)</f>
        <v>0</v>
      </c>
      <c r="S523" s="23" t="n">
        <f>IF(J523&gt;0,MAX(L523-J523,0),L523)</f>
        <v>0</v>
      </c>
    </row>
    <row r="524">
      <c r="A524" s="19" t="str">
        <v>捷克区</v>
      </c>
      <c r="B524" s="19" t="str">
        <v>布拉格1号仓</v>
      </c>
      <c r="C524" s="19" t="str">
        <v>包装组</v>
      </c>
      <c r="D524" s="21" t="n">
        <v>46182</v>
      </c>
      <c r="E524" s="19" t="str">
        <v>2026-06</v>
      </c>
      <c r="F524" s="19" t="str">
        <v>操作员</v>
      </c>
      <c r="G524" s="19" t="str">
        <v>捷克区07:00-15:30 / CZ 07:00-15:30</v>
      </c>
      <c r="H524" s="23" t="n">
        <v>1</v>
      </c>
      <c r="I524" s="23" t="n">
        <v>0</v>
      </c>
      <c r="J524" s="23" t="n">
        <f>H524+I524</f>
        <v>1</v>
      </c>
      <c r="K524" s="23" t="n">
        <v>1</v>
      </c>
      <c r="L524" s="23" t="n">
        <v>0</v>
      </c>
      <c r="M524" s="23" t="n">
        <f>MIN(K524,J524)</f>
        <v>1</v>
      </c>
      <c r="N524" s="23" t="n">
        <f>MIN(L524,J524)</f>
        <v>0</v>
      </c>
      <c r="O524" s="25" t="n">
        <f>IF(K524=0,0,MIN(1,J524/K524))</f>
        <v>1</v>
      </c>
      <c r="P524" s="23" t="n">
        <f>IF(J524&gt;0,MAX(K524-J524,0),0)</f>
        <v>0</v>
      </c>
      <c r="Q524" s="23" t="n">
        <f>IF(J524=0,K524,0)</f>
        <v>0</v>
      </c>
      <c r="R524" s="23" t="n">
        <f>MAX(J524-K524,0)</f>
        <v>0</v>
      </c>
      <c r="S524" s="23" t="n">
        <f>IF(J524&gt;0,MAX(L524-J524,0),L524)</f>
        <v>0</v>
      </c>
    </row>
    <row r="525">
      <c r="A525" s="19" t="str">
        <v>捷克区</v>
      </c>
      <c r="B525" s="19" t="str">
        <v>布拉格1号仓</v>
      </c>
      <c r="C525" s="19" t="str">
        <v>包装组</v>
      </c>
      <c r="D525" s="21" t="n">
        <v>46183</v>
      </c>
      <c r="E525" s="19" t="str">
        <v>2026-06</v>
      </c>
      <c r="F525" s="19" t="str">
        <v>操作员</v>
      </c>
      <c r="G525" s="19" t="str">
        <v>捷克区07:00-15:30 / CZ 07:00-15:30</v>
      </c>
      <c r="H525" s="23" t="n">
        <v>1</v>
      </c>
      <c r="I525" s="23" t="n">
        <v>0</v>
      </c>
      <c r="J525" s="23" t="n">
        <f>H525+I525</f>
        <v>1</v>
      </c>
      <c r="K525" s="23" t="n">
        <v>1</v>
      </c>
      <c r="L525" s="23" t="n">
        <v>1</v>
      </c>
      <c r="M525" s="23" t="n">
        <f>MIN(K525,J525)</f>
        <v>1</v>
      </c>
      <c r="N525" s="23" t="n">
        <f>MIN(L525,J525)</f>
        <v>1</v>
      </c>
      <c r="O525" s="25" t="n">
        <f>IF(K525=0,0,MIN(1,J525/K525))</f>
        <v>1</v>
      </c>
      <c r="P525" s="23" t="n">
        <f>IF(J525&gt;0,MAX(K525-J525,0),0)</f>
        <v>0</v>
      </c>
      <c r="Q525" s="23" t="n">
        <f>IF(J525=0,K525,0)</f>
        <v>0</v>
      </c>
      <c r="R525" s="23" t="n">
        <f>MAX(J525-K525,0)</f>
        <v>0</v>
      </c>
      <c r="S525" s="23" t="n">
        <f>IF(J525&gt;0,MAX(L525-J525,0),L525)</f>
        <v>0</v>
      </c>
    </row>
    <row r="526">
      <c r="A526" s="19" t="str">
        <v>捷克区</v>
      </c>
      <c r="B526" s="19" t="str">
        <v>布拉格1号仓</v>
      </c>
      <c r="C526" s="19" t="str">
        <v>包装组</v>
      </c>
      <c r="D526" s="21" t="n">
        <v>46184</v>
      </c>
      <c r="E526" s="19" t="str">
        <v>2026-06</v>
      </c>
      <c r="F526" s="19" t="str">
        <v>操作员</v>
      </c>
      <c r="G526" s="19" t="str">
        <v>捷克区07:00-15:30 / CZ 07:00-15:30</v>
      </c>
      <c r="H526" s="23" t="n">
        <v>1</v>
      </c>
      <c r="I526" s="23" t="n">
        <v>0</v>
      </c>
      <c r="J526" s="23" t="n">
        <f>H526+I526</f>
        <v>1</v>
      </c>
      <c r="K526" s="23" t="n">
        <v>1</v>
      </c>
      <c r="L526" s="23" t="n">
        <v>1</v>
      </c>
      <c r="M526" s="23" t="n">
        <f>MIN(K526,J526)</f>
        <v>1</v>
      </c>
      <c r="N526" s="23" t="n">
        <f>MIN(L526,J526)</f>
        <v>1</v>
      </c>
      <c r="O526" s="25" t="n">
        <f>IF(K526=0,0,MIN(1,J526/K526))</f>
        <v>1</v>
      </c>
      <c r="P526" s="23" t="n">
        <f>IF(J526&gt;0,MAX(K526-J526,0),0)</f>
        <v>0</v>
      </c>
      <c r="Q526" s="23" t="n">
        <f>IF(J526=0,K526,0)</f>
        <v>0</v>
      </c>
      <c r="R526" s="23" t="n">
        <f>MAX(J526-K526,0)</f>
        <v>0</v>
      </c>
      <c r="S526" s="23" t="n">
        <f>IF(J526&gt;0,MAX(L526-J526,0),L526)</f>
        <v>0</v>
      </c>
    </row>
    <row r="527">
      <c r="A527" s="19" t="str">
        <v>捷克区</v>
      </c>
      <c r="B527" s="19" t="str">
        <v>布拉格1号仓</v>
      </c>
      <c r="C527" s="19" t="str">
        <v>包装组</v>
      </c>
      <c r="D527" s="21" t="n">
        <v>46185</v>
      </c>
      <c r="E527" s="19" t="str">
        <v>2026-06</v>
      </c>
      <c r="F527" s="19" t="str">
        <v>操作员</v>
      </c>
      <c r="G527" s="19" t="str">
        <v>捷克区07:00-15:30 / CZ 07:00-15:30</v>
      </c>
      <c r="H527" s="23" t="n">
        <v>1</v>
      </c>
      <c r="I527" s="23" t="n">
        <v>0</v>
      </c>
      <c r="J527" s="23" t="n">
        <f>H527+I527</f>
        <v>1</v>
      </c>
      <c r="K527" s="23" t="n">
        <v>1</v>
      </c>
      <c r="L527" s="23" t="n">
        <v>1</v>
      </c>
      <c r="M527" s="23" t="n">
        <f>MIN(K527,J527)</f>
        <v>1</v>
      </c>
      <c r="N527" s="23" t="n">
        <f>MIN(L527,J527)</f>
        <v>1</v>
      </c>
      <c r="O527" s="25" t="n">
        <f>IF(K527=0,0,MIN(1,J527/K527))</f>
        <v>1</v>
      </c>
      <c r="P527" s="23" t="n">
        <f>IF(J527&gt;0,MAX(K527-J527,0),0)</f>
        <v>0</v>
      </c>
      <c r="Q527" s="23" t="n">
        <f>IF(J527=0,K527,0)</f>
        <v>0</v>
      </c>
      <c r="R527" s="23" t="n">
        <f>MAX(J527-K527,0)</f>
        <v>0</v>
      </c>
      <c r="S527" s="23" t="n">
        <f>IF(J527&gt;0,MAX(L527-J527,0),L527)</f>
        <v>0</v>
      </c>
    </row>
    <row r="528">
      <c r="A528" s="19" t="str">
        <v>捷克区</v>
      </c>
      <c r="B528" s="19" t="str">
        <v>布拉格1号仓</v>
      </c>
      <c r="C528" s="19" t="str">
        <v>拣货组</v>
      </c>
      <c r="D528" s="21" t="n">
        <v>46171</v>
      </c>
      <c r="E528" s="19" t="str">
        <v>2026-05</v>
      </c>
      <c r="F528" s="19" t="str">
        <v>叉车司机</v>
      </c>
      <c r="G528" s="19" t="str">
        <v>捷克区07:00-15:30 / CZ 07:00-15:30</v>
      </c>
      <c r="H528" s="23" t="n">
        <v>1</v>
      </c>
      <c r="I528" s="23" t="n">
        <v>0</v>
      </c>
      <c r="J528" s="23" t="n">
        <f>H528+I528</f>
        <v>1</v>
      </c>
      <c r="K528" s="23" t="n">
        <v>1</v>
      </c>
      <c r="L528" s="23" t="n">
        <v>0</v>
      </c>
      <c r="M528" s="23" t="n">
        <f>MIN(K528,J528)</f>
        <v>1</v>
      </c>
      <c r="N528" s="23" t="n">
        <f>MIN(L528,J528)</f>
        <v>0</v>
      </c>
      <c r="O528" s="25" t="n">
        <f>IF(K528=0,0,MIN(1,J528/K528))</f>
        <v>1</v>
      </c>
      <c r="P528" s="23" t="n">
        <f>IF(J528&gt;0,MAX(K528-J528,0),0)</f>
        <v>0</v>
      </c>
      <c r="Q528" s="23" t="n">
        <f>IF(J528=0,K528,0)</f>
        <v>0</v>
      </c>
      <c r="R528" s="23" t="n">
        <f>MAX(J528-K528,0)</f>
        <v>0</v>
      </c>
      <c r="S528" s="23" t="n">
        <f>IF(J528&gt;0,MAX(L528-J528,0),L528)</f>
        <v>0</v>
      </c>
    </row>
    <row r="529">
      <c r="A529" s="19" t="str">
        <v>捷克区</v>
      </c>
      <c r="B529" s="19" t="str">
        <v>布拉格1号仓</v>
      </c>
      <c r="C529" s="19" t="str">
        <v>拣货组</v>
      </c>
      <c r="D529" s="21" t="n">
        <v>46172</v>
      </c>
      <c r="E529" s="19" t="str">
        <v>2026-05</v>
      </c>
      <c r="F529" s="19" t="str">
        <v>叉车司机</v>
      </c>
      <c r="G529" s="19" t="str">
        <v>捷克区07:00-15:30 / CZ 07:00-15:30</v>
      </c>
      <c r="H529" s="23" t="n">
        <v>1</v>
      </c>
      <c r="I529" s="23" t="n">
        <v>0</v>
      </c>
      <c r="J529" s="23" t="n">
        <f>H529+I529</f>
        <v>1</v>
      </c>
      <c r="K529" s="23" t="n">
        <v>1</v>
      </c>
      <c r="L529" s="23" t="n">
        <v>0</v>
      </c>
      <c r="M529" s="23" t="n">
        <f>MIN(K529,J529)</f>
        <v>1</v>
      </c>
      <c r="N529" s="23" t="n">
        <f>MIN(L529,J529)</f>
        <v>0</v>
      </c>
      <c r="O529" s="25" t="n">
        <f>IF(K529=0,0,MIN(1,J529/K529))</f>
        <v>1</v>
      </c>
      <c r="P529" s="23" t="n">
        <f>IF(J529&gt;0,MAX(K529-J529,0),0)</f>
        <v>0</v>
      </c>
      <c r="Q529" s="23" t="n">
        <f>IF(J529=0,K529,0)</f>
        <v>0</v>
      </c>
      <c r="R529" s="23" t="n">
        <f>MAX(J529-K529,0)</f>
        <v>0</v>
      </c>
      <c r="S529" s="23" t="n">
        <f>IF(J529&gt;0,MAX(L529-J529,0),L529)</f>
        <v>0</v>
      </c>
    </row>
    <row r="530">
      <c r="A530" s="19" t="str">
        <v>捷克区</v>
      </c>
      <c r="B530" s="19" t="str">
        <v>布拉格1号仓</v>
      </c>
      <c r="C530" s="19" t="str">
        <v>拣货组</v>
      </c>
      <c r="D530" s="21" t="n">
        <v>46173</v>
      </c>
      <c r="E530" s="19" t="str">
        <v>2026-05</v>
      </c>
      <c r="F530" s="19" t="str">
        <v>叉车司机</v>
      </c>
      <c r="G530" s="19" t="str">
        <v>捷克区07:00-15:30 / CZ 07:00-15:30</v>
      </c>
      <c r="H530" s="23" t="n">
        <v>2</v>
      </c>
      <c r="I530" s="23" t="n">
        <v>0</v>
      </c>
      <c r="J530" s="23" t="n">
        <f>H530+I530</f>
        <v>2</v>
      </c>
      <c r="K530" s="23" t="n">
        <v>1</v>
      </c>
      <c r="L530" s="23" t="n">
        <v>0</v>
      </c>
      <c r="M530" s="23" t="n">
        <f>MIN(K530,J530)</f>
        <v>1</v>
      </c>
      <c r="N530" s="23" t="n">
        <f>MIN(L530,J530)</f>
        <v>0</v>
      </c>
      <c r="O530" s="25" t="n">
        <f>IF(K530=0,0,MIN(1,J530/K530))</f>
        <v>1</v>
      </c>
      <c r="P530" s="23" t="n">
        <f>IF(J530&gt;0,MAX(K530-J530,0),0)</f>
        <v>0</v>
      </c>
      <c r="Q530" s="23" t="n">
        <f>IF(J530=0,K530,0)</f>
        <v>0</v>
      </c>
      <c r="R530" s="23" t="n">
        <f>MAX(J530-K530,0)</f>
        <v>1</v>
      </c>
      <c r="S530" s="23" t="n">
        <f>IF(J530&gt;0,MAX(L530-J530,0),L530)</f>
        <v>0</v>
      </c>
    </row>
    <row r="531">
      <c r="A531" s="19" t="str">
        <v>捷克区</v>
      </c>
      <c r="B531" s="19" t="str">
        <v>布拉格1号仓</v>
      </c>
      <c r="C531" s="19" t="str">
        <v>拣货组</v>
      </c>
      <c r="D531" s="21" t="n">
        <v>46174</v>
      </c>
      <c r="E531" s="19" t="str">
        <v>2026-06</v>
      </c>
      <c r="F531" s="19" t="str">
        <v>叉车司机</v>
      </c>
      <c r="G531" s="19" t="str">
        <v>捷克区07:00-15:30 / CZ 07:00-15:30</v>
      </c>
      <c r="H531" s="23" t="n">
        <v>2</v>
      </c>
      <c r="I531" s="23" t="n">
        <v>0</v>
      </c>
      <c r="J531" s="23" t="n">
        <f>H531+I531</f>
        <v>2</v>
      </c>
      <c r="K531" s="23" t="n">
        <v>2</v>
      </c>
      <c r="L531" s="23" t="n">
        <v>0</v>
      </c>
      <c r="M531" s="23" t="n">
        <f>MIN(K531,J531)</f>
        <v>2</v>
      </c>
      <c r="N531" s="23" t="n">
        <f>MIN(L531,J531)</f>
        <v>0</v>
      </c>
      <c r="O531" s="25" t="n">
        <f>IF(K531=0,0,MIN(1,J531/K531))</f>
        <v>1</v>
      </c>
      <c r="P531" s="23" t="n">
        <f>IF(J531&gt;0,MAX(K531-J531,0),0)</f>
        <v>0</v>
      </c>
      <c r="Q531" s="23" t="n">
        <f>IF(J531=0,K531,0)</f>
        <v>0</v>
      </c>
      <c r="R531" s="23" t="n">
        <f>MAX(J531-K531,0)</f>
        <v>0</v>
      </c>
      <c r="S531" s="23" t="n">
        <f>IF(J531&gt;0,MAX(L531-J531,0),L531)</f>
        <v>0</v>
      </c>
    </row>
    <row r="532">
      <c r="A532" s="19" t="str">
        <v>捷克区</v>
      </c>
      <c r="B532" s="19" t="str">
        <v>布拉格1号仓</v>
      </c>
      <c r="C532" s="19" t="str">
        <v>拣货组</v>
      </c>
      <c r="D532" s="21" t="n">
        <v>46175</v>
      </c>
      <c r="E532" s="19" t="str">
        <v>2026-06</v>
      </c>
      <c r="F532" s="19" t="str">
        <v>叉车司机</v>
      </c>
      <c r="G532" s="19" t="str">
        <v>捷克区07:00-15:30 / CZ 07:00-15:30</v>
      </c>
      <c r="H532" s="23" t="n">
        <v>2</v>
      </c>
      <c r="I532" s="23" t="n">
        <v>0</v>
      </c>
      <c r="J532" s="23" t="n">
        <f>H532+I532</f>
        <v>2</v>
      </c>
      <c r="K532" s="23" t="n">
        <v>2</v>
      </c>
      <c r="L532" s="23" t="n">
        <v>1</v>
      </c>
      <c r="M532" s="23" t="n">
        <f>MIN(K532,J532)</f>
        <v>2</v>
      </c>
      <c r="N532" s="23" t="n">
        <f>MIN(L532,J532)</f>
        <v>1</v>
      </c>
      <c r="O532" s="25" t="n">
        <f>IF(K532=0,0,MIN(1,J532/K532))</f>
        <v>1</v>
      </c>
      <c r="P532" s="23" t="n">
        <f>IF(J532&gt;0,MAX(K532-J532,0),0)</f>
        <v>0</v>
      </c>
      <c r="Q532" s="23" t="n">
        <f>IF(J532=0,K532,0)</f>
        <v>0</v>
      </c>
      <c r="R532" s="23" t="n">
        <f>MAX(J532-K532,0)</f>
        <v>0</v>
      </c>
      <c r="S532" s="23" t="n">
        <f>IF(J532&gt;0,MAX(L532-J532,0),L532)</f>
        <v>0</v>
      </c>
    </row>
    <row r="533">
      <c r="A533" s="19" t="str">
        <v>捷克区</v>
      </c>
      <c r="B533" s="19" t="str">
        <v>布拉格1号仓</v>
      </c>
      <c r="C533" s="19" t="str">
        <v>拣货组</v>
      </c>
      <c r="D533" s="21" t="n">
        <v>46176</v>
      </c>
      <c r="E533" s="19" t="str">
        <v>2026-06</v>
      </c>
      <c r="F533" s="19" t="str">
        <v>叉车司机</v>
      </c>
      <c r="G533" s="19" t="str">
        <v>捷克区07:00-15:30 / CZ 07:00-15:30</v>
      </c>
      <c r="H533" s="23" t="n">
        <v>2</v>
      </c>
      <c r="I533" s="23" t="n">
        <v>0</v>
      </c>
      <c r="J533" s="23" t="n">
        <f>H533+I533</f>
        <v>2</v>
      </c>
      <c r="K533" s="23" t="n">
        <v>2</v>
      </c>
      <c r="L533" s="23" t="n">
        <v>1</v>
      </c>
      <c r="M533" s="23" t="n">
        <f>MIN(K533,J533)</f>
        <v>2</v>
      </c>
      <c r="N533" s="23" t="n">
        <f>MIN(L533,J533)</f>
        <v>1</v>
      </c>
      <c r="O533" s="25" t="n">
        <f>IF(K533=0,0,MIN(1,J533/K533))</f>
        <v>1</v>
      </c>
      <c r="P533" s="23" t="n">
        <f>IF(J533&gt;0,MAX(K533-J533,0),0)</f>
        <v>0</v>
      </c>
      <c r="Q533" s="23" t="n">
        <f>IF(J533=0,K533,0)</f>
        <v>0</v>
      </c>
      <c r="R533" s="23" t="n">
        <f>MAX(J533-K533,0)</f>
        <v>0</v>
      </c>
      <c r="S533" s="23" t="n">
        <f>IF(J533&gt;0,MAX(L533-J533,0),L533)</f>
        <v>0</v>
      </c>
    </row>
    <row r="534">
      <c r="A534" s="19" t="str">
        <v>捷克区</v>
      </c>
      <c r="B534" s="19" t="str">
        <v>布拉格1号仓</v>
      </c>
      <c r="C534" s="19" t="str">
        <v>拣货组</v>
      </c>
      <c r="D534" s="21" t="n">
        <v>46177</v>
      </c>
      <c r="E534" s="19" t="str">
        <v>2026-06</v>
      </c>
      <c r="F534" s="19" t="str">
        <v>叉车司机</v>
      </c>
      <c r="G534" s="19" t="str">
        <v>捷克区07:00-15:30 / CZ 07:00-15:30</v>
      </c>
      <c r="H534" s="23" t="n">
        <v>2</v>
      </c>
      <c r="I534" s="23" t="n">
        <v>0</v>
      </c>
      <c r="J534" s="23" t="n">
        <f>H534+I534</f>
        <v>2</v>
      </c>
      <c r="K534" s="23" t="n">
        <v>2</v>
      </c>
      <c r="L534" s="23" t="n">
        <v>1</v>
      </c>
      <c r="M534" s="23" t="n">
        <f>MIN(K534,J534)</f>
        <v>2</v>
      </c>
      <c r="N534" s="23" t="n">
        <f>MIN(L534,J534)</f>
        <v>1</v>
      </c>
      <c r="O534" s="25" t="n">
        <f>IF(K534=0,0,MIN(1,J534/K534))</f>
        <v>1</v>
      </c>
      <c r="P534" s="23" t="n">
        <f>IF(J534&gt;0,MAX(K534-J534,0),0)</f>
        <v>0</v>
      </c>
      <c r="Q534" s="23" t="n">
        <f>IF(J534=0,K534,0)</f>
        <v>0</v>
      </c>
      <c r="R534" s="23" t="n">
        <f>MAX(J534-K534,0)</f>
        <v>0</v>
      </c>
      <c r="S534" s="23" t="n">
        <f>IF(J534&gt;0,MAX(L534-J534,0),L534)</f>
        <v>0</v>
      </c>
    </row>
    <row r="535">
      <c r="A535" s="19" t="str">
        <v>捷克区</v>
      </c>
      <c r="B535" s="19" t="str">
        <v>布拉格1号仓</v>
      </c>
      <c r="C535" s="19" t="str">
        <v>拣货组</v>
      </c>
      <c r="D535" s="21" t="n">
        <v>46178</v>
      </c>
      <c r="E535" s="19" t="str">
        <v>2026-06</v>
      </c>
      <c r="F535" s="19" t="str">
        <v>叉车司机</v>
      </c>
      <c r="G535" s="19" t="str">
        <v>捷克区07:00-15:30 / CZ 07:00-15:30</v>
      </c>
      <c r="H535" s="23" t="n">
        <v>2</v>
      </c>
      <c r="I535" s="23" t="n">
        <v>0</v>
      </c>
      <c r="J535" s="23" t="n">
        <f>H535+I535</f>
        <v>2</v>
      </c>
      <c r="K535" s="23" t="n">
        <v>2</v>
      </c>
      <c r="L535" s="23" t="n">
        <v>1</v>
      </c>
      <c r="M535" s="23" t="n">
        <f>MIN(K535,J535)</f>
        <v>2</v>
      </c>
      <c r="N535" s="23" t="n">
        <f>MIN(L535,J535)</f>
        <v>1</v>
      </c>
      <c r="O535" s="25" t="n">
        <f>IF(K535=0,0,MIN(1,J535/K535))</f>
        <v>1</v>
      </c>
      <c r="P535" s="23" t="n">
        <f>IF(J535&gt;0,MAX(K535-J535,0),0)</f>
        <v>0</v>
      </c>
      <c r="Q535" s="23" t="n">
        <f>IF(J535=0,K535,0)</f>
        <v>0</v>
      </c>
      <c r="R535" s="23" t="n">
        <f>MAX(J535-K535,0)</f>
        <v>0</v>
      </c>
      <c r="S535" s="23" t="n">
        <f>IF(J535&gt;0,MAX(L535-J535,0),L535)</f>
        <v>0</v>
      </c>
    </row>
    <row r="536">
      <c r="A536" s="19" t="str">
        <v>捷克区</v>
      </c>
      <c r="B536" s="19" t="str">
        <v>布拉格1号仓</v>
      </c>
      <c r="C536" s="19" t="str">
        <v>拣货组</v>
      </c>
      <c r="D536" s="21" t="n">
        <v>46179</v>
      </c>
      <c r="E536" s="19" t="str">
        <v>2026-06</v>
      </c>
      <c r="F536" s="19" t="str">
        <v>叉车司机</v>
      </c>
      <c r="G536" s="19" t="str">
        <v>捷克区07:00-15:30 / CZ 07:00-15:30</v>
      </c>
      <c r="H536" s="23" t="n">
        <v>1</v>
      </c>
      <c r="I536" s="23" t="n">
        <v>0</v>
      </c>
      <c r="J536" s="23" t="n">
        <f>H536+I536</f>
        <v>1</v>
      </c>
      <c r="K536" s="23" t="n">
        <v>1</v>
      </c>
      <c r="L536" s="23" t="n">
        <v>1</v>
      </c>
      <c r="M536" s="23" t="n">
        <f>MIN(K536,J536)</f>
        <v>1</v>
      </c>
      <c r="N536" s="23" t="n">
        <f>MIN(L536,J536)</f>
        <v>1</v>
      </c>
      <c r="O536" s="25" t="n">
        <f>IF(K536=0,0,MIN(1,J536/K536))</f>
        <v>1</v>
      </c>
      <c r="P536" s="23" t="n">
        <f>IF(J536&gt;0,MAX(K536-J536,0),0)</f>
        <v>0</v>
      </c>
      <c r="Q536" s="23" t="n">
        <f>IF(J536=0,K536,0)</f>
        <v>0</v>
      </c>
      <c r="R536" s="23" t="n">
        <f>MAX(J536-K536,0)</f>
        <v>0</v>
      </c>
      <c r="S536" s="23" t="n">
        <f>IF(J536&gt;0,MAX(L536-J536,0),L536)</f>
        <v>0</v>
      </c>
    </row>
    <row r="537">
      <c r="A537" s="19" t="str">
        <v>捷克区</v>
      </c>
      <c r="B537" s="19" t="str">
        <v>布拉格1号仓</v>
      </c>
      <c r="C537" s="19" t="str">
        <v>拣货组</v>
      </c>
      <c r="D537" s="21" t="n">
        <v>46180</v>
      </c>
      <c r="E537" s="19" t="str">
        <v>2026-06</v>
      </c>
      <c r="F537" s="19" t="str">
        <v>叉车司机</v>
      </c>
      <c r="G537" s="19" t="str">
        <v>捷克区07:00-15:30 / CZ 07:00-15:30</v>
      </c>
      <c r="H537" s="23" t="n">
        <v>1</v>
      </c>
      <c r="I537" s="23" t="n">
        <v>0</v>
      </c>
      <c r="J537" s="23" t="n">
        <f>H537+I537</f>
        <v>1</v>
      </c>
      <c r="K537" s="23" t="n">
        <v>1</v>
      </c>
      <c r="L537" s="23" t="n">
        <v>1</v>
      </c>
      <c r="M537" s="23" t="n">
        <f>MIN(K537,J537)</f>
        <v>1</v>
      </c>
      <c r="N537" s="23" t="n">
        <f>MIN(L537,J537)</f>
        <v>1</v>
      </c>
      <c r="O537" s="25" t="n">
        <f>IF(K537=0,0,MIN(1,J537/K537))</f>
        <v>1</v>
      </c>
      <c r="P537" s="23" t="n">
        <f>IF(J537&gt;0,MAX(K537-J537,0),0)</f>
        <v>0</v>
      </c>
      <c r="Q537" s="23" t="n">
        <f>IF(J537=0,K537,0)</f>
        <v>0</v>
      </c>
      <c r="R537" s="23" t="n">
        <f>MAX(J537-K537,0)</f>
        <v>0</v>
      </c>
      <c r="S537" s="23" t="n">
        <f>IF(J537&gt;0,MAX(L537-J537,0),L537)</f>
        <v>0</v>
      </c>
    </row>
    <row r="538">
      <c r="A538" s="19" t="str">
        <v>捷克区</v>
      </c>
      <c r="B538" s="19" t="str">
        <v>布拉格1号仓</v>
      </c>
      <c r="C538" s="19" t="str">
        <v>拣货组</v>
      </c>
      <c r="D538" s="21" t="n">
        <v>46182</v>
      </c>
      <c r="E538" s="19" t="str">
        <v>2026-06</v>
      </c>
      <c r="F538" s="19" t="str">
        <v>叉车司机</v>
      </c>
      <c r="G538" s="19" t="str">
        <v>捷克区07:00-15:30 / CZ 07:00-15:30</v>
      </c>
      <c r="H538" s="23" t="n">
        <v>1</v>
      </c>
      <c r="I538" s="23" t="n">
        <v>0</v>
      </c>
      <c r="J538" s="23" t="n">
        <f>H538+I538</f>
        <v>1</v>
      </c>
      <c r="K538" s="23" t="n">
        <v>0</v>
      </c>
      <c r="L538" s="23" t="n">
        <v>0</v>
      </c>
      <c r="M538" s="23" t="n">
        <f>MIN(K538,J538)</f>
        <v>0</v>
      </c>
      <c r="N538" s="23" t="n">
        <f>MIN(L538,J538)</f>
        <v>0</v>
      </c>
      <c r="O538" s="25" t="n">
        <f>IF(K538=0,0,MIN(1,J538/K538))</f>
        <v>0</v>
      </c>
      <c r="P538" s="23" t="n">
        <f>IF(J538&gt;0,MAX(K538-J538,0),0)</f>
        <v>0</v>
      </c>
      <c r="Q538" s="23" t="n">
        <f>IF(J538=0,K538,0)</f>
        <v>0</v>
      </c>
      <c r="R538" s="23" t="n">
        <f>MAX(J538-K538,0)</f>
        <v>1</v>
      </c>
      <c r="S538" s="23" t="n">
        <f>IF(J538&gt;0,MAX(L538-J538,0),L538)</f>
        <v>0</v>
      </c>
    </row>
    <row r="539">
      <c r="A539" s="19" t="str">
        <v>捷克区</v>
      </c>
      <c r="B539" s="19" t="str">
        <v>布拉格1号仓</v>
      </c>
      <c r="C539" s="19" t="str">
        <v>拣货组</v>
      </c>
      <c r="D539" s="21" t="n">
        <v>46183</v>
      </c>
      <c r="E539" s="19" t="str">
        <v>2026-06</v>
      </c>
      <c r="F539" s="19" t="str">
        <v>叉车司机</v>
      </c>
      <c r="G539" s="19" t="str">
        <v>捷克区07:00-15:30 / CZ 07:00-15:30</v>
      </c>
      <c r="H539" s="23" t="n">
        <v>1</v>
      </c>
      <c r="I539" s="23" t="n">
        <v>0</v>
      </c>
      <c r="J539" s="23" t="n">
        <f>H539+I539</f>
        <v>1</v>
      </c>
      <c r="K539" s="23" t="n">
        <v>1</v>
      </c>
      <c r="L539" s="23" t="n">
        <v>0</v>
      </c>
      <c r="M539" s="23" t="n">
        <f>MIN(K539,J539)</f>
        <v>1</v>
      </c>
      <c r="N539" s="23" t="n">
        <f>MIN(L539,J539)</f>
        <v>0</v>
      </c>
      <c r="O539" s="25" t="n">
        <f>IF(K539=0,0,MIN(1,J539/K539))</f>
        <v>1</v>
      </c>
      <c r="P539" s="23" t="n">
        <f>IF(J539&gt;0,MAX(K539-J539,0),0)</f>
        <v>0</v>
      </c>
      <c r="Q539" s="23" t="n">
        <f>IF(J539=0,K539,0)</f>
        <v>0</v>
      </c>
      <c r="R539" s="23" t="n">
        <f>MAX(J539-K539,0)</f>
        <v>0</v>
      </c>
      <c r="S539" s="23" t="n">
        <f>IF(J539&gt;0,MAX(L539-J539,0),L539)</f>
        <v>0</v>
      </c>
    </row>
    <row r="540">
      <c r="A540" s="19" t="str">
        <v>捷克区</v>
      </c>
      <c r="B540" s="19" t="str">
        <v>布拉格1号仓</v>
      </c>
      <c r="C540" s="19" t="str">
        <v>拣货组</v>
      </c>
      <c r="D540" s="21" t="n">
        <v>46184</v>
      </c>
      <c r="E540" s="19" t="str">
        <v>2026-06</v>
      </c>
      <c r="F540" s="19" t="str">
        <v>叉车司机</v>
      </c>
      <c r="G540" s="19" t="str">
        <v>捷克区07:00-15:30 / CZ 07:00-15:30</v>
      </c>
      <c r="H540" s="23" t="n">
        <v>1</v>
      </c>
      <c r="I540" s="23" t="n">
        <v>0</v>
      </c>
      <c r="J540" s="23" t="n">
        <f>H540+I540</f>
        <v>1</v>
      </c>
      <c r="K540" s="23" t="n">
        <v>1</v>
      </c>
      <c r="L540" s="23" t="n">
        <v>1</v>
      </c>
      <c r="M540" s="23" t="n">
        <f>MIN(K540,J540)</f>
        <v>1</v>
      </c>
      <c r="N540" s="23" t="n">
        <f>MIN(L540,J540)</f>
        <v>1</v>
      </c>
      <c r="O540" s="25" t="n">
        <f>IF(K540=0,0,MIN(1,J540/K540))</f>
        <v>1</v>
      </c>
      <c r="P540" s="23" t="n">
        <f>IF(J540&gt;0,MAX(K540-J540,0),0)</f>
        <v>0</v>
      </c>
      <c r="Q540" s="23" t="n">
        <f>IF(J540=0,K540,0)</f>
        <v>0</v>
      </c>
      <c r="R540" s="23" t="n">
        <f>MAX(J540-K540,0)</f>
        <v>0</v>
      </c>
      <c r="S540" s="23" t="n">
        <f>IF(J540&gt;0,MAX(L540-J540,0),L540)</f>
        <v>0</v>
      </c>
    </row>
    <row r="541">
      <c r="A541" s="19" t="str">
        <v>捷克区</v>
      </c>
      <c r="B541" s="19" t="str">
        <v>布拉格1号仓</v>
      </c>
      <c r="C541" s="19" t="str">
        <v>拣货组</v>
      </c>
      <c r="D541" s="21" t="n">
        <v>46185</v>
      </c>
      <c r="E541" s="19" t="str">
        <v>2026-06</v>
      </c>
      <c r="F541" s="19" t="str">
        <v>叉车司机</v>
      </c>
      <c r="G541" s="19" t="str">
        <v>捷克区07:00-15:30 / CZ 07:00-15:30</v>
      </c>
      <c r="H541" s="23" t="n">
        <v>1</v>
      </c>
      <c r="I541" s="23" t="n">
        <v>0</v>
      </c>
      <c r="J541" s="23" t="n">
        <f>H541+I541</f>
        <v>1</v>
      </c>
      <c r="K541" s="23" t="n">
        <v>1</v>
      </c>
      <c r="L541" s="23" t="n">
        <v>1</v>
      </c>
      <c r="M541" s="23" t="n">
        <f>MIN(K541,J541)</f>
        <v>1</v>
      </c>
      <c r="N541" s="23" t="n">
        <f>MIN(L541,J541)</f>
        <v>1</v>
      </c>
      <c r="O541" s="25" t="n">
        <f>IF(K541=0,0,MIN(1,J541/K541))</f>
        <v>1</v>
      </c>
      <c r="P541" s="23" t="n">
        <f>IF(J541&gt;0,MAX(K541-J541,0),0)</f>
        <v>0</v>
      </c>
      <c r="Q541" s="23" t="n">
        <f>IF(J541=0,K541,0)</f>
        <v>0</v>
      </c>
      <c r="R541" s="23" t="n">
        <f>MAX(J541-K541,0)</f>
        <v>0</v>
      </c>
      <c r="S541" s="23" t="n">
        <f>IF(J541&gt;0,MAX(L541-J541,0),L541)</f>
        <v>0</v>
      </c>
    </row>
    <row r="542">
      <c r="A542" s="19" t="str">
        <v>捷克区</v>
      </c>
      <c r="B542" s="19" t="str">
        <v>布拉格1号仓</v>
      </c>
      <c r="C542" s="19" t="str">
        <v>拣货组</v>
      </c>
      <c r="D542" s="21" t="n">
        <v>46186</v>
      </c>
      <c r="E542" s="19" t="str">
        <v>2026-06</v>
      </c>
      <c r="F542" s="19" t="str">
        <v>叉车司机</v>
      </c>
      <c r="G542" s="19" t="str">
        <v>捷克区07:00-15:30 / CZ 07:00-15:30</v>
      </c>
      <c r="H542" s="23" t="n">
        <v>1</v>
      </c>
      <c r="I542" s="23" t="n">
        <v>0</v>
      </c>
      <c r="J542" s="23" t="n">
        <f>H542+I542</f>
        <v>1</v>
      </c>
      <c r="K542" s="23" t="n">
        <v>1</v>
      </c>
      <c r="L542" s="23" t="n">
        <v>1</v>
      </c>
      <c r="M542" s="23" t="n">
        <f>MIN(K542,J542)</f>
        <v>1</v>
      </c>
      <c r="N542" s="23" t="n">
        <f>MIN(L542,J542)</f>
        <v>1</v>
      </c>
      <c r="O542" s="25" t="n">
        <f>IF(K542=0,0,MIN(1,J542/K542))</f>
        <v>1</v>
      </c>
      <c r="P542" s="23" t="n">
        <f>IF(J542&gt;0,MAX(K542-J542,0),0)</f>
        <v>0</v>
      </c>
      <c r="Q542" s="23" t="n">
        <f>IF(J542=0,K542,0)</f>
        <v>0</v>
      </c>
      <c r="R542" s="23" t="n">
        <f>MAX(J542-K542,0)</f>
        <v>0</v>
      </c>
      <c r="S542" s="23" t="n">
        <f>IF(J542&gt;0,MAX(L542-J542,0),L542)</f>
        <v>0</v>
      </c>
    </row>
    <row r="543">
      <c r="A543" s="19" t="str">
        <v>捷克区</v>
      </c>
      <c r="B543" s="19" t="str">
        <v>布拉格1号仓</v>
      </c>
      <c r="C543" s="19" t="str">
        <v>拣货组</v>
      </c>
      <c r="D543" s="21" t="n">
        <v>46187</v>
      </c>
      <c r="E543" s="19" t="str">
        <v>2026-06</v>
      </c>
      <c r="F543" s="19" t="str">
        <v>叉车司机</v>
      </c>
      <c r="G543" s="19" t="str">
        <v>捷克区07:00-15:30 / CZ 07:00-15:30</v>
      </c>
      <c r="H543" s="23" t="n">
        <v>1</v>
      </c>
      <c r="I543" s="23" t="n">
        <v>0</v>
      </c>
      <c r="J543" s="23" t="n">
        <f>H543+I543</f>
        <v>1</v>
      </c>
      <c r="K543" s="23" t="n">
        <v>1</v>
      </c>
      <c r="L543" s="23" t="n">
        <v>1</v>
      </c>
      <c r="M543" s="23" t="n">
        <f>MIN(K543,J543)</f>
        <v>1</v>
      </c>
      <c r="N543" s="23" t="n">
        <f>MIN(L543,J543)</f>
        <v>1</v>
      </c>
      <c r="O543" s="25" t="n">
        <f>IF(K543=0,0,MIN(1,J543/K543))</f>
        <v>1</v>
      </c>
      <c r="P543" s="23" t="n">
        <f>IF(J543&gt;0,MAX(K543-J543,0),0)</f>
        <v>0</v>
      </c>
      <c r="Q543" s="23" t="n">
        <f>IF(J543=0,K543,0)</f>
        <v>0</v>
      </c>
      <c r="R543" s="23" t="n">
        <f>MAX(J543-K543,0)</f>
        <v>0</v>
      </c>
      <c r="S543" s="23" t="n">
        <f>IF(J543&gt;0,MAX(L543-J543,0),L543)</f>
        <v>0</v>
      </c>
    </row>
    <row r="544">
      <c r="A544" s="19" t="str">
        <v>捷克区</v>
      </c>
      <c r="B544" s="19" t="str">
        <v>布拉格1号仓</v>
      </c>
      <c r="C544" s="19" t="str">
        <v>拣货组</v>
      </c>
      <c r="D544" s="21" t="n">
        <v>46188</v>
      </c>
      <c r="E544" s="19" t="str">
        <v>2026-06</v>
      </c>
      <c r="F544" s="19" t="str">
        <v>叉车司机</v>
      </c>
      <c r="G544" s="19" t="str">
        <v>捷克区07:00-15:30 / CZ 07:00-15:30</v>
      </c>
      <c r="H544" s="23" t="n">
        <v>1</v>
      </c>
      <c r="I544" s="23" t="n">
        <v>0</v>
      </c>
      <c r="J544" s="23" t="n">
        <f>H544+I544</f>
        <v>1</v>
      </c>
      <c r="K544" s="23" t="n">
        <v>1</v>
      </c>
      <c r="L544" s="23" t="n">
        <v>0</v>
      </c>
      <c r="M544" s="23" t="n">
        <f>MIN(K544,J544)</f>
        <v>1</v>
      </c>
      <c r="N544" s="23" t="n">
        <f>MIN(L544,J544)</f>
        <v>0</v>
      </c>
      <c r="O544" s="25" t="n">
        <f>IF(K544=0,0,MIN(1,J544/K544))</f>
        <v>1</v>
      </c>
      <c r="P544" s="23" t="n">
        <f>IF(J544&gt;0,MAX(K544-J544,0),0)</f>
        <v>0</v>
      </c>
      <c r="Q544" s="23" t="n">
        <f>IF(J544=0,K544,0)</f>
        <v>0</v>
      </c>
      <c r="R544" s="23" t="n">
        <f>MAX(J544-K544,0)</f>
        <v>0</v>
      </c>
      <c r="S544" s="23" t="n">
        <f>IF(J544&gt;0,MAX(L544-J544,0),L544)</f>
        <v>0</v>
      </c>
    </row>
    <row r="545">
      <c r="A545" s="19" t="str">
        <v>捷克区</v>
      </c>
      <c r="B545" s="19" t="str">
        <v>布拉格1号仓</v>
      </c>
      <c r="C545" s="19" t="str">
        <v>拣货组</v>
      </c>
      <c r="D545" s="21" t="n">
        <v>46189</v>
      </c>
      <c r="E545" s="19" t="str">
        <v>2026-06</v>
      </c>
      <c r="F545" s="19" t="str">
        <v>叉车司机</v>
      </c>
      <c r="G545" s="19" t="str">
        <v>捷克区07:00-15:30 / CZ 07:00-15:30</v>
      </c>
      <c r="H545" s="23" t="n">
        <v>1</v>
      </c>
      <c r="I545" s="23" t="n">
        <v>0</v>
      </c>
      <c r="J545" s="23" t="n">
        <f>H545+I545</f>
        <v>1</v>
      </c>
      <c r="K545" s="23" t="n">
        <v>1</v>
      </c>
      <c r="L545" s="23" t="n">
        <v>0</v>
      </c>
      <c r="M545" s="23" t="n">
        <f>MIN(K545,J545)</f>
        <v>1</v>
      </c>
      <c r="N545" s="23" t="n">
        <f>MIN(L545,J545)</f>
        <v>0</v>
      </c>
      <c r="O545" s="25" t="n">
        <f>IF(K545=0,0,MIN(1,J545/K545))</f>
        <v>1</v>
      </c>
      <c r="P545" s="23" t="n">
        <f>IF(J545&gt;0,MAX(K545-J545,0),0)</f>
        <v>0</v>
      </c>
      <c r="Q545" s="23" t="n">
        <f>IF(J545=0,K545,0)</f>
        <v>0</v>
      </c>
      <c r="R545" s="23" t="n">
        <f>MAX(J545-K545,0)</f>
        <v>0</v>
      </c>
      <c r="S545" s="23" t="n">
        <f>IF(J545&gt;0,MAX(L545-J545,0),L545)</f>
        <v>0</v>
      </c>
    </row>
    <row r="546">
      <c r="A546" s="19" t="str">
        <v>捷克区</v>
      </c>
      <c r="B546" s="19" t="str">
        <v>布拉格2号仓</v>
      </c>
      <c r="C546" s="19" t="str">
        <v>入库组</v>
      </c>
      <c r="D546" s="21" t="n">
        <v>46168</v>
      </c>
      <c r="E546" s="19" t="str">
        <v>2026-05</v>
      </c>
      <c r="F546" s="19" t="str">
        <v>操作员</v>
      </c>
      <c r="G546" s="19" t="str">
        <v>捷克区07:00-15:30 / CZ 07:00-15:30</v>
      </c>
      <c r="H546" s="23" t="n">
        <v>2</v>
      </c>
      <c r="I546" s="23" t="n">
        <v>0</v>
      </c>
      <c r="J546" s="23" t="n">
        <f>H546+I546</f>
        <v>2</v>
      </c>
      <c r="K546" s="23" t="n">
        <v>2</v>
      </c>
      <c r="L546" s="23" t="n">
        <v>0</v>
      </c>
      <c r="M546" s="23" t="n">
        <f>MIN(K546,J546)</f>
        <v>2</v>
      </c>
      <c r="N546" s="23" t="n">
        <f>MIN(L546,J546)</f>
        <v>0</v>
      </c>
      <c r="O546" s="25" t="n">
        <f>IF(K546=0,0,MIN(1,J546/K546))</f>
        <v>1</v>
      </c>
      <c r="P546" s="23" t="n">
        <f>IF(J546&gt;0,MAX(K546-J546,0),0)</f>
        <v>0</v>
      </c>
      <c r="Q546" s="23" t="n">
        <f>IF(J546=0,K546,0)</f>
        <v>0</v>
      </c>
      <c r="R546" s="23" t="n">
        <f>MAX(J546-K546,0)</f>
        <v>0</v>
      </c>
      <c r="S546" s="23" t="n">
        <f>IF(J546&gt;0,MAX(L546-J546,0),L546)</f>
        <v>0</v>
      </c>
    </row>
    <row r="547">
      <c r="A547" s="19" t="str">
        <v>捷克区</v>
      </c>
      <c r="B547" s="19" t="str">
        <v>布拉格2号仓</v>
      </c>
      <c r="C547" s="19" t="str">
        <v>入库组</v>
      </c>
      <c r="D547" s="21" t="n">
        <v>46169</v>
      </c>
      <c r="E547" s="19" t="str">
        <v>2026-05</v>
      </c>
      <c r="F547" s="19" t="str">
        <v>操作员</v>
      </c>
      <c r="G547" s="19" t="str">
        <v>捷克区07:00-15:30 / CZ 07:00-15:30</v>
      </c>
      <c r="H547" s="23" t="n">
        <v>2</v>
      </c>
      <c r="I547" s="23" t="n">
        <v>0</v>
      </c>
      <c r="J547" s="23" t="n">
        <f>H547+I547</f>
        <v>2</v>
      </c>
      <c r="K547" s="23" t="n">
        <v>2</v>
      </c>
      <c r="L547" s="23" t="n">
        <v>0</v>
      </c>
      <c r="M547" s="23" t="n">
        <f>MIN(K547,J547)</f>
        <v>2</v>
      </c>
      <c r="N547" s="23" t="n">
        <f>MIN(L547,J547)</f>
        <v>0</v>
      </c>
      <c r="O547" s="25" t="n">
        <f>IF(K547=0,0,MIN(1,J547/K547))</f>
        <v>1</v>
      </c>
      <c r="P547" s="23" t="n">
        <f>IF(J547&gt;0,MAX(K547-J547,0),0)</f>
        <v>0</v>
      </c>
      <c r="Q547" s="23" t="n">
        <f>IF(J547=0,K547,0)</f>
        <v>0</v>
      </c>
      <c r="R547" s="23" t="n">
        <f>MAX(J547-K547,0)</f>
        <v>0</v>
      </c>
      <c r="S547" s="23" t="n">
        <f>IF(J547&gt;0,MAX(L547-J547,0),L547)</f>
        <v>0</v>
      </c>
    </row>
    <row r="548">
      <c r="A548" s="19" t="str">
        <v>捷克区</v>
      </c>
      <c r="B548" s="19" t="str">
        <v>布拉格2号仓</v>
      </c>
      <c r="C548" s="19" t="str">
        <v>入库组</v>
      </c>
      <c r="D548" s="21" t="n">
        <v>46170</v>
      </c>
      <c r="E548" s="19" t="str">
        <v>2026-05</v>
      </c>
      <c r="F548" s="19" t="str">
        <v>操作员</v>
      </c>
      <c r="G548" s="19" t="str">
        <v>捷克区07:00-15:30 / CZ 07:00-15:30</v>
      </c>
      <c r="H548" s="23" t="n">
        <v>4</v>
      </c>
      <c r="I548" s="23" t="n">
        <v>0</v>
      </c>
      <c r="J548" s="23" t="n">
        <f>H548+I548</f>
        <v>4</v>
      </c>
      <c r="K548" s="23" t="n">
        <v>4</v>
      </c>
      <c r="L548" s="23" t="n">
        <v>0</v>
      </c>
      <c r="M548" s="23" t="n">
        <f>MIN(K548,J548)</f>
        <v>4</v>
      </c>
      <c r="N548" s="23" t="n">
        <f>MIN(L548,J548)</f>
        <v>0</v>
      </c>
      <c r="O548" s="25" t="n">
        <f>IF(K548=0,0,MIN(1,J548/K548))</f>
        <v>1</v>
      </c>
      <c r="P548" s="23" t="n">
        <f>IF(J548&gt;0,MAX(K548-J548,0),0)</f>
        <v>0</v>
      </c>
      <c r="Q548" s="23" t="n">
        <f>IF(J548=0,K548,0)</f>
        <v>0</v>
      </c>
      <c r="R548" s="23" t="n">
        <f>MAX(J548-K548,0)</f>
        <v>0</v>
      </c>
      <c r="S548" s="23" t="n">
        <f>IF(J548&gt;0,MAX(L548-J548,0),L548)</f>
        <v>0</v>
      </c>
    </row>
    <row r="549">
      <c r="A549" s="19" t="str">
        <v>捷克区</v>
      </c>
      <c r="B549" s="19" t="str">
        <v>布拉格2号仓</v>
      </c>
      <c r="C549" s="19" t="str">
        <v>入库组</v>
      </c>
      <c r="D549" s="21" t="n">
        <v>46171</v>
      </c>
      <c r="E549" s="19" t="str">
        <v>2026-05</v>
      </c>
      <c r="F549" s="19" t="str">
        <v>操作员</v>
      </c>
      <c r="G549" s="19" t="str">
        <v>捷克区07:00-15:30 / CZ 07:00-15:30</v>
      </c>
      <c r="H549" s="23" t="n">
        <v>4</v>
      </c>
      <c r="I549" s="23" t="n">
        <v>0</v>
      </c>
      <c r="J549" s="23" t="n">
        <f>H549+I549</f>
        <v>4</v>
      </c>
      <c r="K549" s="23" t="n">
        <v>4</v>
      </c>
      <c r="L549" s="23" t="n">
        <v>0</v>
      </c>
      <c r="M549" s="23" t="n">
        <f>MIN(K549,J549)</f>
        <v>4</v>
      </c>
      <c r="N549" s="23" t="n">
        <f>MIN(L549,J549)</f>
        <v>0</v>
      </c>
      <c r="O549" s="25" t="n">
        <f>IF(K549=0,0,MIN(1,J549/K549))</f>
        <v>1</v>
      </c>
      <c r="P549" s="23" t="n">
        <f>IF(J549&gt;0,MAX(K549-J549,0),0)</f>
        <v>0</v>
      </c>
      <c r="Q549" s="23" t="n">
        <f>IF(J549=0,K549,0)</f>
        <v>0</v>
      </c>
      <c r="R549" s="23" t="n">
        <f>MAX(J549-K549,0)</f>
        <v>0</v>
      </c>
      <c r="S549" s="23" t="n">
        <f>IF(J549&gt;0,MAX(L549-J549,0),L549)</f>
        <v>0</v>
      </c>
    </row>
    <row r="550">
      <c r="A550" s="19" t="str">
        <v>捷克区</v>
      </c>
      <c r="B550" s="19" t="str">
        <v>布拉格2号仓</v>
      </c>
      <c r="C550" s="19" t="str">
        <v>入库组</v>
      </c>
      <c r="D550" s="21" t="n">
        <v>46172</v>
      </c>
      <c r="E550" s="19" t="str">
        <v>2026-05</v>
      </c>
      <c r="F550" s="19" t="str">
        <v>操作员</v>
      </c>
      <c r="G550" s="19" t="str">
        <v>捷克区07:00-15:30 / CZ 07:00-15:30</v>
      </c>
      <c r="H550" s="23" t="n">
        <v>4</v>
      </c>
      <c r="I550" s="23" t="n">
        <v>0</v>
      </c>
      <c r="J550" s="23" t="n">
        <f>H550+I550</f>
        <v>4</v>
      </c>
      <c r="K550" s="23" t="n">
        <v>4</v>
      </c>
      <c r="L550" s="23" t="n">
        <v>0</v>
      </c>
      <c r="M550" s="23" t="n">
        <f>MIN(K550,J550)</f>
        <v>4</v>
      </c>
      <c r="N550" s="23" t="n">
        <f>MIN(L550,J550)</f>
        <v>0</v>
      </c>
      <c r="O550" s="25" t="n">
        <f>IF(K550=0,0,MIN(1,J550/K550))</f>
        <v>1</v>
      </c>
      <c r="P550" s="23" t="n">
        <f>IF(J550&gt;0,MAX(K550-J550,0),0)</f>
        <v>0</v>
      </c>
      <c r="Q550" s="23" t="n">
        <f>IF(J550=0,K550,0)</f>
        <v>0</v>
      </c>
      <c r="R550" s="23" t="n">
        <f>MAX(J550-K550,0)</f>
        <v>0</v>
      </c>
      <c r="S550" s="23" t="n">
        <f>IF(J550&gt;0,MAX(L550-J550,0),L550)</f>
        <v>0</v>
      </c>
    </row>
    <row r="551">
      <c r="A551" s="19" t="str">
        <v>捷克区</v>
      </c>
      <c r="B551" s="19" t="str">
        <v>布拉格2号仓</v>
      </c>
      <c r="C551" s="19" t="str">
        <v>入库组</v>
      </c>
      <c r="D551" s="21" t="n">
        <v>46173</v>
      </c>
      <c r="E551" s="19" t="str">
        <v>2026-05</v>
      </c>
      <c r="F551" s="19" t="str">
        <v>操作员</v>
      </c>
      <c r="G551" s="19" t="str">
        <v>捷克区07:00-15:30 / CZ 07:00-15:30</v>
      </c>
      <c r="H551" s="23" t="n">
        <v>4</v>
      </c>
      <c r="I551" s="23" t="n">
        <v>0</v>
      </c>
      <c r="J551" s="23" t="n">
        <f>H551+I551</f>
        <v>4</v>
      </c>
      <c r="K551" s="23" t="n">
        <v>4</v>
      </c>
      <c r="L551" s="23" t="n">
        <v>0</v>
      </c>
      <c r="M551" s="23" t="n">
        <f>MIN(K551,J551)</f>
        <v>4</v>
      </c>
      <c r="N551" s="23" t="n">
        <f>MIN(L551,J551)</f>
        <v>0</v>
      </c>
      <c r="O551" s="25" t="n">
        <f>IF(K551=0,0,MIN(1,J551/K551))</f>
        <v>1</v>
      </c>
      <c r="P551" s="23" t="n">
        <f>IF(J551&gt;0,MAX(K551-J551,0),0)</f>
        <v>0</v>
      </c>
      <c r="Q551" s="23" t="n">
        <f>IF(J551=0,K551,0)</f>
        <v>0</v>
      </c>
      <c r="R551" s="23" t="n">
        <f>MAX(J551-K551,0)</f>
        <v>0</v>
      </c>
      <c r="S551" s="23" t="n">
        <f>IF(J551&gt;0,MAX(L551-J551,0),L551)</f>
        <v>0</v>
      </c>
    </row>
    <row r="552">
      <c r="A552" s="19" t="str">
        <v>捷克区</v>
      </c>
      <c r="B552" s="19" t="str">
        <v>布拉格2号仓</v>
      </c>
      <c r="C552" s="19" t="str">
        <v>入库组</v>
      </c>
      <c r="D552" s="21" t="n">
        <v>46174</v>
      </c>
      <c r="E552" s="19" t="str">
        <v>2026-06</v>
      </c>
      <c r="F552" s="19" t="str">
        <v>操作员</v>
      </c>
      <c r="G552" s="19" t="str">
        <v>捷克区07:00-15:30 / CZ 07:00-15:30</v>
      </c>
      <c r="H552" s="23" t="n">
        <v>4</v>
      </c>
      <c r="I552" s="23" t="n">
        <v>0</v>
      </c>
      <c r="J552" s="23" t="n">
        <f>H552+I552</f>
        <v>4</v>
      </c>
      <c r="K552" s="23" t="n">
        <v>4</v>
      </c>
      <c r="L552" s="23" t="n">
        <v>0</v>
      </c>
      <c r="M552" s="23" t="n">
        <f>MIN(K552,J552)</f>
        <v>4</v>
      </c>
      <c r="N552" s="23" t="n">
        <f>MIN(L552,J552)</f>
        <v>0</v>
      </c>
      <c r="O552" s="25" t="n">
        <f>IF(K552=0,0,MIN(1,J552/K552))</f>
        <v>1</v>
      </c>
      <c r="P552" s="23" t="n">
        <f>IF(J552&gt;0,MAX(K552-J552,0),0)</f>
        <v>0</v>
      </c>
      <c r="Q552" s="23" t="n">
        <f>IF(J552=0,K552,0)</f>
        <v>0</v>
      </c>
      <c r="R552" s="23" t="n">
        <f>MAX(J552-K552,0)</f>
        <v>0</v>
      </c>
      <c r="S552" s="23" t="n">
        <f>IF(J552&gt;0,MAX(L552-J552,0),L552)</f>
        <v>0</v>
      </c>
    </row>
    <row r="553">
      <c r="A553" s="19" t="str">
        <v>捷克区</v>
      </c>
      <c r="B553" s="19" t="str">
        <v>布拉格2号仓</v>
      </c>
      <c r="C553" s="19" t="str">
        <v>入库组</v>
      </c>
      <c r="D553" s="21" t="n">
        <v>46175</v>
      </c>
      <c r="E553" s="19" t="str">
        <v>2026-06</v>
      </c>
      <c r="F553" s="19" t="str">
        <v>操作员</v>
      </c>
      <c r="G553" s="19" t="str">
        <v>捷克区07:00-15:30 / CZ 07:00-15:30</v>
      </c>
      <c r="H553" s="23" t="n">
        <v>4</v>
      </c>
      <c r="I553" s="23" t="n">
        <v>0</v>
      </c>
      <c r="J553" s="23" t="n">
        <f>H553+I553</f>
        <v>4</v>
      </c>
      <c r="K553" s="23" t="n">
        <v>4</v>
      </c>
      <c r="L553" s="23" t="n">
        <v>0</v>
      </c>
      <c r="M553" s="23" t="n">
        <f>MIN(K553,J553)</f>
        <v>4</v>
      </c>
      <c r="N553" s="23" t="n">
        <f>MIN(L553,J553)</f>
        <v>0</v>
      </c>
      <c r="O553" s="25" t="n">
        <f>IF(K553=0,0,MIN(1,J553/K553))</f>
        <v>1</v>
      </c>
      <c r="P553" s="23" t="n">
        <f>IF(J553&gt;0,MAX(K553-J553,0),0)</f>
        <v>0</v>
      </c>
      <c r="Q553" s="23" t="n">
        <f>IF(J553=0,K553,0)</f>
        <v>0</v>
      </c>
      <c r="R553" s="23" t="n">
        <f>MAX(J553-K553,0)</f>
        <v>0</v>
      </c>
      <c r="S553" s="23" t="n">
        <f>IF(J553&gt;0,MAX(L553-J553,0),L553)</f>
        <v>0</v>
      </c>
    </row>
    <row r="554">
      <c r="A554" s="19" t="str">
        <v>捷克区</v>
      </c>
      <c r="B554" s="19" t="str">
        <v>布拉格2号仓</v>
      </c>
      <c r="C554" s="19" t="str">
        <v>入库组</v>
      </c>
      <c r="D554" s="21" t="n">
        <v>46176</v>
      </c>
      <c r="E554" s="19" t="str">
        <v>2026-06</v>
      </c>
      <c r="F554" s="19" t="str">
        <v>操作员</v>
      </c>
      <c r="G554" s="19" t="str">
        <v>捷克区07:00-15:30 / CZ 07:00-15:30</v>
      </c>
      <c r="H554" s="23" t="n">
        <v>2</v>
      </c>
      <c r="I554" s="23" t="n">
        <v>0</v>
      </c>
      <c r="J554" s="23" t="n">
        <f>H554+I554</f>
        <v>2</v>
      </c>
      <c r="K554" s="23" t="n">
        <v>2</v>
      </c>
      <c r="L554" s="23" t="n">
        <v>0</v>
      </c>
      <c r="M554" s="23" t="n">
        <f>MIN(K554,J554)</f>
        <v>2</v>
      </c>
      <c r="N554" s="23" t="n">
        <f>MIN(L554,J554)</f>
        <v>0</v>
      </c>
      <c r="O554" s="25" t="n">
        <f>IF(K554=0,0,MIN(1,J554/K554))</f>
        <v>1</v>
      </c>
      <c r="P554" s="23" t="n">
        <f>IF(J554&gt;0,MAX(K554-J554,0),0)</f>
        <v>0</v>
      </c>
      <c r="Q554" s="23" t="n">
        <f>IF(J554=0,K554,0)</f>
        <v>0</v>
      </c>
      <c r="R554" s="23" t="n">
        <f>MAX(J554-K554,0)</f>
        <v>0</v>
      </c>
      <c r="S554" s="23" t="n">
        <f>IF(J554&gt;0,MAX(L554-J554,0),L554)</f>
        <v>0</v>
      </c>
    </row>
    <row r="555">
      <c r="A555" s="19" t="str">
        <v>捷克区</v>
      </c>
      <c r="B555" s="19" t="str">
        <v>布拉格2号仓</v>
      </c>
      <c r="C555" s="19" t="str">
        <v>入库组</v>
      </c>
      <c r="D555" s="21" t="n">
        <v>46177</v>
      </c>
      <c r="E555" s="19" t="str">
        <v>2026-06</v>
      </c>
      <c r="F555" s="19" t="str">
        <v>操作员</v>
      </c>
      <c r="G555" s="19" t="str">
        <v>捷克区07:00-15:30 / CZ 07:00-15:30</v>
      </c>
      <c r="H555" s="23" t="n">
        <v>2</v>
      </c>
      <c r="I555" s="23" t="n">
        <v>0</v>
      </c>
      <c r="J555" s="23" t="n">
        <f>H555+I555</f>
        <v>2</v>
      </c>
      <c r="K555" s="23" t="n">
        <v>2</v>
      </c>
      <c r="L555" s="23" t="n">
        <v>0</v>
      </c>
      <c r="M555" s="23" t="n">
        <f>MIN(K555,J555)</f>
        <v>2</v>
      </c>
      <c r="N555" s="23" t="n">
        <f>MIN(L555,J555)</f>
        <v>0</v>
      </c>
      <c r="O555" s="25" t="n">
        <f>IF(K555=0,0,MIN(1,J555/K555))</f>
        <v>1</v>
      </c>
      <c r="P555" s="23" t="n">
        <f>IF(J555&gt;0,MAX(K555-J555,0),0)</f>
        <v>0</v>
      </c>
      <c r="Q555" s="23" t="n">
        <f>IF(J555=0,K555,0)</f>
        <v>0</v>
      </c>
      <c r="R555" s="23" t="n">
        <f>MAX(J555-K555,0)</f>
        <v>0</v>
      </c>
      <c r="S555" s="23" t="n">
        <f>IF(J555&gt;0,MAX(L555-J555,0),L555)</f>
        <v>0</v>
      </c>
    </row>
    <row r="556">
      <c r="A556" s="19" t="str">
        <v>捷克区</v>
      </c>
      <c r="B556" s="19" t="str">
        <v>布拉格2号仓</v>
      </c>
      <c r="C556" s="19" t="str">
        <v>入库组</v>
      </c>
      <c r="D556" s="21" t="n">
        <v>46192</v>
      </c>
      <c r="E556" s="19" t="str">
        <v>2026-06</v>
      </c>
      <c r="F556" s="19" t="str">
        <v>操作员</v>
      </c>
      <c r="G556" s="19" t="str">
        <v>捷克区07:00-15:30 / CZ 07:00-15:30</v>
      </c>
      <c r="H556" s="23" t="n">
        <v>3</v>
      </c>
      <c r="I556" s="23" t="n">
        <v>0</v>
      </c>
      <c r="J556" s="23" t="n">
        <f>H556+I556</f>
        <v>3</v>
      </c>
      <c r="K556" s="23" t="n">
        <v>3</v>
      </c>
      <c r="L556" s="23" t="n">
        <v>3</v>
      </c>
      <c r="M556" s="23" t="n">
        <f>MIN(K556,J556)</f>
        <v>3</v>
      </c>
      <c r="N556" s="23" t="n">
        <f>MIN(L556,J556)</f>
        <v>3</v>
      </c>
      <c r="O556" s="25" t="n">
        <f>IF(K556=0,0,MIN(1,J556/K556))</f>
        <v>1</v>
      </c>
      <c r="P556" s="23" t="n">
        <f>IF(J556&gt;0,MAX(K556-J556,0),0)</f>
        <v>0</v>
      </c>
      <c r="Q556" s="23" t="n">
        <f>IF(J556=0,K556,0)</f>
        <v>0</v>
      </c>
      <c r="R556" s="23" t="n">
        <f>MAX(J556-K556,0)</f>
        <v>0</v>
      </c>
      <c r="S556" s="23" t="n">
        <f>IF(J556&gt;0,MAX(L556-J556,0),L556)</f>
        <v>0</v>
      </c>
    </row>
    <row r="557">
      <c r="A557" s="19" t="str">
        <v>捷克区</v>
      </c>
      <c r="B557" s="19" t="str">
        <v>布拉格2号仓</v>
      </c>
      <c r="C557" s="19" t="str">
        <v>入库组</v>
      </c>
      <c r="D557" s="21" t="n">
        <v>46193</v>
      </c>
      <c r="E557" s="19" t="str">
        <v>2026-06</v>
      </c>
      <c r="F557" s="19" t="str">
        <v>操作员</v>
      </c>
      <c r="G557" s="19" t="str">
        <v>捷克区07:00-15:30 / CZ 07:00-15:30</v>
      </c>
      <c r="H557" s="23" t="n">
        <v>3</v>
      </c>
      <c r="I557" s="23" t="n">
        <v>0</v>
      </c>
      <c r="J557" s="23" t="n">
        <f>H557+I557</f>
        <v>3</v>
      </c>
      <c r="K557" s="23" t="n">
        <v>3</v>
      </c>
      <c r="L557" s="23" t="n">
        <v>3</v>
      </c>
      <c r="M557" s="23" t="n">
        <f>MIN(K557,J557)</f>
        <v>3</v>
      </c>
      <c r="N557" s="23" t="n">
        <f>MIN(L557,J557)</f>
        <v>3</v>
      </c>
      <c r="O557" s="25" t="n">
        <f>IF(K557=0,0,MIN(1,J557/K557))</f>
        <v>1</v>
      </c>
      <c r="P557" s="23" t="n">
        <f>IF(J557&gt;0,MAX(K557-J557,0),0)</f>
        <v>0</v>
      </c>
      <c r="Q557" s="23" t="n">
        <f>IF(J557=0,K557,0)</f>
        <v>0</v>
      </c>
      <c r="R557" s="23" t="n">
        <f>MAX(J557-K557,0)</f>
        <v>0</v>
      </c>
      <c r="S557" s="23" t="n">
        <f>IF(J557&gt;0,MAX(L557-J557,0),L557)</f>
        <v>0</v>
      </c>
    </row>
    <row r="558">
      <c r="A558" s="19" t="str">
        <v>捷克区</v>
      </c>
      <c r="B558" s="19" t="str">
        <v>布拉格2号仓</v>
      </c>
      <c r="C558" s="19" t="str">
        <v>入库组</v>
      </c>
      <c r="D558" s="21" t="n">
        <v>46194</v>
      </c>
      <c r="E558" s="19" t="str">
        <v>2026-06</v>
      </c>
      <c r="F558" s="19" t="str">
        <v>操作员</v>
      </c>
      <c r="G558" s="19" t="str">
        <v>捷克区07:00-15:30 / CZ 07:00-15:30</v>
      </c>
      <c r="H558" s="23" t="n">
        <v>3</v>
      </c>
      <c r="I558" s="23" t="n">
        <v>0</v>
      </c>
      <c r="J558" s="23" t="n">
        <f>H558+I558</f>
        <v>3</v>
      </c>
      <c r="K558" s="23" t="n">
        <v>3</v>
      </c>
      <c r="L558" s="23" t="n">
        <v>3</v>
      </c>
      <c r="M558" s="23" t="n">
        <f>MIN(K558,J558)</f>
        <v>3</v>
      </c>
      <c r="N558" s="23" t="n">
        <f>MIN(L558,J558)</f>
        <v>3</v>
      </c>
      <c r="O558" s="25" t="n">
        <f>IF(K558=0,0,MIN(1,J558/K558))</f>
        <v>1</v>
      </c>
      <c r="P558" s="23" t="n">
        <f>IF(J558&gt;0,MAX(K558-J558,0),0)</f>
        <v>0</v>
      </c>
      <c r="Q558" s="23" t="n">
        <f>IF(J558=0,K558,0)</f>
        <v>0</v>
      </c>
      <c r="R558" s="23" t="n">
        <f>MAX(J558-K558,0)</f>
        <v>0</v>
      </c>
      <c r="S558" s="23" t="n">
        <f>IF(J558&gt;0,MAX(L558-J558,0),L558)</f>
        <v>0</v>
      </c>
    </row>
    <row r="559">
      <c r="A559" s="19" t="str">
        <v>捷克区</v>
      </c>
      <c r="B559" s="19" t="str">
        <v>布拉格2号仓</v>
      </c>
      <c r="C559" s="19" t="str">
        <v>入库组</v>
      </c>
      <c r="D559" s="21" t="n">
        <v>46195</v>
      </c>
      <c r="E559" s="19" t="str">
        <v>2026-06</v>
      </c>
      <c r="F559" s="19" t="str">
        <v>操作员</v>
      </c>
      <c r="G559" s="19" t="str">
        <v>捷克区07:00-15:30 / CZ 07:00-15:30</v>
      </c>
      <c r="H559" s="23" t="n">
        <v>3</v>
      </c>
      <c r="I559" s="23" t="n">
        <v>0</v>
      </c>
      <c r="J559" s="23" t="n">
        <f>H559+I559</f>
        <v>3</v>
      </c>
      <c r="K559" s="23" t="n">
        <v>3</v>
      </c>
      <c r="L559" s="23" t="n">
        <v>3</v>
      </c>
      <c r="M559" s="23" t="n">
        <f>MIN(K559,J559)</f>
        <v>3</v>
      </c>
      <c r="N559" s="23" t="n">
        <f>MIN(L559,J559)</f>
        <v>3</v>
      </c>
      <c r="O559" s="25" t="n">
        <f>IF(K559=0,0,MIN(1,J559/K559))</f>
        <v>1</v>
      </c>
      <c r="P559" s="23" t="n">
        <f>IF(J559&gt;0,MAX(K559-J559,0),0)</f>
        <v>0</v>
      </c>
      <c r="Q559" s="23" t="n">
        <f>IF(J559=0,K559,0)</f>
        <v>0</v>
      </c>
      <c r="R559" s="23" t="n">
        <f>MAX(J559-K559,0)</f>
        <v>0</v>
      </c>
      <c r="S559" s="23" t="n">
        <f>IF(J559&gt;0,MAX(L559-J559,0),L559)</f>
        <v>0</v>
      </c>
    </row>
    <row r="560">
      <c r="A560" s="19" t="str">
        <v>捷克区</v>
      </c>
      <c r="B560" s="19" t="str">
        <v>布拉格2号仓</v>
      </c>
      <c r="C560" s="19" t="str">
        <v>入库组</v>
      </c>
      <c r="D560" s="21" t="n">
        <v>46196</v>
      </c>
      <c r="E560" s="19" t="str">
        <v>2026-06</v>
      </c>
      <c r="F560" s="19" t="str">
        <v>操作员</v>
      </c>
      <c r="G560" s="19" t="str">
        <v>捷克区07:00-15:30 / CZ 07:00-15:30</v>
      </c>
      <c r="H560" s="23" t="n">
        <v>3</v>
      </c>
      <c r="I560" s="23" t="n">
        <v>0</v>
      </c>
      <c r="J560" s="23" t="n">
        <f>H560+I560</f>
        <v>3</v>
      </c>
      <c r="K560" s="23" t="n">
        <v>3</v>
      </c>
      <c r="L560" s="23" t="n">
        <v>3</v>
      </c>
      <c r="M560" s="23" t="n">
        <f>MIN(K560,J560)</f>
        <v>3</v>
      </c>
      <c r="N560" s="23" t="n">
        <f>MIN(L560,J560)</f>
        <v>3</v>
      </c>
      <c r="O560" s="25" t="n">
        <f>IF(K560=0,0,MIN(1,J560/K560))</f>
        <v>1</v>
      </c>
      <c r="P560" s="23" t="n">
        <f>IF(J560&gt;0,MAX(K560-J560,0),0)</f>
        <v>0</v>
      </c>
      <c r="Q560" s="23" t="n">
        <f>IF(J560=0,K560,0)</f>
        <v>0</v>
      </c>
      <c r="R560" s="23" t="n">
        <f>MAX(J560-K560,0)</f>
        <v>0</v>
      </c>
      <c r="S560" s="23" t="n">
        <f>IF(J560&gt;0,MAX(L560-J560,0),L560)</f>
        <v>0</v>
      </c>
    </row>
    <row r="561">
      <c r="A561" s="19" t="str">
        <v>捷克区</v>
      </c>
      <c r="B561" s="19" t="str">
        <v>布拉格2号仓</v>
      </c>
      <c r="C561" s="19" t="str">
        <v>入库组</v>
      </c>
      <c r="D561" s="21" t="n">
        <v>46197</v>
      </c>
      <c r="E561" s="19" t="str">
        <v>2026-06</v>
      </c>
      <c r="F561" s="19" t="str">
        <v>操作员</v>
      </c>
      <c r="G561" s="19" t="str">
        <v>捷克区07:00-15:30 / CZ 07:00-15:30</v>
      </c>
      <c r="H561" s="23" t="n">
        <v>3</v>
      </c>
      <c r="I561" s="23" t="n">
        <v>0</v>
      </c>
      <c r="J561" s="23" t="n">
        <f>H561+I561</f>
        <v>3</v>
      </c>
      <c r="K561" s="23" t="n">
        <v>3</v>
      </c>
      <c r="L561" s="23" t="n">
        <v>3</v>
      </c>
      <c r="M561" s="23" t="n">
        <f>MIN(K561,J561)</f>
        <v>3</v>
      </c>
      <c r="N561" s="23" t="n">
        <f>MIN(L561,J561)</f>
        <v>3</v>
      </c>
      <c r="O561" s="25" t="n">
        <f>IF(K561=0,0,MIN(1,J561/K561))</f>
        <v>1</v>
      </c>
      <c r="P561" s="23" t="n">
        <f>IF(J561&gt;0,MAX(K561-J561,0),0)</f>
        <v>0</v>
      </c>
      <c r="Q561" s="23" t="n">
        <f>IF(J561=0,K561,0)</f>
        <v>0</v>
      </c>
      <c r="R561" s="23" t="n">
        <f>MAX(J561-K561,0)</f>
        <v>0</v>
      </c>
      <c r="S561" s="23" t="n">
        <f>IF(J561&gt;0,MAX(L561-J561,0),L561)</f>
        <v>0</v>
      </c>
    </row>
    <row r="562">
      <c r="A562" s="19" t="str">
        <v>捷克区</v>
      </c>
      <c r="B562" s="19" t="str">
        <v>布拉格2号仓</v>
      </c>
      <c r="C562" s="19" t="str">
        <v>入库组</v>
      </c>
      <c r="D562" s="21" t="n">
        <v>46198</v>
      </c>
      <c r="E562" s="19" t="str">
        <v>2026-06</v>
      </c>
      <c r="F562" s="19" t="str">
        <v>操作员</v>
      </c>
      <c r="G562" s="19" t="str">
        <v>捷克区07:00-15:30 / CZ 07:00-15:30</v>
      </c>
      <c r="H562" s="23" t="n">
        <v>3</v>
      </c>
      <c r="I562" s="23" t="n">
        <v>0</v>
      </c>
      <c r="J562" s="23" t="n">
        <f>H562+I562</f>
        <v>3</v>
      </c>
      <c r="K562" s="23" t="n">
        <v>3</v>
      </c>
      <c r="L562" s="23" t="n">
        <v>3</v>
      </c>
      <c r="M562" s="23" t="n">
        <f>MIN(K562,J562)</f>
        <v>3</v>
      </c>
      <c r="N562" s="23" t="n">
        <f>MIN(L562,J562)</f>
        <v>3</v>
      </c>
      <c r="O562" s="25" t="n">
        <f>IF(K562=0,0,MIN(1,J562/K562))</f>
        <v>1</v>
      </c>
      <c r="P562" s="23" t="n">
        <f>IF(J562&gt;0,MAX(K562-J562,0),0)</f>
        <v>0</v>
      </c>
      <c r="Q562" s="23" t="n">
        <f>IF(J562=0,K562,0)</f>
        <v>0</v>
      </c>
      <c r="R562" s="23" t="n">
        <f>MAX(J562-K562,0)</f>
        <v>0</v>
      </c>
      <c r="S562" s="23" t="n">
        <f>IF(J562&gt;0,MAX(L562-J562,0),L562)</f>
        <v>0</v>
      </c>
    </row>
    <row r="563">
      <c r="A563" s="19" t="str">
        <v>捷克区</v>
      </c>
      <c r="B563" s="19" t="str">
        <v>布拉格2号仓</v>
      </c>
      <c r="C563" s="19" t="str">
        <v>入库组</v>
      </c>
      <c r="D563" s="21" t="n">
        <v>46199</v>
      </c>
      <c r="E563" s="19" t="str">
        <v>2026-06</v>
      </c>
      <c r="F563" s="19" t="str">
        <v>操作员</v>
      </c>
      <c r="G563" s="19" t="str">
        <v>捷克区07:00-15:30 / CZ 07:00-15:30</v>
      </c>
      <c r="H563" s="23" t="n">
        <v>3</v>
      </c>
      <c r="I563" s="23" t="n">
        <v>0</v>
      </c>
      <c r="J563" s="23" t="n">
        <f>H563+I563</f>
        <v>3</v>
      </c>
      <c r="K563" s="23" t="n">
        <v>3</v>
      </c>
      <c r="L563" s="23" t="n">
        <v>3</v>
      </c>
      <c r="M563" s="23" t="n">
        <f>MIN(K563,J563)</f>
        <v>3</v>
      </c>
      <c r="N563" s="23" t="n">
        <f>MIN(L563,J563)</f>
        <v>3</v>
      </c>
      <c r="O563" s="25" t="n">
        <f>IF(K563=0,0,MIN(1,J563/K563))</f>
        <v>1</v>
      </c>
      <c r="P563" s="23" t="n">
        <f>IF(J563&gt;0,MAX(K563-J563,0),0)</f>
        <v>0</v>
      </c>
      <c r="Q563" s="23" t="n">
        <f>IF(J563=0,K563,0)</f>
        <v>0</v>
      </c>
      <c r="R563" s="23" t="n">
        <f>MAX(J563-K563,0)</f>
        <v>0</v>
      </c>
      <c r="S563" s="23" t="n">
        <f>IF(J563&gt;0,MAX(L563-J563,0),L563)</f>
        <v>0</v>
      </c>
    </row>
    <row r="564">
      <c r="A564" s="19" t="str">
        <v>捷克区</v>
      </c>
      <c r="B564" s="19" t="str">
        <v>布拉格2号仓</v>
      </c>
      <c r="C564" s="19" t="str">
        <v>入库组</v>
      </c>
      <c r="D564" s="21" t="n">
        <v>46200</v>
      </c>
      <c r="E564" s="19" t="str">
        <v>2026-06</v>
      </c>
      <c r="F564" s="19" t="str">
        <v>操作员</v>
      </c>
      <c r="G564" s="19" t="str">
        <v>捷克区07:00-15:30 / CZ 07:00-15:30</v>
      </c>
      <c r="H564" s="23" t="n">
        <v>3</v>
      </c>
      <c r="I564" s="23" t="n">
        <v>0</v>
      </c>
      <c r="J564" s="23" t="n">
        <f>H564+I564</f>
        <v>3</v>
      </c>
      <c r="K564" s="23" t="n">
        <v>3</v>
      </c>
      <c r="L564" s="23" t="n">
        <v>3</v>
      </c>
      <c r="M564" s="23" t="n">
        <f>MIN(K564,J564)</f>
        <v>3</v>
      </c>
      <c r="N564" s="23" t="n">
        <f>MIN(L564,J564)</f>
        <v>3</v>
      </c>
      <c r="O564" s="25" t="n">
        <f>IF(K564=0,0,MIN(1,J564/K564))</f>
        <v>1</v>
      </c>
      <c r="P564" s="23" t="n">
        <f>IF(J564&gt;0,MAX(K564-J564,0),0)</f>
        <v>0</v>
      </c>
      <c r="Q564" s="23" t="n">
        <f>IF(J564=0,K564,0)</f>
        <v>0</v>
      </c>
      <c r="R564" s="23" t="n">
        <f>MAX(J564-K564,0)</f>
        <v>0</v>
      </c>
      <c r="S564" s="23" t="n">
        <f>IF(J564&gt;0,MAX(L564-J564,0),L564)</f>
        <v>0</v>
      </c>
    </row>
    <row r="565">
      <c r="A565" s="19" t="str">
        <v>捷克区</v>
      </c>
      <c r="B565" s="19" t="str">
        <v>布拉格2号仓</v>
      </c>
      <c r="C565" s="19" t="str">
        <v>入库组</v>
      </c>
      <c r="D565" s="21" t="n">
        <v>46201</v>
      </c>
      <c r="E565" s="19" t="str">
        <v>2026-06</v>
      </c>
      <c r="F565" s="19" t="str">
        <v>操作员</v>
      </c>
      <c r="G565" s="19" t="str">
        <v>捷克区07:00-15:30 / CZ 07:00-15:30</v>
      </c>
      <c r="H565" s="23" t="n">
        <v>3</v>
      </c>
      <c r="I565" s="23" t="n">
        <v>0</v>
      </c>
      <c r="J565" s="23" t="n">
        <f>H565+I565</f>
        <v>3</v>
      </c>
      <c r="K565" s="23" t="n">
        <v>3</v>
      </c>
      <c r="L565" s="23" t="n">
        <v>3</v>
      </c>
      <c r="M565" s="23" t="n">
        <f>MIN(K565,J565)</f>
        <v>3</v>
      </c>
      <c r="N565" s="23" t="n">
        <f>MIN(L565,J565)</f>
        <v>3</v>
      </c>
      <c r="O565" s="25" t="n">
        <f>IF(K565=0,0,MIN(1,J565/K565))</f>
        <v>1</v>
      </c>
      <c r="P565" s="23" t="n">
        <f>IF(J565&gt;0,MAX(K565-J565,0),0)</f>
        <v>0</v>
      </c>
      <c r="Q565" s="23" t="n">
        <f>IF(J565=0,K565,0)</f>
        <v>0</v>
      </c>
      <c r="R565" s="23" t="n">
        <f>MAX(J565-K565,0)</f>
        <v>0</v>
      </c>
      <c r="S565" s="23" t="n">
        <f>IF(J565&gt;0,MAX(L565-J565,0),L565)</f>
        <v>0</v>
      </c>
    </row>
    <row r="566">
      <c r="A566" s="19" t="str">
        <v>捷克区</v>
      </c>
      <c r="B566" s="19" t="str">
        <v>布拉格2号仓</v>
      </c>
      <c r="C566" s="19" t="str">
        <v>入库组</v>
      </c>
      <c r="D566" s="21" t="n">
        <v>46202</v>
      </c>
      <c r="E566" s="19" t="str">
        <v>2026-06</v>
      </c>
      <c r="F566" s="19" t="str">
        <v>操作员</v>
      </c>
      <c r="G566" s="19" t="str">
        <v>捷克区07:00-15:30 / CZ 07:00-15:30</v>
      </c>
      <c r="H566" s="23" t="n">
        <v>3</v>
      </c>
      <c r="I566" s="23" t="n">
        <v>0</v>
      </c>
      <c r="J566" s="23" t="n">
        <f>H566+I566</f>
        <v>3</v>
      </c>
      <c r="K566" s="23" t="n">
        <v>3</v>
      </c>
      <c r="L566" s="23" t="n">
        <v>3</v>
      </c>
      <c r="M566" s="23" t="n">
        <f>MIN(K566,J566)</f>
        <v>3</v>
      </c>
      <c r="N566" s="23" t="n">
        <f>MIN(L566,J566)</f>
        <v>3</v>
      </c>
      <c r="O566" s="25" t="n">
        <f>IF(K566=0,0,MIN(1,J566/K566))</f>
        <v>1</v>
      </c>
      <c r="P566" s="23" t="n">
        <f>IF(J566&gt;0,MAX(K566-J566,0),0)</f>
        <v>0</v>
      </c>
      <c r="Q566" s="23" t="n">
        <f>IF(J566=0,K566,0)</f>
        <v>0</v>
      </c>
      <c r="R566" s="23" t="n">
        <f>MAX(J566-K566,0)</f>
        <v>0</v>
      </c>
      <c r="S566" s="23" t="n">
        <f>IF(J566&gt;0,MAX(L566-J566,0),L566)</f>
        <v>0</v>
      </c>
    </row>
    <row r="567">
      <c r="A567" s="19" t="str">
        <v>捷克区</v>
      </c>
      <c r="B567" s="19" t="str">
        <v>布拉格2号仓</v>
      </c>
      <c r="C567" s="19" t="str">
        <v>入库组</v>
      </c>
      <c r="D567" s="21" t="n">
        <v>46203</v>
      </c>
      <c r="E567" s="19" t="str">
        <v>2026-06</v>
      </c>
      <c r="F567" s="19" t="str">
        <v>操作员</v>
      </c>
      <c r="G567" s="19" t="str">
        <v>捷克区07:00-15:30 / CZ 07:00-15:30</v>
      </c>
      <c r="H567" s="23" t="n">
        <v>3</v>
      </c>
      <c r="I567" s="23" t="n">
        <v>0</v>
      </c>
      <c r="J567" s="23" t="n">
        <f>H567+I567</f>
        <v>3</v>
      </c>
      <c r="K567" s="23" t="n">
        <v>3</v>
      </c>
      <c r="L567" s="23" t="n">
        <v>3</v>
      </c>
      <c r="M567" s="23" t="n">
        <f>MIN(K567,J567)</f>
        <v>3</v>
      </c>
      <c r="N567" s="23" t="n">
        <f>MIN(L567,J567)</f>
        <v>3</v>
      </c>
      <c r="O567" s="25" t="n">
        <f>IF(K567=0,0,MIN(1,J567/K567))</f>
        <v>1</v>
      </c>
      <c r="P567" s="23" t="n">
        <f>IF(J567&gt;0,MAX(K567-J567,0),0)</f>
        <v>0</v>
      </c>
      <c r="Q567" s="23" t="n">
        <f>IF(J567=0,K567,0)</f>
        <v>0</v>
      </c>
      <c r="R567" s="23" t="n">
        <f>MAX(J567-K567,0)</f>
        <v>0</v>
      </c>
      <c r="S567" s="23" t="n">
        <f>IF(J567&gt;0,MAX(L567-J567,0),L567)</f>
        <v>0</v>
      </c>
    </row>
    <row r="568">
      <c r="A568" s="19" t="str">
        <v>捷克区</v>
      </c>
      <c r="B568" s="19" t="str">
        <v>布拉格2号仓</v>
      </c>
      <c r="C568" s="19" t="str">
        <v>包装组</v>
      </c>
      <c r="D568" s="21" t="n">
        <v>46185</v>
      </c>
      <c r="E568" s="19" t="str">
        <v>2026-06</v>
      </c>
      <c r="F568" s="19" t="str">
        <v>操作员</v>
      </c>
      <c r="G568" s="19" t="str">
        <v>捷克区07:00-15:30 / CZ 07:00-15:30</v>
      </c>
      <c r="H568" s="23" t="n">
        <v>1</v>
      </c>
      <c r="I568" s="23" t="n">
        <v>0</v>
      </c>
      <c r="J568" s="23" t="n">
        <f>H568+I568</f>
        <v>1</v>
      </c>
      <c r="K568" s="23" t="n">
        <v>1</v>
      </c>
      <c r="L568" s="23" t="n">
        <v>0</v>
      </c>
      <c r="M568" s="23" t="n">
        <f>MIN(K568,J568)</f>
        <v>1</v>
      </c>
      <c r="N568" s="23" t="n">
        <f>MIN(L568,J568)</f>
        <v>0</v>
      </c>
      <c r="O568" s="25" t="n">
        <f>IF(K568=0,0,MIN(1,J568/K568))</f>
        <v>1</v>
      </c>
      <c r="P568" s="23" t="n">
        <f>IF(J568&gt;0,MAX(K568-J568,0),0)</f>
        <v>0</v>
      </c>
      <c r="Q568" s="23" t="n">
        <f>IF(J568=0,K568,0)</f>
        <v>0</v>
      </c>
      <c r="R568" s="23" t="n">
        <f>MAX(J568-K568,0)</f>
        <v>0</v>
      </c>
      <c r="S568" s="23" t="n">
        <f>IF(J568&gt;0,MAX(L568-J568,0),L568)</f>
        <v>0</v>
      </c>
    </row>
    <row r="569">
      <c r="A569" s="19" t="str">
        <v>捷克区</v>
      </c>
      <c r="B569" s="19" t="str">
        <v>布拉格2号仓</v>
      </c>
      <c r="C569" s="19" t="str">
        <v>包装组</v>
      </c>
      <c r="D569" s="21" t="n">
        <v>46186</v>
      </c>
      <c r="E569" s="19" t="str">
        <v>2026-06</v>
      </c>
      <c r="F569" s="19" t="str">
        <v>操作员</v>
      </c>
      <c r="G569" s="19" t="str">
        <v>捷克区07:00-15:30 / CZ 07:00-15:30</v>
      </c>
      <c r="H569" s="23" t="n">
        <v>1</v>
      </c>
      <c r="I569" s="23" t="n">
        <v>0</v>
      </c>
      <c r="J569" s="23" t="n">
        <f>H569+I569</f>
        <v>1</v>
      </c>
      <c r="K569" s="23" t="n">
        <v>1</v>
      </c>
      <c r="L569" s="23" t="n">
        <v>0</v>
      </c>
      <c r="M569" s="23" t="n">
        <f>MIN(K569,J569)</f>
        <v>1</v>
      </c>
      <c r="N569" s="23" t="n">
        <f>MIN(L569,J569)</f>
        <v>0</v>
      </c>
      <c r="O569" s="25" t="n">
        <f>IF(K569=0,0,MIN(1,J569/K569))</f>
        <v>1</v>
      </c>
      <c r="P569" s="23" t="n">
        <f>IF(J569&gt;0,MAX(K569-J569,0),0)</f>
        <v>0</v>
      </c>
      <c r="Q569" s="23" t="n">
        <f>IF(J569=0,K569,0)</f>
        <v>0</v>
      </c>
      <c r="R569" s="23" t="n">
        <f>MAX(J569-K569,0)</f>
        <v>0</v>
      </c>
      <c r="S569" s="23" t="n">
        <f>IF(J569&gt;0,MAX(L569-J569,0),L569)</f>
        <v>0</v>
      </c>
    </row>
    <row r="570">
      <c r="A570" s="19" t="str">
        <v>捷克区</v>
      </c>
      <c r="B570" s="19" t="str">
        <v>布拉格2号仓</v>
      </c>
      <c r="C570" s="19" t="str">
        <v>包装组</v>
      </c>
      <c r="D570" s="21" t="n">
        <v>46187</v>
      </c>
      <c r="E570" s="19" t="str">
        <v>2026-06</v>
      </c>
      <c r="F570" s="19" t="str">
        <v>操作员</v>
      </c>
      <c r="G570" s="19" t="str">
        <v>捷克区07:00-15:30 / CZ 07:00-15:30</v>
      </c>
      <c r="H570" s="23" t="n">
        <v>1</v>
      </c>
      <c r="I570" s="23" t="n">
        <v>0</v>
      </c>
      <c r="J570" s="23" t="n">
        <f>H570+I570</f>
        <v>1</v>
      </c>
      <c r="K570" s="23" t="n">
        <v>1</v>
      </c>
      <c r="L570" s="23" t="n">
        <v>0</v>
      </c>
      <c r="M570" s="23" t="n">
        <f>MIN(K570,J570)</f>
        <v>1</v>
      </c>
      <c r="N570" s="23" t="n">
        <f>MIN(L570,J570)</f>
        <v>0</v>
      </c>
      <c r="O570" s="25" t="n">
        <f>IF(K570=0,0,MIN(1,J570/K570))</f>
        <v>1</v>
      </c>
      <c r="P570" s="23" t="n">
        <f>IF(J570&gt;0,MAX(K570-J570,0),0)</f>
        <v>0</v>
      </c>
      <c r="Q570" s="23" t="n">
        <f>IF(J570=0,K570,0)</f>
        <v>0</v>
      </c>
      <c r="R570" s="23" t="n">
        <f>MAX(J570-K570,0)</f>
        <v>0</v>
      </c>
      <c r="S570" s="23" t="n">
        <f>IF(J570&gt;0,MAX(L570-J570,0),L570)</f>
        <v>0</v>
      </c>
    </row>
    <row r="571">
      <c r="A571" s="19" t="str">
        <v>捷克区</v>
      </c>
      <c r="B571" s="19" t="str">
        <v>布拉格2号仓</v>
      </c>
      <c r="C571" s="19" t="str">
        <v>包装组</v>
      </c>
      <c r="D571" s="21" t="n">
        <v>46188</v>
      </c>
      <c r="E571" s="19" t="str">
        <v>2026-06</v>
      </c>
      <c r="F571" s="19" t="str">
        <v>操作员</v>
      </c>
      <c r="G571" s="19" t="str">
        <v>捷克区07:00-15:30 / CZ 07:00-15:30</v>
      </c>
      <c r="H571" s="23" t="n">
        <v>1</v>
      </c>
      <c r="I571" s="23" t="n">
        <v>0</v>
      </c>
      <c r="J571" s="23" t="n">
        <f>H571+I571</f>
        <v>1</v>
      </c>
      <c r="K571" s="23" t="n">
        <v>1</v>
      </c>
      <c r="L571" s="23" t="n">
        <v>0</v>
      </c>
      <c r="M571" s="23" t="n">
        <f>MIN(K571,J571)</f>
        <v>1</v>
      </c>
      <c r="N571" s="23" t="n">
        <f>MIN(L571,J571)</f>
        <v>0</v>
      </c>
      <c r="O571" s="25" t="n">
        <f>IF(K571=0,0,MIN(1,J571/K571))</f>
        <v>1</v>
      </c>
      <c r="P571" s="23" t="n">
        <f>IF(J571&gt;0,MAX(K571-J571,0),0)</f>
        <v>0</v>
      </c>
      <c r="Q571" s="23" t="n">
        <f>IF(J571=0,K571,0)</f>
        <v>0</v>
      </c>
      <c r="R571" s="23" t="n">
        <f>MAX(J571-K571,0)</f>
        <v>0</v>
      </c>
      <c r="S571" s="23" t="n">
        <f>IF(J571&gt;0,MAX(L571-J571,0),L571)</f>
        <v>0</v>
      </c>
    </row>
    <row r="572">
      <c r="A572" s="19" t="str">
        <v>捷克区</v>
      </c>
      <c r="B572" s="19" t="str">
        <v>布拉格2号仓</v>
      </c>
      <c r="C572" s="19" t="str">
        <v>包装组</v>
      </c>
      <c r="D572" s="21" t="n">
        <v>46189</v>
      </c>
      <c r="E572" s="19" t="str">
        <v>2026-06</v>
      </c>
      <c r="F572" s="19" t="str">
        <v>操作员</v>
      </c>
      <c r="G572" s="19" t="str">
        <v>捷克区07:00-15:30 / CZ 07:00-15:30</v>
      </c>
      <c r="H572" s="23" t="n">
        <v>1</v>
      </c>
      <c r="I572" s="23" t="n">
        <v>0</v>
      </c>
      <c r="J572" s="23" t="n">
        <f>H572+I572</f>
        <v>1</v>
      </c>
      <c r="K572" s="23" t="n">
        <v>1</v>
      </c>
      <c r="L572" s="23" t="n">
        <v>0</v>
      </c>
      <c r="M572" s="23" t="n">
        <f>MIN(K572,J572)</f>
        <v>1</v>
      </c>
      <c r="N572" s="23" t="n">
        <f>MIN(L572,J572)</f>
        <v>0</v>
      </c>
      <c r="O572" s="25" t="n">
        <f>IF(K572=0,0,MIN(1,J572/K572))</f>
        <v>1</v>
      </c>
      <c r="P572" s="23" t="n">
        <f>IF(J572&gt;0,MAX(K572-J572,0),0)</f>
        <v>0</v>
      </c>
      <c r="Q572" s="23" t="n">
        <f>IF(J572=0,K572,0)</f>
        <v>0</v>
      </c>
      <c r="R572" s="23" t="n">
        <f>MAX(J572-K572,0)</f>
        <v>0</v>
      </c>
      <c r="S572" s="23" t="n">
        <f>IF(J572&gt;0,MAX(L572-J572,0),L572)</f>
        <v>0</v>
      </c>
    </row>
    <row r="573">
      <c r="A573" s="19" t="str">
        <v>捷克区</v>
      </c>
      <c r="B573" s="19" t="str">
        <v>布拉格2号仓</v>
      </c>
      <c r="C573" s="19" t="str">
        <v>包装组</v>
      </c>
      <c r="D573" s="21" t="n">
        <v>46190</v>
      </c>
      <c r="E573" s="19" t="str">
        <v>2026-06</v>
      </c>
      <c r="F573" s="19" t="str">
        <v>操作员</v>
      </c>
      <c r="G573" s="19" t="str">
        <v>捷克区07:00-15:30 / CZ 07:00-15:30</v>
      </c>
      <c r="H573" s="23" t="n">
        <v>1</v>
      </c>
      <c r="I573" s="23" t="n">
        <v>0</v>
      </c>
      <c r="J573" s="23" t="n">
        <f>H573+I573</f>
        <v>1</v>
      </c>
      <c r="K573" s="23" t="n">
        <v>1</v>
      </c>
      <c r="L573" s="23" t="n">
        <v>0</v>
      </c>
      <c r="M573" s="23" t="n">
        <f>MIN(K573,J573)</f>
        <v>1</v>
      </c>
      <c r="N573" s="23" t="n">
        <f>MIN(L573,J573)</f>
        <v>0</v>
      </c>
      <c r="O573" s="25" t="n">
        <f>IF(K573=0,0,MIN(1,J573/K573))</f>
        <v>1</v>
      </c>
      <c r="P573" s="23" t="n">
        <f>IF(J573&gt;0,MAX(K573-J573,0),0)</f>
        <v>0</v>
      </c>
      <c r="Q573" s="23" t="n">
        <f>IF(J573=0,K573,0)</f>
        <v>0</v>
      </c>
      <c r="R573" s="23" t="n">
        <f>MAX(J573-K573,0)</f>
        <v>0</v>
      </c>
      <c r="S573" s="23" t="n">
        <f>IF(J573&gt;0,MAX(L573-J573,0),L573)</f>
        <v>0</v>
      </c>
    </row>
    <row r="574">
      <c r="A574" s="19" t="str">
        <v>捷克区</v>
      </c>
      <c r="B574" s="19" t="str">
        <v>布拉格2号仓</v>
      </c>
      <c r="C574" s="19" t="str">
        <v>包装组</v>
      </c>
      <c r="D574" s="21" t="n">
        <v>46191</v>
      </c>
      <c r="E574" s="19" t="str">
        <v>2026-06</v>
      </c>
      <c r="F574" s="19" t="str">
        <v>操作员</v>
      </c>
      <c r="G574" s="19" t="str">
        <v>捷克区07:00-15:30 / CZ 07:00-15:30</v>
      </c>
      <c r="H574" s="23" t="n">
        <v>1</v>
      </c>
      <c r="I574" s="23" t="n">
        <v>0</v>
      </c>
      <c r="J574" s="23" t="n">
        <f>H574+I574</f>
        <v>1</v>
      </c>
      <c r="K574" s="23" t="n">
        <v>1</v>
      </c>
      <c r="L574" s="23" t="n">
        <v>0</v>
      </c>
      <c r="M574" s="23" t="n">
        <f>MIN(K574,J574)</f>
        <v>1</v>
      </c>
      <c r="N574" s="23" t="n">
        <f>MIN(L574,J574)</f>
        <v>0</v>
      </c>
      <c r="O574" s="25" t="n">
        <f>IF(K574=0,0,MIN(1,J574/K574))</f>
        <v>1</v>
      </c>
      <c r="P574" s="23" t="n">
        <f>IF(J574&gt;0,MAX(K574-J574,0),0)</f>
        <v>0</v>
      </c>
      <c r="Q574" s="23" t="n">
        <f>IF(J574=0,K574,0)</f>
        <v>0</v>
      </c>
      <c r="R574" s="23" t="n">
        <f>MAX(J574-K574,0)</f>
        <v>0</v>
      </c>
      <c r="S574" s="23" t="n">
        <f>IF(J574&gt;0,MAX(L574-J574,0),L574)</f>
        <v>0</v>
      </c>
    </row>
    <row r="575">
      <c r="A575" s="19" t="str">
        <v>捷克区</v>
      </c>
      <c r="B575" s="19" t="str">
        <v>布拉格2号仓</v>
      </c>
      <c r="C575" s="19" t="str">
        <v>包装组</v>
      </c>
      <c r="D575" s="21" t="n">
        <v>46192</v>
      </c>
      <c r="E575" s="19" t="str">
        <v>2026-06</v>
      </c>
      <c r="F575" s="19" t="str">
        <v>操作员</v>
      </c>
      <c r="G575" s="19" t="str">
        <v>捷克区07:00-15:30 / CZ 07:00-15:30</v>
      </c>
      <c r="H575" s="23" t="n">
        <v>1</v>
      </c>
      <c r="I575" s="23" t="n">
        <v>0</v>
      </c>
      <c r="J575" s="23" t="n">
        <f>H575+I575</f>
        <v>1</v>
      </c>
      <c r="K575" s="23" t="n">
        <v>1</v>
      </c>
      <c r="L575" s="23" t="n">
        <v>0</v>
      </c>
      <c r="M575" s="23" t="n">
        <f>MIN(K575,J575)</f>
        <v>1</v>
      </c>
      <c r="N575" s="23" t="n">
        <f>MIN(L575,J575)</f>
        <v>0</v>
      </c>
      <c r="O575" s="25" t="n">
        <f>IF(K575=0,0,MIN(1,J575/K575))</f>
        <v>1</v>
      </c>
      <c r="P575" s="23" t="n">
        <f>IF(J575&gt;0,MAX(K575-J575,0),0)</f>
        <v>0</v>
      </c>
      <c r="Q575" s="23" t="n">
        <f>IF(J575=0,K575,0)</f>
        <v>0</v>
      </c>
      <c r="R575" s="23" t="n">
        <f>MAX(J575-K575,0)</f>
        <v>0</v>
      </c>
      <c r="S575" s="23" t="n">
        <f>IF(J575&gt;0,MAX(L575-J575,0),L575)</f>
        <v>0</v>
      </c>
    </row>
    <row r="576">
      <c r="A576" s="19" t="str">
        <v>捷克区</v>
      </c>
      <c r="B576" s="19" t="str">
        <v>布拉格2号仓</v>
      </c>
      <c r="C576" s="19" t="str">
        <v>拣货组</v>
      </c>
      <c r="D576" s="21" t="n">
        <v>46163</v>
      </c>
      <c r="E576" s="19" t="str">
        <v>2026-05</v>
      </c>
      <c r="F576" s="19" t="str">
        <v>叉车司机</v>
      </c>
      <c r="G576" s="19" t="str">
        <v>捷克区07:00-15:30 / CZ 07:00-15:30</v>
      </c>
      <c r="H576" s="23" t="n">
        <v>1</v>
      </c>
      <c r="I576" s="23" t="n">
        <v>0</v>
      </c>
      <c r="J576" s="23" t="n">
        <f>H576+I576</f>
        <v>1</v>
      </c>
      <c r="K576" s="23" t="n">
        <v>1</v>
      </c>
      <c r="L576" s="23" t="n">
        <v>0</v>
      </c>
      <c r="M576" s="23" t="n">
        <f>MIN(K576,J576)</f>
        <v>1</v>
      </c>
      <c r="N576" s="23" t="n">
        <f>MIN(L576,J576)</f>
        <v>0</v>
      </c>
      <c r="O576" s="25" t="n">
        <f>IF(K576=0,0,MIN(1,J576/K576))</f>
        <v>1</v>
      </c>
      <c r="P576" s="23" t="n">
        <f>IF(J576&gt;0,MAX(K576-J576,0),0)</f>
        <v>0</v>
      </c>
      <c r="Q576" s="23" t="n">
        <f>IF(J576=0,K576,0)</f>
        <v>0</v>
      </c>
      <c r="R576" s="23" t="n">
        <f>MAX(J576-K576,0)</f>
        <v>0</v>
      </c>
      <c r="S576" s="23" t="n">
        <f>IF(J576&gt;0,MAX(L576-J576,0),L576)</f>
        <v>0</v>
      </c>
    </row>
    <row r="577">
      <c r="A577" s="19" t="str">
        <v>捷克区</v>
      </c>
      <c r="B577" s="19" t="str">
        <v>布拉格2号仓</v>
      </c>
      <c r="C577" s="19" t="str">
        <v>拣货组</v>
      </c>
      <c r="D577" s="21" t="n">
        <v>46164</v>
      </c>
      <c r="E577" s="19" t="str">
        <v>2026-05</v>
      </c>
      <c r="F577" s="19" t="str">
        <v>叉车司机</v>
      </c>
      <c r="G577" s="19" t="str">
        <v>捷克区07:00-15:30 / CZ 07:00-15:30</v>
      </c>
      <c r="H577" s="23" t="n">
        <v>1</v>
      </c>
      <c r="I577" s="23" t="n">
        <v>0</v>
      </c>
      <c r="J577" s="23" t="n">
        <f>H577+I577</f>
        <v>1</v>
      </c>
      <c r="K577" s="23" t="n">
        <v>1</v>
      </c>
      <c r="L577" s="23" t="n">
        <v>0</v>
      </c>
      <c r="M577" s="23" t="n">
        <f>MIN(K577,J577)</f>
        <v>1</v>
      </c>
      <c r="N577" s="23" t="n">
        <f>MIN(L577,J577)</f>
        <v>0</v>
      </c>
      <c r="O577" s="25" t="n">
        <f>IF(K577=0,0,MIN(1,J577/K577))</f>
        <v>1</v>
      </c>
      <c r="P577" s="23" t="n">
        <f>IF(J577&gt;0,MAX(K577-J577,0),0)</f>
        <v>0</v>
      </c>
      <c r="Q577" s="23" t="n">
        <f>IF(J577=0,K577,0)</f>
        <v>0</v>
      </c>
      <c r="R577" s="23" t="n">
        <f>MAX(J577-K577,0)</f>
        <v>0</v>
      </c>
      <c r="S577" s="23" t="n">
        <f>IF(J577&gt;0,MAX(L577-J577,0),L577)</f>
        <v>0</v>
      </c>
    </row>
    <row r="578">
      <c r="A578" s="19" t="str">
        <v>捷克区</v>
      </c>
      <c r="B578" s="19" t="str">
        <v>布拉格2号仓</v>
      </c>
      <c r="C578" s="19" t="str">
        <v>拣货组</v>
      </c>
      <c r="D578" s="21" t="n">
        <v>46165</v>
      </c>
      <c r="E578" s="19" t="str">
        <v>2026-05</v>
      </c>
      <c r="F578" s="19" t="str">
        <v>叉车司机</v>
      </c>
      <c r="G578" s="19" t="str">
        <v>捷克区07:00-15:30 / CZ 07:00-15:30</v>
      </c>
      <c r="H578" s="23" t="n">
        <v>1</v>
      </c>
      <c r="I578" s="23" t="n">
        <v>0</v>
      </c>
      <c r="J578" s="23" t="n">
        <f>H578+I578</f>
        <v>1</v>
      </c>
      <c r="K578" s="23" t="n">
        <v>1</v>
      </c>
      <c r="L578" s="23" t="n">
        <v>0</v>
      </c>
      <c r="M578" s="23" t="n">
        <f>MIN(K578,J578)</f>
        <v>1</v>
      </c>
      <c r="N578" s="23" t="n">
        <f>MIN(L578,J578)</f>
        <v>0</v>
      </c>
      <c r="O578" s="25" t="n">
        <f>IF(K578=0,0,MIN(1,J578/K578))</f>
        <v>1</v>
      </c>
      <c r="P578" s="23" t="n">
        <f>IF(J578&gt;0,MAX(K578-J578,0),0)</f>
        <v>0</v>
      </c>
      <c r="Q578" s="23" t="n">
        <f>IF(J578=0,K578,0)</f>
        <v>0</v>
      </c>
      <c r="R578" s="23" t="n">
        <f>MAX(J578-K578,0)</f>
        <v>0</v>
      </c>
      <c r="S578" s="23" t="n">
        <f>IF(J578&gt;0,MAX(L578-J578,0),L578)</f>
        <v>0</v>
      </c>
    </row>
    <row r="579">
      <c r="A579" s="19" t="str">
        <v>捷克区</v>
      </c>
      <c r="B579" s="19" t="str">
        <v>布拉格2号仓</v>
      </c>
      <c r="C579" s="19" t="str">
        <v>拣货组</v>
      </c>
      <c r="D579" s="21" t="n">
        <v>46166</v>
      </c>
      <c r="E579" s="19" t="str">
        <v>2026-05</v>
      </c>
      <c r="F579" s="19" t="str">
        <v>叉车司机</v>
      </c>
      <c r="G579" s="19" t="str">
        <v>捷克区07:00-15:30 / CZ 07:00-15:30</v>
      </c>
      <c r="H579" s="23" t="n">
        <v>1</v>
      </c>
      <c r="I579" s="23" t="n">
        <v>0</v>
      </c>
      <c r="J579" s="23" t="n">
        <f>H579+I579</f>
        <v>1</v>
      </c>
      <c r="K579" s="23" t="n">
        <v>1</v>
      </c>
      <c r="L579" s="23" t="n">
        <v>0</v>
      </c>
      <c r="M579" s="23" t="n">
        <f>MIN(K579,J579)</f>
        <v>1</v>
      </c>
      <c r="N579" s="23" t="n">
        <f>MIN(L579,J579)</f>
        <v>0</v>
      </c>
      <c r="O579" s="25" t="n">
        <f>IF(K579=0,0,MIN(1,J579/K579))</f>
        <v>1</v>
      </c>
      <c r="P579" s="23" t="n">
        <f>IF(J579&gt;0,MAX(K579-J579,0),0)</f>
        <v>0</v>
      </c>
      <c r="Q579" s="23" t="n">
        <f>IF(J579=0,K579,0)</f>
        <v>0</v>
      </c>
      <c r="R579" s="23" t="n">
        <f>MAX(J579-K579,0)</f>
        <v>0</v>
      </c>
      <c r="S579" s="23" t="n">
        <f>IF(J579&gt;0,MAX(L579-J579,0),L579)</f>
        <v>0</v>
      </c>
    </row>
    <row r="580">
      <c r="A580" s="19" t="str">
        <v>捷克区</v>
      </c>
      <c r="B580" s="19" t="str">
        <v>布拉格2号仓</v>
      </c>
      <c r="C580" s="19" t="str">
        <v>拣货组</v>
      </c>
      <c r="D580" s="21" t="n">
        <v>46167</v>
      </c>
      <c r="E580" s="19" t="str">
        <v>2026-05</v>
      </c>
      <c r="F580" s="19" t="str">
        <v>叉车司机</v>
      </c>
      <c r="G580" s="19" t="str">
        <v>捷克区07:00-15:30 / CZ 07:00-15:30</v>
      </c>
      <c r="H580" s="23" t="n">
        <v>1</v>
      </c>
      <c r="I580" s="23" t="n">
        <v>0</v>
      </c>
      <c r="J580" s="23" t="n">
        <f>H580+I580</f>
        <v>1</v>
      </c>
      <c r="K580" s="23" t="n">
        <v>1</v>
      </c>
      <c r="L580" s="23" t="n">
        <v>0</v>
      </c>
      <c r="M580" s="23" t="n">
        <f>MIN(K580,J580)</f>
        <v>1</v>
      </c>
      <c r="N580" s="23" t="n">
        <f>MIN(L580,J580)</f>
        <v>0</v>
      </c>
      <c r="O580" s="25" t="n">
        <f>IF(K580=0,0,MIN(1,J580/K580))</f>
        <v>1</v>
      </c>
      <c r="P580" s="23" t="n">
        <f>IF(J580&gt;0,MAX(K580-J580,0),0)</f>
        <v>0</v>
      </c>
      <c r="Q580" s="23" t="n">
        <f>IF(J580=0,K580,0)</f>
        <v>0</v>
      </c>
      <c r="R580" s="23" t="n">
        <f>MAX(J580-K580,0)</f>
        <v>0</v>
      </c>
      <c r="S580" s="23" t="n">
        <f>IF(J580&gt;0,MAX(L580-J580,0),L580)</f>
        <v>0</v>
      </c>
    </row>
    <row r="581">
      <c r="A581" s="19" t="str">
        <v>捷克区</v>
      </c>
      <c r="B581" s="19" t="str">
        <v>布拉格2号仓</v>
      </c>
      <c r="C581" s="19" t="str">
        <v>拣货组</v>
      </c>
      <c r="D581" s="21" t="n">
        <v>46168</v>
      </c>
      <c r="E581" s="19" t="str">
        <v>2026-05</v>
      </c>
      <c r="F581" s="19" t="str">
        <v>叉车司机</v>
      </c>
      <c r="G581" s="19" t="str">
        <v>捷克区07:00-15:30 / CZ 07:00-15:30</v>
      </c>
      <c r="H581" s="23" t="n">
        <v>3</v>
      </c>
      <c r="I581" s="23" t="n">
        <v>0</v>
      </c>
      <c r="J581" s="23" t="n">
        <f>H581+I581</f>
        <v>3</v>
      </c>
      <c r="K581" s="23" t="n">
        <v>3</v>
      </c>
      <c r="L581" s="23" t="n">
        <v>0</v>
      </c>
      <c r="M581" s="23" t="n">
        <f>MIN(K581,J581)</f>
        <v>3</v>
      </c>
      <c r="N581" s="23" t="n">
        <f>MIN(L581,J581)</f>
        <v>0</v>
      </c>
      <c r="O581" s="25" t="n">
        <f>IF(K581=0,0,MIN(1,J581/K581))</f>
        <v>1</v>
      </c>
      <c r="P581" s="23" t="n">
        <f>IF(J581&gt;0,MAX(K581-J581,0),0)</f>
        <v>0</v>
      </c>
      <c r="Q581" s="23" t="n">
        <f>IF(J581=0,K581,0)</f>
        <v>0</v>
      </c>
      <c r="R581" s="23" t="n">
        <f>MAX(J581-K581,0)</f>
        <v>0</v>
      </c>
      <c r="S581" s="23" t="n">
        <f>IF(J581&gt;0,MAX(L581-J581,0),L581)</f>
        <v>0</v>
      </c>
    </row>
    <row r="582">
      <c r="A582" s="19" t="str">
        <v>捷克区</v>
      </c>
      <c r="B582" s="19" t="str">
        <v>布拉格2号仓</v>
      </c>
      <c r="C582" s="19" t="str">
        <v>拣货组</v>
      </c>
      <c r="D582" s="21" t="n">
        <v>46169</v>
      </c>
      <c r="E582" s="19" t="str">
        <v>2026-05</v>
      </c>
      <c r="F582" s="19" t="str">
        <v>叉车司机</v>
      </c>
      <c r="G582" s="19" t="str">
        <v>捷克区07:00-15:30 / CZ 07:00-15:30</v>
      </c>
      <c r="H582" s="23" t="n">
        <v>3</v>
      </c>
      <c r="I582" s="23" t="n">
        <v>0</v>
      </c>
      <c r="J582" s="23" t="n">
        <f>H582+I582</f>
        <v>3</v>
      </c>
      <c r="K582" s="23" t="n">
        <v>3</v>
      </c>
      <c r="L582" s="23" t="n">
        <v>0</v>
      </c>
      <c r="M582" s="23" t="n">
        <f>MIN(K582,J582)</f>
        <v>3</v>
      </c>
      <c r="N582" s="23" t="n">
        <f>MIN(L582,J582)</f>
        <v>0</v>
      </c>
      <c r="O582" s="25" t="n">
        <f>IF(K582=0,0,MIN(1,J582/K582))</f>
        <v>1</v>
      </c>
      <c r="P582" s="23" t="n">
        <f>IF(J582&gt;0,MAX(K582-J582,0),0)</f>
        <v>0</v>
      </c>
      <c r="Q582" s="23" t="n">
        <f>IF(J582=0,K582,0)</f>
        <v>0</v>
      </c>
      <c r="R582" s="23" t="n">
        <f>MAX(J582-K582,0)</f>
        <v>0</v>
      </c>
      <c r="S582" s="23" t="n">
        <f>IF(J582&gt;0,MAX(L582-J582,0),L582)</f>
        <v>0</v>
      </c>
    </row>
    <row r="583">
      <c r="A583" s="19" t="str">
        <v>捷克区</v>
      </c>
      <c r="B583" s="19" t="str">
        <v>布拉格2号仓</v>
      </c>
      <c r="C583" s="19" t="str">
        <v>拣货组</v>
      </c>
      <c r="D583" s="21" t="n">
        <v>46170</v>
      </c>
      <c r="E583" s="19" t="str">
        <v>2026-05</v>
      </c>
      <c r="F583" s="19" t="str">
        <v>叉车司机</v>
      </c>
      <c r="G583" s="19" t="str">
        <v>捷克区07:00-15:30 / CZ 07:00-15:30</v>
      </c>
      <c r="H583" s="23" t="n">
        <v>3</v>
      </c>
      <c r="I583" s="23" t="n">
        <v>0</v>
      </c>
      <c r="J583" s="23" t="n">
        <f>H583+I583</f>
        <v>3</v>
      </c>
      <c r="K583" s="23" t="n">
        <v>3</v>
      </c>
      <c r="L583" s="23" t="n">
        <v>0</v>
      </c>
      <c r="M583" s="23" t="n">
        <f>MIN(K583,J583)</f>
        <v>3</v>
      </c>
      <c r="N583" s="23" t="n">
        <f>MIN(L583,J583)</f>
        <v>0</v>
      </c>
      <c r="O583" s="25" t="n">
        <f>IF(K583=0,0,MIN(1,J583/K583))</f>
        <v>1</v>
      </c>
      <c r="P583" s="23" t="n">
        <f>IF(J583&gt;0,MAX(K583-J583,0),0)</f>
        <v>0</v>
      </c>
      <c r="Q583" s="23" t="n">
        <f>IF(J583=0,K583,0)</f>
        <v>0</v>
      </c>
      <c r="R583" s="23" t="n">
        <f>MAX(J583-K583,0)</f>
        <v>0</v>
      </c>
      <c r="S583" s="23" t="n">
        <f>IF(J583&gt;0,MAX(L583-J583,0),L583)</f>
        <v>0</v>
      </c>
    </row>
    <row r="584">
      <c r="A584" s="19" t="str">
        <v>捷克区</v>
      </c>
      <c r="B584" s="19" t="str">
        <v>布拉格2号仓</v>
      </c>
      <c r="C584" s="19" t="str">
        <v>拣货组</v>
      </c>
      <c r="D584" s="21" t="n">
        <v>46171</v>
      </c>
      <c r="E584" s="19" t="str">
        <v>2026-05</v>
      </c>
      <c r="F584" s="19" t="str">
        <v>叉车司机</v>
      </c>
      <c r="G584" s="19" t="str">
        <v>捷克区07:00-15:30 / CZ 07:00-15:30</v>
      </c>
      <c r="H584" s="23" t="n">
        <v>2</v>
      </c>
      <c r="I584" s="23" t="n">
        <v>0</v>
      </c>
      <c r="J584" s="23" t="n">
        <f>H584+I584</f>
        <v>2</v>
      </c>
      <c r="K584" s="23" t="n">
        <v>2</v>
      </c>
      <c r="L584" s="23" t="n">
        <v>0</v>
      </c>
      <c r="M584" s="23" t="n">
        <f>MIN(K584,J584)</f>
        <v>2</v>
      </c>
      <c r="N584" s="23" t="n">
        <f>MIN(L584,J584)</f>
        <v>0</v>
      </c>
      <c r="O584" s="25" t="n">
        <f>IF(K584=0,0,MIN(1,J584/K584))</f>
        <v>1</v>
      </c>
      <c r="P584" s="23" t="n">
        <f>IF(J584&gt;0,MAX(K584-J584,0),0)</f>
        <v>0</v>
      </c>
      <c r="Q584" s="23" t="n">
        <f>IF(J584=0,K584,0)</f>
        <v>0</v>
      </c>
      <c r="R584" s="23" t="n">
        <f>MAX(J584-K584,0)</f>
        <v>0</v>
      </c>
      <c r="S584" s="23" t="n">
        <f>IF(J584&gt;0,MAX(L584-J584,0),L584)</f>
        <v>0</v>
      </c>
    </row>
    <row r="585">
      <c r="A585" s="19" t="str">
        <v>捷克区</v>
      </c>
      <c r="B585" s="19" t="str">
        <v>布拉格2号仓</v>
      </c>
      <c r="C585" s="19" t="str">
        <v>拣货组</v>
      </c>
      <c r="D585" s="21" t="n">
        <v>46172</v>
      </c>
      <c r="E585" s="19" t="str">
        <v>2026-05</v>
      </c>
      <c r="F585" s="19" t="str">
        <v>叉车司机</v>
      </c>
      <c r="G585" s="19" t="str">
        <v>捷克区07:00-15:30 / CZ 07:00-15:30</v>
      </c>
      <c r="H585" s="23" t="n">
        <v>2</v>
      </c>
      <c r="I585" s="23" t="n">
        <v>0</v>
      </c>
      <c r="J585" s="23" t="n">
        <f>H585+I585</f>
        <v>2</v>
      </c>
      <c r="K585" s="23" t="n">
        <v>2</v>
      </c>
      <c r="L585" s="23" t="n">
        <v>0</v>
      </c>
      <c r="M585" s="23" t="n">
        <f>MIN(K585,J585)</f>
        <v>2</v>
      </c>
      <c r="N585" s="23" t="n">
        <f>MIN(L585,J585)</f>
        <v>0</v>
      </c>
      <c r="O585" s="25" t="n">
        <f>IF(K585=0,0,MIN(1,J585/K585))</f>
        <v>1</v>
      </c>
      <c r="P585" s="23" t="n">
        <f>IF(J585&gt;0,MAX(K585-J585,0),0)</f>
        <v>0</v>
      </c>
      <c r="Q585" s="23" t="n">
        <f>IF(J585=0,K585,0)</f>
        <v>0</v>
      </c>
      <c r="R585" s="23" t="n">
        <f>MAX(J585-K585,0)</f>
        <v>0</v>
      </c>
      <c r="S585" s="23" t="n">
        <f>IF(J585&gt;0,MAX(L585-J585,0),L585)</f>
        <v>0</v>
      </c>
    </row>
    <row r="586">
      <c r="A586" s="19" t="str">
        <v>捷克区</v>
      </c>
      <c r="B586" s="19" t="str">
        <v>布拉格2号仓</v>
      </c>
      <c r="C586" s="19" t="str">
        <v>拣货组</v>
      </c>
      <c r="D586" s="21" t="n">
        <v>46173</v>
      </c>
      <c r="E586" s="19" t="str">
        <v>2026-05</v>
      </c>
      <c r="F586" s="19" t="str">
        <v>叉车司机</v>
      </c>
      <c r="G586" s="19" t="str">
        <v>捷克区07:00-15:30 / CZ 07:00-15:30</v>
      </c>
      <c r="H586" s="23" t="n">
        <v>2</v>
      </c>
      <c r="I586" s="23" t="n">
        <v>0</v>
      </c>
      <c r="J586" s="23" t="n">
        <f>H586+I586</f>
        <v>2</v>
      </c>
      <c r="K586" s="23" t="n">
        <v>2</v>
      </c>
      <c r="L586" s="23" t="n">
        <v>0</v>
      </c>
      <c r="M586" s="23" t="n">
        <f>MIN(K586,J586)</f>
        <v>2</v>
      </c>
      <c r="N586" s="23" t="n">
        <f>MIN(L586,J586)</f>
        <v>0</v>
      </c>
      <c r="O586" s="25" t="n">
        <f>IF(K586=0,0,MIN(1,J586/K586))</f>
        <v>1</v>
      </c>
      <c r="P586" s="23" t="n">
        <f>IF(J586&gt;0,MAX(K586-J586,0),0)</f>
        <v>0</v>
      </c>
      <c r="Q586" s="23" t="n">
        <f>IF(J586=0,K586,0)</f>
        <v>0</v>
      </c>
      <c r="R586" s="23" t="n">
        <f>MAX(J586-K586,0)</f>
        <v>0</v>
      </c>
      <c r="S586" s="23" t="n">
        <f>IF(J586&gt;0,MAX(L586-J586,0),L586)</f>
        <v>0</v>
      </c>
    </row>
    <row r="587">
      <c r="A587" s="19" t="str">
        <v>捷克区</v>
      </c>
      <c r="B587" s="19" t="str">
        <v>布拉格2号仓</v>
      </c>
      <c r="C587" s="19" t="str">
        <v>拣货组</v>
      </c>
      <c r="D587" s="21" t="n">
        <v>46174</v>
      </c>
      <c r="E587" s="19" t="str">
        <v>2026-06</v>
      </c>
      <c r="F587" s="19" t="str">
        <v>叉车司机</v>
      </c>
      <c r="G587" s="19" t="str">
        <v>捷克区07:00-15:30 / CZ 07:00-15:30</v>
      </c>
      <c r="H587" s="23" t="n">
        <v>2</v>
      </c>
      <c r="I587" s="23" t="n">
        <v>0</v>
      </c>
      <c r="J587" s="23" t="n">
        <f>H587+I587</f>
        <v>2</v>
      </c>
      <c r="K587" s="23" t="n">
        <v>2</v>
      </c>
      <c r="L587" s="23" t="n">
        <v>0</v>
      </c>
      <c r="M587" s="23" t="n">
        <f>MIN(K587,J587)</f>
        <v>2</v>
      </c>
      <c r="N587" s="23" t="n">
        <f>MIN(L587,J587)</f>
        <v>0</v>
      </c>
      <c r="O587" s="25" t="n">
        <f>IF(K587=0,0,MIN(1,J587/K587))</f>
        <v>1</v>
      </c>
      <c r="P587" s="23" t="n">
        <f>IF(J587&gt;0,MAX(K587-J587,0),0)</f>
        <v>0</v>
      </c>
      <c r="Q587" s="23" t="n">
        <f>IF(J587=0,K587,0)</f>
        <v>0</v>
      </c>
      <c r="R587" s="23" t="n">
        <f>MAX(J587-K587,0)</f>
        <v>0</v>
      </c>
      <c r="S587" s="23" t="n">
        <f>IF(J587&gt;0,MAX(L587-J587,0),L587)</f>
        <v>0</v>
      </c>
    </row>
    <row r="588">
      <c r="A588" s="19" t="str">
        <v>捷克区</v>
      </c>
      <c r="B588" s="19" t="str">
        <v>布拉格2号仓</v>
      </c>
      <c r="C588" s="19" t="str">
        <v>拣货组</v>
      </c>
      <c r="D588" s="21" t="n">
        <v>46175</v>
      </c>
      <c r="E588" s="19" t="str">
        <v>2026-06</v>
      </c>
      <c r="F588" s="19" t="str">
        <v>叉车司机</v>
      </c>
      <c r="G588" s="19" t="str">
        <v>捷克区07:00-15:30 / CZ 07:00-15:30</v>
      </c>
      <c r="H588" s="23" t="n">
        <v>2</v>
      </c>
      <c r="I588" s="23" t="n">
        <v>0</v>
      </c>
      <c r="J588" s="23" t="n">
        <f>H588+I588</f>
        <v>2</v>
      </c>
      <c r="K588" s="23" t="n">
        <v>2</v>
      </c>
      <c r="L588" s="23" t="n">
        <v>2</v>
      </c>
      <c r="M588" s="23" t="n">
        <f>MIN(K588,J588)</f>
        <v>2</v>
      </c>
      <c r="N588" s="23" t="n">
        <f>MIN(L588,J588)</f>
        <v>2</v>
      </c>
      <c r="O588" s="25" t="n">
        <f>IF(K588=0,0,MIN(1,J588/K588))</f>
        <v>1</v>
      </c>
      <c r="P588" s="23" t="n">
        <f>IF(J588&gt;0,MAX(K588-J588,0),0)</f>
        <v>0</v>
      </c>
      <c r="Q588" s="23" t="n">
        <f>IF(J588=0,K588,0)</f>
        <v>0</v>
      </c>
      <c r="R588" s="23" t="n">
        <f>MAX(J588-K588,0)</f>
        <v>0</v>
      </c>
      <c r="S588" s="23" t="n">
        <f>IF(J588&gt;0,MAX(L588-J588,0),L588)</f>
        <v>0</v>
      </c>
    </row>
    <row r="589">
      <c r="A589" s="19" t="str">
        <v>捷克区</v>
      </c>
      <c r="B589" s="19" t="str">
        <v>布拉格2号仓</v>
      </c>
      <c r="C589" s="19" t="str">
        <v>拣货组</v>
      </c>
      <c r="D589" s="21" t="n">
        <v>46177</v>
      </c>
      <c r="E589" s="19" t="str">
        <v>2026-06</v>
      </c>
      <c r="F589" s="19" t="str">
        <v>叉车司机</v>
      </c>
      <c r="G589" s="19" t="str">
        <v>捷克区07:00-15:30 / CZ 07:00-15:30</v>
      </c>
      <c r="H589" s="23" t="n">
        <v>2</v>
      </c>
      <c r="I589" s="23" t="n">
        <v>0</v>
      </c>
      <c r="J589" s="23" t="n">
        <f>H589+I589</f>
        <v>2</v>
      </c>
      <c r="K589" s="23" t="n">
        <v>2</v>
      </c>
      <c r="L589" s="23" t="n">
        <v>0</v>
      </c>
      <c r="M589" s="23" t="n">
        <f>MIN(K589,J589)</f>
        <v>2</v>
      </c>
      <c r="N589" s="23" t="n">
        <f>MIN(L589,J589)</f>
        <v>0</v>
      </c>
      <c r="O589" s="25" t="n">
        <f>IF(K589=0,0,MIN(1,J589/K589))</f>
        <v>1</v>
      </c>
      <c r="P589" s="23" t="n">
        <f>IF(J589&gt;0,MAX(K589-J589,0),0)</f>
        <v>0</v>
      </c>
      <c r="Q589" s="23" t="n">
        <f>IF(J589=0,K589,0)</f>
        <v>0</v>
      </c>
      <c r="R589" s="23" t="n">
        <f>MAX(J589-K589,0)</f>
        <v>0</v>
      </c>
      <c r="S589" s="23" t="n">
        <f>IF(J589&gt;0,MAX(L589-J589,0),L589)</f>
        <v>0</v>
      </c>
    </row>
    <row r="590">
      <c r="A590" s="19" t="str">
        <v>捷克区</v>
      </c>
      <c r="B590" s="19" t="str">
        <v>布拉格2号仓</v>
      </c>
      <c r="C590" s="19" t="str">
        <v>拣货组</v>
      </c>
      <c r="D590" s="21" t="n">
        <v>46178</v>
      </c>
      <c r="E590" s="19" t="str">
        <v>2026-06</v>
      </c>
      <c r="F590" s="19" t="str">
        <v>叉车司机</v>
      </c>
      <c r="G590" s="19" t="str">
        <v>捷克区07:00-15:30 / CZ 07:00-15:30</v>
      </c>
      <c r="H590" s="23" t="n">
        <v>2</v>
      </c>
      <c r="I590" s="23" t="n">
        <v>0</v>
      </c>
      <c r="J590" s="23" t="n">
        <f>H590+I590</f>
        <v>2</v>
      </c>
      <c r="K590" s="23" t="n">
        <v>2</v>
      </c>
      <c r="L590" s="23" t="n">
        <v>0</v>
      </c>
      <c r="M590" s="23" t="n">
        <f>MIN(K590,J590)</f>
        <v>2</v>
      </c>
      <c r="N590" s="23" t="n">
        <f>MIN(L590,J590)</f>
        <v>0</v>
      </c>
      <c r="O590" s="25" t="n">
        <f>IF(K590=0,0,MIN(1,J590/K590))</f>
        <v>1</v>
      </c>
      <c r="P590" s="23" t="n">
        <f>IF(J590&gt;0,MAX(K590-J590,0),0)</f>
        <v>0</v>
      </c>
      <c r="Q590" s="23" t="n">
        <f>IF(J590=0,K590,0)</f>
        <v>0</v>
      </c>
      <c r="R590" s="23" t="n">
        <f>MAX(J590-K590,0)</f>
        <v>0</v>
      </c>
      <c r="S590" s="23" t="n">
        <f>IF(J590&gt;0,MAX(L590-J590,0),L590)</f>
        <v>0</v>
      </c>
    </row>
    <row r="591">
      <c r="A591" s="19" t="str">
        <v>捷克区</v>
      </c>
      <c r="B591" s="19" t="str">
        <v>布拉格2号仓</v>
      </c>
      <c r="C591" s="19" t="str">
        <v>拣货组</v>
      </c>
      <c r="D591" s="21" t="n">
        <v>46179</v>
      </c>
      <c r="E591" s="19" t="str">
        <v>2026-06</v>
      </c>
      <c r="F591" s="19" t="str">
        <v>叉车司机</v>
      </c>
      <c r="G591" s="19" t="str">
        <v>捷克区07:00-15:30 / CZ 07:00-15:30</v>
      </c>
      <c r="H591" s="23" t="n">
        <v>2</v>
      </c>
      <c r="I591" s="23" t="n">
        <v>0</v>
      </c>
      <c r="J591" s="23" t="n">
        <f>H591+I591</f>
        <v>2</v>
      </c>
      <c r="K591" s="23" t="n">
        <v>2</v>
      </c>
      <c r="L591" s="23" t="n">
        <v>0</v>
      </c>
      <c r="M591" s="23" t="n">
        <f>MIN(K591,J591)</f>
        <v>2</v>
      </c>
      <c r="N591" s="23" t="n">
        <f>MIN(L591,J591)</f>
        <v>0</v>
      </c>
      <c r="O591" s="25" t="n">
        <f>IF(K591=0,0,MIN(1,J591/K591))</f>
        <v>1</v>
      </c>
      <c r="P591" s="23" t="n">
        <f>IF(J591&gt;0,MAX(K591-J591,0),0)</f>
        <v>0</v>
      </c>
      <c r="Q591" s="23" t="n">
        <f>IF(J591=0,K591,0)</f>
        <v>0</v>
      </c>
      <c r="R591" s="23" t="n">
        <f>MAX(J591-K591,0)</f>
        <v>0</v>
      </c>
      <c r="S591" s="23" t="n">
        <f>IF(J591&gt;0,MAX(L591-J591,0),L591)</f>
        <v>0</v>
      </c>
    </row>
    <row r="592">
      <c r="A592" s="19" t="str">
        <v>捷克区</v>
      </c>
      <c r="B592" s="19" t="str">
        <v>布拉格2号仓</v>
      </c>
      <c r="C592" s="19" t="str">
        <v>拣货组</v>
      </c>
      <c r="D592" s="21" t="n">
        <v>46180</v>
      </c>
      <c r="E592" s="19" t="str">
        <v>2026-06</v>
      </c>
      <c r="F592" s="19" t="str">
        <v>叉车司机</v>
      </c>
      <c r="G592" s="19" t="str">
        <v>捷克区07:00-15:30 / CZ 07:00-15:30</v>
      </c>
      <c r="H592" s="23" t="n">
        <v>2</v>
      </c>
      <c r="I592" s="23" t="n">
        <v>0</v>
      </c>
      <c r="J592" s="23" t="n">
        <f>H592+I592</f>
        <v>2</v>
      </c>
      <c r="K592" s="23" t="n">
        <v>2</v>
      </c>
      <c r="L592" s="23" t="n">
        <v>0</v>
      </c>
      <c r="M592" s="23" t="n">
        <f>MIN(K592,J592)</f>
        <v>2</v>
      </c>
      <c r="N592" s="23" t="n">
        <f>MIN(L592,J592)</f>
        <v>0</v>
      </c>
      <c r="O592" s="25" t="n">
        <f>IF(K592=0,0,MIN(1,J592/K592))</f>
        <v>1</v>
      </c>
      <c r="P592" s="23" t="n">
        <f>IF(J592&gt;0,MAX(K592-J592,0),0)</f>
        <v>0</v>
      </c>
      <c r="Q592" s="23" t="n">
        <f>IF(J592=0,K592,0)</f>
        <v>0</v>
      </c>
      <c r="R592" s="23" t="n">
        <f>MAX(J592-K592,0)</f>
        <v>0</v>
      </c>
      <c r="S592" s="23" t="n">
        <f>IF(J592&gt;0,MAX(L592-J592,0),L592)</f>
        <v>0</v>
      </c>
    </row>
    <row r="593">
      <c r="A593" s="19" t="str">
        <v>捷克区</v>
      </c>
      <c r="B593" s="19" t="str">
        <v>布拉格2号仓</v>
      </c>
      <c r="C593" s="19" t="str">
        <v>拣货组</v>
      </c>
      <c r="D593" s="21" t="n">
        <v>46181</v>
      </c>
      <c r="E593" s="19" t="str">
        <v>2026-06</v>
      </c>
      <c r="F593" s="19" t="str">
        <v>叉车司机</v>
      </c>
      <c r="G593" s="19" t="str">
        <v>捷克区07:00-15:30 / CZ 07:00-15:30</v>
      </c>
      <c r="H593" s="23" t="n">
        <v>2</v>
      </c>
      <c r="I593" s="23" t="n">
        <v>0</v>
      </c>
      <c r="J593" s="23" t="n">
        <f>H593+I593</f>
        <v>2</v>
      </c>
      <c r="K593" s="23" t="n">
        <v>2</v>
      </c>
      <c r="L593" s="23" t="n">
        <v>0</v>
      </c>
      <c r="M593" s="23" t="n">
        <f>MIN(K593,J593)</f>
        <v>2</v>
      </c>
      <c r="N593" s="23" t="n">
        <f>MIN(L593,J593)</f>
        <v>0</v>
      </c>
      <c r="O593" s="25" t="n">
        <f>IF(K593=0,0,MIN(1,J593/K593))</f>
        <v>1</v>
      </c>
      <c r="P593" s="23" t="n">
        <f>IF(J593&gt;0,MAX(K593-J593,0),0)</f>
        <v>0</v>
      </c>
      <c r="Q593" s="23" t="n">
        <f>IF(J593=0,K593,0)</f>
        <v>0</v>
      </c>
      <c r="R593" s="23" t="n">
        <f>MAX(J593-K593,0)</f>
        <v>0</v>
      </c>
      <c r="S593" s="23" t="n">
        <f>IF(J593&gt;0,MAX(L593-J593,0),L593)</f>
        <v>0</v>
      </c>
    </row>
    <row r="594">
      <c r="A594" s="19" t="str">
        <v>捷克区</v>
      </c>
      <c r="B594" s="19" t="str">
        <v>布拉格2号仓</v>
      </c>
      <c r="C594" s="19" t="str">
        <v>拣货组</v>
      </c>
      <c r="D594" s="21" t="n">
        <v>46182</v>
      </c>
      <c r="E594" s="19" t="str">
        <v>2026-06</v>
      </c>
      <c r="F594" s="19" t="str">
        <v>叉车司机</v>
      </c>
      <c r="G594" s="19" t="str">
        <v>捷克区07:00-15:30 / CZ 07:00-15:30</v>
      </c>
      <c r="H594" s="23" t="n">
        <v>2</v>
      </c>
      <c r="I594" s="23" t="n">
        <v>0</v>
      </c>
      <c r="J594" s="23" t="n">
        <f>H594+I594</f>
        <v>2</v>
      </c>
      <c r="K594" s="23" t="n">
        <v>2</v>
      </c>
      <c r="L594" s="23" t="n">
        <v>0</v>
      </c>
      <c r="M594" s="23" t="n">
        <f>MIN(K594,J594)</f>
        <v>2</v>
      </c>
      <c r="N594" s="23" t="n">
        <f>MIN(L594,J594)</f>
        <v>0</v>
      </c>
      <c r="O594" s="25" t="n">
        <f>IF(K594=0,0,MIN(1,J594/K594))</f>
        <v>1</v>
      </c>
      <c r="P594" s="23" t="n">
        <f>IF(J594&gt;0,MAX(K594-J594,0),0)</f>
        <v>0</v>
      </c>
      <c r="Q594" s="23" t="n">
        <f>IF(J594=0,K594,0)</f>
        <v>0</v>
      </c>
      <c r="R594" s="23" t="n">
        <f>MAX(J594-K594,0)</f>
        <v>0</v>
      </c>
      <c r="S594" s="23" t="n">
        <f>IF(J594&gt;0,MAX(L594-J594,0),L594)</f>
        <v>0</v>
      </c>
    </row>
    <row r="595">
      <c r="A595" s="19" t="str">
        <v>捷克区</v>
      </c>
      <c r="B595" s="19" t="str">
        <v>布拉格2号仓</v>
      </c>
      <c r="C595" s="19" t="str">
        <v>拣货组</v>
      </c>
      <c r="D595" s="21" t="n">
        <v>46183</v>
      </c>
      <c r="E595" s="19" t="str">
        <v>2026-06</v>
      </c>
      <c r="F595" s="19" t="str">
        <v>叉车司机</v>
      </c>
      <c r="G595" s="19" t="str">
        <v>捷克区07:00-15:30 / CZ 07:00-15:30</v>
      </c>
      <c r="H595" s="23" t="n">
        <v>2</v>
      </c>
      <c r="I595" s="23" t="n">
        <v>0</v>
      </c>
      <c r="J595" s="23" t="n">
        <f>H595+I595</f>
        <v>2</v>
      </c>
      <c r="K595" s="23" t="n">
        <v>2</v>
      </c>
      <c r="L595" s="23" t="n">
        <v>2</v>
      </c>
      <c r="M595" s="23" t="n">
        <f>MIN(K595,J595)</f>
        <v>2</v>
      </c>
      <c r="N595" s="23" t="n">
        <f>MIN(L595,J595)</f>
        <v>2</v>
      </c>
      <c r="O595" s="25" t="n">
        <f>IF(K595=0,0,MIN(1,J595/K595))</f>
        <v>1</v>
      </c>
      <c r="P595" s="23" t="n">
        <f>IF(J595&gt;0,MAX(K595-J595,0),0)</f>
        <v>0</v>
      </c>
      <c r="Q595" s="23" t="n">
        <f>IF(J595=0,K595,0)</f>
        <v>0</v>
      </c>
      <c r="R595" s="23" t="n">
        <f>MAX(J595-K595,0)</f>
        <v>0</v>
      </c>
      <c r="S595" s="23" t="n">
        <f>IF(J595&gt;0,MAX(L595-J595,0),L595)</f>
        <v>0</v>
      </c>
    </row>
    <row r="596">
      <c r="A596" s="19" t="str">
        <v>捷克区</v>
      </c>
      <c r="B596" s="19" t="str">
        <v>布拉格2号仓</v>
      </c>
      <c r="C596" s="19" t="str">
        <v>拣货组</v>
      </c>
      <c r="D596" s="21" t="n">
        <v>46184</v>
      </c>
      <c r="E596" s="19" t="str">
        <v>2026-06</v>
      </c>
      <c r="F596" s="19" t="str">
        <v>叉车司机</v>
      </c>
      <c r="G596" s="19" t="str">
        <v>捷克区07:00-15:30 / CZ 07:00-15:30</v>
      </c>
      <c r="H596" s="23" t="n">
        <v>2</v>
      </c>
      <c r="I596" s="23" t="n">
        <v>0</v>
      </c>
      <c r="J596" s="23" t="n">
        <f>H596+I596</f>
        <v>2</v>
      </c>
      <c r="K596" s="23" t="n">
        <v>2</v>
      </c>
      <c r="L596" s="23" t="n">
        <v>0</v>
      </c>
      <c r="M596" s="23" t="n">
        <f>MIN(K596,J596)</f>
        <v>2</v>
      </c>
      <c r="N596" s="23" t="n">
        <f>MIN(L596,J596)</f>
        <v>0</v>
      </c>
      <c r="O596" s="25" t="n">
        <f>IF(K596=0,0,MIN(1,J596/K596))</f>
        <v>1</v>
      </c>
      <c r="P596" s="23" t="n">
        <f>IF(J596&gt;0,MAX(K596-J596,0),0)</f>
        <v>0</v>
      </c>
      <c r="Q596" s="23" t="n">
        <f>IF(J596=0,K596,0)</f>
        <v>0</v>
      </c>
      <c r="R596" s="23" t="n">
        <f>MAX(J596-K596,0)</f>
        <v>0</v>
      </c>
      <c r="S596" s="23" t="n">
        <f>IF(J596&gt;0,MAX(L596-J596,0),L596)</f>
        <v>0</v>
      </c>
    </row>
    <row r="597">
      <c r="A597" s="19" t="str">
        <v>捷克区</v>
      </c>
      <c r="B597" s="19" t="str">
        <v>布拉格2号仓</v>
      </c>
      <c r="C597" s="19" t="str">
        <v>拣货组</v>
      </c>
      <c r="D597" s="21" t="n">
        <v>46191</v>
      </c>
      <c r="E597" s="19" t="str">
        <v>2026-06</v>
      </c>
      <c r="F597" s="19" t="str">
        <v>叉车司机</v>
      </c>
      <c r="G597" s="19" t="str">
        <v>捷克区07:00-15:30 / CZ 07:00-15:30</v>
      </c>
      <c r="H597" s="23" t="n">
        <v>2</v>
      </c>
      <c r="I597" s="23" t="n">
        <v>0</v>
      </c>
      <c r="J597" s="23" t="n">
        <f>H597+I597</f>
        <v>2</v>
      </c>
      <c r="K597" s="23" t="n">
        <v>2</v>
      </c>
      <c r="L597" s="23" t="n">
        <v>1</v>
      </c>
      <c r="M597" s="23" t="n">
        <f>MIN(K597,J597)</f>
        <v>2</v>
      </c>
      <c r="N597" s="23" t="n">
        <f>MIN(L597,J597)</f>
        <v>1</v>
      </c>
      <c r="O597" s="25" t="n">
        <f>IF(K597=0,0,MIN(1,J597/K597))</f>
        <v>1</v>
      </c>
      <c r="P597" s="23" t="n">
        <f>IF(J597&gt;0,MAX(K597-J597,0),0)</f>
        <v>0</v>
      </c>
      <c r="Q597" s="23" t="n">
        <f>IF(J597=0,K597,0)</f>
        <v>0</v>
      </c>
      <c r="R597" s="23" t="n">
        <f>MAX(J597-K597,0)</f>
        <v>0</v>
      </c>
      <c r="S597" s="23" t="n">
        <f>IF(J597&gt;0,MAX(L597-J597,0),L597)</f>
        <v>0</v>
      </c>
    </row>
    <row r="598">
      <c r="A598" s="19" t="str">
        <v>捷克区</v>
      </c>
      <c r="B598" s="19" t="str">
        <v>布拉格2号仓</v>
      </c>
      <c r="C598" s="19" t="str">
        <v>拣货组</v>
      </c>
      <c r="D598" s="21" t="n">
        <v>46192</v>
      </c>
      <c r="E598" s="19" t="str">
        <v>2026-06</v>
      </c>
      <c r="F598" s="19" t="str">
        <v>叉车司机</v>
      </c>
      <c r="G598" s="19" t="str">
        <v>捷克区07:00-15:30 / CZ 07:00-15:30</v>
      </c>
      <c r="H598" s="23" t="n">
        <v>2</v>
      </c>
      <c r="I598" s="23" t="n">
        <v>0</v>
      </c>
      <c r="J598" s="23" t="n">
        <f>H598+I598</f>
        <v>2</v>
      </c>
      <c r="K598" s="23" t="n">
        <v>2</v>
      </c>
      <c r="L598" s="23" t="n">
        <v>1</v>
      </c>
      <c r="M598" s="23" t="n">
        <f>MIN(K598,J598)</f>
        <v>2</v>
      </c>
      <c r="N598" s="23" t="n">
        <f>MIN(L598,J598)</f>
        <v>1</v>
      </c>
      <c r="O598" s="25" t="n">
        <f>IF(K598=0,0,MIN(1,J598/K598))</f>
        <v>1</v>
      </c>
      <c r="P598" s="23" t="n">
        <f>IF(J598&gt;0,MAX(K598-J598,0),0)</f>
        <v>0</v>
      </c>
      <c r="Q598" s="23" t="n">
        <f>IF(J598=0,K598,0)</f>
        <v>0</v>
      </c>
      <c r="R598" s="23" t="n">
        <f>MAX(J598-K598,0)</f>
        <v>0</v>
      </c>
      <c r="S598" s="23" t="n">
        <f>IF(J598&gt;0,MAX(L598-J598,0),L598)</f>
        <v>0</v>
      </c>
    </row>
    <row r="599">
      <c r="A599" s="19" t="str">
        <v>捷克区</v>
      </c>
      <c r="B599" s="19" t="str">
        <v>布拉格2号仓</v>
      </c>
      <c r="C599" s="19" t="str">
        <v>拣货组</v>
      </c>
      <c r="D599" s="21" t="n">
        <v>46193</v>
      </c>
      <c r="E599" s="19" t="str">
        <v>2026-06</v>
      </c>
      <c r="F599" s="19" t="str">
        <v>叉车司机</v>
      </c>
      <c r="G599" s="19" t="str">
        <v>捷克区07:00-15:30 / CZ 07:00-15:30</v>
      </c>
      <c r="H599" s="23" t="n">
        <v>2</v>
      </c>
      <c r="I599" s="23" t="n">
        <v>0</v>
      </c>
      <c r="J599" s="23" t="n">
        <f>H599+I599</f>
        <v>2</v>
      </c>
      <c r="K599" s="23" t="n">
        <v>2</v>
      </c>
      <c r="L599" s="23" t="n">
        <v>1</v>
      </c>
      <c r="M599" s="23" t="n">
        <f>MIN(K599,J599)</f>
        <v>2</v>
      </c>
      <c r="N599" s="23" t="n">
        <f>MIN(L599,J599)</f>
        <v>1</v>
      </c>
      <c r="O599" s="25" t="n">
        <f>IF(K599=0,0,MIN(1,J599/K599))</f>
        <v>1</v>
      </c>
      <c r="P599" s="23" t="n">
        <f>IF(J599&gt;0,MAX(K599-J599,0),0)</f>
        <v>0</v>
      </c>
      <c r="Q599" s="23" t="n">
        <f>IF(J599=0,K599,0)</f>
        <v>0</v>
      </c>
      <c r="R599" s="23" t="n">
        <f>MAX(J599-K599,0)</f>
        <v>0</v>
      </c>
      <c r="S599" s="23" t="n">
        <f>IF(J599&gt;0,MAX(L599-J599,0),L599)</f>
        <v>0</v>
      </c>
    </row>
    <row r="600">
      <c r="A600" s="19" t="str">
        <v>捷克区</v>
      </c>
      <c r="B600" s="19" t="str">
        <v>布拉格2号仓</v>
      </c>
      <c r="C600" s="19" t="str">
        <v>拣货组</v>
      </c>
      <c r="D600" s="21" t="n">
        <v>46194</v>
      </c>
      <c r="E600" s="19" t="str">
        <v>2026-06</v>
      </c>
      <c r="F600" s="19" t="str">
        <v>叉车司机</v>
      </c>
      <c r="G600" s="19" t="str">
        <v>捷克区07:00-15:30 / CZ 07:00-15:30</v>
      </c>
      <c r="H600" s="23" t="n">
        <v>2</v>
      </c>
      <c r="I600" s="23" t="n">
        <v>0</v>
      </c>
      <c r="J600" s="23" t="n">
        <f>H600+I600</f>
        <v>2</v>
      </c>
      <c r="K600" s="23" t="n">
        <v>2</v>
      </c>
      <c r="L600" s="23" t="n">
        <v>1</v>
      </c>
      <c r="M600" s="23" t="n">
        <f>MIN(K600,J600)</f>
        <v>2</v>
      </c>
      <c r="N600" s="23" t="n">
        <f>MIN(L600,J600)</f>
        <v>1</v>
      </c>
      <c r="O600" s="25" t="n">
        <f>IF(K600=0,0,MIN(1,J600/K600))</f>
        <v>1</v>
      </c>
      <c r="P600" s="23" t="n">
        <f>IF(J600&gt;0,MAX(K600-J600,0),0)</f>
        <v>0</v>
      </c>
      <c r="Q600" s="23" t="n">
        <f>IF(J600=0,K600,0)</f>
        <v>0</v>
      </c>
      <c r="R600" s="23" t="n">
        <f>MAX(J600-K600,0)</f>
        <v>0</v>
      </c>
      <c r="S600" s="23" t="n">
        <f>IF(J600&gt;0,MAX(L600-J600,0),L600)</f>
        <v>0</v>
      </c>
    </row>
    <row r="601">
      <c r="A601" s="19" t="str">
        <v>捷克区</v>
      </c>
      <c r="B601" s="19" t="str">
        <v>布拉格2号仓</v>
      </c>
      <c r="C601" s="19" t="str">
        <v>拣货组</v>
      </c>
      <c r="D601" s="21" t="n">
        <v>46195</v>
      </c>
      <c r="E601" s="19" t="str">
        <v>2026-06</v>
      </c>
      <c r="F601" s="19" t="str">
        <v>叉车司机</v>
      </c>
      <c r="G601" s="19" t="str">
        <v>捷克区07:00-15:30 / CZ 07:00-15:30</v>
      </c>
      <c r="H601" s="23" t="n">
        <v>2</v>
      </c>
      <c r="I601" s="23" t="n">
        <v>0</v>
      </c>
      <c r="J601" s="23" t="n">
        <f>H601+I601</f>
        <v>2</v>
      </c>
      <c r="K601" s="23" t="n">
        <v>2</v>
      </c>
      <c r="L601" s="23" t="n">
        <v>1</v>
      </c>
      <c r="M601" s="23" t="n">
        <f>MIN(K601,J601)</f>
        <v>2</v>
      </c>
      <c r="N601" s="23" t="n">
        <f>MIN(L601,J601)</f>
        <v>1</v>
      </c>
      <c r="O601" s="25" t="n">
        <f>IF(K601=0,0,MIN(1,J601/K601))</f>
        <v>1</v>
      </c>
      <c r="P601" s="23" t="n">
        <f>IF(J601&gt;0,MAX(K601-J601,0),0)</f>
        <v>0</v>
      </c>
      <c r="Q601" s="23" t="n">
        <f>IF(J601=0,K601,0)</f>
        <v>0</v>
      </c>
      <c r="R601" s="23" t="n">
        <f>MAX(J601-K601,0)</f>
        <v>0</v>
      </c>
      <c r="S601" s="23" t="n">
        <f>IF(J601&gt;0,MAX(L601-J601,0),L601)</f>
        <v>0</v>
      </c>
    </row>
    <row r="602">
      <c r="A602" s="19" t="str">
        <v>捷克区</v>
      </c>
      <c r="B602" s="19" t="str">
        <v>布拉格2号仓</v>
      </c>
      <c r="C602" s="19" t="str">
        <v>拣货组</v>
      </c>
      <c r="D602" s="21" t="n">
        <v>46196</v>
      </c>
      <c r="E602" s="19" t="str">
        <v>2026-06</v>
      </c>
      <c r="F602" s="19" t="str">
        <v>叉车司机</v>
      </c>
      <c r="G602" s="19" t="str">
        <v>捷克区07:00-15:30 / CZ 07:00-15:30</v>
      </c>
      <c r="H602" s="23" t="n">
        <v>2</v>
      </c>
      <c r="I602" s="23" t="n">
        <v>0</v>
      </c>
      <c r="J602" s="23" t="n">
        <f>H602+I602</f>
        <v>2</v>
      </c>
      <c r="K602" s="23" t="n">
        <v>2</v>
      </c>
      <c r="L602" s="23" t="n">
        <v>1</v>
      </c>
      <c r="M602" s="23" t="n">
        <f>MIN(K602,J602)</f>
        <v>2</v>
      </c>
      <c r="N602" s="23" t="n">
        <f>MIN(L602,J602)</f>
        <v>1</v>
      </c>
      <c r="O602" s="25" t="n">
        <f>IF(K602=0,0,MIN(1,J602/K602))</f>
        <v>1</v>
      </c>
      <c r="P602" s="23" t="n">
        <f>IF(J602&gt;0,MAX(K602-J602,0),0)</f>
        <v>0</v>
      </c>
      <c r="Q602" s="23" t="n">
        <f>IF(J602=0,K602,0)</f>
        <v>0</v>
      </c>
      <c r="R602" s="23" t="n">
        <f>MAX(J602-K602,0)</f>
        <v>0</v>
      </c>
      <c r="S602" s="23" t="n">
        <f>IF(J602&gt;0,MAX(L602-J602,0),L602)</f>
        <v>0</v>
      </c>
    </row>
    <row r="603">
      <c r="A603" s="19" t="str">
        <v>捷克区</v>
      </c>
      <c r="B603" s="19" t="str">
        <v>布拉格2号仓</v>
      </c>
      <c r="C603" s="19" t="str">
        <v>拣货组</v>
      </c>
      <c r="D603" s="21" t="n">
        <v>46197</v>
      </c>
      <c r="E603" s="19" t="str">
        <v>2026-06</v>
      </c>
      <c r="F603" s="19" t="str">
        <v>叉车司机</v>
      </c>
      <c r="G603" s="19" t="str">
        <v>捷克区07:00-15:30 / CZ 07:00-15:30</v>
      </c>
      <c r="H603" s="23" t="n">
        <v>2</v>
      </c>
      <c r="I603" s="23" t="n">
        <v>0</v>
      </c>
      <c r="J603" s="23" t="n">
        <f>H603+I603</f>
        <v>2</v>
      </c>
      <c r="K603" s="23" t="n">
        <v>2</v>
      </c>
      <c r="L603" s="23" t="n">
        <v>1</v>
      </c>
      <c r="M603" s="23" t="n">
        <f>MIN(K603,J603)</f>
        <v>2</v>
      </c>
      <c r="N603" s="23" t="n">
        <f>MIN(L603,J603)</f>
        <v>1</v>
      </c>
      <c r="O603" s="25" t="n">
        <f>IF(K603=0,0,MIN(1,J603/K603))</f>
        <v>1</v>
      </c>
      <c r="P603" s="23" t="n">
        <f>IF(J603&gt;0,MAX(K603-J603,0),0)</f>
        <v>0</v>
      </c>
      <c r="Q603" s="23" t="n">
        <f>IF(J603=0,K603,0)</f>
        <v>0</v>
      </c>
      <c r="R603" s="23" t="n">
        <f>MAX(J603-K603,0)</f>
        <v>0</v>
      </c>
      <c r="S603" s="23" t="n">
        <f>IF(J603&gt;0,MAX(L603-J603,0),L603)</f>
        <v>0</v>
      </c>
    </row>
    <row r="604">
      <c r="A604" s="19" t="str">
        <v>捷克区</v>
      </c>
      <c r="B604" s="19" t="str">
        <v>布拉格2号仓</v>
      </c>
      <c r="C604" s="19" t="str">
        <v>拣货组</v>
      </c>
      <c r="D604" s="21" t="n">
        <v>46198</v>
      </c>
      <c r="E604" s="19" t="str">
        <v>2026-06</v>
      </c>
      <c r="F604" s="19" t="str">
        <v>叉车司机</v>
      </c>
      <c r="G604" s="19" t="str">
        <v>捷克区07:00-15:30 / CZ 07:00-15:30</v>
      </c>
      <c r="H604" s="23" t="n">
        <v>2</v>
      </c>
      <c r="I604" s="23" t="n">
        <v>0</v>
      </c>
      <c r="J604" s="23" t="n">
        <f>H604+I604</f>
        <v>2</v>
      </c>
      <c r="K604" s="23" t="n">
        <v>2</v>
      </c>
      <c r="L604" s="23" t="n">
        <v>1</v>
      </c>
      <c r="M604" s="23" t="n">
        <f>MIN(K604,J604)</f>
        <v>2</v>
      </c>
      <c r="N604" s="23" t="n">
        <f>MIN(L604,J604)</f>
        <v>1</v>
      </c>
      <c r="O604" s="25" t="n">
        <f>IF(K604=0,0,MIN(1,J604/K604))</f>
        <v>1</v>
      </c>
      <c r="P604" s="23" t="n">
        <f>IF(J604&gt;0,MAX(K604-J604,0),0)</f>
        <v>0</v>
      </c>
      <c r="Q604" s="23" t="n">
        <f>IF(J604=0,K604,0)</f>
        <v>0</v>
      </c>
      <c r="R604" s="23" t="n">
        <f>MAX(J604-K604,0)</f>
        <v>0</v>
      </c>
      <c r="S604" s="23" t="n">
        <f>IF(J604&gt;0,MAX(L604-J604,0),L604)</f>
        <v>0</v>
      </c>
    </row>
    <row r="605">
      <c r="A605" s="19" t="str">
        <v>捷克区</v>
      </c>
      <c r="B605" s="19" t="str">
        <v>布拉格3号仓</v>
      </c>
      <c r="C605" s="19" t="str">
        <v>入库组</v>
      </c>
      <c r="D605" s="21" t="n">
        <v>46174</v>
      </c>
      <c r="E605" s="19" t="str">
        <v>2026-06</v>
      </c>
      <c r="F605" s="19" t="str">
        <v>操作员</v>
      </c>
      <c r="G605" s="19" t="str">
        <v>捷克区07:00-15:30 / CZ 07:00-15:30</v>
      </c>
      <c r="H605" s="23" t="n">
        <v>1</v>
      </c>
      <c r="I605" s="23" t="n">
        <v>0</v>
      </c>
      <c r="J605" s="23" t="n">
        <f>H605+I605</f>
        <v>1</v>
      </c>
      <c r="K605" s="23" t="n">
        <v>1</v>
      </c>
      <c r="L605" s="23" t="n">
        <v>1</v>
      </c>
      <c r="M605" s="23" t="n">
        <f>MIN(K605,J605)</f>
        <v>1</v>
      </c>
      <c r="N605" s="23" t="n">
        <f>MIN(L605,J605)</f>
        <v>1</v>
      </c>
      <c r="O605" s="25" t="n">
        <f>IF(K605=0,0,MIN(1,J605/K605))</f>
        <v>1</v>
      </c>
      <c r="P605" s="23" t="n">
        <f>IF(J605&gt;0,MAX(K605-J605,0),0)</f>
        <v>0</v>
      </c>
      <c r="Q605" s="23" t="n">
        <f>IF(J605=0,K605,0)</f>
        <v>0</v>
      </c>
      <c r="R605" s="23" t="n">
        <f>MAX(J605-K605,0)</f>
        <v>0</v>
      </c>
      <c r="S605" s="23" t="n">
        <f>IF(J605&gt;0,MAX(L605-J605,0),L605)</f>
        <v>0</v>
      </c>
    </row>
    <row r="606">
      <c r="A606" s="19" t="str">
        <v>捷克区</v>
      </c>
      <c r="B606" s="19" t="str">
        <v>布拉格3号仓</v>
      </c>
      <c r="C606" s="19" t="str">
        <v>入库组</v>
      </c>
      <c r="D606" s="21" t="n">
        <v>46188</v>
      </c>
      <c r="E606" s="19" t="str">
        <v>2026-06</v>
      </c>
      <c r="F606" s="19" t="str">
        <v>操作员</v>
      </c>
      <c r="G606" s="19" t="str">
        <v>捷克区07:00-15:30 / CZ 07:00-15:30</v>
      </c>
      <c r="H606" s="23" t="n">
        <v>1</v>
      </c>
      <c r="I606" s="23" t="n">
        <v>0</v>
      </c>
      <c r="J606" s="23" t="n">
        <f>H606+I606</f>
        <v>1</v>
      </c>
      <c r="K606" s="23" t="n">
        <v>1</v>
      </c>
      <c r="L606" s="23" t="n">
        <v>1</v>
      </c>
      <c r="M606" s="23" t="n">
        <f>MIN(K606,J606)</f>
        <v>1</v>
      </c>
      <c r="N606" s="23" t="n">
        <f>MIN(L606,J606)</f>
        <v>1</v>
      </c>
      <c r="O606" s="25" t="n">
        <f>IF(K606=0,0,MIN(1,J606/K606))</f>
        <v>1</v>
      </c>
      <c r="P606" s="23" t="n">
        <f>IF(J606&gt;0,MAX(K606-J606,0),0)</f>
        <v>0</v>
      </c>
      <c r="Q606" s="23" t="n">
        <f>IF(J606=0,K606,0)</f>
        <v>0</v>
      </c>
      <c r="R606" s="23" t="n">
        <f>MAX(J606-K606,0)</f>
        <v>0</v>
      </c>
      <c r="S606" s="23" t="n">
        <f>IF(J606&gt;0,MAX(L606-J606,0),L606)</f>
        <v>0</v>
      </c>
    </row>
    <row r="607">
      <c r="A607" s="19" t="str">
        <v>捷克区</v>
      </c>
      <c r="B607" s="19" t="str">
        <v>布拉格3号仓</v>
      </c>
      <c r="C607" s="19" t="str">
        <v>拣货组</v>
      </c>
      <c r="D607" s="21" t="n">
        <v>46113</v>
      </c>
      <c r="E607" s="19" t="str">
        <v>2026-04</v>
      </c>
      <c r="F607" s="19" t="str">
        <v>叉车司机</v>
      </c>
      <c r="G607" s="19" t="str">
        <v>捷克区07:00-15:30 / CZ 07:00-15:30</v>
      </c>
      <c r="H607" s="23" t="n">
        <v>3</v>
      </c>
      <c r="I607" s="23" t="n">
        <v>0</v>
      </c>
      <c r="J607" s="23" t="n">
        <f>H607+I607</f>
        <v>3</v>
      </c>
      <c r="K607" s="23" t="n">
        <v>2</v>
      </c>
      <c r="L607" s="23" t="n">
        <v>2</v>
      </c>
      <c r="M607" s="23" t="n">
        <f>MIN(K607,J607)</f>
        <v>2</v>
      </c>
      <c r="N607" s="23" t="n">
        <f>MIN(L607,J607)</f>
        <v>2</v>
      </c>
      <c r="O607" s="25" t="n">
        <f>IF(K607=0,0,MIN(1,J607/K607))</f>
        <v>1</v>
      </c>
      <c r="P607" s="23" t="n">
        <f>IF(J607&gt;0,MAX(K607-J607,0),0)</f>
        <v>0</v>
      </c>
      <c r="Q607" s="23" t="n">
        <f>IF(J607=0,K607,0)</f>
        <v>0</v>
      </c>
      <c r="R607" s="23" t="n">
        <f>MAX(J607-K607,0)</f>
        <v>1</v>
      </c>
      <c r="S607" s="23" t="n">
        <f>IF(J607&gt;0,MAX(L607-J607,0),L607)</f>
        <v>0</v>
      </c>
    </row>
    <row r="608">
      <c r="A608" s="19" t="str">
        <v>捷克区</v>
      </c>
      <c r="B608" s="19" t="str">
        <v>布拉格3号仓</v>
      </c>
      <c r="C608" s="19" t="str">
        <v>拣货组</v>
      </c>
      <c r="D608" s="21" t="n">
        <v>46120</v>
      </c>
      <c r="E608" s="19" t="str">
        <v>2026-04</v>
      </c>
      <c r="F608" s="19" t="str">
        <v>叉车司机</v>
      </c>
      <c r="G608" s="19" t="str">
        <v>捷克区07:00-15:30 / CZ 07:00-15:30</v>
      </c>
      <c r="H608" s="23" t="n">
        <v>1</v>
      </c>
      <c r="I608" s="23" t="n">
        <v>0</v>
      </c>
      <c r="J608" s="23" t="n">
        <f>H608+I608</f>
        <v>1</v>
      </c>
      <c r="K608" s="23" t="n">
        <v>1</v>
      </c>
      <c r="L608" s="23" t="n">
        <v>1</v>
      </c>
      <c r="M608" s="23" t="n">
        <f>MIN(K608,J608)</f>
        <v>1</v>
      </c>
      <c r="N608" s="23" t="n">
        <f>MIN(L608,J608)</f>
        <v>1</v>
      </c>
      <c r="O608" s="25" t="n">
        <f>IF(K608=0,0,MIN(1,J608/K608))</f>
        <v>1</v>
      </c>
      <c r="P608" s="23" t="n">
        <f>IF(J608&gt;0,MAX(K608-J608,0),0)</f>
        <v>0</v>
      </c>
      <c r="Q608" s="23" t="n">
        <f>IF(J608=0,K608,0)</f>
        <v>0</v>
      </c>
      <c r="R608" s="23" t="n">
        <f>MAX(J608-K608,0)</f>
        <v>0</v>
      </c>
      <c r="S608" s="23" t="n">
        <f>IF(J608&gt;0,MAX(L608-J608,0),L608)</f>
        <v>0</v>
      </c>
    </row>
    <row r="609">
      <c r="A609" s="19" t="str">
        <v>捷克区</v>
      </c>
      <c r="B609" s="19" t="str">
        <v>布拉格3号仓</v>
      </c>
      <c r="C609" s="19" t="str">
        <v>拣货组</v>
      </c>
      <c r="D609" s="21" t="n">
        <v>46121</v>
      </c>
      <c r="E609" s="19" t="str">
        <v>2026-04</v>
      </c>
      <c r="F609" s="19" t="str">
        <v>叉车司机</v>
      </c>
      <c r="G609" s="19" t="str">
        <v>捷克区07:00-15:30 / CZ 07:00-15:30</v>
      </c>
      <c r="H609" s="23" t="n">
        <v>2</v>
      </c>
      <c r="I609" s="23" t="n">
        <v>0</v>
      </c>
      <c r="J609" s="23" t="n">
        <f>H609+I609</f>
        <v>2</v>
      </c>
      <c r="K609" s="23" t="n">
        <v>2</v>
      </c>
      <c r="L609" s="23" t="n">
        <v>2</v>
      </c>
      <c r="M609" s="23" t="n">
        <f>MIN(K609,J609)</f>
        <v>2</v>
      </c>
      <c r="N609" s="23" t="n">
        <f>MIN(L609,J609)</f>
        <v>2</v>
      </c>
      <c r="O609" s="25" t="n">
        <f>IF(K609=0,0,MIN(1,J609/K609))</f>
        <v>1</v>
      </c>
      <c r="P609" s="23" t="n">
        <f>IF(J609&gt;0,MAX(K609-J609,0),0)</f>
        <v>0</v>
      </c>
      <c r="Q609" s="23" t="n">
        <f>IF(J609=0,K609,0)</f>
        <v>0</v>
      </c>
      <c r="R609" s="23" t="n">
        <f>MAX(J609-K609,0)</f>
        <v>0</v>
      </c>
      <c r="S609" s="23" t="n">
        <f>IF(J609&gt;0,MAX(L609-J609,0),L609)</f>
        <v>0</v>
      </c>
    </row>
    <row r="610">
      <c r="A610" s="19" t="str">
        <v>捷克区</v>
      </c>
      <c r="B610" s="19" t="str">
        <v>布拉格3号仓</v>
      </c>
      <c r="C610" s="19" t="str">
        <v>拣货组</v>
      </c>
      <c r="D610" s="21" t="n">
        <v>46122</v>
      </c>
      <c r="E610" s="19" t="str">
        <v>2026-04</v>
      </c>
      <c r="F610" s="19" t="str">
        <v>叉车司机</v>
      </c>
      <c r="G610" s="19" t="str">
        <v>捷克区07:00-15:30 / CZ 07:00-15:30</v>
      </c>
      <c r="H610" s="23" t="n">
        <v>2</v>
      </c>
      <c r="I610" s="23" t="n">
        <v>0</v>
      </c>
      <c r="J610" s="23" t="n">
        <f>H610+I610</f>
        <v>2</v>
      </c>
      <c r="K610" s="23" t="n">
        <v>2</v>
      </c>
      <c r="L610" s="23" t="n">
        <v>2</v>
      </c>
      <c r="M610" s="23" t="n">
        <f>MIN(K610,J610)</f>
        <v>2</v>
      </c>
      <c r="N610" s="23" t="n">
        <f>MIN(L610,J610)</f>
        <v>2</v>
      </c>
      <c r="O610" s="25" t="n">
        <f>IF(K610=0,0,MIN(1,J610/K610))</f>
        <v>1</v>
      </c>
      <c r="P610" s="23" t="n">
        <f>IF(J610&gt;0,MAX(K610-J610,0),0)</f>
        <v>0</v>
      </c>
      <c r="Q610" s="23" t="n">
        <f>IF(J610=0,K610,0)</f>
        <v>0</v>
      </c>
      <c r="R610" s="23" t="n">
        <f>MAX(J610-K610,0)</f>
        <v>0</v>
      </c>
      <c r="S610" s="23" t="n">
        <f>IF(J610&gt;0,MAX(L610-J610,0),L610)</f>
        <v>0</v>
      </c>
    </row>
    <row r="611">
      <c r="A611" s="19" t="str">
        <v>捷克区</v>
      </c>
      <c r="B611" s="19" t="str">
        <v>布拉格3号仓</v>
      </c>
      <c r="C611" s="19" t="str">
        <v>拣货组</v>
      </c>
      <c r="D611" s="21" t="n">
        <v>46123</v>
      </c>
      <c r="E611" s="19" t="str">
        <v>2026-04</v>
      </c>
      <c r="F611" s="19" t="str">
        <v>叉车司机</v>
      </c>
      <c r="G611" s="19" t="str">
        <v>捷克区07:00-15:30 / CZ 07:00-15:30</v>
      </c>
      <c r="H611" s="23" t="n">
        <v>2</v>
      </c>
      <c r="I611" s="23" t="n">
        <v>0</v>
      </c>
      <c r="J611" s="23" t="n">
        <f>H611+I611</f>
        <v>2</v>
      </c>
      <c r="K611" s="23" t="n">
        <v>2</v>
      </c>
      <c r="L611" s="23" t="n">
        <v>2</v>
      </c>
      <c r="M611" s="23" t="n">
        <f>MIN(K611,J611)</f>
        <v>2</v>
      </c>
      <c r="N611" s="23" t="n">
        <f>MIN(L611,J611)</f>
        <v>2</v>
      </c>
      <c r="O611" s="25" t="n">
        <f>IF(K611=0,0,MIN(1,J611/K611))</f>
        <v>1</v>
      </c>
      <c r="P611" s="23" t="n">
        <f>IF(J611&gt;0,MAX(K611-J611,0),0)</f>
        <v>0</v>
      </c>
      <c r="Q611" s="23" t="n">
        <f>IF(J611=0,K611,0)</f>
        <v>0</v>
      </c>
      <c r="R611" s="23" t="n">
        <f>MAX(J611-K611,0)</f>
        <v>0</v>
      </c>
      <c r="S611" s="23" t="n">
        <f>IF(J611&gt;0,MAX(L611-J611,0),L611)</f>
        <v>0</v>
      </c>
    </row>
    <row r="612">
      <c r="A612" s="19" t="str">
        <v>捷克区</v>
      </c>
      <c r="B612" s="19" t="str">
        <v>布拉格3号仓</v>
      </c>
      <c r="C612" s="19" t="str">
        <v>拣货组</v>
      </c>
      <c r="D612" s="21" t="n">
        <v>46124</v>
      </c>
      <c r="E612" s="19" t="str">
        <v>2026-04</v>
      </c>
      <c r="F612" s="19" t="str">
        <v>叉车司机</v>
      </c>
      <c r="G612" s="19" t="str">
        <v>捷克区07:00-15:30 / CZ 07:00-15:30</v>
      </c>
      <c r="H612" s="23" t="n">
        <v>2</v>
      </c>
      <c r="I612" s="23" t="n">
        <v>0</v>
      </c>
      <c r="J612" s="23" t="n">
        <f>H612+I612</f>
        <v>2</v>
      </c>
      <c r="K612" s="23" t="n">
        <v>2</v>
      </c>
      <c r="L612" s="23" t="n">
        <v>2</v>
      </c>
      <c r="M612" s="23" t="n">
        <f>MIN(K612,J612)</f>
        <v>2</v>
      </c>
      <c r="N612" s="23" t="n">
        <f>MIN(L612,J612)</f>
        <v>2</v>
      </c>
      <c r="O612" s="25" t="n">
        <f>IF(K612=0,0,MIN(1,J612/K612))</f>
        <v>1</v>
      </c>
      <c r="P612" s="23" t="n">
        <f>IF(J612&gt;0,MAX(K612-J612,0),0)</f>
        <v>0</v>
      </c>
      <c r="Q612" s="23" t="n">
        <f>IF(J612=0,K612,0)</f>
        <v>0</v>
      </c>
      <c r="R612" s="23" t="n">
        <f>MAX(J612-K612,0)</f>
        <v>0</v>
      </c>
      <c r="S612" s="23" t="n">
        <f>IF(J612&gt;0,MAX(L612-J612,0),L612)</f>
        <v>0</v>
      </c>
    </row>
    <row r="613">
      <c r="A613" s="19" t="str">
        <v>捷克区</v>
      </c>
      <c r="B613" s="19" t="str">
        <v>布拉格3号仓</v>
      </c>
      <c r="C613" s="19" t="str">
        <v>拣货组</v>
      </c>
      <c r="D613" s="21" t="n">
        <v>46125</v>
      </c>
      <c r="E613" s="19" t="str">
        <v>2026-04</v>
      </c>
      <c r="F613" s="19" t="str">
        <v>叉车司机</v>
      </c>
      <c r="G613" s="19" t="str">
        <v>捷克区07:00-15:30 / CZ 07:00-15:30</v>
      </c>
      <c r="H613" s="23" t="n">
        <v>2</v>
      </c>
      <c r="I613" s="23" t="n">
        <v>0</v>
      </c>
      <c r="J613" s="23" t="n">
        <f>H613+I613</f>
        <v>2</v>
      </c>
      <c r="K613" s="23" t="n">
        <v>2</v>
      </c>
      <c r="L613" s="23" t="n">
        <v>0</v>
      </c>
      <c r="M613" s="23" t="n">
        <f>MIN(K613,J613)</f>
        <v>2</v>
      </c>
      <c r="N613" s="23" t="n">
        <f>MIN(L613,J613)</f>
        <v>0</v>
      </c>
      <c r="O613" s="25" t="n">
        <f>IF(K613=0,0,MIN(1,J613/K613))</f>
        <v>1</v>
      </c>
      <c r="P613" s="23" t="n">
        <f>IF(J613&gt;0,MAX(K613-J613,0),0)</f>
        <v>0</v>
      </c>
      <c r="Q613" s="23" t="n">
        <f>IF(J613=0,K613,0)</f>
        <v>0</v>
      </c>
      <c r="R613" s="23" t="n">
        <f>MAX(J613-K613,0)</f>
        <v>0</v>
      </c>
      <c r="S613" s="23" t="n">
        <f>IF(J613&gt;0,MAX(L613-J613,0),L613)</f>
        <v>0</v>
      </c>
    </row>
    <row r="614">
      <c r="A614" s="19" t="str">
        <v>捷克区</v>
      </c>
      <c r="B614" s="19" t="str">
        <v>布拉格3号仓</v>
      </c>
      <c r="C614" s="19" t="str">
        <v>拣货组</v>
      </c>
      <c r="D614" s="21" t="n">
        <v>46126</v>
      </c>
      <c r="E614" s="19" t="str">
        <v>2026-04</v>
      </c>
      <c r="F614" s="19" t="str">
        <v>叉车司机</v>
      </c>
      <c r="G614" s="19" t="str">
        <v>捷克区07:00-15:30 / CZ 07:00-15:30</v>
      </c>
      <c r="H614" s="23" t="n">
        <v>2</v>
      </c>
      <c r="I614" s="23" t="n">
        <v>0</v>
      </c>
      <c r="J614" s="23" t="n">
        <f>H614+I614</f>
        <v>2</v>
      </c>
      <c r="K614" s="23" t="n">
        <v>2</v>
      </c>
      <c r="L614" s="23" t="n">
        <v>0</v>
      </c>
      <c r="M614" s="23" t="n">
        <f>MIN(K614,J614)</f>
        <v>2</v>
      </c>
      <c r="N614" s="23" t="n">
        <f>MIN(L614,J614)</f>
        <v>0</v>
      </c>
      <c r="O614" s="25" t="n">
        <f>IF(K614=0,0,MIN(1,J614/K614))</f>
        <v>1</v>
      </c>
      <c r="P614" s="23" t="n">
        <f>IF(J614&gt;0,MAX(K614-J614,0),0)</f>
        <v>0</v>
      </c>
      <c r="Q614" s="23" t="n">
        <f>IF(J614=0,K614,0)</f>
        <v>0</v>
      </c>
      <c r="R614" s="23" t="n">
        <f>MAX(J614-K614,0)</f>
        <v>0</v>
      </c>
      <c r="S614" s="23" t="n">
        <f>IF(J614&gt;0,MAX(L614-J614,0),L614)</f>
        <v>0</v>
      </c>
    </row>
    <row r="615">
      <c r="A615" s="19" t="str">
        <v>捷克区</v>
      </c>
      <c r="B615" s="19" t="str">
        <v>布拉格3号仓</v>
      </c>
      <c r="C615" s="19" t="str">
        <v>拣货组</v>
      </c>
      <c r="D615" s="21" t="n">
        <v>46126</v>
      </c>
      <c r="E615" s="19" t="str">
        <v>2026-04</v>
      </c>
      <c r="F615" s="19" t="str">
        <v>操作员</v>
      </c>
      <c r="G615" s="19" t="str">
        <v>捷克区07:00-15:30 / CZ 07:00-15:30</v>
      </c>
      <c r="H615" s="23" t="n">
        <v>1</v>
      </c>
      <c r="I615" s="23" t="n">
        <v>0</v>
      </c>
      <c r="J615" s="23" t="n">
        <f>H615+I615</f>
        <v>1</v>
      </c>
      <c r="K615" s="23" t="n">
        <v>0</v>
      </c>
      <c r="L615" s="23" t="n">
        <v>0</v>
      </c>
      <c r="M615" s="23" t="n">
        <f>MIN(K615,J615)</f>
        <v>0</v>
      </c>
      <c r="N615" s="23" t="n">
        <f>MIN(L615,J615)</f>
        <v>0</v>
      </c>
      <c r="O615" s="25" t="n">
        <f>IF(K615=0,0,MIN(1,J615/K615))</f>
        <v>0</v>
      </c>
      <c r="P615" s="23" t="n">
        <f>IF(J615&gt;0,MAX(K615-J615,0),0)</f>
        <v>0</v>
      </c>
      <c r="Q615" s="23" t="n">
        <f>IF(J615=0,K615,0)</f>
        <v>0</v>
      </c>
      <c r="R615" s="23" t="n">
        <f>MAX(J615-K615,0)</f>
        <v>1</v>
      </c>
      <c r="S615" s="23" t="n">
        <f>IF(J615&gt;0,MAX(L615-J615,0),L615)</f>
        <v>0</v>
      </c>
    </row>
    <row r="616">
      <c r="A616" s="19" t="str">
        <v>捷克区</v>
      </c>
      <c r="B616" s="19" t="str">
        <v>布拉格3号仓</v>
      </c>
      <c r="C616" s="19" t="str">
        <v>拣货组</v>
      </c>
      <c r="D616" s="21" t="n">
        <v>46127</v>
      </c>
      <c r="E616" s="19" t="str">
        <v>2026-04</v>
      </c>
      <c r="F616" s="19" t="str">
        <v>叉车司机</v>
      </c>
      <c r="G616" s="19" t="str">
        <v>捷克区07:00-15:30 / CZ 07:00-15:30</v>
      </c>
      <c r="H616" s="23" t="n">
        <v>2</v>
      </c>
      <c r="I616" s="23" t="n">
        <v>0</v>
      </c>
      <c r="J616" s="23" t="n">
        <f>H616+I616</f>
        <v>2</v>
      </c>
      <c r="K616" s="23" t="n">
        <v>2</v>
      </c>
      <c r="L616" s="23" t="n">
        <v>0</v>
      </c>
      <c r="M616" s="23" t="n">
        <f>MIN(K616,J616)</f>
        <v>2</v>
      </c>
      <c r="N616" s="23" t="n">
        <f>MIN(L616,J616)</f>
        <v>0</v>
      </c>
      <c r="O616" s="25" t="n">
        <f>IF(K616=0,0,MIN(1,J616/K616))</f>
        <v>1</v>
      </c>
      <c r="P616" s="23" t="n">
        <f>IF(J616&gt;0,MAX(K616-J616,0),0)</f>
        <v>0</v>
      </c>
      <c r="Q616" s="23" t="n">
        <f>IF(J616=0,K616,0)</f>
        <v>0</v>
      </c>
      <c r="R616" s="23" t="n">
        <f>MAX(J616-K616,0)</f>
        <v>0</v>
      </c>
      <c r="S616" s="23" t="n">
        <f>IF(J616&gt;0,MAX(L616-J616,0),L616)</f>
        <v>0</v>
      </c>
    </row>
    <row r="617">
      <c r="A617" s="19" t="str">
        <v>捷克区</v>
      </c>
      <c r="B617" s="19" t="str">
        <v>布拉格3号仓</v>
      </c>
      <c r="C617" s="19" t="str">
        <v>拣货组</v>
      </c>
      <c r="D617" s="21" t="n">
        <v>46127</v>
      </c>
      <c r="E617" s="19" t="str">
        <v>2026-04</v>
      </c>
      <c r="F617" s="19" t="str">
        <v>操作员</v>
      </c>
      <c r="G617" s="19" t="str">
        <v>捷克区07:00-15:30 / CZ 07:00-15:30</v>
      </c>
      <c r="H617" s="23" t="n">
        <v>1</v>
      </c>
      <c r="I617" s="23" t="n">
        <v>0</v>
      </c>
      <c r="J617" s="23" t="n">
        <f>H617+I617</f>
        <v>1</v>
      </c>
      <c r="K617" s="23" t="n">
        <v>0</v>
      </c>
      <c r="L617" s="23" t="n">
        <v>0</v>
      </c>
      <c r="M617" s="23" t="n">
        <f>MIN(K617,J617)</f>
        <v>0</v>
      </c>
      <c r="N617" s="23" t="n">
        <f>MIN(L617,J617)</f>
        <v>0</v>
      </c>
      <c r="O617" s="25" t="n">
        <f>IF(K617=0,0,MIN(1,J617/K617))</f>
        <v>0</v>
      </c>
      <c r="P617" s="23" t="n">
        <f>IF(J617&gt;0,MAX(K617-J617,0),0)</f>
        <v>0</v>
      </c>
      <c r="Q617" s="23" t="n">
        <f>IF(J617=0,K617,0)</f>
        <v>0</v>
      </c>
      <c r="R617" s="23" t="n">
        <f>MAX(J617-K617,0)</f>
        <v>1</v>
      </c>
      <c r="S617" s="23" t="n">
        <f>IF(J617&gt;0,MAX(L617-J617,0),L617)</f>
        <v>0</v>
      </c>
    </row>
    <row r="618">
      <c r="A618" s="19" t="str">
        <v>捷克区</v>
      </c>
      <c r="B618" s="19" t="str">
        <v>布拉格3号仓</v>
      </c>
      <c r="C618" s="19" t="str">
        <v>拣货组</v>
      </c>
      <c r="D618" s="21" t="n">
        <v>46128</v>
      </c>
      <c r="E618" s="19" t="str">
        <v>2026-04</v>
      </c>
      <c r="F618" s="19" t="str">
        <v>操作员</v>
      </c>
      <c r="G618" s="19" t="str">
        <v>捷克区07:00-15:30 / CZ 07:00-15:30</v>
      </c>
      <c r="H618" s="23" t="n">
        <v>1</v>
      </c>
      <c r="I618" s="23" t="n">
        <v>0</v>
      </c>
      <c r="J618" s="23" t="n">
        <f>H618+I618</f>
        <v>1</v>
      </c>
      <c r="K618" s="23" t="n">
        <v>0</v>
      </c>
      <c r="L618" s="23" t="n">
        <v>0</v>
      </c>
      <c r="M618" s="23" t="n">
        <f>MIN(K618,J618)</f>
        <v>0</v>
      </c>
      <c r="N618" s="23" t="n">
        <f>MIN(L618,J618)</f>
        <v>0</v>
      </c>
      <c r="O618" s="25" t="n">
        <f>IF(K618=0,0,MIN(1,J618/K618))</f>
        <v>0</v>
      </c>
      <c r="P618" s="23" t="n">
        <f>IF(J618&gt;0,MAX(K618-J618,0),0)</f>
        <v>0</v>
      </c>
      <c r="Q618" s="23" t="n">
        <f>IF(J618=0,K618,0)</f>
        <v>0</v>
      </c>
      <c r="R618" s="23" t="n">
        <f>MAX(J618-K618,0)</f>
        <v>1</v>
      </c>
      <c r="S618" s="23" t="n">
        <f>IF(J618&gt;0,MAX(L618-J618,0),L618)</f>
        <v>0</v>
      </c>
    </row>
    <row r="619">
      <c r="A619" s="19" t="str">
        <v>捷克区</v>
      </c>
      <c r="B619" s="19" t="str">
        <v>布拉格3号仓</v>
      </c>
      <c r="C619" s="19" t="str">
        <v>拣货组</v>
      </c>
      <c r="D619" s="21" t="n">
        <v>46129</v>
      </c>
      <c r="E619" s="19" t="str">
        <v>2026-04</v>
      </c>
      <c r="F619" s="19" t="str">
        <v>操作员</v>
      </c>
      <c r="G619" s="19" t="str">
        <v>捷克区07:00-15:30 / CZ 07:00-15:30</v>
      </c>
      <c r="H619" s="23" t="n">
        <v>1</v>
      </c>
      <c r="I619" s="23" t="n">
        <v>0</v>
      </c>
      <c r="J619" s="23" t="n">
        <f>H619+I619</f>
        <v>1</v>
      </c>
      <c r="K619" s="23" t="n">
        <v>0</v>
      </c>
      <c r="L619" s="23" t="n">
        <v>0</v>
      </c>
      <c r="M619" s="23" t="n">
        <f>MIN(K619,J619)</f>
        <v>0</v>
      </c>
      <c r="N619" s="23" t="n">
        <f>MIN(L619,J619)</f>
        <v>0</v>
      </c>
      <c r="O619" s="25" t="n">
        <f>IF(K619=0,0,MIN(1,J619/K619))</f>
        <v>0</v>
      </c>
      <c r="P619" s="23" t="n">
        <f>IF(J619&gt;0,MAX(K619-J619,0),0)</f>
        <v>0</v>
      </c>
      <c r="Q619" s="23" t="n">
        <f>IF(J619=0,K619,0)</f>
        <v>0</v>
      </c>
      <c r="R619" s="23" t="n">
        <f>MAX(J619-K619,0)</f>
        <v>1</v>
      </c>
      <c r="S619" s="23" t="n">
        <f>IF(J619&gt;0,MAX(L619-J619,0),L619)</f>
        <v>0</v>
      </c>
    </row>
    <row r="620">
      <c r="A620" s="19" t="str">
        <v>捷克区</v>
      </c>
      <c r="B620" s="19" t="str">
        <v>布拉格3号仓</v>
      </c>
      <c r="C620" s="19" t="str">
        <v>拣货组</v>
      </c>
      <c r="D620" s="21" t="n">
        <v>46130</v>
      </c>
      <c r="E620" s="19" t="str">
        <v>2026-04</v>
      </c>
      <c r="F620" s="19" t="str">
        <v>操作员</v>
      </c>
      <c r="G620" s="19" t="str">
        <v>捷克区07:00-15:30 / CZ 07:00-15:30</v>
      </c>
      <c r="H620" s="23" t="n">
        <v>1</v>
      </c>
      <c r="I620" s="23" t="n">
        <v>0</v>
      </c>
      <c r="J620" s="23" t="n">
        <f>H620+I620</f>
        <v>1</v>
      </c>
      <c r="K620" s="23" t="n">
        <v>0</v>
      </c>
      <c r="L620" s="23" t="n">
        <v>0</v>
      </c>
      <c r="M620" s="23" t="n">
        <f>MIN(K620,J620)</f>
        <v>0</v>
      </c>
      <c r="N620" s="23" t="n">
        <f>MIN(L620,J620)</f>
        <v>0</v>
      </c>
      <c r="O620" s="25" t="n">
        <f>IF(K620=0,0,MIN(1,J620/K620))</f>
        <v>0</v>
      </c>
      <c r="P620" s="23" t="n">
        <f>IF(J620&gt;0,MAX(K620-J620,0),0)</f>
        <v>0</v>
      </c>
      <c r="Q620" s="23" t="n">
        <f>IF(J620=0,K620,0)</f>
        <v>0</v>
      </c>
      <c r="R620" s="23" t="n">
        <f>MAX(J620-K620,0)</f>
        <v>1</v>
      </c>
      <c r="S620" s="23" t="n">
        <f>IF(J620&gt;0,MAX(L620-J620,0),L620)</f>
        <v>0</v>
      </c>
    </row>
    <row r="621">
      <c r="A621" s="19" t="str">
        <v>捷克区</v>
      </c>
      <c r="B621" s="19" t="str">
        <v>布拉格3号仓</v>
      </c>
      <c r="C621" s="19" t="str">
        <v>拣货组</v>
      </c>
      <c r="D621" s="21" t="n">
        <v>46131</v>
      </c>
      <c r="E621" s="19" t="str">
        <v>2026-04</v>
      </c>
      <c r="F621" s="19" t="str">
        <v>操作员</v>
      </c>
      <c r="G621" s="19" t="str">
        <v>捷克区07:00-15:30 / CZ 07:00-15:30</v>
      </c>
      <c r="H621" s="23" t="n">
        <v>1</v>
      </c>
      <c r="I621" s="23" t="n">
        <v>0</v>
      </c>
      <c r="J621" s="23" t="n">
        <f>H621+I621</f>
        <v>1</v>
      </c>
      <c r="K621" s="23" t="n">
        <v>0</v>
      </c>
      <c r="L621" s="23" t="n">
        <v>0</v>
      </c>
      <c r="M621" s="23" t="n">
        <f>MIN(K621,J621)</f>
        <v>0</v>
      </c>
      <c r="N621" s="23" t="n">
        <f>MIN(L621,J621)</f>
        <v>0</v>
      </c>
      <c r="O621" s="25" t="n">
        <f>IF(K621=0,0,MIN(1,J621/K621))</f>
        <v>0</v>
      </c>
      <c r="P621" s="23" t="n">
        <f>IF(J621&gt;0,MAX(K621-J621,0),0)</f>
        <v>0</v>
      </c>
      <c r="Q621" s="23" t="n">
        <f>IF(J621=0,K621,0)</f>
        <v>0</v>
      </c>
      <c r="R621" s="23" t="n">
        <f>MAX(J621-K621,0)</f>
        <v>1</v>
      </c>
      <c r="S621" s="23" t="n">
        <f>IF(J621&gt;0,MAX(L621-J621,0),L621)</f>
        <v>0</v>
      </c>
    </row>
    <row r="622">
      <c r="A622" s="19" t="str">
        <v>捷克区</v>
      </c>
      <c r="B622" s="19" t="str">
        <v>布拉格3号仓</v>
      </c>
      <c r="C622" s="19" t="str">
        <v>拣货组</v>
      </c>
      <c r="D622" s="21" t="n">
        <v>46132</v>
      </c>
      <c r="E622" s="19" t="str">
        <v>2026-04</v>
      </c>
      <c r="F622" s="19" t="str">
        <v>操作员</v>
      </c>
      <c r="G622" s="19" t="str">
        <v>捷克区07:00-15:30 / CZ 07:00-15:30</v>
      </c>
      <c r="H622" s="23" t="n">
        <v>1</v>
      </c>
      <c r="I622" s="23" t="n">
        <v>0</v>
      </c>
      <c r="J622" s="23" t="n">
        <f>H622+I622</f>
        <v>1</v>
      </c>
      <c r="K622" s="23" t="n">
        <v>1</v>
      </c>
      <c r="L622" s="23" t="n">
        <v>1</v>
      </c>
      <c r="M622" s="23" t="n">
        <f>MIN(K622,J622)</f>
        <v>1</v>
      </c>
      <c r="N622" s="23" t="n">
        <f>MIN(L622,J622)</f>
        <v>1</v>
      </c>
      <c r="O622" s="25" t="n">
        <f>IF(K622=0,0,MIN(1,J622/K622))</f>
        <v>1</v>
      </c>
      <c r="P622" s="23" t="n">
        <f>IF(J622&gt;0,MAX(K622-J622,0),0)</f>
        <v>0</v>
      </c>
      <c r="Q622" s="23" t="n">
        <f>IF(J622=0,K622,0)</f>
        <v>0</v>
      </c>
      <c r="R622" s="23" t="n">
        <f>MAX(J622-K622,0)</f>
        <v>0</v>
      </c>
      <c r="S622" s="23" t="n">
        <f>IF(J622&gt;0,MAX(L622-J622,0),L622)</f>
        <v>0</v>
      </c>
    </row>
    <row r="623">
      <c r="A623" s="19" t="str">
        <v>捷克区</v>
      </c>
      <c r="B623" s="19" t="str">
        <v>布拉格3号仓</v>
      </c>
      <c r="C623" s="19" t="str">
        <v>拣货组</v>
      </c>
      <c r="D623" s="21" t="n">
        <v>46136</v>
      </c>
      <c r="E623" s="19" t="str">
        <v>2026-04</v>
      </c>
      <c r="F623" s="19" t="str">
        <v>操作员</v>
      </c>
      <c r="G623" s="19" t="str">
        <v>捷克区07:00-15:30 / CZ 07:00-15:30</v>
      </c>
      <c r="H623" s="23" t="n">
        <v>1</v>
      </c>
      <c r="I623" s="23" t="n">
        <v>0</v>
      </c>
      <c r="J623" s="23" t="n">
        <f>H623+I623</f>
        <v>1</v>
      </c>
      <c r="K623" s="23" t="n">
        <v>1</v>
      </c>
      <c r="L623" s="23" t="n">
        <v>1</v>
      </c>
      <c r="M623" s="23" t="n">
        <f>MIN(K623,J623)</f>
        <v>1</v>
      </c>
      <c r="N623" s="23" t="n">
        <f>MIN(L623,J623)</f>
        <v>1</v>
      </c>
      <c r="O623" s="25" t="n">
        <f>IF(K623=0,0,MIN(1,J623/K623))</f>
        <v>1</v>
      </c>
      <c r="P623" s="23" t="n">
        <f>IF(J623&gt;0,MAX(K623-J623,0),0)</f>
        <v>0</v>
      </c>
      <c r="Q623" s="23" t="n">
        <f>IF(J623=0,K623,0)</f>
        <v>0</v>
      </c>
      <c r="R623" s="23" t="n">
        <f>MAX(J623-K623,0)</f>
        <v>0</v>
      </c>
      <c r="S623" s="23" t="n">
        <f>IF(J623&gt;0,MAX(L623-J623,0),L623)</f>
        <v>0</v>
      </c>
    </row>
    <row r="624">
      <c r="A624" s="19" t="str">
        <v>捷克区</v>
      </c>
      <c r="B624" s="19" t="str">
        <v>布拉格3号仓</v>
      </c>
      <c r="C624" s="19" t="str">
        <v>拣货组</v>
      </c>
      <c r="D624" s="21" t="n">
        <v>46139</v>
      </c>
      <c r="E624" s="19" t="str">
        <v>2026-04</v>
      </c>
      <c r="F624" s="19" t="str">
        <v>操作员</v>
      </c>
      <c r="G624" s="19" t="str">
        <v>捷克区07:00-15:30 / CZ 07:00-15:30</v>
      </c>
      <c r="H624" s="23" t="n">
        <v>1</v>
      </c>
      <c r="I624" s="23" t="n">
        <v>0</v>
      </c>
      <c r="J624" s="23" t="n">
        <f>H624+I624</f>
        <v>1</v>
      </c>
      <c r="K624" s="23" t="n">
        <v>1</v>
      </c>
      <c r="L624" s="23" t="n">
        <v>1</v>
      </c>
      <c r="M624" s="23" t="n">
        <f>MIN(K624,J624)</f>
        <v>1</v>
      </c>
      <c r="N624" s="23" t="n">
        <f>MIN(L624,J624)</f>
        <v>1</v>
      </c>
      <c r="O624" s="25" t="n">
        <f>IF(K624=0,0,MIN(1,J624/K624))</f>
        <v>1</v>
      </c>
      <c r="P624" s="23" t="n">
        <f>IF(J624&gt;0,MAX(K624-J624,0),0)</f>
        <v>0</v>
      </c>
      <c r="Q624" s="23" t="n">
        <f>IF(J624=0,K624,0)</f>
        <v>0</v>
      </c>
      <c r="R624" s="23" t="n">
        <f>MAX(J624-K624,0)</f>
        <v>0</v>
      </c>
      <c r="S624" s="23" t="n">
        <f>IF(J624&gt;0,MAX(L624-J624,0),L624)</f>
        <v>0</v>
      </c>
    </row>
    <row r="625">
      <c r="A625" s="19" t="str">
        <v>捷克区</v>
      </c>
      <c r="B625" s="19" t="str">
        <v>布拉格3号仓</v>
      </c>
      <c r="C625" s="19" t="str">
        <v>拣货组</v>
      </c>
      <c r="D625" s="21" t="n">
        <v>46140</v>
      </c>
      <c r="E625" s="19" t="str">
        <v>2026-04</v>
      </c>
      <c r="F625" s="19" t="str">
        <v>操作员</v>
      </c>
      <c r="G625" s="19" t="str">
        <v>捷克区07:00-15:30 / CZ 07:00-15:30</v>
      </c>
      <c r="H625" s="23" t="n">
        <v>1</v>
      </c>
      <c r="I625" s="23" t="n">
        <v>0</v>
      </c>
      <c r="J625" s="23" t="n">
        <f>H625+I625</f>
        <v>1</v>
      </c>
      <c r="K625" s="23" t="n">
        <v>1</v>
      </c>
      <c r="L625" s="23" t="n">
        <v>1</v>
      </c>
      <c r="M625" s="23" t="n">
        <f>MIN(K625,J625)</f>
        <v>1</v>
      </c>
      <c r="N625" s="23" t="n">
        <f>MIN(L625,J625)</f>
        <v>1</v>
      </c>
      <c r="O625" s="25" t="n">
        <f>IF(K625=0,0,MIN(1,J625/K625))</f>
        <v>1</v>
      </c>
      <c r="P625" s="23" t="n">
        <f>IF(J625&gt;0,MAX(K625-J625,0),0)</f>
        <v>0</v>
      </c>
      <c r="Q625" s="23" t="n">
        <f>IF(J625=0,K625,0)</f>
        <v>0</v>
      </c>
      <c r="R625" s="23" t="n">
        <f>MAX(J625-K625,0)</f>
        <v>0</v>
      </c>
      <c r="S625" s="23" t="n">
        <f>IF(J625&gt;0,MAX(L625-J625,0),L625)</f>
        <v>0</v>
      </c>
    </row>
    <row r="626">
      <c r="A626" s="19" t="str">
        <v>捷克区</v>
      </c>
      <c r="B626" s="19" t="str">
        <v>布拉格3号仓</v>
      </c>
      <c r="C626" s="19" t="str">
        <v>拣货组</v>
      </c>
      <c r="D626" s="21" t="n">
        <v>46141</v>
      </c>
      <c r="E626" s="19" t="str">
        <v>2026-04</v>
      </c>
      <c r="F626" s="19" t="str">
        <v>操作员</v>
      </c>
      <c r="G626" s="19" t="str">
        <v>捷克区07:00-15:30 / CZ 07:00-15:30</v>
      </c>
      <c r="H626" s="23" t="n">
        <v>2</v>
      </c>
      <c r="I626" s="23" t="n">
        <v>0</v>
      </c>
      <c r="J626" s="23" t="n">
        <f>H626+I626</f>
        <v>2</v>
      </c>
      <c r="K626" s="23" t="n">
        <v>2</v>
      </c>
      <c r="L626" s="23" t="n">
        <v>2</v>
      </c>
      <c r="M626" s="23" t="n">
        <f>MIN(K626,J626)</f>
        <v>2</v>
      </c>
      <c r="N626" s="23" t="n">
        <f>MIN(L626,J626)</f>
        <v>2</v>
      </c>
      <c r="O626" s="25" t="n">
        <f>IF(K626=0,0,MIN(1,J626/K626))</f>
        <v>1</v>
      </c>
      <c r="P626" s="23" t="n">
        <f>IF(J626&gt;0,MAX(K626-J626,0),0)</f>
        <v>0</v>
      </c>
      <c r="Q626" s="23" t="n">
        <f>IF(J626=0,K626,0)</f>
        <v>0</v>
      </c>
      <c r="R626" s="23" t="n">
        <f>MAX(J626-K626,0)</f>
        <v>0</v>
      </c>
      <c r="S626" s="23" t="n">
        <f>IF(J626&gt;0,MAX(L626-J626,0),L626)</f>
        <v>0</v>
      </c>
    </row>
    <row r="627">
      <c r="A627" s="19" t="str">
        <v>捷克区</v>
      </c>
      <c r="B627" s="19" t="str">
        <v>布拉格3号仓</v>
      </c>
      <c r="C627" s="19" t="str">
        <v>拣货组</v>
      </c>
      <c r="D627" s="21" t="n">
        <v>46142</v>
      </c>
      <c r="E627" s="19" t="str">
        <v>2026-04</v>
      </c>
      <c r="F627" s="19" t="str">
        <v>操作员</v>
      </c>
      <c r="G627" s="19" t="str">
        <v>捷克区07:00-15:30 / CZ 07:00-15:30</v>
      </c>
      <c r="H627" s="23" t="n">
        <v>1</v>
      </c>
      <c r="I627" s="23" t="n">
        <v>0</v>
      </c>
      <c r="J627" s="23" t="n">
        <f>H627+I627</f>
        <v>1</v>
      </c>
      <c r="K627" s="23" t="n">
        <v>1</v>
      </c>
      <c r="L627" s="23" t="n">
        <v>1</v>
      </c>
      <c r="M627" s="23" t="n">
        <f>MIN(K627,J627)</f>
        <v>1</v>
      </c>
      <c r="N627" s="23" t="n">
        <f>MIN(L627,J627)</f>
        <v>1</v>
      </c>
      <c r="O627" s="25" t="n">
        <f>IF(K627=0,0,MIN(1,J627/K627))</f>
        <v>1</v>
      </c>
      <c r="P627" s="23" t="n">
        <f>IF(J627&gt;0,MAX(K627-J627,0),0)</f>
        <v>0</v>
      </c>
      <c r="Q627" s="23" t="n">
        <f>IF(J627=0,K627,0)</f>
        <v>0</v>
      </c>
      <c r="R627" s="23" t="n">
        <f>MAX(J627-K627,0)</f>
        <v>0</v>
      </c>
      <c r="S627" s="23" t="n">
        <f>IF(J627&gt;0,MAX(L627-J627,0),L627)</f>
        <v>0</v>
      </c>
    </row>
    <row r="628">
      <c r="A628" s="19" t="str">
        <v>捷克区</v>
      </c>
      <c r="B628" s="19" t="str">
        <v>布拉格3号仓</v>
      </c>
      <c r="C628" s="19" t="str">
        <v>拣货组</v>
      </c>
      <c r="D628" s="21" t="n">
        <v>46170</v>
      </c>
      <c r="E628" s="19" t="str">
        <v>2026-05</v>
      </c>
      <c r="F628" s="19" t="str">
        <v>操作员</v>
      </c>
      <c r="G628" s="19" t="str">
        <v>捷克区07:00-15:30 / CZ 07:00-15:30</v>
      </c>
      <c r="H628" s="23" t="n">
        <v>1</v>
      </c>
      <c r="I628" s="23" t="n">
        <v>0</v>
      </c>
      <c r="J628" s="23" t="n">
        <f>H628+I628</f>
        <v>1</v>
      </c>
      <c r="K628" s="23" t="n">
        <v>1</v>
      </c>
      <c r="L628" s="23" t="n">
        <v>1</v>
      </c>
      <c r="M628" s="23" t="n">
        <f>MIN(K628,J628)</f>
        <v>1</v>
      </c>
      <c r="N628" s="23" t="n">
        <f>MIN(L628,J628)</f>
        <v>1</v>
      </c>
      <c r="O628" s="25" t="n">
        <f>IF(K628=0,0,MIN(1,J628/K628))</f>
        <v>1</v>
      </c>
      <c r="P628" s="23" t="n">
        <f>IF(J628&gt;0,MAX(K628-J628,0),0)</f>
        <v>0</v>
      </c>
      <c r="Q628" s="23" t="n">
        <f>IF(J628=0,K628,0)</f>
        <v>0</v>
      </c>
      <c r="R628" s="23" t="n">
        <f>MAX(J628-K628,0)</f>
        <v>0</v>
      </c>
      <c r="S628" s="23" t="n">
        <f>IF(J628&gt;0,MAX(L628-J628,0),L628)</f>
        <v>0</v>
      </c>
    </row>
    <row r="629">
      <c r="A629" s="19" t="str">
        <v>捷克区</v>
      </c>
      <c r="B629" s="19" t="str">
        <v>布拉格3号仓</v>
      </c>
      <c r="C629" s="19" t="str">
        <v>拣货组</v>
      </c>
      <c r="D629" s="21" t="n">
        <v>46178</v>
      </c>
      <c r="E629" s="19" t="str">
        <v>2026-06</v>
      </c>
      <c r="F629" s="19" t="str">
        <v>操作员</v>
      </c>
      <c r="G629" s="19" t="str">
        <v>捷克区07:00-15:30 / CZ 07:00-15:30</v>
      </c>
      <c r="H629" s="23" t="n">
        <v>2</v>
      </c>
      <c r="I629" s="23" t="n">
        <v>0</v>
      </c>
      <c r="J629" s="23" t="n">
        <f>H629+I629</f>
        <v>2</v>
      </c>
      <c r="K629" s="23" t="n">
        <v>2</v>
      </c>
      <c r="L629" s="23" t="n">
        <v>1</v>
      </c>
      <c r="M629" s="23" t="n">
        <f>MIN(K629,J629)</f>
        <v>2</v>
      </c>
      <c r="N629" s="23" t="n">
        <f>MIN(L629,J629)</f>
        <v>1</v>
      </c>
      <c r="O629" s="25" t="n">
        <f>IF(K629=0,0,MIN(1,J629/K629))</f>
        <v>1</v>
      </c>
      <c r="P629" s="23" t="n">
        <f>IF(J629&gt;0,MAX(K629-J629,0),0)</f>
        <v>0</v>
      </c>
      <c r="Q629" s="23" t="n">
        <f>IF(J629=0,K629,0)</f>
        <v>0</v>
      </c>
      <c r="R629" s="23" t="n">
        <f>MAX(J629-K629,0)</f>
        <v>0</v>
      </c>
      <c r="S629" s="23" t="n">
        <f>IF(J629&gt;0,MAX(L629-J629,0),L629)</f>
        <v>0</v>
      </c>
    </row>
    <row r="630">
      <c r="A630" s="19" t="str">
        <v>捷克区</v>
      </c>
      <c r="B630" s="19" t="str">
        <v>布拉格3号仓</v>
      </c>
      <c r="C630" s="19" t="str">
        <v>拣货组</v>
      </c>
      <c r="D630" s="21" t="n">
        <v>46183</v>
      </c>
      <c r="E630" s="19" t="str">
        <v>2026-06</v>
      </c>
      <c r="F630" s="19" t="str">
        <v>操作员</v>
      </c>
      <c r="G630" s="19" t="str">
        <v>捷克区07:00-15:30 / CZ 07:00-15:30</v>
      </c>
      <c r="H630" s="23" t="n">
        <v>1</v>
      </c>
      <c r="I630" s="23" t="n">
        <v>0</v>
      </c>
      <c r="J630" s="23" t="n">
        <f>H630+I630</f>
        <v>1</v>
      </c>
      <c r="K630" s="23" t="n">
        <v>1</v>
      </c>
      <c r="L630" s="23" t="n">
        <v>1</v>
      </c>
      <c r="M630" s="23" t="n">
        <f>MIN(K630,J630)</f>
        <v>1</v>
      </c>
      <c r="N630" s="23" t="n">
        <f>MIN(L630,J630)</f>
        <v>1</v>
      </c>
      <c r="O630" s="25" t="n">
        <f>IF(K630=0,0,MIN(1,J630/K630))</f>
        <v>1</v>
      </c>
      <c r="P630" s="23" t="n">
        <f>IF(J630&gt;0,MAX(K630-J630,0),0)</f>
        <v>0</v>
      </c>
      <c r="Q630" s="23" t="n">
        <f>IF(J630=0,K630,0)</f>
        <v>0</v>
      </c>
      <c r="R630" s="23" t="n">
        <f>MAX(J630-K630,0)</f>
        <v>0</v>
      </c>
      <c r="S630" s="23" t="n">
        <f>IF(J630&gt;0,MAX(L630-J630,0),L630)</f>
        <v>0</v>
      </c>
    </row>
    <row r="631">
      <c r="A631" s="19" t="str">
        <v>捷克区</v>
      </c>
      <c r="B631" s="19" t="str">
        <v>布拉格3号仓</v>
      </c>
      <c r="C631" s="19" t="str">
        <v>拣货组</v>
      </c>
      <c r="D631" s="21" t="n">
        <v>46185</v>
      </c>
      <c r="E631" s="19" t="str">
        <v>2026-06</v>
      </c>
      <c r="F631" s="19" t="str">
        <v>操作员</v>
      </c>
      <c r="G631" s="19" t="str">
        <v>捷克区07:00-15:30 / CZ 07:00-15:30</v>
      </c>
      <c r="H631" s="23" t="n">
        <v>1</v>
      </c>
      <c r="I631" s="23" t="n">
        <v>0</v>
      </c>
      <c r="J631" s="23" t="n">
        <f>H631+I631</f>
        <v>1</v>
      </c>
      <c r="K631" s="23" t="n">
        <v>1</v>
      </c>
      <c r="L631" s="23" t="n">
        <v>1</v>
      </c>
      <c r="M631" s="23" t="n">
        <f>MIN(K631,J631)</f>
        <v>1</v>
      </c>
      <c r="N631" s="23" t="n">
        <f>MIN(L631,J631)</f>
        <v>1</v>
      </c>
      <c r="O631" s="25" t="n">
        <f>IF(K631=0,0,MIN(1,J631/K631))</f>
        <v>1</v>
      </c>
      <c r="P631" s="23" t="n">
        <f>IF(J631&gt;0,MAX(K631-J631,0),0)</f>
        <v>0</v>
      </c>
      <c r="Q631" s="23" t="n">
        <f>IF(J631=0,K631,0)</f>
        <v>0</v>
      </c>
      <c r="R631" s="23" t="n">
        <f>MAX(J631-K631,0)</f>
        <v>0</v>
      </c>
      <c r="S631" s="23" t="n">
        <f>IF(J631&gt;0,MAX(L631-J631,0),L631)</f>
        <v>0</v>
      </c>
    </row>
    <row r="632">
      <c r="A632" s="19" t="str">
        <v>捷克区</v>
      </c>
      <c r="B632" s="19" t="str">
        <v>布拉格3号仓</v>
      </c>
      <c r="C632" s="19" t="str">
        <v>拣货组</v>
      </c>
      <c r="D632" s="21" t="n">
        <v>46189</v>
      </c>
      <c r="E632" s="19" t="str">
        <v>2026-06</v>
      </c>
      <c r="F632" s="19" t="str">
        <v>操作员</v>
      </c>
      <c r="G632" s="19" t="str">
        <v>捷克区07:00-15:30 / CZ 07:00-15:30</v>
      </c>
      <c r="H632" s="23" t="n">
        <v>1</v>
      </c>
      <c r="I632" s="23" t="n">
        <v>0</v>
      </c>
      <c r="J632" s="23" t="n">
        <f>H632+I632</f>
        <v>1</v>
      </c>
      <c r="K632" s="23" t="n">
        <v>1</v>
      </c>
      <c r="L632" s="23" t="n">
        <v>1</v>
      </c>
      <c r="M632" s="23" t="n">
        <f>MIN(K632,J632)</f>
        <v>1</v>
      </c>
      <c r="N632" s="23" t="n">
        <f>MIN(L632,J632)</f>
        <v>1</v>
      </c>
      <c r="O632" s="25" t="n">
        <f>IF(K632=0,0,MIN(1,J632/K632))</f>
        <v>1</v>
      </c>
      <c r="P632" s="23" t="n">
        <f>IF(J632&gt;0,MAX(K632-J632,0),0)</f>
        <v>0</v>
      </c>
      <c r="Q632" s="23" t="n">
        <f>IF(J632=0,K632,0)</f>
        <v>0</v>
      </c>
      <c r="R632" s="23" t="n">
        <f>MAX(J632-K632,0)</f>
        <v>0</v>
      </c>
      <c r="S632" s="23" t="n">
        <f>IF(J632&gt;0,MAX(L632-J632,0),L632)</f>
        <v>0</v>
      </c>
    </row>
    <row r="633">
      <c r="A633" s="19" t="str">
        <v>捷克区</v>
      </c>
      <c r="B633" s="19" t="str">
        <v>布拉格5号仓</v>
      </c>
      <c r="C633" s="19" t="str">
        <v>拣货组</v>
      </c>
      <c r="D633" s="21" t="n">
        <v>46184</v>
      </c>
      <c r="E633" s="19" t="str">
        <v>2026-06</v>
      </c>
      <c r="F633" s="19" t="str">
        <v>叉车司机</v>
      </c>
      <c r="G633" s="19" t="str">
        <v>捷克区07:00-15:30 / CZ 07:00-15:30</v>
      </c>
      <c r="H633" s="23" t="n">
        <v>1</v>
      </c>
      <c r="I633" s="23" t="n">
        <v>0</v>
      </c>
      <c r="J633" s="23" t="n">
        <f>H633+I633</f>
        <v>1</v>
      </c>
      <c r="K633" s="23" t="n">
        <v>1</v>
      </c>
      <c r="L633" s="23" t="n">
        <v>0</v>
      </c>
      <c r="M633" s="23" t="n">
        <f>MIN(K633,J633)</f>
        <v>1</v>
      </c>
      <c r="N633" s="23" t="n">
        <f>MIN(L633,J633)</f>
        <v>0</v>
      </c>
      <c r="O633" s="25" t="n">
        <f>IF(K633=0,0,MIN(1,J633/K633))</f>
        <v>1</v>
      </c>
      <c r="P633" s="23" t="n">
        <f>IF(J633&gt;0,MAX(K633-J633,0),0)</f>
        <v>0</v>
      </c>
      <c r="Q633" s="23" t="n">
        <f>IF(J633=0,K633,0)</f>
        <v>0</v>
      </c>
      <c r="R633" s="23" t="n">
        <f>MAX(J633-K633,0)</f>
        <v>0</v>
      </c>
      <c r="S633" s="23" t="n">
        <f>IF(J633&gt;0,MAX(L633-J633,0),L633)</f>
        <v>0</v>
      </c>
    </row>
    <row r="634">
      <c r="A634" s="19" t="str">
        <v>捷克区</v>
      </c>
      <c r="B634" s="19" t="str">
        <v>布拉格5号仓</v>
      </c>
      <c r="C634" s="19" t="str">
        <v>拣货组</v>
      </c>
      <c r="D634" s="21" t="n">
        <v>46185</v>
      </c>
      <c r="E634" s="19" t="str">
        <v>2026-06</v>
      </c>
      <c r="F634" s="19" t="str">
        <v>叉车司机</v>
      </c>
      <c r="G634" s="19" t="str">
        <v>捷克区07:00-15:30 / CZ 07:00-15:30</v>
      </c>
      <c r="H634" s="23" t="n">
        <v>1</v>
      </c>
      <c r="I634" s="23" t="n">
        <v>0</v>
      </c>
      <c r="J634" s="23" t="n">
        <f>H634+I634</f>
        <v>1</v>
      </c>
      <c r="K634" s="23" t="n">
        <v>1</v>
      </c>
      <c r="L634" s="23" t="n">
        <v>0</v>
      </c>
      <c r="M634" s="23" t="n">
        <f>MIN(K634,J634)</f>
        <v>1</v>
      </c>
      <c r="N634" s="23" t="n">
        <f>MIN(L634,J634)</f>
        <v>0</v>
      </c>
      <c r="O634" s="25" t="n">
        <f>IF(K634=0,0,MIN(1,J634/K634))</f>
        <v>1</v>
      </c>
      <c r="P634" s="23" t="n">
        <f>IF(J634&gt;0,MAX(K634-J634,0),0)</f>
        <v>0</v>
      </c>
      <c r="Q634" s="23" t="n">
        <f>IF(J634=0,K634,0)</f>
        <v>0</v>
      </c>
      <c r="R634" s="23" t="n">
        <f>MAX(J634-K634,0)</f>
        <v>0</v>
      </c>
      <c r="S634" s="23" t="n">
        <f>IF(J634&gt;0,MAX(L634-J634,0),L634)</f>
        <v>0</v>
      </c>
    </row>
    <row r="635">
      <c r="A635" s="19" t="str">
        <v>捷克区</v>
      </c>
      <c r="B635" s="19" t="str">
        <v>布拉格5号仓</v>
      </c>
      <c r="C635" s="19" t="str">
        <v>拣货组</v>
      </c>
      <c r="D635" s="21" t="n">
        <v>46186</v>
      </c>
      <c r="E635" s="19" t="str">
        <v>2026-06</v>
      </c>
      <c r="F635" s="19" t="str">
        <v>叉车司机</v>
      </c>
      <c r="G635" s="19" t="str">
        <v>捷克区07:00-15:30 / CZ 07:00-15:30</v>
      </c>
      <c r="H635" s="23" t="n">
        <v>1</v>
      </c>
      <c r="I635" s="23" t="n">
        <v>0</v>
      </c>
      <c r="J635" s="23" t="n">
        <f>H635+I635</f>
        <v>1</v>
      </c>
      <c r="K635" s="23" t="n">
        <v>1</v>
      </c>
      <c r="L635" s="23" t="n">
        <v>1</v>
      </c>
      <c r="M635" s="23" t="n">
        <f>MIN(K635,J635)</f>
        <v>1</v>
      </c>
      <c r="N635" s="23" t="n">
        <f>MIN(L635,J635)</f>
        <v>1</v>
      </c>
      <c r="O635" s="25" t="n">
        <f>IF(K635=0,0,MIN(1,J635/K635))</f>
        <v>1</v>
      </c>
      <c r="P635" s="23" t="n">
        <f>IF(J635&gt;0,MAX(K635-J635,0),0)</f>
        <v>0</v>
      </c>
      <c r="Q635" s="23" t="n">
        <f>IF(J635=0,K635,0)</f>
        <v>0</v>
      </c>
      <c r="R635" s="23" t="n">
        <f>MAX(J635-K635,0)</f>
        <v>0</v>
      </c>
      <c r="S635" s="23" t="n">
        <f>IF(J635&gt;0,MAX(L635-J635,0),L635)</f>
        <v>0</v>
      </c>
    </row>
    <row r="636">
      <c r="A636" s="19" t="str">
        <v>捷克区</v>
      </c>
      <c r="B636" s="19" t="str">
        <v>布拉格5号仓</v>
      </c>
      <c r="C636" s="19" t="str">
        <v>拣货组</v>
      </c>
      <c r="D636" s="21" t="n">
        <v>46187</v>
      </c>
      <c r="E636" s="19" t="str">
        <v>2026-06</v>
      </c>
      <c r="F636" s="19" t="str">
        <v>叉车司机</v>
      </c>
      <c r="G636" s="19" t="str">
        <v>捷克区07:00-15:30 / CZ 07:00-15:30</v>
      </c>
      <c r="H636" s="23" t="n">
        <v>1</v>
      </c>
      <c r="I636" s="23" t="n">
        <v>0</v>
      </c>
      <c r="J636" s="23" t="n">
        <f>H636+I636</f>
        <v>1</v>
      </c>
      <c r="K636" s="23" t="n">
        <v>1</v>
      </c>
      <c r="L636" s="23" t="n">
        <v>1</v>
      </c>
      <c r="M636" s="23" t="n">
        <f>MIN(K636,J636)</f>
        <v>1</v>
      </c>
      <c r="N636" s="23" t="n">
        <f>MIN(L636,J636)</f>
        <v>1</v>
      </c>
      <c r="O636" s="25" t="n">
        <f>IF(K636=0,0,MIN(1,J636/K636))</f>
        <v>1</v>
      </c>
      <c r="P636" s="23" t="n">
        <f>IF(J636&gt;0,MAX(K636-J636,0),0)</f>
        <v>0</v>
      </c>
      <c r="Q636" s="23" t="n">
        <f>IF(J636=0,K636,0)</f>
        <v>0</v>
      </c>
      <c r="R636" s="23" t="n">
        <f>MAX(J636-K636,0)</f>
        <v>0</v>
      </c>
      <c r="S636" s="23" t="n">
        <f>IF(J636&gt;0,MAX(L636-J636,0),L636)</f>
        <v>0</v>
      </c>
    </row>
    <row r="637">
      <c r="A637" s="19" t="str">
        <v>捷克区</v>
      </c>
      <c r="B637" s="19" t="str">
        <v>布拉格5号仓</v>
      </c>
      <c r="C637" s="19" t="str">
        <v>拣货组</v>
      </c>
      <c r="D637" s="21" t="n">
        <v>46188</v>
      </c>
      <c r="E637" s="19" t="str">
        <v>2026-06</v>
      </c>
      <c r="F637" s="19" t="str">
        <v>叉车司机</v>
      </c>
      <c r="G637" s="19" t="str">
        <v>捷克区07:00-15:30 / CZ 07:00-15:30</v>
      </c>
      <c r="H637" s="23" t="n">
        <v>1</v>
      </c>
      <c r="I637" s="23" t="n">
        <v>0</v>
      </c>
      <c r="J637" s="23" t="n">
        <f>H637+I637</f>
        <v>1</v>
      </c>
      <c r="K637" s="23" t="n">
        <v>1</v>
      </c>
      <c r="L637" s="23" t="n">
        <v>1</v>
      </c>
      <c r="M637" s="23" t="n">
        <f>MIN(K637,J637)</f>
        <v>1</v>
      </c>
      <c r="N637" s="23" t="n">
        <f>MIN(L637,J637)</f>
        <v>1</v>
      </c>
      <c r="O637" s="25" t="n">
        <f>IF(K637=0,0,MIN(1,J637/K637))</f>
        <v>1</v>
      </c>
      <c r="P637" s="23" t="n">
        <f>IF(J637&gt;0,MAX(K637-J637,0),0)</f>
        <v>0</v>
      </c>
      <c r="Q637" s="23" t="n">
        <f>IF(J637=0,K637,0)</f>
        <v>0</v>
      </c>
      <c r="R637" s="23" t="n">
        <f>MAX(J637-K637,0)</f>
        <v>0</v>
      </c>
      <c r="S637" s="23" t="n">
        <f>IF(J637&gt;0,MAX(L637-J637,0),L637)</f>
        <v>0</v>
      </c>
    </row>
    <row r="638">
      <c r="A638" s="19" t="str">
        <v>捷克区</v>
      </c>
      <c r="B638" s="19" t="str">
        <v>布拉格5号仓</v>
      </c>
      <c r="C638" s="19" t="str">
        <v>拣货组</v>
      </c>
      <c r="D638" s="21" t="n">
        <v>46189</v>
      </c>
      <c r="E638" s="19" t="str">
        <v>2026-06</v>
      </c>
      <c r="F638" s="19" t="str">
        <v>叉车司机</v>
      </c>
      <c r="G638" s="19" t="str">
        <v>捷克区07:00-15:30 / CZ 07:00-15:30</v>
      </c>
      <c r="H638" s="23" t="n">
        <v>1</v>
      </c>
      <c r="I638" s="23" t="n">
        <v>0</v>
      </c>
      <c r="J638" s="23" t="n">
        <f>H638+I638</f>
        <v>1</v>
      </c>
      <c r="K638" s="23" t="n">
        <v>1</v>
      </c>
      <c r="L638" s="23" t="n">
        <v>1</v>
      </c>
      <c r="M638" s="23" t="n">
        <f>MIN(K638,J638)</f>
        <v>1</v>
      </c>
      <c r="N638" s="23" t="n">
        <f>MIN(L638,J638)</f>
        <v>1</v>
      </c>
      <c r="O638" s="25" t="n">
        <f>IF(K638=0,0,MIN(1,J638/K638))</f>
        <v>1</v>
      </c>
      <c r="P638" s="23" t="n">
        <f>IF(J638&gt;0,MAX(K638-J638,0),0)</f>
        <v>0</v>
      </c>
      <c r="Q638" s="23" t="n">
        <f>IF(J638=0,K638,0)</f>
        <v>0</v>
      </c>
      <c r="R638" s="23" t="n">
        <f>MAX(J638-K638,0)</f>
        <v>0</v>
      </c>
      <c r="S638" s="23" t="n">
        <f>IF(J638&gt;0,MAX(L638-J638,0),L638)</f>
        <v>0</v>
      </c>
    </row>
    <row r="639">
      <c r="A639" s="19" t="str">
        <v>捷克区</v>
      </c>
      <c r="B639" s="19" t="str">
        <v>布拉格5号仓</v>
      </c>
      <c r="C639" s="19" t="str">
        <v>拣货组</v>
      </c>
      <c r="D639" s="21" t="n">
        <v>46190</v>
      </c>
      <c r="E639" s="19" t="str">
        <v>2026-06</v>
      </c>
      <c r="F639" s="19" t="str">
        <v>叉车司机</v>
      </c>
      <c r="G639" s="19" t="str">
        <v>捷克区07:00-15:30 / CZ 07:00-15:30</v>
      </c>
      <c r="H639" s="23" t="n">
        <v>1</v>
      </c>
      <c r="I639" s="23" t="n">
        <v>0</v>
      </c>
      <c r="J639" s="23" t="n">
        <f>H639+I639</f>
        <v>1</v>
      </c>
      <c r="K639" s="23" t="n">
        <v>1</v>
      </c>
      <c r="L639" s="23" t="n">
        <v>1</v>
      </c>
      <c r="M639" s="23" t="n">
        <f>MIN(K639,J639)</f>
        <v>1</v>
      </c>
      <c r="N639" s="23" t="n">
        <f>MIN(L639,J639)</f>
        <v>1</v>
      </c>
      <c r="O639" s="25" t="n">
        <f>IF(K639=0,0,MIN(1,J639/K639))</f>
        <v>1</v>
      </c>
      <c r="P639" s="23" t="n">
        <f>IF(J639&gt;0,MAX(K639-J639,0),0)</f>
        <v>0</v>
      </c>
      <c r="Q639" s="23" t="n">
        <f>IF(J639=0,K639,0)</f>
        <v>0</v>
      </c>
      <c r="R639" s="23" t="n">
        <f>MAX(J639-K639,0)</f>
        <v>0</v>
      </c>
      <c r="S639" s="23" t="n">
        <f>IF(J639&gt;0,MAX(L639-J639,0),L639)</f>
        <v>0</v>
      </c>
    </row>
    <row r="640">
      <c r="A640" s="19" t="str">
        <v>捷克区</v>
      </c>
      <c r="B640" s="19" t="str">
        <v>布拉格5号仓</v>
      </c>
      <c r="C640" s="19" t="str">
        <v>拣货组</v>
      </c>
      <c r="D640" s="21" t="n">
        <v>46191</v>
      </c>
      <c r="E640" s="19" t="str">
        <v>2026-06</v>
      </c>
      <c r="F640" s="19" t="str">
        <v>叉车司机</v>
      </c>
      <c r="G640" s="19" t="str">
        <v>捷克区07:00-15:30 / CZ 07:00-15:30</v>
      </c>
      <c r="H640" s="23" t="n">
        <v>1</v>
      </c>
      <c r="I640" s="23" t="n">
        <v>0</v>
      </c>
      <c r="J640" s="23" t="n">
        <f>H640+I640</f>
        <v>1</v>
      </c>
      <c r="K640" s="23" t="n">
        <v>1</v>
      </c>
      <c r="L640" s="23" t="n">
        <v>1</v>
      </c>
      <c r="M640" s="23" t="n">
        <f>MIN(K640,J640)</f>
        <v>1</v>
      </c>
      <c r="N640" s="23" t="n">
        <f>MIN(L640,J640)</f>
        <v>1</v>
      </c>
      <c r="O640" s="25" t="n">
        <f>IF(K640=0,0,MIN(1,J640/K640))</f>
        <v>1</v>
      </c>
      <c r="P640" s="23" t="n">
        <f>IF(J640&gt;0,MAX(K640-J640,0),0)</f>
        <v>0</v>
      </c>
      <c r="Q640" s="23" t="n">
        <f>IF(J640=0,K640,0)</f>
        <v>0</v>
      </c>
      <c r="R640" s="23" t="n">
        <f>MAX(J640-K640,0)</f>
        <v>0</v>
      </c>
      <c r="S640" s="23" t="n">
        <f>IF(J640&gt;0,MAX(L640-J640,0),L640)</f>
        <v>0</v>
      </c>
    </row>
    <row r="641">
      <c r="A641" s="19" t="str">
        <v>捷克区</v>
      </c>
      <c r="B641" s="19" t="str">
        <v>布拉格5号仓</v>
      </c>
      <c r="C641" s="19" t="str">
        <v>拣货组</v>
      </c>
      <c r="D641" s="21" t="n">
        <v>46192</v>
      </c>
      <c r="E641" s="19" t="str">
        <v>2026-06</v>
      </c>
      <c r="F641" s="19" t="str">
        <v>叉车司机</v>
      </c>
      <c r="G641" s="19" t="str">
        <v>捷克区07:00-15:30 / CZ 07:00-15:30</v>
      </c>
      <c r="H641" s="23" t="n">
        <v>1</v>
      </c>
      <c r="I641" s="23" t="n">
        <v>0</v>
      </c>
      <c r="J641" s="23" t="n">
        <f>H641+I641</f>
        <v>1</v>
      </c>
      <c r="K641" s="23" t="n">
        <v>1</v>
      </c>
      <c r="L641" s="23" t="n">
        <v>1</v>
      </c>
      <c r="M641" s="23" t="n">
        <f>MIN(K641,J641)</f>
        <v>1</v>
      </c>
      <c r="N641" s="23" t="n">
        <f>MIN(L641,J641)</f>
        <v>1</v>
      </c>
      <c r="O641" s="25" t="n">
        <f>IF(K641=0,0,MIN(1,J641/K641))</f>
        <v>1</v>
      </c>
      <c r="P641" s="23" t="n">
        <f>IF(J641&gt;0,MAX(K641-J641,0),0)</f>
        <v>0</v>
      </c>
      <c r="Q641" s="23" t="n">
        <f>IF(J641=0,K641,0)</f>
        <v>0</v>
      </c>
      <c r="R641" s="23" t="n">
        <f>MAX(J641-K641,0)</f>
        <v>0</v>
      </c>
      <c r="S641" s="23" t="n">
        <f>IF(J641&gt;0,MAX(L641-J641,0),L641)</f>
        <v>0</v>
      </c>
    </row>
    <row r="642">
      <c r="A642" s="19" t="str">
        <v>捷克区</v>
      </c>
      <c r="B642" s="19" t="str">
        <v>布拉格5号仓</v>
      </c>
      <c r="C642" s="19" t="str">
        <v>拣货组</v>
      </c>
      <c r="D642" s="21" t="n">
        <v>46193</v>
      </c>
      <c r="E642" s="19" t="str">
        <v>2026-06</v>
      </c>
      <c r="F642" s="19" t="str">
        <v>叉车司机</v>
      </c>
      <c r="G642" s="19" t="str">
        <v>捷克区07:00-15:30 / CZ 07:00-15:30</v>
      </c>
      <c r="H642" s="23" t="n">
        <v>1</v>
      </c>
      <c r="I642" s="23" t="n">
        <v>0</v>
      </c>
      <c r="J642" s="23" t="n">
        <f>H642+I642</f>
        <v>1</v>
      </c>
      <c r="K642" s="23" t="n">
        <v>1</v>
      </c>
      <c r="L642" s="23" t="n">
        <v>1</v>
      </c>
      <c r="M642" s="23" t="n">
        <f>MIN(K642,J642)</f>
        <v>1</v>
      </c>
      <c r="N642" s="23" t="n">
        <f>MIN(L642,J642)</f>
        <v>1</v>
      </c>
      <c r="O642" s="25" t="n">
        <f>IF(K642=0,0,MIN(1,J642/K642))</f>
        <v>1</v>
      </c>
      <c r="P642" s="23" t="n">
        <f>IF(J642&gt;0,MAX(K642-J642,0),0)</f>
        <v>0</v>
      </c>
      <c r="Q642" s="23" t="n">
        <f>IF(J642=0,K642,0)</f>
        <v>0</v>
      </c>
      <c r="R642" s="23" t="n">
        <f>MAX(J642-K642,0)</f>
        <v>0</v>
      </c>
      <c r="S642" s="23" t="n">
        <f>IF(J642&gt;0,MAX(L642-J642,0),L642)</f>
        <v>0</v>
      </c>
    </row>
    <row r="643">
      <c r="A643" s="19" t="str">
        <v>捷克区</v>
      </c>
      <c r="B643" s="19" t="str">
        <v>布拉格5号仓</v>
      </c>
      <c r="C643" s="19" t="str">
        <v>拣货组</v>
      </c>
      <c r="D643" s="21" t="n">
        <v>46194</v>
      </c>
      <c r="E643" s="19" t="str">
        <v>2026-06</v>
      </c>
      <c r="F643" s="19" t="str">
        <v>叉车司机</v>
      </c>
      <c r="G643" s="19" t="str">
        <v>捷克区07:00-15:30 / CZ 07:00-15:30</v>
      </c>
      <c r="H643" s="23" t="n">
        <v>1</v>
      </c>
      <c r="I643" s="23" t="n">
        <v>0</v>
      </c>
      <c r="J643" s="23" t="n">
        <f>H643+I643</f>
        <v>1</v>
      </c>
      <c r="K643" s="23" t="n">
        <v>0</v>
      </c>
      <c r="L643" s="23" t="n">
        <v>0</v>
      </c>
      <c r="M643" s="23" t="n">
        <f>MIN(K643,J643)</f>
        <v>0</v>
      </c>
      <c r="N643" s="23" t="n">
        <f>MIN(L643,J643)</f>
        <v>0</v>
      </c>
      <c r="O643" s="25" t="n">
        <f>IF(K643=0,0,MIN(1,J643/K643))</f>
        <v>0</v>
      </c>
      <c r="P643" s="23" t="n">
        <f>IF(J643&gt;0,MAX(K643-J643,0),0)</f>
        <v>0</v>
      </c>
      <c r="Q643" s="23" t="n">
        <f>IF(J643=0,K643,0)</f>
        <v>0</v>
      </c>
      <c r="R643" s="23" t="n">
        <f>MAX(J643-K643,0)</f>
        <v>1</v>
      </c>
      <c r="S643" s="23" t="n">
        <f>IF(J643&gt;0,MAX(L643-J643,0),L643)</f>
        <v>0</v>
      </c>
    </row>
    <row r="644">
      <c r="A644" s="19" t="str">
        <v>捷克区</v>
      </c>
      <c r="B644" s="19" t="str">
        <v>布拉格5号仓</v>
      </c>
      <c r="C644" s="19" t="str">
        <v>拣货组</v>
      </c>
      <c r="D644" s="21" t="n">
        <v>46195</v>
      </c>
      <c r="E644" s="19" t="str">
        <v>2026-06</v>
      </c>
      <c r="F644" s="19" t="str">
        <v>叉车司机</v>
      </c>
      <c r="G644" s="19" t="str">
        <v>捷克区07:00-15:30 / CZ 07:00-15:30</v>
      </c>
      <c r="H644" s="23" t="n">
        <v>1</v>
      </c>
      <c r="I644" s="23" t="n">
        <v>0</v>
      </c>
      <c r="J644" s="23" t="n">
        <f>H644+I644</f>
        <v>1</v>
      </c>
      <c r="K644" s="23" t="n">
        <v>0</v>
      </c>
      <c r="L644" s="23" t="n">
        <v>0</v>
      </c>
      <c r="M644" s="23" t="n">
        <f>MIN(K644,J644)</f>
        <v>0</v>
      </c>
      <c r="N644" s="23" t="n">
        <f>MIN(L644,J644)</f>
        <v>0</v>
      </c>
      <c r="O644" s="25" t="n">
        <f>IF(K644=0,0,MIN(1,J644/K644))</f>
        <v>0</v>
      </c>
      <c r="P644" s="23" t="n">
        <f>IF(J644&gt;0,MAX(K644-J644,0),0)</f>
        <v>0</v>
      </c>
      <c r="Q644" s="23" t="n">
        <f>IF(J644=0,K644,0)</f>
        <v>0</v>
      </c>
      <c r="R644" s="23" t="n">
        <f>MAX(J644-K644,0)</f>
        <v>1</v>
      </c>
      <c r="S644" s="23" t="n">
        <f>IF(J644&gt;0,MAX(L644-J644,0),L644)</f>
        <v>0</v>
      </c>
    </row>
    <row r="645">
      <c r="A645" s="19" t="str">
        <v>捷克区</v>
      </c>
      <c r="B645" s="19" t="str">
        <v>布拉格5号仓</v>
      </c>
      <c r="C645" s="19" t="str">
        <v>拣货组</v>
      </c>
      <c r="D645" s="21" t="n">
        <v>46196</v>
      </c>
      <c r="E645" s="19" t="str">
        <v>2026-06</v>
      </c>
      <c r="F645" s="19" t="str">
        <v>叉车司机</v>
      </c>
      <c r="G645" s="19" t="str">
        <v>捷克区07:00-15:30 / CZ 07:00-15:30</v>
      </c>
      <c r="H645" s="23" t="n">
        <v>1</v>
      </c>
      <c r="I645" s="23" t="n">
        <v>0</v>
      </c>
      <c r="J645" s="23" t="n">
        <f>H645+I645</f>
        <v>1</v>
      </c>
      <c r="K645" s="23" t="n">
        <v>0</v>
      </c>
      <c r="L645" s="23" t="n">
        <v>0</v>
      </c>
      <c r="M645" s="23" t="n">
        <f>MIN(K645,J645)</f>
        <v>0</v>
      </c>
      <c r="N645" s="23" t="n">
        <f>MIN(L645,J645)</f>
        <v>0</v>
      </c>
      <c r="O645" s="25" t="n">
        <f>IF(K645=0,0,MIN(1,J645/K645))</f>
        <v>0</v>
      </c>
      <c r="P645" s="23" t="n">
        <f>IF(J645&gt;0,MAX(K645-J645,0),0)</f>
        <v>0</v>
      </c>
      <c r="Q645" s="23" t="n">
        <f>IF(J645=0,K645,0)</f>
        <v>0</v>
      </c>
      <c r="R645" s="23" t="n">
        <f>MAX(J645-K645,0)</f>
        <v>1</v>
      </c>
      <c r="S645" s="23" t="n">
        <f>IF(J645&gt;0,MAX(L645-J645,0),L645)</f>
        <v>0</v>
      </c>
    </row>
    <row r="646">
      <c r="A646" s="19" t="str">
        <v>捷克区</v>
      </c>
      <c r="B646" s="19" t="str">
        <v>布拉格5号仓</v>
      </c>
      <c r="C646" s="19" t="str">
        <v>拣货组</v>
      </c>
      <c r="D646" s="21" t="n">
        <v>46197</v>
      </c>
      <c r="E646" s="19" t="str">
        <v>2026-06</v>
      </c>
      <c r="F646" s="19" t="str">
        <v>叉车司机</v>
      </c>
      <c r="G646" s="19" t="str">
        <v>捷克区07:00-15:30 / CZ 07:00-15:30</v>
      </c>
      <c r="H646" s="23" t="n">
        <v>1</v>
      </c>
      <c r="I646" s="23" t="n">
        <v>0</v>
      </c>
      <c r="J646" s="23" t="n">
        <f>H646+I646</f>
        <v>1</v>
      </c>
      <c r="K646" s="23" t="n">
        <v>0</v>
      </c>
      <c r="L646" s="23" t="n">
        <v>0</v>
      </c>
      <c r="M646" s="23" t="n">
        <f>MIN(K646,J646)</f>
        <v>0</v>
      </c>
      <c r="N646" s="23" t="n">
        <f>MIN(L646,J646)</f>
        <v>0</v>
      </c>
      <c r="O646" s="25" t="n">
        <f>IF(K646=0,0,MIN(1,J646/K646))</f>
        <v>0</v>
      </c>
      <c r="P646" s="23" t="n">
        <f>IF(J646&gt;0,MAX(K646-J646,0),0)</f>
        <v>0</v>
      </c>
      <c r="Q646" s="23" t="n">
        <f>IF(J646=0,K646,0)</f>
        <v>0</v>
      </c>
      <c r="R646" s="23" t="n">
        <f>MAX(J646-K646,0)</f>
        <v>1</v>
      </c>
      <c r="S646" s="23" t="n">
        <f>IF(J646&gt;0,MAX(L646-J646,0),L646)</f>
        <v>0</v>
      </c>
    </row>
    <row r="647">
      <c r="A647" s="19" t="str">
        <v>捷克区</v>
      </c>
      <c r="B647" s="19" t="str">
        <v>布拉格5号仓</v>
      </c>
      <c r="C647" s="19" t="str">
        <v>拣货组</v>
      </c>
      <c r="D647" s="21" t="n">
        <v>46198</v>
      </c>
      <c r="E647" s="19" t="str">
        <v>2026-06</v>
      </c>
      <c r="F647" s="19" t="str">
        <v>叉车司机</v>
      </c>
      <c r="G647" s="19" t="str">
        <v>捷克区07:00-15:30 / CZ 07:00-15:30</v>
      </c>
      <c r="H647" s="23" t="n">
        <v>1</v>
      </c>
      <c r="I647" s="23" t="n">
        <v>0</v>
      </c>
      <c r="J647" s="23" t="n">
        <f>H647+I647</f>
        <v>1</v>
      </c>
      <c r="K647" s="23" t="n">
        <v>0</v>
      </c>
      <c r="L647" s="23" t="n">
        <v>0</v>
      </c>
      <c r="M647" s="23" t="n">
        <f>MIN(K647,J647)</f>
        <v>0</v>
      </c>
      <c r="N647" s="23" t="n">
        <f>MIN(L647,J647)</f>
        <v>0</v>
      </c>
      <c r="O647" s="25" t="n">
        <f>IF(K647=0,0,MIN(1,J647/K647))</f>
        <v>0</v>
      </c>
      <c r="P647" s="23" t="n">
        <f>IF(J647&gt;0,MAX(K647-J647,0),0)</f>
        <v>0</v>
      </c>
      <c r="Q647" s="23" t="n">
        <f>IF(J647=0,K647,0)</f>
        <v>0</v>
      </c>
      <c r="R647" s="23" t="n">
        <f>MAX(J647-K647,0)</f>
        <v>1</v>
      </c>
      <c r="S647" s="23" t="n">
        <f>IF(J647&gt;0,MAX(L647-J647,0),L647)</f>
        <v>0</v>
      </c>
    </row>
    <row r="648">
      <c r="A648" s="19" t="str">
        <v>捷克区</v>
      </c>
      <c r="B648" s="19" t="str">
        <v>布拉格7号仓</v>
      </c>
      <c r="C648" s="19" t="str">
        <v>拣货组</v>
      </c>
      <c r="D648" s="21" t="n">
        <v>46127</v>
      </c>
      <c r="E648" s="19" t="str">
        <v>2026-04</v>
      </c>
      <c r="F648" s="19" t="str">
        <v>操作员</v>
      </c>
      <c r="G648" s="19" t="str">
        <v>捷克区07:00-15:30 / CZ 07:00-15:30</v>
      </c>
      <c r="H648" s="23" t="n">
        <v>1</v>
      </c>
      <c r="I648" s="23" t="n">
        <v>0</v>
      </c>
      <c r="J648" s="23" t="n">
        <f>H648+I648</f>
        <v>1</v>
      </c>
      <c r="K648" s="23" t="n">
        <v>1</v>
      </c>
      <c r="L648" s="23" t="n">
        <v>0</v>
      </c>
      <c r="M648" s="23" t="n">
        <f>MIN(K648,J648)</f>
        <v>1</v>
      </c>
      <c r="N648" s="23" t="n">
        <f>MIN(L648,J648)</f>
        <v>0</v>
      </c>
      <c r="O648" s="25" t="n">
        <f>IF(K648=0,0,MIN(1,J648/K648))</f>
        <v>1</v>
      </c>
      <c r="P648" s="23" t="n">
        <f>IF(J648&gt;0,MAX(K648-J648,0),0)</f>
        <v>0</v>
      </c>
      <c r="Q648" s="23" t="n">
        <f>IF(J648=0,K648,0)</f>
        <v>0</v>
      </c>
      <c r="R648" s="23" t="n">
        <f>MAX(J648-K648,0)</f>
        <v>0</v>
      </c>
      <c r="S648" s="23" t="n">
        <f>IF(J648&gt;0,MAX(L648-J648,0),L648)</f>
        <v>0</v>
      </c>
    </row>
    <row r="649">
      <c r="A649" s="19" t="str">
        <v>捷克区</v>
      </c>
      <c r="B649" s="19" t="str">
        <v>布拉格7号仓</v>
      </c>
      <c r="C649" s="19" t="str">
        <v>拣货组</v>
      </c>
      <c r="D649" s="21" t="n">
        <v>46128</v>
      </c>
      <c r="E649" s="19" t="str">
        <v>2026-04</v>
      </c>
      <c r="F649" s="19" t="str">
        <v>操作员</v>
      </c>
      <c r="G649" s="19" t="str">
        <v>捷克区07:00-15:30 / CZ 07:00-15:30</v>
      </c>
      <c r="H649" s="23" t="n">
        <v>1</v>
      </c>
      <c r="I649" s="23" t="n">
        <v>0</v>
      </c>
      <c r="J649" s="23" t="n">
        <f>H649+I649</f>
        <v>1</v>
      </c>
      <c r="K649" s="23" t="n">
        <v>1</v>
      </c>
      <c r="L649" s="23" t="n">
        <v>0</v>
      </c>
      <c r="M649" s="23" t="n">
        <f>MIN(K649,J649)</f>
        <v>1</v>
      </c>
      <c r="N649" s="23" t="n">
        <f>MIN(L649,J649)</f>
        <v>0</v>
      </c>
      <c r="O649" s="25" t="n">
        <f>IF(K649=0,0,MIN(1,J649/K649))</f>
        <v>1</v>
      </c>
      <c r="P649" s="23" t="n">
        <f>IF(J649&gt;0,MAX(K649-J649,0),0)</f>
        <v>0</v>
      </c>
      <c r="Q649" s="23" t="n">
        <f>IF(J649=0,K649,0)</f>
        <v>0</v>
      </c>
      <c r="R649" s="23" t="n">
        <f>MAX(J649-K649,0)</f>
        <v>0</v>
      </c>
      <c r="S649" s="23" t="n">
        <f>IF(J649&gt;0,MAX(L649-J649,0),L649)</f>
        <v>0</v>
      </c>
    </row>
    <row r="650">
      <c r="A650" s="19" t="str">
        <v>捷克区</v>
      </c>
      <c r="B650" s="19" t="str">
        <v>布拉格7号仓</v>
      </c>
      <c r="C650" s="19" t="str">
        <v>拣货组</v>
      </c>
      <c r="D650" s="21" t="n">
        <v>46129</v>
      </c>
      <c r="E650" s="19" t="str">
        <v>2026-04</v>
      </c>
      <c r="F650" s="19" t="str">
        <v>叉车司机</v>
      </c>
      <c r="G650" s="19" t="str">
        <v>捷克区07:00-15:30 / CZ 07:00-15:30</v>
      </c>
      <c r="H650" s="23" t="n">
        <v>1</v>
      </c>
      <c r="I650" s="23" t="n">
        <v>0</v>
      </c>
      <c r="J650" s="23" t="n">
        <f>H650+I650</f>
        <v>1</v>
      </c>
      <c r="K650" s="23" t="n">
        <v>1</v>
      </c>
      <c r="L650" s="23" t="n">
        <v>0</v>
      </c>
      <c r="M650" s="23" t="n">
        <f>MIN(K650,J650)</f>
        <v>1</v>
      </c>
      <c r="N650" s="23" t="n">
        <f>MIN(L650,J650)</f>
        <v>0</v>
      </c>
      <c r="O650" s="25" t="n">
        <f>IF(K650=0,0,MIN(1,J650/K650))</f>
        <v>1</v>
      </c>
      <c r="P650" s="23" t="n">
        <f>IF(J650&gt;0,MAX(K650-J650,0),0)</f>
        <v>0</v>
      </c>
      <c r="Q650" s="23" t="n">
        <f>IF(J650=0,K650,0)</f>
        <v>0</v>
      </c>
      <c r="R650" s="23" t="n">
        <f>MAX(J650-K650,0)</f>
        <v>0</v>
      </c>
      <c r="S650" s="23" t="n">
        <f>IF(J650&gt;0,MAX(L650-J650,0),L650)</f>
        <v>0</v>
      </c>
    </row>
    <row r="651">
      <c r="A651" s="19" t="str">
        <v>捷克区</v>
      </c>
      <c r="B651" s="19" t="str">
        <v>布拉格7号仓</v>
      </c>
      <c r="C651" s="19" t="str">
        <v>拣货组</v>
      </c>
      <c r="D651" s="21" t="n">
        <v>46129</v>
      </c>
      <c r="E651" s="19" t="str">
        <v>2026-04</v>
      </c>
      <c r="F651" s="19" t="str">
        <v>操作员</v>
      </c>
      <c r="G651" s="19" t="str">
        <v>捷克区07:00-15:30 / CZ 07:00-15:30</v>
      </c>
      <c r="H651" s="23" t="n">
        <v>1</v>
      </c>
      <c r="I651" s="23" t="n">
        <v>0</v>
      </c>
      <c r="J651" s="23" t="n">
        <f>H651+I651</f>
        <v>1</v>
      </c>
      <c r="K651" s="23" t="n">
        <v>1</v>
      </c>
      <c r="L651" s="23" t="n">
        <v>0</v>
      </c>
      <c r="M651" s="23" t="n">
        <f>MIN(K651,J651)</f>
        <v>1</v>
      </c>
      <c r="N651" s="23" t="n">
        <f>MIN(L651,J651)</f>
        <v>0</v>
      </c>
      <c r="O651" s="25" t="n">
        <f>IF(K651=0,0,MIN(1,J651/K651))</f>
        <v>1</v>
      </c>
      <c r="P651" s="23" t="n">
        <f>IF(J651&gt;0,MAX(K651-J651,0),0)</f>
        <v>0</v>
      </c>
      <c r="Q651" s="23" t="n">
        <f>IF(J651=0,K651,0)</f>
        <v>0</v>
      </c>
      <c r="R651" s="23" t="n">
        <f>MAX(J651-K651,0)</f>
        <v>0</v>
      </c>
      <c r="S651" s="23" t="n">
        <f>IF(J651&gt;0,MAX(L651-J651,0),L651)</f>
        <v>0</v>
      </c>
    </row>
    <row r="652">
      <c r="A652" s="19" t="str">
        <v>捷克区</v>
      </c>
      <c r="B652" s="19" t="str">
        <v>布拉格7号仓</v>
      </c>
      <c r="C652" s="19" t="str">
        <v>拣货组</v>
      </c>
      <c r="D652" s="21" t="n">
        <v>46130</v>
      </c>
      <c r="E652" s="19" t="str">
        <v>2026-04</v>
      </c>
      <c r="F652" s="19" t="str">
        <v>叉车司机</v>
      </c>
      <c r="G652" s="19" t="str">
        <v>捷克区07:00-15:30 / CZ 07:00-15:30</v>
      </c>
      <c r="H652" s="23" t="n">
        <v>1</v>
      </c>
      <c r="I652" s="23" t="n">
        <v>0</v>
      </c>
      <c r="J652" s="23" t="n">
        <f>H652+I652</f>
        <v>1</v>
      </c>
      <c r="K652" s="23" t="n">
        <v>1</v>
      </c>
      <c r="L652" s="23" t="n">
        <v>0</v>
      </c>
      <c r="M652" s="23" t="n">
        <f>MIN(K652,J652)</f>
        <v>1</v>
      </c>
      <c r="N652" s="23" t="n">
        <f>MIN(L652,J652)</f>
        <v>0</v>
      </c>
      <c r="O652" s="25" t="n">
        <f>IF(K652=0,0,MIN(1,J652/K652))</f>
        <v>1</v>
      </c>
      <c r="P652" s="23" t="n">
        <f>IF(J652&gt;0,MAX(K652-J652,0),0)</f>
        <v>0</v>
      </c>
      <c r="Q652" s="23" t="n">
        <f>IF(J652=0,K652,0)</f>
        <v>0</v>
      </c>
      <c r="R652" s="23" t="n">
        <f>MAX(J652-K652,0)</f>
        <v>0</v>
      </c>
      <c r="S652" s="23" t="n">
        <f>IF(J652&gt;0,MAX(L652-J652,0),L652)</f>
        <v>0</v>
      </c>
    </row>
    <row r="653">
      <c r="A653" s="19" t="str">
        <v>捷克区</v>
      </c>
      <c r="B653" s="19" t="str">
        <v>布拉格7号仓</v>
      </c>
      <c r="C653" s="19" t="str">
        <v>拣货组</v>
      </c>
      <c r="D653" s="21" t="n">
        <v>46130</v>
      </c>
      <c r="E653" s="19" t="str">
        <v>2026-04</v>
      </c>
      <c r="F653" s="19" t="str">
        <v>操作员</v>
      </c>
      <c r="G653" s="19" t="str">
        <v>捷克区07:00-15:30 / CZ 07:00-15:30</v>
      </c>
      <c r="H653" s="23" t="n">
        <v>1</v>
      </c>
      <c r="I653" s="23" t="n">
        <v>0</v>
      </c>
      <c r="J653" s="23" t="n">
        <f>H653+I653</f>
        <v>1</v>
      </c>
      <c r="K653" s="23" t="n">
        <v>1</v>
      </c>
      <c r="L653" s="23" t="n">
        <v>0</v>
      </c>
      <c r="M653" s="23" t="n">
        <f>MIN(K653,J653)</f>
        <v>1</v>
      </c>
      <c r="N653" s="23" t="n">
        <f>MIN(L653,J653)</f>
        <v>0</v>
      </c>
      <c r="O653" s="25" t="n">
        <f>IF(K653=0,0,MIN(1,J653/K653))</f>
        <v>1</v>
      </c>
      <c r="P653" s="23" t="n">
        <f>IF(J653&gt;0,MAX(K653-J653,0),0)</f>
        <v>0</v>
      </c>
      <c r="Q653" s="23" t="n">
        <f>IF(J653=0,K653,0)</f>
        <v>0</v>
      </c>
      <c r="R653" s="23" t="n">
        <f>MAX(J653-K653,0)</f>
        <v>0</v>
      </c>
      <c r="S653" s="23" t="n">
        <f>IF(J653&gt;0,MAX(L653-J653,0),L653)</f>
        <v>0</v>
      </c>
    </row>
    <row r="654">
      <c r="A654" s="19" t="str">
        <v>捷克区</v>
      </c>
      <c r="B654" s="19" t="str">
        <v>布拉格7号仓</v>
      </c>
      <c r="C654" s="19" t="str">
        <v>拣货组</v>
      </c>
      <c r="D654" s="21" t="n">
        <v>46131</v>
      </c>
      <c r="E654" s="19" t="str">
        <v>2026-04</v>
      </c>
      <c r="F654" s="19" t="str">
        <v>叉车司机</v>
      </c>
      <c r="G654" s="19" t="str">
        <v>捷克区07:00-15:30 / CZ 07:00-15:30</v>
      </c>
      <c r="H654" s="23" t="n">
        <v>1</v>
      </c>
      <c r="I654" s="23" t="n">
        <v>0</v>
      </c>
      <c r="J654" s="23" t="n">
        <f>H654+I654</f>
        <v>1</v>
      </c>
      <c r="K654" s="23" t="n">
        <v>1</v>
      </c>
      <c r="L654" s="23" t="n">
        <v>0</v>
      </c>
      <c r="M654" s="23" t="n">
        <f>MIN(K654,J654)</f>
        <v>1</v>
      </c>
      <c r="N654" s="23" t="n">
        <f>MIN(L654,J654)</f>
        <v>0</v>
      </c>
      <c r="O654" s="25" t="n">
        <f>IF(K654=0,0,MIN(1,J654/K654))</f>
        <v>1</v>
      </c>
      <c r="P654" s="23" t="n">
        <f>IF(J654&gt;0,MAX(K654-J654,0),0)</f>
        <v>0</v>
      </c>
      <c r="Q654" s="23" t="n">
        <f>IF(J654=0,K654,0)</f>
        <v>0</v>
      </c>
      <c r="R654" s="23" t="n">
        <f>MAX(J654-K654,0)</f>
        <v>0</v>
      </c>
      <c r="S654" s="23" t="n">
        <f>IF(J654&gt;0,MAX(L654-J654,0),L654)</f>
        <v>0</v>
      </c>
    </row>
    <row r="655">
      <c r="A655" s="19" t="str">
        <v>捷克区</v>
      </c>
      <c r="B655" s="19" t="str">
        <v>布拉格7号仓</v>
      </c>
      <c r="C655" s="19" t="str">
        <v>拣货组</v>
      </c>
      <c r="D655" s="21" t="n">
        <v>46131</v>
      </c>
      <c r="E655" s="19" t="str">
        <v>2026-04</v>
      </c>
      <c r="F655" s="19" t="str">
        <v>操作员</v>
      </c>
      <c r="G655" s="19" t="str">
        <v>捷克区07:00-15:30 / CZ 07:00-15:30</v>
      </c>
      <c r="H655" s="23" t="n">
        <v>1</v>
      </c>
      <c r="I655" s="23" t="n">
        <v>0</v>
      </c>
      <c r="J655" s="23" t="n">
        <f>H655+I655</f>
        <v>1</v>
      </c>
      <c r="K655" s="23" t="n">
        <v>1</v>
      </c>
      <c r="L655" s="23" t="n">
        <v>0</v>
      </c>
      <c r="M655" s="23" t="n">
        <f>MIN(K655,J655)</f>
        <v>1</v>
      </c>
      <c r="N655" s="23" t="n">
        <f>MIN(L655,J655)</f>
        <v>0</v>
      </c>
      <c r="O655" s="25" t="n">
        <f>IF(K655=0,0,MIN(1,J655/K655))</f>
        <v>1</v>
      </c>
      <c r="P655" s="23" t="n">
        <f>IF(J655&gt;0,MAX(K655-J655,0),0)</f>
        <v>0</v>
      </c>
      <c r="Q655" s="23" t="n">
        <f>IF(J655=0,K655,0)</f>
        <v>0</v>
      </c>
      <c r="R655" s="23" t="n">
        <f>MAX(J655-K655,0)</f>
        <v>0</v>
      </c>
      <c r="S655" s="23" t="n">
        <f>IF(J655&gt;0,MAX(L655-J655,0),L655)</f>
        <v>0</v>
      </c>
    </row>
    <row r="656">
      <c r="A656" s="19" t="str">
        <v>捷克区</v>
      </c>
      <c r="B656" s="19" t="str">
        <v>布拉格7号仓</v>
      </c>
      <c r="C656" s="19" t="str">
        <v>拣货组</v>
      </c>
      <c r="D656" s="21" t="n">
        <v>46132</v>
      </c>
      <c r="E656" s="19" t="str">
        <v>2026-04</v>
      </c>
      <c r="F656" s="19" t="str">
        <v>叉车司机</v>
      </c>
      <c r="G656" s="19" t="str">
        <v>捷克区07:00-15:30 / CZ 07:00-15:30</v>
      </c>
      <c r="H656" s="23" t="n">
        <v>1</v>
      </c>
      <c r="I656" s="23" t="n">
        <v>0</v>
      </c>
      <c r="J656" s="23" t="n">
        <f>H656+I656</f>
        <v>1</v>
      </c>
      <c r="K656" s="23" t="n">
        <v>1</v>
      </c>
      <c r="L656" s="23" t="n">
        <v>0</v>
      </c>
      <c r="M656" s="23" t="n">
        <f>MIN(K656,J656)</f>
        <v>1</v>
      </c>
      <c r="N656" s="23" t="n">
        <f>MIN(L656,J656)</f>
        <v>0</v>
      </c>
      <c r="O656" s="25" t="n">
        <f>IF(K656=0,0,MIN(1,J656/K656))</f>
        <v>1</v>
      </c>
      <c r="P656" s="23" t="n">
        <f>IF(J656&gt;0,MAX(K656-J656,0),0)</f>
        <v>0</v>
      </c>
      <c r="Q656" s="23" t="n">
        <f>IF(J656=0,K656,0)</f>
        <v>0</v>
      </c>
      <c r="R656" s="23" t="n">
        <f>MAX(J656-K656,0)</f>
        <v>0</v>
      </c>
      <c r="S656" s="23" t="n">
        <f>IF(J656&gt;0,MAX(L656-J656,0),L656)</f>
        <v>0</v>
      </c>
    </row>
    <row r="657">
      <c r="A657" s="19" t="str">
        <v>捷克区</v>
      </c>
      <c r="B657" s="19" t="str">
        <v>布拉格7号仓</v>
      </c>
      <c r="C657" s="19" t="str">
        <v>拣货组</v>
      </c>
      <c r="D657" s="21" t="n">
        <v>46132</v>
      </c>
      <c r="E657" s="19" t="str">
        <v>2026-04</v>
      </c>
      <c r="F657" s="19" t="str">
        <v>操作员</v>
      </c>
      <c r="G657" s="19" t="str">
        <v>捷克区07:00-15:30 / CZ 07:00-15:30</v>
      </c>
      <c r="H657" s="23" t="n">
        <v>1</v>
      </c>
      <c r="I657" s="23" t="n">
        <v>0</v>
      </c>
      <c r="J657" s="23" t="n">
        <f>H657+I657</f>
        <v>1</v>
      </c>
      <c r="K657" s="23" t="n">
        <v>1</v>
      </c>
      <c r="L657" s="23" t="n">
        <v>0</v>
      </c>
      <c r="M657" s="23" t="n">
        <f>MIN(K657,J657)</f>
        <v>1</v>
      </c>
      <c r="N657" s="23" t="n">
        <f>MIN(L657,J657)</f>
        <v>0</v>
      </c>
      <c r="O657" s="25" t="n">
        <f>IF(K657=0,0,MIN(1,J657/K657))</f>
        <v>1</v>
      </c>
      <c r="P657" s="23" t="n">
        <f>IF(J657&gt;0,MAX(K657-J657,0),0)</f>
        <v>0</v>
      </c>
      <c r="Q657" s="23" t="n">
        <f>IF(J657=0,K657,0)</f>
        <v>0</v>
      </c>
      <c r="R657" s="23" t="n">
        <f>MAX(J657-K657,0)</f>
        <v>0</v>
      </c>
      <c r="S657" s="23" t="n">
        <f>IF(J657&gt;0,MAX(L657-J657,0),L657)</f>
        <v>0</v>
      </c>
    </row>
    <row r="658">
      <c r="A658" s="19" t="str">
        <v>捷克区</v>
      </c>
      <c r="B658" s="19" t="str">
        <v>布拉格7号仓</v>
      </c>
      <c r="C658" s="19" t="str">
        <v>拣货组</v>
      </c>
      <c r="D658" s="21" t="n">
        <v>46133</v>
      </c>
      <c r="E658" s="19" t="str">
        <v>2026-04</v>
      </c>
      <c r="F658" s="19" t="str">
        <v>叉车司机</v>
      </c>
      <c r="G658" s="19" t="str">
        <v>捷克区07:00-15:30 / CZ 07:00-15:30</v>
      </c>
      <c r="H658" s="23" t="n">
        <v>1</v>
      </c>
      <c r="I658" s="23" t="n">
        <v>0</v>
      </c>
      <c r="J658" s="23" t="n">
        <f>H658+I658</f>
        <v>1</v>
      </c>
      <c r="K658" s="23" t="n">
        <v>1</v>
      </c>
      <c r="L658" s="23" t="n">
        <v>0</v>
      </c>
      <c r="M658" s="23" t="n">
        <f>MIN(K658,J658)</f>
        <v>1</v>
      </c>
      <c r="N658" s="23" t="n">
        <f>MIN(L658,J658)</f>
        <v>0</v>
      </c>
      <c r="O658" s="25" t="n">
        <f>IF(K658=0,0,MIN(1,J658/K658))</f>
        <v>1</v>
      </c>
      <c r="P658" s="23" t="n">
        <f>IF(J658&gt;0,MAX(K658-J658,0),0)</f>
        <v>0</v>
      </c>
      <c r="Q658" s="23" t="n">
        <f>IF(J658=0,K658,0)</f>
        <v>0</v>
      </c>
      <c r="R658" s="23" t="n">
        <f>MAX(J658-K658,0)</f>
        <v>0</v>
      </c>
      <c r="S658" s="23" t="n">
        <f>IF(J658&gt;0,MAX(L658-J658,0),L658)</f>
        <v>0</v>
      </c>
    </row>
    <row r="659">
      <c r="A659" s="19" t="str">
        <v>捷克区</v>
      </c>
      <c r="B659" s="19" t="str">
        <v>布拉格7号仓</v>
      </c>
      <c r="C659" s="19" t="str">
        <v>拣货组</v>
      </c>
      <c r="D659" s="21" t="n">
        <v>46133</v>
      </c>
      <c r="E659" s="19" t="str">
        <v>2026-04</v>
      </c>
      <c r="F659" s="19" t="str">
        <v>操作员</v>
      </c>
      <c r="G659" s="19" t="str">
        <v>捷克区07:00-15:30 / CZ 07:00-15:30</v>
      </c>
      <c r="H659" s="23" t="n">
        <v>1</v>
      </c>
      <c r="I659" s="23" t="n">
        <v>0</v>
      </c>
      <c r="J659" s="23" t="n">
        <f>H659+I659</f>
        <v>1</v>
      </c>
      <c r="K659" s="23" t="n">
        <v>1</v>
      </c>
      <c r="L659" s="23" t="n">
        <v>0</v>
      </c>
      <c r="M659" s="23" t="n">
        <f>MIN(K659,J659)</f>
        <v>1</v>
      </c>
      <c r="N659" s="23" t="n">
        <f>MIN(L659,J659)</f>
        <v>0</v>
      </c>
      <c r="O659" s="25" t="n">
        <f>IF(K659=0,0,MIN(1,J659/K659))</f>
        <v>1</v>
      </c>
      <c r="P659" s="23" t="n">
        <f>IF(J659&gt;0,MAX(K659-J659,0),0)</f>
        <v>0</v>
      </c>
      <c r="Q659" s="23" t="n">
        <f>IF(J659=0,K659,0)</f>
        <v>0</v>
      </c>
      <c r="R659" s="23" t="n">
        <f>MAX(J659-K659,0)</f>
        <v>0</v>
      </c>
      <c r="S659" s="23" t="n">
        <f>IF(J659&gt;0,MAX(L659-J659,0),L659)</f>
        <v>0</v>
      </c>
    </row>
    <row r="660">
      <c r="A660" s="19" t="str">
        <v>捷克区</v>
      </c>
      <c r="B660" s="19" t="str">
        <v>布拉格7号仓</v>
      </c>
      <c r="C660" s="19" t="str">
        <v>拣货组</v>
      </c>
      <c r="D660" s="21" t="n">
        <v>46134</v>
      </c>
      <c r="E660" s="19" t="str">
        <v>2026-04</v>
      </c>
      <c r="F660" s="19" t="str">
        <v>叉车司机</v>
      </c>
      <c r="G660" s="19" t="str">
        <v>捷克区07:00-15:30 / CZ 07:00-15:30</v>
      </c>
      <c r="H660" s="23" t="n">
        <v>1</v>
      </c>
      <c r="I660" s="23" t="n">
        <v>0</v>
      </c>
      <c r="J660" s="23" t="n">
        <f>H660+I660</f>
        <v>1</v>
      </c>
      <c r="K660" s="23" t="n">
        <v>1</v>
      </c>
      <c r="L660" s="23" t="n">
        <v>0</v>
      </c>
      <c r="M660" s="23" t="n">
        <f>MIN(K660,J660)</f>
        <v>1</v>
      </c>
      <c r="N660" s="23" t="n">
        <f>MIN(L660,J660)</f>
        <v>0</v>
      </c>
      <c r="O660" s="25" t="n">
        <f>IF(K660=0,0,MIN(1,J660/K660))</f>
        <v>1</v>
      </c>
      <c r="P660" s="23" t="n">
        <f>IF(J660&gt;0,MAX(K660-J660,0),0)</f>
        <v>0</v>
      </c>
      <c r="Q660" s="23" t="n">
        <f>IF(J660=0,K660,0)</f>
        <v>0</v>
      </c>
      <c r="R660" s="23" t="n">
        <f>MAX(J660-K660,0)</f>
        <v>0</v>
      </c>
      <c r="S660" s="23" t="n">
        <f>IF(J660&gt;0,MAX(L660-J660,0),L660)</f>
        <v>0</v>
      </c>
    </row>
    <row r="661">
      <c r="A661" s="19" t="str">
        <v>捷克区</v>
      </c>
      <c r="B661" s="19" t="str">
        <v>布拉格7号仓</v>
      </c>
      <c r="C661" s="19" t="str">
        <v>拣货组</v>
      </c>
      <c r="D661" s="21" t="n">
        <v>46135</v>
      </c>
      <c r="E661" s="19" t="str">
        <v>2026-04</v>
      </c>
      <c r="F661" s="19" t="str">
        <v>叉车司机</v>
      </c>
      <c r="G661" s="19" t="str">
        <v>捷克区07:00-15:30 / CZ 07:00-15:30</v>
      </c>
      <c r="H661" s="23" t="n">
        <v>1</v>
      </c>
      <c r="I661" s="23" t="n">
        <v>0</v>
      </c>
      <c r="J661" s="23" t="n">
        <f>H661+I661</f>
        <v>1</v>
      </c>
      <c r="K661" s="23" t="n">
        <v>1</v>
      </c>
      <c r="L661" s="23" t="n">
        <v>0</v>
      </c>
      <c r="M661" s="23" t="n">
        <f>MIN(K661,J661)</f>
        <v>1</v>
      </c>
      <c r="N661" s="23" t="n">
        <f>MIN(L661,J661)</f>
        <v>0</v>
      </c>
      <c r="O661" s="25" t="n">
        <f>IF(K661=0,0,MIN(1,J661/K661))</f>
        <v>1</v>
      </c>
      <c r="P661" s="23" t="n">
        <f>IF(J661&gt;0,MAX(K661-J661,0),0)</f>
        <v>0</v>
      </c>
      <c r="Q661" s="23" t="n">
        <f>IF(J661=0,K661,0)</f>
        <v>0</v>
      </c>
      <c r="R661" s="23" t="n">
        <f>MAX(J661-K661,0)</f>
        <v>0</v>
      </c>
      <c r="S661" s="23" t="n">
        <f>IF(J661&gt;0,MAX(L661-J661,0),L661)</f>
        <v>0</v>
      </c>
    </row>
    <row r="662">
      <c r="A662" s="19" t="str">
        <v>捷克区</v>
      </c>
      <c r="B662" s="19" t="str">
        <v>布拉格7号仓</v>
      </c>
      <c r="C662" s="19" t="str">
        <v>拣货组</v>
      </c>
      <c r="D662" s="21" t="n">
        <v>46168</v>
      </c>
      <c r="E662" s="19" t="str">
        <v>2026-05</v>
      </c>
      <c r="F662" s="19" t="str">
        <v>操作员</v>
      </c>
      <c r="G662" s="19" t="str">
        <v>捷克区07:00-15:30 / CZ 07:00-15:30</v>
      </c>
      <c r="H662" s="23" t="n">
        <v>1</v>
      </c>
      <c r="I662" s="23" t="n">
        <v>0</v>
      </c>
      <c r="J662" s="23" t="n">
        <f>H662+I662</f>
        <v>1</v>
      </c>
      <c r="K662" s="23" t="n">
        <v>1</v>
      </c>
      <c r="L662" s="23" t="n">
        <v>1</v>
      </c>
      <c r="M662" s="23" t="n">
        <f>MIN(K662,J662)</f>
        <v>1</v>
      </c>
      <c r="N662" s="23" t="n">
        <f>MIN(L662,J662)</f>
        <v>1</v>
      </c>
      <c r="O662" s="25" t="n">
        <f>IF(K662=0,0,MIN(1,J662/K662))</f>
        <v>1</v>
      </c>
      <c r="P662" s="23" t="n">
        <f>IF(J662&gt;0,MAX(K662-J662,0),0)</f>
        <v>0</v>
      </c>
      <c r="Q662" s="23" t="n">
        <f>IF(J662=0,K662,0)</f>
        <v>0</v>
      </c>
      <c r="R662" s="23" t="n">
        <f>MAX(J662-K662,0)</f>
        <v>0</v>
      </c>
      <c r="S662" s="23" t="n">
        <f>IF(J662&gt;0,MAX(L662-J662,0),L662)</f>
        <v>0</v>
      </c>
    </row>
    <row r="663">
      <c r="A663" s="19" t="str">
        <v>捷克区</v>
      </c>
      <c r="B663" s="19" t="str">
        <v>布拉格7号仓</v>
      </c>
      <c r="C663" s="19" t="str">
        <v>拣货组</v>
      </c>
      <c r="D663" s="21" t="n">
        <v>46169</v>
      </c>
      <c r="E663" s="19" t="str">
        <v>2026-05</v>
      </c>
      <c r="F663" s="19" t="str">
        <v>操作员</v>
      </c>
      <c r="G663" s="19" t="str">
        <v>捷克区07:00-15:30 / CZ 07:00-15:30</v>
      </c>
      <c r="H663" s="23" t="n">
        <v>1</v>
      </c>
      <c r="I663" s="23" t="n">
        <v>0</v>
      </c>
      <c r="J663" s="23" t="n">
        <f>H663+I663</f>
        <v>1</v>
      </c>
      <c r="K663" s="23" t="n">
        <v>1</v>
      </c>
      <c r="L663" s="23" t="n">
        <v>1</v>
      </c>
      <c r="M663" s="23" t="n">
        <f>MIN(K663,J663)</f>
        <v>1</v>
      </c>
      <c r="N663" s="23" t="n">
        <f>MIN(L663,J663)</f>
        <v>1</v>
      </c>
      <c r="O663" s="25" t="n">
        <f>IF(K663=0,0,MIN(1,J663/K663))</f>
        <v>1</v>
      </c>
      <c r="P663" s="23" t="n">
        <f>IF(J663&gt;0,MAX(K663-J663,0),0)</f>
        <v>0</v>
      </c>
      <c r="Q663" s="23" t="n">
        <f>IF(J663=0,K663,0)</f>
        <v>0</v>
      </c>
      <c r="R663" s="23" t="n">
        <f>MAX(J663-K663,0)</f>
        <v>0</v>
      </c>
      <c r="S663" s="23" t="n">
        <f>IF(J663&gt;0,MAX(L663-J663,0),L663)</f>
        <v>0</v>
      </c>
    </row>
    <row r="664">
      <c r="A664" s="19" t="str">
        <v>捷克区</v>
      </c>
      <c r="B664" s="19" t="str">
        <v>布拉格7号仓</v>
      </c>
      <c r="C664" s="19" t="str">
        <v>拣货组</v>
      </c>
      <c r="D664" s="21" t="n">
        <v>46170</v>
      </c>
      <c r="E664" s="19" t="str">
        <v>2026-05</v>
      </c>
      <c r="F664" s="19" t="str">
        <v>操作员</v>
      </c>
      <c r="G664" s="19" t="str">
        <v>捷克区07:00-15:30 / CZ 07:00-15:30</v>
      </c>
      <c r="H664" s="23" t="n">
        <v>1</v>
      </c>
      <c r="I664" s="23" t="n">
        <v>0</v>
      </c>
      <c r="J664" s="23" t="n">
        <f>H664+I664</f>
        <v>1</v>
      </c>
      <c r="K664" s="23" t="n">
        <v>1</v>
      </c>
      <c r="L664" s="23" t="n">
        <v>1</v>
      </c>
      <c r="M664" s="23" t="n">
        <f>MIN(K664,J664)</f>
        <v>1</v>
      </c>
      <c r="N664" s="23" t="n">
        <f>MIN(L664,J664)</f>
        <v>1</v>
      </c>
      <c r="O664" s="25" t="n">
        <f>IF(K664=0,0,MIN(1,J664/K664))</f>
        <v>1</v>
      </c>
      <c r="P664" s="23" t="n">
        <f>IF(J664&gt;0,MAX(K664-J664,0),0)</f>
        <v>0</v>
      </c>
      <c r="Q664" s="23" t="n">
        <f>IF(J664=0,K664,0)</f>
        <v>0</v>
      </c>
      <c r="R664" s="23" t="n">
        <f>MAX(J664-K664,0)</f>
        <v>0</v>
      </c>
      <c r="S664" s="23" t="n">
        <f>IF(J664&gt;0,MAX(L664-J664,0),L664)</f>
        <v>0</v>
      </c>
    </row>
    <row r="665">
      <c r="A665" s="19" t="str">
        <v>捷克区</v>
      </c>
      <c r="B665" s="19" t="str">
        <v>布拉格7号仓</v>
      </c>
      <c r="C665" s="19" t="str">
        <v>拣货组</v>
      </c>
      <c r="D665" s="21" t="n">
        <v>46171</v>
      </c>
      <c r="E665" s="19" t="str">
        <v>2026-05</v>
      </c>
      <c r="F665" s="19" t="str">
        <v>操作员</v>
      </c>
      <c r="G665" s="19" t="str">
        <v>捷克区07:00-15:30 / CZ 07:00-15:30</v>
      </c>
      <c r="H665" s="23" t="n">
        <v>1</v>
      </c>
      <c r="I665" s="23" t="n">
        <v>0</v>
      </c>
      <c r="J665" s="23" t="n">
        <f>H665+I665</f>
        <v>1</v>
      </c>
      <c r="K665" s="23" t="n">
        <v>1</v>
      </c>
      <c r="L665" s="23" t="n">
        <v>1</v>
      </c>
      <c r="M665" s="23" t="n">
        <f>MIN(K665,J665)</f>
        <v>1</v>
      </c>
      <c r="N665" s="23" t="n">
        <f>MIN(L665,J665)</f>
        <v>1</v>
      </c>
      <c r="O665" s="25" t="n">
        <f>IF(K665=0,0,MIN(1,J665/K665))</f>
        <v>1</v>
      </c>
      <c r="P665" s="23" t="n">
        <f>IF(J665&gt;0,MAX(K665-J665,0),0)</f>
        <v>0</v>
      </c>
      <c r="Q665" s="23" t="n">
        <f>IF(J665=0,K665,0)</f>
        <v>0</v>
      </c>
      <c r="R665" s="23" t="n">
        <f>MAX(J665-K665,0)</f>
        <v>0</v>
      </c>
      <c r="S665" s="23" t="n">
        <f>IF(J665&gt;0,MAX(L665-J665,0),L665)</f>
        <v>0</v>
      </c>
    </row>
    <row r="666">
      <c r="A666" s="19" t="str">
        <v>捷克区</v>
      </c>
      <c r="B666" s="19" t="str">
        <v>布拉格7号仓</v>
      </c>
      <c r="C666" s="19" t="str">
        <v>拣货组</v>
      </c>
      <c r="D666" s="21" t="n">
        <v>46172</v>
      </c>
      <c r="E666" s="19" t="str">
        <v>2026-05</v>
      </c>
      <c r="F666" s="19" t="str">
        <v>操作员</v>
      </c>
      <c r="G666" s="19" t="str">
        <v>捷克区07:00-15:30 / CZ 07:00-15:30</v>
      </c>
      <c r="H666" s="23" t="n">
        <v>1</v>
      </c>
      <c r="I666" s="23" t="n">
        <v>0</v>
      </c>
      <c r="J666" s="23" t="n">
        <f>H666+I666</f>
        <v>1</v>
      </c>
      <c r="K666" s="23" t="n">
        <v>1</v>
      </c>
      <c r="L666" s="23" t="n">
        <v>1</v>
      </c>
      <c r="M666" s="23" t="n">
        <f>MIN(K666,J666)</f>
        <v>1</v>
      </c>
      <c r="N666" s="23" t="n">
        <f>MIN(L666,J666)</f>
        <v>1</v>
      </c>
      <c r="O666" s="25" t="n">
        <f>IF(K666=0,0,MIN(1,J666/K666))</f>
        <v>1</v>
      </c>
      <c r="P666" s="23" t="n">
        <f>IF(J666&gt;0,MAX(K666-J666,0),0)</f>
        <v>0</v>
      </c>
      <c r="Q666" s="23" t="n">
        <f>IF(J666=0,K666,0)</f>
        <v>0</v>
      </c>
      <c r="R666" s="23" t="n">
        <f>MAX(J666-K666,0)</f>
        <v>0</v>
      </c>
      <c r="S666" s="23" t="n">
        <f>IF(J666&gt;0,MAX(L666-J666,0),L666)</f>
        <v>0</v>
      </c>
    </row>
    <row r="667">
      <c r="A667" s="19" t="str">
        <v>捷克区</v>
      </c>
      <c r="B667" s="19" t="str">
        <v>布拉格7号仓</v>
      </c>
      <c r="C667" s="19" t="str">
        <v>拣货组</v>
      </c>
      <c r="D667" s="21" t="n">
        <v>46173</v>
      </c>
      <c r="E667" s="19" t="str">
        <v>2026-05</v>
      </c>
      <c r="F667" s="19" t="str">
        <v>操作员</v>
      </c>
      <c r="G667" s="19" t="str">
        <v>捷克区07:00-15:30 / CZ 07:00-15:30</v>
      </c>
      <c r="H667" s="23" t="n">
        <v>1</v>
      </c>
      <c r="I667" s="23" t="n">
        <v>0</v>
      </c>
      <c r="J667" s="23" t="n">
        <f>H667+I667</f>
        <v>1</v>
      </c>
      <c r="K667" s="23" t="n">
        <v>1</v>
      </c>
      <c r="L667" s="23" t="n">
        <v>1</v>
      </c>
      <c r="M667" s="23" t="n">
        <f>MIN(K667,J667)</f>
        <v>1</v>
      </c>
      <c r="N667" s="23" t="n">
        <f>MIN(L667,J667)</f>
        <v>1</v>
      </c>
      <c r="O667" s="25" t="n">
        <f>IF(K667=0,0,MIN(1,J667/K667))</f>
        <v>1</v>
      </c>
      <c r="P667" s="23" t="n">
        <f>IF(J667&gt;0,MAX(K667-J667,0),0)</f>
        <v>0</v>
      </c>
      <c r="Q667" s="23" t="n">
        <f>IF(J667=0,K667,0)</f>
        <v>0</v>
      </c>
      <c r="R667" s="23" t="n">
        <f>MAX(J667-K667,0)</f>
        <v>0</v>
      </c>
      <c r="S667" s="23" t="n">
        <f>IF(J667&gt;0,MAX(L667-J667,0),L667)</f>
        <v>0</v>
      </c>
    </row>
    <row r="668">
      <c r="A668" s="19" t="str">
        <v>捷克区</v>
      </c>
      <c r="B668" s="19" t="str">
        <v>布拉格7号仓</v>
      </c>
      <c r="C668" s="19" t="str">
        <v>拣货组</v>
      </c>
      <c r="D668" s="21" t="n">
        <v>46174</v>
      </c>
      <c r="E668" s="19" t="str">
        <v>2026-06</v>
      </c>
      <c r="F668" s="19" t="str">
        <v>操作员</v>
      </c>
      <c r="G668" s="19" t="str">
        <v>捷克区07:00-15:30 / CZ 07:00-15:30</v>
      </c>
      <c r="H668" s="23" t="n">
        <v>1</v>
      </c>
      <c r="I668" s="23" t="n">
        <v>0</v>
      </c>
      <c r="J668" s="23" t="n">
        <f>H668+I668</f>
        <v>1</v>
      </c>
      <c r="K668" s="23" t="n">
        <v>1</v>
      </c>
      <c r="L668" s="23" t="n">
        <v>0</v>
      </c>
      <c r="M668" s="23" t="n">
        <f>MIN(K668,J668)</f>
        <v>1</v>
      </c>
      <c r="N668" s="23" t="n">
        <f>MIN(L668,J668)</f>
        <v>0</v>
      </c>
      <c r="O668" s="25" t="n">
        <f>IF(K668=0,0,MIN(1,J668/K668))</f>
        <v>1</v>
      </c>
      <c r="P668" s="23" t="n">
        <f>IF(J668&gt;0,MAX(K668-J668,0),0)</f>
        <v>0</v>
      </c>
      <c r="Q668" s="23" t="n">
        <f>IF(J668=0,K668,0)</f>
        <v>0</v>
      </c>
      <c r="R668" s="23" t="n">
        <f>MAX(J668-K668,0)</f>
        <v>0</v>
      </c>
      <c r="S668" s="23" t="n">
        <f>IF(J668&gt;0,MAX(L668-J668,0),L668)</f>
        <v>0</v>
      </c>
    </row>
    <row r="669">
      <c r="A669" s="19" t="str">
        <v>捷克区</v>
      </c>
      <c r="B669" s="19" t="str">
        <v>布拉格7号仓</v>
      </c>
      <c r="C669" s="19" t="str">
        <v>拣货组</v>
      </c>
      <c r="D669" s="21" t="n">
        <v>46175</v>
      </c>
      <c r="E669" s="19" t="str">
        <v>2026-06</v>
      </c>
      <c r="F669" s="19" t="str">
        <v>操作员</v>
      </c>
      <c r="G669" s="19" t="str">
        <v>捷克区07:00-15:30 / CZ 07:00-15:30</v>
      </c>
      <c r="H669" s="23" t="n">
        <v>1</v>
      </c>
      <c r="I669" s="23" t="n">
        <v>0</v>
      </c>
      <c r="J669" s="23" t="n">
        <f>H669+I669</f>
        <v>1</v>
      </c>
      <c r="K669" s="23" t="n">
        <v>1</v>
      </c>
      <c r="L669" s="23" t="n">
        <v>0</v>
      </c>
      <c r="M669" s="23" t="n">
        <f>MIN(K669,J669)</f>
        <v>1</v>
      </c>
      <c r="N669" s="23" t="n">
        <f>MIN(L669,J669)</f>
        <v>0</v>
      </c>
      <c r="O669" s="25" t="n">
        <f>IF(K669=0,0,MIN(1,J669/K669))</f>
        <v>1</v>
      </c>
      <c r="P669" s="23" t="n">
        <f>IF(J669&gt;0,MAX(K669-J669,0),0)</f>
        <v>0</v>
      </c>
      <c r="Q669" s="23" t="n">
        <f>IF(J669=0,K669,0)</f>
        <v>0</v>
      </c>
      <c r="R669" s="23" t="n">
        <f>MAX(J669-K669,0)</f>
        <v>0</v>
      </c>
      <c r="S669" s="23" t="n">
        <f>IF(J669&gt;0,MAX(L669-J669,0),L669)</f>
        <v>0</v>
      </c>
    </row>
    <row r="670">
      <c r="A670" s="19" t="str">
        <v>捷克区</v>
      </c>
      <c r="B670" s="19" t="str">
        <v>布拉格7号仓</v>
      </c>
      <c r="C670" s="19" t="str">
        <v>拣货组</v>
      </c>
      <c r="D670" s="21" t="n">
        <v>46176</v>
      </c>
      <c r="E670" s="19" t="str">
        <v>2026-06</v>
      </c>
      <c r="F670" s="19" t="str">
        <v>操作员</v>
      </c>
      <c r="G670" s="19" t="str">
        <v>捷克区07:00-15:30 / CZ 07:00-15:30</v>
      </c>
      <c r="H670" s="23" t="n">
        <v>1</v>
      </c>
      <c r="I670" s="23" t="n">
        <v>0</v>
      </c>
      <c r="J670" s="23" t="n">
        <f>H670+I670</f>
        <v>1</v>
      </c>
      <c r="K670" s="23" t="n">
        <v>1</v>
      </c>
      <c r="L670" s="23" t="n">
        <v>0</v>
      </c>
      <c r="M670" s="23" t="n">
        <f>MIN(K670,J670)</f>
        <v>1</v>
      </c>
      <c r="N670" s="23" t="n">
        <f>MIN(L670,J670)</f>
        <v>0</v>
      </c>
      <c r="O670" s="25" t="n">
        <f>IF(K670=0,0,MIN(1,J670/K670))</f>
        <v>1</v>
      </c>
      <c r="P670" s="23" t="n">
        <f>IF(J670&gt;0,MAX(K670-J670,0),0)</f>
        <v>0</v>
      </c>
      <c r="Q670" s="23" t="n">
        <f>IF(J670=0,K670,0)</f>
        <v>0</v>
      </c>
      <c r="R670" s="23" t="n">
        <f>MAX(J670-K670,0)</f>
        <v>0</v>
      </c>
      <c r="S670" s="23" t="n">
        <f>IF(J670&gt;0,MAX(L670-J670,0),L670)</f>
        <v>0</v>
      </c>
    </row>
    <row r="671">
      <c r="A671" s="19" t="str">
        <v>捷克区</v>
      </c>
      <c r="B671" s="19" t="str">
        <v>布拉格7号仓</v>
      </c>
      <c r="C671" s="19" t="str">
        <v>理货组</v>
      </c>
      <c r="D671" s="21" t="n">
        <v>46199</v>
      </c>
      <c r="E671" s="19" t="str">
        <v>2026-06</v>
      </c>
      <c r="F671" s="19" t="str">
        <v>交运员 3.5T</v>
      </c>
      <c r="G671" s="19" t="str">
        <v>捷克区07:00-15:30 / CZ 07:00-15:30</v>
      </c>
      <c r="H671" s="23" t="n">
        <v>1</v>
      </c>
      <c r="I671" s="23" t="n">
        <v>0</v>
      </c>
      <c r="J671" s="23" t="n">
        <f>H671+I671</f>
        <v>1</v>
      </c>
      <c r="K671" s="23" t="n">
        <v>1</v>
      </c>
      <c r="L671" s="23" t="n">
        <v>1</v>
      </c>
      <c r="M671" s="23" t="n">
        <f>MIN(K671,J671)</f>
        <v>1</v>
      </c>
      <c r="N671" s="23" t="n">
        <f>MIN(L671,J671)</f>
        <v>1</v>
      </c>
      <c r="O671" s="25" t="n">
        <f>IF(K671=0,0,MIN(1,J671/K671))</f>
        <v>1</v>
      </c>
      <c r="P671" s="23" t="n">
        <f>IF(J671&gt;0,MAX(K671-J671,0),0)</f>
        <v>0</v>
      </c>
      <c r="Q671" s="23" t="n">
        <f>IF(J671=0,K671,0)</f>
        <v>0</v>
      </c>
      <c r="R671" s="23" t="n">
        <f>MAX(J671-K671,0)</f>
        <v>0</v>
      </c>
      <c r="S671" s="23" t="n">
        <f>IF(J671&gt;0,MAX(L671-J671,0),L671)</f>
        <v>0</v>
      </c>
    </row>
    <row r="672">
      <c r="A672" s="19" t="str">
        <v>捷克区</v>
      </c>
      <c r="B672" s="19" t="str">
        <v>布拉格7号仓</v>
      </c>
      <c r="C672" s="19" t="str">
        <v>理货组</v>
      </c>
      <c r="D672" s="21" t="n">
        <v>46200</v>
      </c>
      <c r="E672" s="19" t="str">
        <v>2026-06</v>
      </c>
      <c r="F672" s="19" t="str">
        <v>交运员 3.5T</v>
      </c>
      <c r="G672" s="19" t="str">
        <v>捷克区07:00-15:30 / CZ 07:00-15:30</v>
      </c>
      <c r="H672" s="23" t="n">
        <v>1</v>
      </c>
      <c r="I672" s="23" t="n">
        <v>0</v>
      </c>
      <c r="J672" s="23" t="n">
        <f>H672+I672</f>
        <v>1</v>
      </c>
      <c r="K672" s="23" t="n">
        <v>1</v>
      </c>
      <c r="L672" s="23" t="n">
        <v>1</v>
      </c>
      <c r="M672" s="23" t="n">
        <f>MIN(K672,J672)</f>
        <v>1</v>
      </c>
      <c r="N672" s="23" t="n">
        <f>MIN(L672,J672)</f>
        <v>1</v>
      </c>
      <c r="O672" s="25" t="n">
        <f>IF(K672=0,0,MIN(1,J672/K672))</f>
        <v>1</v>
      </c>
      <c r="P672" s="23" t="n">
        <f>IF(J672&gt;0,MAX(K672-J672,0),0)</f>
        <v>0</v>
      </c>
      <c r="Q672" s="23" t="n">
        <f>IF(J672=0,K672,0)</f>
        <v>0</v>
      </c>
      <c r="R672" s="23" t="n">
        <f>MAX(J672-K672,0)</f>
        <v>0</v>
      </c>
      <c r="S672" s="23" t="n">
        <f>IF(J672&gt;0,MAX(L672-J672,0),L672)</f>
        <v>0</v>
      </c>
    </row>
    <row r="673">
      <c r="A673" s="19" t="str">
        <v>捷克区</v>
      </c>
      <c r="B673" s="19" t="str">
        <v>布拉格7号仓</v>
      </c>
      <c r="C673" s="19" t="str">
        <v>理货组</v>
      </c>
      <c r="D673" s="21" t="n">
        <v>46201</v>
      </c>
      <c r="E673" s="19" t="str">
        <v>2026-06</v>
      </c>
      <c r="F673" s="19" t="str">
        <v>交运员 3.5T</v>
      </c>
      <c r="G673" s="19" t="str">
        <v>捷克区07:00-15:30 / CZ 07:00-15:30</v>
      </c>
      <c r="H673" s="23" t="n">
        <v>1</v>
      </c>
      <c r="I673" s="23" t="n">
        <v>0</v>
      </c>
      <c r="J673" s="23" t="n">
        <f>H673+I673</f>
        <v>1</v>
      </c>
      <c r="K673" s="23" t="n">
        <v>1</v>
      </c>
      <c r="L673" s="23" t="n">
        <v>1</v>
      </c>
      <c r="M673" s="23" t="n">
        <f>MIN(K673,J673)</f>
        <v>1</v>
      </c>
      <c r="N673" s="23" t="n">
        <f>MIN(L673,J673)</f>
        <v>1</v>
      </c>
      <c r="O673" s="25" t="n">
        <f>IF(K673=0,0,MIN(1,J673/K673))</f>
        <v>1</v>
      </c>
      <c r="P673" s="23" t="n">
        <f>IF(J673&gt;0,MAX(K673-J673,0),0)</f>
        <v>0</v>
      </c>
      <c r="Q673" s="23" t="n">
        <f>IF(J673=0,K673,0)</f>
        <v>0</v>
      </c>
      <c r="R673" s="23" t="n">
        <f>MAX(J673-K673,0)</f>
        <v>0</v>
      </c>
      <c r="S673" s="23" t="n">
        <f>IF(J673&gt;0,MAX(L673-J673,0),L673)</f>
        <v>0</v>
      </c>
    </row>
    <row r="674">
      <c r="A674" s="19" t="str">
        <v>捷克区</v>
      </c>
      <c r="B674" s="19" t="str">
        <v>布拉格7号仓</v>
      </c>
      <c r="C674" s="19" t="str">
        <v>理货组</v>
      </c>
      <c r="D674" s="21" t="n">
        <v>46202</v>
      </c>
      <c r="E674" s="19" t="str">
        <v>2026-06</v>
      </c>
      <c r="F674" s="19" t="str">
        <v>交运员 3.5T</v>
      </c>
      <c r="G674" s="19" t="str">
        <v>捷克区07:00-15:30 / CZ 07:00-15:30</v>
      </c>
      <c r="H674" s="23" t="n">
        <v>1</v>
      </c>
      <c r="I674" s="23" t="n">
        <v>0</v>
      </c>
      <c r="J674" s="23" t="n">
        <f>H674+I674</f>
        <v>1</v>
      </c>
      <c r="K674" s="23" t="n">
        <v>1</v>
      </c>
      <c r="L674" s="23" t="n">
        <v>1</v>
      </c>
      <c r="M674" s="23" t="n">
        <f>MIN(K674,J674)</f>
        <v>1</v>
      </c>
      <c r="N674" s="23" t="n">
        <f>MIN(L674,J674)</f>
        <v>1</v>
      </c>
      <c r="O674" s="25" t="n">
        <f>IF(K674=0,0,MIN(1,J674/K674))</f>
        <v>1</v>
      </c>
      <c r="P674" s="23" t="n">
        <f>IF(J674&gt;0,MAX(K674-J674,0),0)</f>
        <v>0</v>
      </c>
      <c r="Q674" s="23" t="n">
        <f>IF(J674=0,K674,0)</f>
        <v>0</v>
      </c>
      <c r="R674" s="23" t="n">
        <f>MAX(J674-K674,0)</f>
        <v>0</v>
      </c>
      <c r="S674" s="23" t="n">
        <f>IF(J674&gt;0,MAX(L674-J674,0),L674)</f>
        <v>0</v>
      </c>
    </row>
    <row r="675">
      <c r="A675" s="19" t="str">
        <v>捷克区</v>
      </c>
      <c r="B675" s="19" t="str">
        <v>布拉格7号仓</v>
      </c>
      <c r="C675" s="19" t="str">
        <v>理货组</v>
      </c>
      <c r="D675" s="21" t="n">
        <v>46203</v>
      </c>
      <c r="E675" s="19" t="str">
        <v>2026-06</v>
      </c>
      <c r="F675" s="19" t="str">
        <v>交运员 3.5T</v>
      </c>
      <c r="G675" s="19" t="str">
        <v>捷克区07:00-15:30 / CZ 07:00-15:30</v>
      </c>
      <c r="H675" s="23" t="n">
        <v>1</v>
      </c>
      <c r="I675" s="23" t="n">
        <v>0</v>
      </c>
      <c r="J675" s="23" t="n">
        <f>H675+I675</f>
        <v>1</v>
      </c>
      <c r="K675" s="23" t="n">
        <v>1</v>
      </c>
      <c r="L675" s="23" t="n">
        <v>1</v>
      </c>
      <c r="M675" s="23" t="n">
        <f>MIN(K675,J675)</f>
        <v>1</v>
      </c>
      <c r="N675" s="23" t="n">
        <f>MIN(L675,J675)</f>
        <v>1</v>
      </c>
      <c r="O675" s="25" t="n">
        <f>IF(K675=0,0,MIN(1,J675/K675))</f>
        <v>1</v>
      </c>
      <c r="P675" s="23" t="n">
        <f>IF(J675&gt;0,MAX(K675-J675,0),0)</f>
        <v>0</v>
      </c>
      <c r="Q675" s="23" t="n">
        <f>IF(J675=0,K675,0)</f>
        <v>0</v>
      </c>
      <c r="R675" s="23" t="n">
        <f>MAX(J675-K675,0)</f>
        <v>0</v>
      </c>
      <c r="S675" s="23" t="n">
        <f>IF(J675&gt;0,MAX(L675-J675,0),L675)</f>
        <v>0</v>
      </c>
    </row>
    <row r="676">
      <c r="A676" s="19" t="str">
        <v>捷克区</v>
      </c>
      <c r="B676" s="19" t="str">
        <v>布拉格8号仓</v>
      </c>
      <c r="C676" s="19" t="str">
        <v>入库组</v>
      </c>
      <c r="D676" s="21" t="n">
        <v>46203</v>
      </c>
      <c r="E676" s="19" t="str">
        <v>2026-06</v>
      </c>
      <c r="F676" s="19" t="str">
        <v>操作员</v>
      </c>
      <c r="G676" s="19" t="str">
        <v>捷克区07:00-15:30 / CZ 07:00-15:30</v>
      </c>
      <c r="H676" s="23" t="n">
        <v>1</v>
      </c>
      <c r="I676" s="23" t="n">
        <v>0</v>
      </c>
      <c r="J676" s="23" t="n">
        <f>H676+I676</f>
        <v>1</v>
      </c>
      <c r="K676" s="23" t="n">
        <v>1</v>
      </c>
      <c r="L676" s="23" t="n">
        <v>1</v>
      </c>
      <c r="M676" s="23" t="n">
        <f>MIN(K676,J676)</f>
        <v>1</v>
      </c>
      <c r="N676" s="23" t="n">
        <f>MIN(L676,J676)</f>
        <v>1</v>
      </c>
      <c r="O676" s="25" t="n">
        <f>IF(K676=0,0,MIN(1,J676/K676))</f>
        <v>1</v>
      </c>
      <c r="P676" s="23" t="n">
        <f>IF(J676&gt;0,MAX(K676-J676,0),0)</f>
        <v>0</v>
      </c>
      <c r="Q676" s="23" t="n">
        <f>IF(J676=0,K676,0)</f>
        <v>0</v>
      </c>
      <c r="R676" s="23" t="n">
        <f>MAX(J676-K676,0)</f>
        <v>0</v>
      </c>
      <c r="S676" s="23" t="n">
        <f>IF(J676&gt;0,MAX(L676-J676,0),L676)</f>
        <v>0</v>
      </c>
    </row>
    <row r="677">
      <c r="A677" s="19" t="str">
        <v>捷克区</v>
      </c>
      <c r="B677" s="19" t="str">
        <v>布拉格8号仓</v>
      </c>
      <c r="C677" s="19" t="str">
        <v>拣货组</v>
      </c>
      <c r="D677" s="21" t="n">
        <v>46114</v>
      </c>
      <c r="E677" s="19" t="str">
        <v>2026-04</v>
      </c>
      <c r="F677" s="19" t="str">
        <v>叉车司机</v>
      </c>
      <c r="G677" s="19" t="str">
        <v>捷克区07:00-15:30 / CZ 07:00-15:30</v>
      </c>
      <c r="H677" s="23" t="n">
        <v>1</v>
      </c>
      <c r="I677" s="23" t="n">
        <v>0</v>
      </c>
      <c r="J677" s="23" t="n">
        <f>H677+I677</f>
        <v>1</v>
      </c>
      <c r="K677" s="23" t="n">
        <v>0</v>
      </c>
      <c r="L677" s="23" t="n">
        <v>0</v>
      </c>
      <c r="M677" s="23" t="n">
        <f>MIN(K677,J677)</f>
        <v>0</v>
      </c>
      <c r="N677" s="23" t="n">
        <f>MIN(L677,J677)</f>
        <v>0</v>
      </c>
      <c r="O677" s="25" t="n">
        <f>IF(K677=0,0,MIN(1,J677/K677))</f>
        <v>0</v>
      </c>
      <c r="P677" s="23" t="n">
        <f>IF(J677&gt;0,MAX(K677-J677,0),0)</f>
        <v>0</v>
      </c>
      <c r="Q677" s="23" t="n">
        <f>IF(J677=0,K677,0)</f>
        <v>0</v>
      </c>
      <c r="R677" s="23" t="n">
        <f>MAX(J677-K677,0)</f>
        <v>1</v>
      </c>
      <c r="S677" s="23" t="n">
        <f>IF(J677&gt;0,MAX(L677-J677,0),L677)</f>
        <v>0</v>
      </c>
    </row>
    <row r="678">
      <c r="A678" s="19" t="str">
        <v>捷克区</v>
      </c>
      <c r="B678" s="19" t="str">
        <v>布拉格8号仓</v>
      </c>
      <c r="C678" s="19" t="str">
        <v>拣货组</v>
      </c>
      <c r="D678" s="21" t="n">
        <v>46115</v>
      </c>
      <c r="E678" s="19" t="str">
        <v>2026-04</v>
      </c>
      <c r="F678" s="19" t="str">
        <v>叉车司机</v>
      </c>
      <c r="G678" s="19" t="str">
        <v>捷克区07:00-15:30 / CZ 07:00-15:30</v>
      </c>
      <c r="H678" s="23" t="n">
        <v>1</v>
      </c>
      <c r="I678" s="23" t="n">
        <v>0</v>
      </c>
      <c r="J678" s="23" t="n">
        <f>H678+I678</f>
        <v>1</v>
      </c>
      <c r="K678" s="23" t="n">
        <v>0</v>
      </c>
      <c r="L678" s="23" t="n">
        <v>0</v>
      </c>
      <c r="M678" s="23" t="n">
        <f>MIN(K678,J678)</f>
        <v>0</v>
      </c>
      <c r="N678" s="23" t="n">
        <f>MIN(L678,J678)</f>
        <v>0</v>
      </c>
      <c r="O678" s="25" t="n">
        <f>IF(K678=0,0,MIN(1,J678/K678))</f>
        <v>0</v>
      </c>
      <c r="P678" s="23" t="n">
        <f>IF(J678&gt;0,MAX(K678-J678,0),0)</f>
        <v>0</v>
      </c>
      <c r="Q678" s="23" t="n">
        <f>IF(J678=0,K678,0)</f>
        <v>0</v>
      </c>
      <c r="R678" s="23" t="n">
        <f>MAX(J678-K678,0)</f>
        <v>1</v>
      </c>
      <c r="S678" s="23" t="n">
        <f>IF(J678&gt;0,MAX(L678-J678,0),L678)</f>
        <v>0</v>
      </c>
    </row>
    <row r="679">
      <c r="A679" s="19" t="str">
        <v>捷克区</v>
      </c>
      <c r="B679" s="19" t="str">
        <v>布拉格8号仓</v>
      </c>
      <c r="C679" s="19" t="str">
        <v>拣货组</v>
      </c>
      <c r="D679" s="21" t="n">
        <v>46116</v>
      </c>
      <c r="E679" s="19" t="str">
        <v>2026-04</v>
      </c>
      <c r="F679" s="19" t="str">
        <v>叉车司机</v>
      </c>
      <c r="G679" s="19" t="str">
        <v>捷克区07:00-15:30 / CZ 07:00-15:30</v>
      </c>
      <c r="H679" s="23" t="n">
        <v>1</v>
      </c>
      <c r="I679" s="23" t="n">
        <v>0</v>
      </c>
      <c r="J679" s="23" t="n">
        <f>H679+I679</f>
        <v>1</v>
      </c>
      <c r="K679" s="23" t="n">
        <v>0</v>
      </c>
      <c r="L679" s="23" t="n">
        <v>0</v>
      </c>
      <c r="M679" s="23" t="n">
        <f>MIN(K679,J679)</f>
        <v>0</v>
      </c>
      <c r="N679" s="23" t="n">
        <f>MIN(L679,J679)</f>
        <v>0</v>
      </c>
      <c r="O679" s="25" t="n">
        <f>IF(K679=0,0,MIN(1,J679/K679))</f>
        <v>0</v>
      </c>
      <c r="P679" s="23" t="n">
        <f>IF(J679&gt;0,MAX(K679-J679,0),0)</f>
        <v>0</v>
      </c>
      <c r="Q679" s="23" t="n">
        <f>IF(J679=0,K679,0)</f>
        <v>0</v>
      </c>
      <c r="R679" s="23" t="n">
        <f>MAX(J679-K679,0)</f>
        <v>1</v>
      </c>
      <c r="S679" s="23" t="n">
        <f>IF(J679&gt;0,MAX(L679-J679,0),L679)</f>
        <v>0</v>
      </c>
    </row>
    <row r="680">
      <c r="A680" s="19" t="str">
        <v>捷克区</v>
      </c>
      <c r="B680" s="19" t="str">
        <v>布拉格8号仓</v>
      </c>
      <c r="C680" s="19" t="str">
        <v>拣货组</v>
      </c>
      <c r="D680" s="21" t="n">
        <v>46117</v>
      </c>
      <c r="E680" s="19" t="str">
        <v>2026-04</v>
      </c>
      <c r="F680" s="19" t="str">
        <v>叉车司机</v>
      </c>
      <c r="G680" s="19" t="str">
        <v>捷克区07:00-15:30 / CZ 07:00-15:30</v>
      </c>
      <c r="H680" s="23" t="n">
        <v>1</v>
      </c>
      <c r="I680" s="23" t="n">
        <v>0</v>
      </c>
      <c r="J680" s="23" t="n">
        <f>H680+I680</f>
        <v>1</v>
      </c>
      <c r="K680" s="23" t="n">
        <v>0</v>
      </c>
      <c r="L680" s="23" t="n">
        <v>0</v>
      </c>
      <c r="M680" s="23" t="n">
        <f>MIN(K680,J680)</f>
        <v>0</v>
      </c>
      <c r="N680" s="23" t="n">
        <f>MIN(L680,J680)</f>
        <v>0</v>
      </c>
      <c r="O680" s="25" t="n">
        <f>IF(K680=0,0,MIN(1,J680/K680))</f>
        <v>0</v>
      </c>
      <c r="P680" s="23" t="n">
        <f>IF(J680&gt;0,MAX(K680-J680,0),0)</f>
        <v>0</v>
      </c>
      <c r="Q680" s="23" t="n">
        <f>IF(J680=0,K680,0)</f>
        <v>0</v>
      </c>
      <c r="R680" s="23" t="n">
        <f>MAX(J680-K680,0)</f>
        <v>1</v>
      </c>
      <c r="S680" s="23" t="n">
        <f>IF(J680&gt;0,MAX(L680-J680,0),L680)</f>
        <v>0</v>
      </c>
    </row>
    <row r="681">
      <c r="A681" s="19" t="str">
        <v>捷克区</v>
      </c>
      <c r="B681" s="19" t="str">
        <v>布拉格8号仓</v>
      </c>
      <c r="C681" s="19" t="str">
        <v>拣货组</v>
      </c>
      <c r="D681" s="21" t="n">
        <v>46118</v>
      </c>
      <c r="E681" s="19" t="str">
        <v>2026-04</v>
      </c>
      <c r="F681" s="19" t="str">
        <v>叉车司机</v>
      </c>
      <c r="G681" s="19" t="str">
        <v>捷克区07:00-15:30 / CZ 07:00-15:30</v>
      </c>
      <c r="H681" s="23" t="n">
        <v>1</v>
      </c>
      <c r="I681" s="23" t="n">
        <v>0</v>
      </c>
      <c r="J681" s="23" t="n">
        <f>H681+I681</f>
        <v>1</v>
      </c>
      <c r="K681" s="23" t="n">
        <v>0</v>
      </c>
      <c r="L681" s="23" t="n">
        <v>0</v>
      </c>
      <c r="M681" s="23" t="n">
        <f>MIN(K681,J681)</f>
        <v>0</v>
      </c>
      <c r="N681" s="23" t="n">
        <f>MIN(L681,J681)</f>
        <v>0</v>
      </c>
      <c r="O681" s="25" t="n">
        <f>IF(K681=0,0,MIN(1,J681/K681))</f>
        <v>0</v>
      </c>
      <c r="P681" s="23" t="n">
        <f>IF(J681&gt;0,MAX(K681-J681,0),0)</f>
        <v>0</v>
      </c>
      <c r="Q681" s="23" t="n">
        <f>IF(J681=0,K681,0)</f>
        <v>0</v>
      </c>
      <c r="R681" s="23" t="n">
        <f>MAX(J681-K681,0)</f>
        <v>1</v>
      </c>
      <c r="S681" s="23" t="n">
        <f>IF(J681&gt;0,MAX(L681-J681,0),L681)</f>
        <v>0</v>
      </c>
    </row>
    <row r="682">
      <c r="A682" s="19" t="str">
        <v>捷克区</v>
      </c>
      <c r="B682" s="19" t="str">
        <v>布拉格8号仓</v>
      </c>
      <c r="C682" s="19" t="str">
        <v>拣货组</v>
      </c>
      <c r="D682" s="21" t="n">
        <v>46119</v>
      </c>
      <c r="E682" s="19" t="str">
        <v>2026-04</v>
      </c>
      <c r="F682" s="19" t="str">
        <v>叉车司机</v>
      </c>
      <c r="G682" s="19" t="str">
        <v>捷克区07:00-15:30 / CZ 07:00-15:30</v>
      </c>
      <c r="H682" s="23" t="n">
        <v>1</v>
      </c>
      <c r="I682" s="23" t="n">
        <v>0</v>
      </c>
      <c r="J682" s="23" t="n">
        <f>H682+I682</f>
        <v>1</v>
      </c>
      <c r="K682" s="23" t="n">
        <v>0</v>
      </c>
      <c r="L682" s="23" t="n">
        <v>0</v>
      </c>
      <c r="M682" s="23" t="n">
        <f>MIN(K682,J682)</f>
        <v>0</v>
      </c>
      <c r="N682" s="23" t="n">
        <f>MIN(L682,J682)</f>
        <v>0</v>
      </c>
      <c r="O682" s="25" t="n">
        <f>IF(K682=0,0,MIN(1,J682/K682))</f>
        <v>0</v>
      </c>
      <c r="P682" s="23" t="n">
        <f>IF(J682&gt;0,MAX(K682-J682,0),0)</f>
        <v>0</v>
      </c>
      <c r="Q682" s="23" t="n">
        <f>IF(J682=0,K682,0)</f>
        <v>0</v>
      </c>
      <c r="R682" s="23" t="n">
        <f>MAX(J682-K682,0)</f>
        <v>1</v>
      </c>
      <c r="S682" s="23" t="n">
        <f>IF(J682&gt;0,MAX(L682-J682,0),L682)</f>
        <v>0</v>
      </c>
    </row>
    <row r="683">
      <c r="A683" s="19" t="str">
        <v>捷克区</v>
      </c>
      <c r="B683" s="19" t="str">
        <v>布拉格8号仓</v>
      </c>
      <c r="C683" s="19" t="str">
        <v>拣货组</v>
      </c>
      <c r="D683" s="21" t="n">
        <v>46121</v>
      </c>
      <c r="E683" s="19" t="str">
        <v>2026-04</v>
      </c>
      <c r="F683" s="19" t="str">
        <v>叉车司机</v>
      </c>
      <c r="G683" s="19" t="str">
        <v>捷克区07:00-15:30 / CZ 07:00-15:30</v>
      </c>
      <c r="H683" s="23" t="n">
        <v>1</v>
      </c>
      <c r="I683" s="23" t="n">
        <v>0</v>
      </c>
      <c r="J683" s="23" t="n">
        <f>H683+I683</f>
        <v>1</v>
      </c>
      <c r="K683" s="23" t="n">
        <v>1</v>
      </c>
      <c r="L683" s="23" t="n">
        <v>1</v>
      </c>
      <c r="M683" s="23" t="n">
        <f>MIN(K683,J683)</f>
        <v>1</v>
      </c>
      <c r="N683" s="23" t="n">
        <f>MIN(L683,J683)</f>
        <v>1</v>
      </c>
      <c r="O683" s="25" t="n">
        <f>IF(K683=0,0,MIN(1,J683/K683))</f>
        <v>1</v>
      </c>
      <c r="P683" s="23" t="n">
        <f>IF(J683&gt;0,MAX(K683-J683,0),0)</f>
        <v>0</v>
      </c>
      <c r="Q683" s="23" t="n">
        <f>IF(J683=0,K683,0)</f>
        <v>0</v>
      </c>
      <c r="R683" s="23" t="n">
        <f>MAX(J683-K683,0)</f>
        <v>0</v>
      </c>
      <c r="S683" s="23" t="n">
        <f>IF(J683&gt;0,MAX(L683-J683,0),L683)</f>
        <v>0</v>
      </c>
    </row>
    <row r="684">
      <c r="A684" s="19" t="str">
        <v>捷克区</v>
      </c>
      <c r="B684" s="19" t="str">
        <v>布拉格8号仓</v>
      </c>
      <c r="C684" s="19" t="str">
        <v>拣货组</v>
      </c>
      <c r="D684" s="21" t="n">
        <v>46132</v>
      </c>
      <c r="E684" s="19" t="str">
        <v>2026-04</v>
      </c>
      <c r="F684" s="19" t="str">
        <v>叉车司机</v>
      </c>
      <c r="G684" s="19" t="str">
        <v>捷克区07:00-15:30 / CZ 07:00-15:30</v>
      </c>
      <c r="H684" s="23" t="n">
        <v>2</v>
      </c>
      <c r="I684" s="23" t="n">
        <v>0</v>
      </c>
      <c r="J684" s="23" t="n">
        <f>H684+I684</f>
        <v>2</v>
      </c>
      <c r="K684" s="23" t="n">
        <v>2</v>
      </c>
      <c r="L684" s="23" t="n">
        <v>0</v>
      </c>
      <c r="M684" s="23" t="n">
        <f>MIN(K684,J684)</f>
        <v>2</v>
      </c>
      <c r="N684" s="23" t="n">
        <f>MIN(L684,J684)</f>
        <v>0</v>
      </c>
      <c r="O684" s="25" t="n">
        <f>IF(K684=0,0,MIN(1,J684/K684))</f>
        <v>1</v>
      </c>
      <c r="P684" s="23" t="n">
        <f>IF(J684&gt;0,MAX(K684-J684,0),0)</f>
        <v>0</v>
      </c>
      <c r="Q684" s="23" t="n">
        <f>IF(J684=0,K684,0)</f>
        <v>0</v>
      </c>
      <c r="R684" s="23" t="n">
        <f>MAX(J684-K684,0)</f>
        <v>0</v>
      </c>
      <c r="S684" s="23" t="n">
        <f>IF(J684&gt;0,MAX(L684-J684,0),L684)</f>
        <v>0</v>
      </c>
    </row>
    <row r="685">
      <c r="A685" s="19" t="str">
        <v>捷克区</v>
      </c>
      <c r="B685" s="19" t="str">
        <v>布拉格8号仓</v>
      </c>
      <c r="C685" s="19" t="str">
        <v>拣货组</v>
      </c>
      <c r="D685" s="21" t="n">
        <v>46139</v>
      </c>
      <c r="E685" s="19" t="str">
        <v>2026-04</v>
      </c>
      <c r="F685" s="19" t="str">
        <v>操作员</v>
      </c>
      <c r="G685" s="19" t="str">
        <v>捷克区07:00-15:30 / CZ 07:00-15:30</v>
      </c>
      <c r="H685" s="23" t="n">
        <v>1</v>
      </c>
      <c r="I685" s="23" t="n">
        <v>0</v>
      </c>
      <c r="J685" s="23" t="n">
        <f>H685+I685</f>
        <v>1</v>
      </c>
      <c r="K685" s="23" t="n">
        <v>1</v>
      </c>
      <c r="L685" s="23" t="n">
        <v>1</v>
      </c>
      <c r="M685" s="23" t="n">
        <f>MIN(K685,J685)</f>
        <v>1</v>
      </c>
      <c r="N685" s="23" t="n">
        <f>MIN(L685,J685)</f>
        <v>1</v>
      </c>
      <c r="O685" s="25" t="n">
        <f>IF(K685=0,0,MIN(1,J685/K685))</f>
        <v>1</v>
      </c>
      <c r="P685" s="23" t="n">
        <f>IF(J685&gt;0,MAX(K685-J685,0),0)</f>
        <v>0</v>
      </c>
      <c r="Q685" s="23" t="n">
        <f>IF(J685=0,K685,0)</f>
        <v>0</v>
      </c>
      <c r="R685" s="23" t="n">
        <f>MAX(J685-K685,0)</f>
        <v>0</v>
      </c>
      <c r="S685" s="23" t="n">
        <f>IF(J685&gt;0,MAX(L685-J685,0),L685)</f>
        <v>0</v>
      </c>
    </row>
    <row r="686">
      <c r="A686" s="19" t="str">
        <v>捷克区</v>
      </c>
      <c r="B686" s="19" t="str">
        <v>布拉格8号仓</v>
      </c>
      <c r="C686" s="19" t="str">
        <v>拣货组</v>
      </c>
      <c r="D686" s="21" t="n">
        <v>46178</v>
      </c>
      <c r="E686" s="19" t="str">
        <v>2026-06</v>
      </c>
      <c r="F686" s="19" t="str">
        <v>叉车司机</v>
      </c>
      <c r="G686" s="19" t="str">
        <v>捷克区07:00-15:30 / CZ 07:00-15:30</v>
      </c>
      <c r="H686" s="23" t="n">
        <v>1</v>
      </c>
      <c r="I686" s="23" t="n">
        <v>0</v>
      </c>
      <c r="J686" s="23" t="n">
        <f>H686+I686</f>
        <v>1</v>
      </c>
      <c r="K686" s="23" t="n">
        <v>1</v>
      </c>
      <c r="L686" s="23" t="n">
        <v>1</v>
      </c>
      <c r="M686" s="23" t="n">
        <f>MIN(K686,J686)</f>
        <v>1</v>
      </c>
      <c r="N686" s="23" t="n">
        <f>MIN(L686,J686)</f>
        <v>1</v>
      </c>
      <c r="O686" s="25" t="n">
        <f>IF(K686=0,0,MIN(1,J686/K686))</f>
        <v>1</v>
      </c>
      <c r="P686" s="23" t="n">
        <f>IF(J686&gt;0,MAX(K686-J686,0),0)</f>
        <v>0</v>
      </c>
      <c r="Q686" s="23" t="n">
        <f>IF(J686=0,K686,0)</f>
        <v>0</v>
      </c>
      <c r="R686" s="23" t="n">
        <f>MAX(J686-K686,0)</f>
        <v>0</v>
      </c>
      <c r="S686" s="23" t="n">
        <f>IF(J686&gt;0,MAX(L686-J686,0),L686)</f>
        <v>0</v>
      </c>
    </row>
    <row r="687">
      <c r="A687" s="19" t="str">
        <v>捷克区</v>
      </c>
      <c r="B687" s="19" t="str">
        <v>布拉格8号仓</v>
      </c>
      <c r="C687" s="19" t="str">
        <v>拣货组</v>
      </c>
      <c r="D687" s="21" t="n">
        <v>46190</v>
      </c>
      <c r="E687" s="19" t="str">
        <v>2026-06</v>
      </c>
      <c r="F687" s="19" t="str">
        <v>叉车司机</v>
      </c>
      <c r="G687" s="19" t="str">
        <v>捷克区07:00-15:30 / CZ 07:00-15:30</v>
      </c>
      <c r="H687" s="23" t="n">
        <v>1</v>
      </c>
      <c r="I687" s="23" t="n">
        <v>0</v>
      </c>
      <c r="J687" s="23" t="n">
        <f>H687+I687</f>
        <v>1</v>
      </c>
      <c r="K687" s="23" t="n">
        <v>1</v>
      </c>
      <c r="L687" s="23" t="n">
        <v>1</v>
      </c>
      <c r="M687" s="23" t="n">
        <f>MIN(K687,J687)</f>
        <v>1</v>
      </c>
      <c r="N687" s="23" t="n">
        <f>MIN(L687,J687)</f>
        <v>1</v>
      </c>
      <c r="O687" s="25" t="n">
        <f>IF(K687=0,0,MIN(1,J687/K687))</f>
        <v>1</v>
      </c>
      <c r="P687" s="23" t="n">
        <f>IF(J687&gt;0,MAX(K687-J687,0),0)</f>
        <v>0</v>
      </c>
      <c r="Q687" s="23" t="n">
        <f>IF(J687=0,K687,0)</f>
        <v>0</v>
      </c>
      <c r="R687" s="23" t="n">
        <f>MAX(J687-K687,0)</f>
        <v>0</v>
      </c>
      <c r="S687" s="23" t="n">
        <f>IF(J687&gt;0,MAX(L687-J687,0),L687)</f>
        <v>0</v>
      </c>
    </row>
    <row r="688">
      <c r="A688" s="19" t="str">
        <v>捷克区</v>
      </c>
      <c r="B688" s="19" t="str">
        <v>布拉格8号仓</v>
      </c>
      <c r="C688" s="19" t="str">
        <v>拣货组</v>
      </c>
      <c r="D688" s="21" t="n">
        <v>46191</v>
      </c>
      <c r="E688" s="19" t="str">
        <v>2026-06</v>
      </c>
      <c r="F688" s="19" t="str">
        <v>叉车司机</v>
      </c>
      <c r="G688" s="19" t="str">
        <v>捷克区07:00-15:30 / CZ 07:00-15:30</v>
      </c>
      <c r="H688" s="23" t="n">
        <v>1</v>
      </c>
      <c r="I688" s="23" t="n">
        <v>0</v>
      </c>
      <c r="J688" s="23" t="n">
        <f>H688+I688</f>
        <v>1</v>
      </c>
      <c r="K688" s="23" t="n">
        <v>1</v>
      </c>
      <c r="L688" s="23" t="n">
        <v>1</v>
      </c>
      <c r="M688" s="23" t="n">
        <f>MIN(K688,J688)</f>
        <v>1</v>
      </c>
      <c r="N688" s="23" t="n">
        <f>MIN(L688,J688)</f>
        <v>1</v>
      </c>
      <c r="O688" s="25" t="n">
        <f>IF(K688=0,0,MIN(1,J688/K688))</f>
        <v>1</v>
      </c>
      <c r="P688" s="23" t="n">
        <f>IF(J688&gt;0,MAX(K688-J688,0),0)</f>
        <v>0</v>
      </c>
      <c r="Q688" s="23" t="n">
        <f>IF(J688=0,K688,0)</f>
        <v>0</v>
      </c>
      <c r="R688" s="23" t="n">
        <f>MAX(J688-K688,0)</f>
        <v>0</v>
      </c>
      <c r="S688" s="23" t="n">
        <f>IF(J688&gt;0,MAX(L688-J688,0),L688)</f>
        <v>0</v>
      </c>
    </row>
    <row r="689">
      <c r="A689" s="19" t="str">
        <v>捷克区</v>
      </c>
      <c r="B689" s="19" t="str">
        <v>布拉格8号仓</v>
      </c>
      <c r="C689" s="19" t="str">
        <v>拣货组</v>
      </c>
      <c r="D689" s="21" t="n">
        <v>46192</v>
      </c>
      <c r="E689" s="19" t="str">
        <v>2026-06</v>
      </c>
      <c r="F689" s="19" t="str">
        <v>叉车司机</v>
      </c>
      <c r="G689" s="19" t="str">
        <v>捷克区07:00-15:30 / CZ 07:00-15:30</v>
      </c>
      <c r="H689" s="23" t="n">
        <v>1</v>
      </c>
      <c r="I689" s="23" t="n">
        <v>0</v>
      </c>
      <c r="J689" s="23" t="n">
        <f>H689+I689</f>
        <v>1</v>
      </c>
      <c r="K689" s="23" t="n">
        <v>1</v>
      </c>
      <c r="L689" s="23" t="n">
        <v>1</v>
      </c>
      <c r="M689" s="23" t="n">
        <f>MIN(K689,J689)</f>
        <v>1</v>
      </c>
      <c r="N689" s="23" t="n">
        <f>MIN(L689,J689)</f>
        <v>1</v>
      </c>
      <c r="O689" s="25" t="n">
        <f>IF(K689=0,0,MIN(1,J689/K689))</f>
        <v>1</v>
      </c>
      <c r="P689" s="23" t="n">
        <f>IF(J689&gt;0,MAX(K689-J689,0),0)</f>
        <v>0</v>
      </c>
      <c r="Q689" s="23" t="n">
        <f>IF(J689=0,K689,0)</f>
        <v>0</v>
      </c>
      <c r="R689" s="23" t="n">
        <f>MAX(J689-K689,0)</f>
        <v>0</v>
      </c>
      <c r="S689" s="23" t="n">
        <f>IF(J689&gt;0,MAX(L689-J689,0),L689)</f>
        <v>0</v>
      </c>
    </row>
    <row r="690">
      <c r="A690" s="19" t="str">
        <v>捷克区</v>
      </c>
      <c r="B690" s="19" t="str">
        <v>布拉格8号仓</v>
      </c>
      <c r="C690" s="19" t="str">
        <v>拣货组</v>
      </c>
      <c r="D690" s="21" t="n">
        <v>46193</v>
      </c>
      <c r="E690" s="19" t="str">
        <v>2026-06</v>
      </c>
      <c r="F690" s="19" t="str">
        <v>叉车司机</v>
      </c>
      <c r="G690" s="19" t="str">
        <v>捷克区07:00-15:30 / CZ 07:00-15:30</v>
      </c>
      <c r="H690" s="23" t="n">
        <v>1</v>
      </c>
      <c r="I690" s="23" t="n">
        <v>0</v>
      </c>
      <c r="J690" s="23" t="n">
        <f>H690+I690</f>
        <v>1</v>
      </c>
      <c r="K690" s="23" t="n">
        <v>1</v>
      </c>
      <c r="L690" s="23" t="n">
        <v>1</v>
      </c>
      <c r="M690" s="23" t="n">
        <f>MIN(K690,J690)</f>
        <v>1</v>
      </c>
      <c r="N690" s="23" t="n">
        <f>MIN(L690,J690)</f>
        <v>1</v>
      </c>
      <c r="O690" s="25" t="n">
        <f>IF(K690=0,0,MIN(1,J690/K690))</f>
        <v>1</v>
      </c>
      <c r="P690" s="23" t="n">
        <f>IF(J690&gt;0,MAX(K690-J690,0),0)</f>
        <v>0</v>
      </c>
      <c r="Q690" s="23" t="n">
        <f>IF(J690=0,K690,0)</f>
        <v>0</v>
      </c>
      <c r="R690" s="23" t="n">
        <f>MAX(J690-K690,0)</f>
        <v>0</v>
      </c>
      <c r="S690" s="23" t="n">
        <f>IF(J690&gt;0,MAX(L690-J690,0),L690)</f>
        <v>0</v>
      </c>
    </row>
    <row r="691">
      <c r="A691" s="19" t="str">
        <v>捷克区</v>
      </c>
      <c r="B691" s="19" t="str">
        <v>布拉格8号仓</v>
      </c>
      <c r="C691" s="19" t="str">
        <v>拣货组</v>
      </c>
      <c r="D691" s="21" t="n">
        <v>46194</v>
      </c>
      <c r="E691" s="19" t="str">
        <v>2026-06</v>
      </c>
      <c r="F691" s="19" t="str">
        <v>叉车司机</v>
      </c>
      <c r="G691" s="19" t="str">
        <v>捷克区07:00-15:30 / CZ 07:00-15:30</v>
      </c>
      <c r="H691" s="23" t="n">
        <v>1</v>
      </c>
      <c r="I691" s="23" t="n">
        <v>0</v>
      </c>
      <c r="J691" s="23" t="n">
        <f>H691+I691</f>
        <v>1</v>
      </c>
      <c r="K691" s="23" t="n">
        <v>1</v>
      </c>
      <c r="L691" s="23" t="n">
        <v>1</v>
      </c>
      <c r="M691" s="23" t="n">
        <f>MIN(K691,J691)</f>
        <v>1</v>
      </c>
      <c r="N691" s="23" t="n">
        <f>MIN(L691,J691)</f>
        <v>1</v>
      </c>
      <c r="O691" s="25" t="n">
        <f>IF(K691=0,0,MIN(1,J691/K691))</f>
        <v>1</v>
      </c>
      <c r="P691" s="23" t="n">
        <f>IF(J691&gt;0,MAX(K691-J691,0),0)</f>
        <v>0</v>
      </c>
      <c r="Q691" s="23" t="n">
        <f>IF(J691=0,K691,0)</f>
        <v>0</v>
      </c>
      <c r="R691" s="23" t="n">
        <f>MAX(J691-K691,0)</f>
        <v>0</v>
      </c>
      <c r="S691" s="23" t="n">
        <f>IF(J691&gt;0,MAX(L691-J691,0),L691)</f>
        <v>0</v>
      </c>
    </row>
    <row r="692">
      <c r="A692" s="19" t="str">
        <v>捷克区</v>
      </c>
      <c r="B692" s="19" t="str">
        <v>布拉格8号仓</v>
      </c>
      <c r="C692" s="19" t="str">
        <v>拣货组</v>
      </c>
      <c r="D692" s="21" t="n">
        <v>46195</v>
      </c>
      <c r="E692" s="19" t="str">
        <v>2026-06</v>
      </c>
      <c r="F692" s="19" t="str">
        <v>叉车司机</v>
      </c>
      <c r="G692" s="19" t="str">
        <v>捷克区07:00-15:30 / CZ 07:00-15:30</v>
      </c>
      <c r="H692" s="23" t="n">
        <v>1</v>
      </c>
      <c r="I692" s="23" t="n">
        <v>0</v>
      </c>
      <c r="J692" s="23" t="n">
        <f>H692+I692</f>
        <v>1</v>
      </c>
      <c r="K692" s="23" t="n">
        <v>1</v>
      </c>
      <c r="L692" s="23" t="n">
        <v>1</v>
      </c>
      <c r="M692" s="23" t="n">
        <f>MIN(K692,J692)</f>
        <v>1</v>
      </c>
      <c r="N692" s="23" t="n">
        <f>MIN(L692,J692)</f>
        <v>1</v>
      </c>
      <c r="O692" s="25" t="n">
        <f>IF(K692=0,0,MIN(1,J692/K692))</f>
        <v>1</v>
      </c>
      <c r="P692" s="23" t="n">
        <f>IF(J692&gt;0,MAX(K692-J692,0),0)</f>
        <v>0</v>
      </c>
      <c r="Q692" s="23" t="n">
        <f>IF(J692=0,K692,0)</f>
        <v>0</v>
      </c>
      <c r="R692" s="23" t="n">
        <f>MAX(J692-K692,0)</f>
        <v>0</v>
      </c>
      <c r="S692" s="23" t="n">
        <f>IF(J692&gt;0,MAX(L692-J692,0),L692)</f>
        <v>0</v>
      </c>
    </row>
    <row r="693">
      <c r="A693" s="19" t="str">
        <v>捷克区</v>
      </c>
      <c r="B693" s="19" t="str">
        <v>布拉格8号仓</v>
      </c>
      <c r="C693" s="19" t="str">
        <v>拣货组</v>
      </c>
      <c r="D693" s="21" t="n">
        <v>46196</v>
      </c>
      <c r="E693" s="19" t="str">
        <v>2026-06</v>
      </c>
      <c r="F693" s="19" t="str">
        <v>叉车司机</v>
      </c>
      <c r="G693" s="19" t="str">
        <v>捷克区07:00-15:30 / CZ 07:00-15:30</v>
      </c>
      <c r="H693" s="23" t="n">
        <v>1</v>
      </c>
      <c r="I693" s="23" t="n">
        <v>0</v>
      </c>
      <c r="J693" s="23" t="n">
        <f>H693+I693</f>
        <v>1</v>
      </c>
      <c r="K693" s="23" t="n">
        <v>1</v>
      </c>
      <c r="L693" s="23" t="n">
        <v>1</v>
      </c>
      <c r="M693" s="23" t="n">
        <f>MIN(K693,J693)</f>
        <v>1</v>
      </c>
      <c r="N693" s="23" t="n">
        <f>MIN(L693,J693)</f>
        <v>1</v>
      </c>
      <c r="O693" s="25" t="n">
        <f>IF(K693=0,0,MIN(1,J693/K693))</f>
        <v>1</v>
      </c>
      <c r="P693" s="23" t="n">
        <f>IF(J693&gt;0,MAX(K693-J693,0),0)</f>
        <v>0</v>
      </c>
      <c r="Q693" s="23" t="n">
        <f>IF(J693=0,K693,0)</f>
        <v>0</v>
      </c>
      <c r="R693" s="23" t="n">
        <f>MAX(J693-K693,0)</f>
        <v>0</v>
      </c>
      <c r="S693" s="23" t="n">
        <f>IF(J693&gt;0,MAX(L693-J693,0),L693)</f>
        <v>0</v>
      </c>
    </row>
    <row r="694">
      <c r="A694" s="19" t="str">
        <v>捷克区</v>
      </c>
      <c r="B694" s="19" t="str">
        <v>布拉格8号仓</v>
      </c>
      <c r="C694" s="19" t="str">
        <v>拣货组</v>
      </c>
      <c r="D694" s="21" t="n">
        <v>46197</v>
      </c>
      <c r="E694" s="19" t="str">
        <v>2026-06</v>
      </c>
      <c r="F694" s="19" t="str">
        <v>叉车司机</v>
      </c>
      <c r="G694" s="19" t="str">
        <v>捷克区07:00-15:30 / CZ 07:00-15:30</v>
      </c>
      <c r="H694" s="23" t="n">
        <v>1</v>
      </c>
      <c r="I694" s="23" t="n">
        <v>0</v>
      </c>
      <c r="J694" s="23" t="n">
        <f>H694+I694</f>
        <v>1</v>
      </c>
      <c r="K694" s="23" t="n">
        <v>1</v>
      </c>
      <c r="L694" s="23" t="n">
        <v>1</v>
      </c>
      <c r="M694" s="23" t="n">
        <f>MIN(K694,J694)</f>
        <v>1</v>
      </c>
      <c r="N694" s="23" t="n">
        <f>MIN(L694,J694)</f>
        <v>1</v>
      </c>
      <c r="O694" s="25" t="n">
        <f>IF(K694=0,0,MIN(1,J694/K694))</f>
        <v>1</v>
      </c>
      <c r="P694" s="23" t="n">
        <f>IF(J694&gt;0,MAX(K694-J694,0),0)</f>
        <v>0</v>
      </c>
      <c r="Q694" s="23" t="n">
        <f>IF(J694=0,K694,0)</f>
        <v>0</v>
      </c>
      <c r="R694" s="23" t="n">
        <f>MAX(J694-K694,0)</f>
        <v>0</v>
      </c>
      <c r="S694" s="23" t="n">
        <f>IF(J694&gt;0,MAX(L694-J694,0),L694)</f>
        <v>0</v>
      </c>
    </row>
    <row r="695">
      <c r="A695" s="19" t="str">
        <v>捷克区</v>
      </c>
      <c r="B695" s="19" t="str">
        <v>布拉格8号仓</v>
      </c>
      <c r="C695" s="19" t="str">
        <v>拣货组</v>
      </c>
      <c r="D695" s="21" t="n">
        <v>46198</v>
      </c>
      <c r="E695" s="19" t="str">
        <v>2026-06</v>
      </c>
      <c r="F695" s="19" t="str">
        <v>叉车司机</v>
      </c>
      <c r="G695" s="19" t="str">
        <v>捷克区07:00-15:30 / CZ 07:00-15:30</v>
      </c>
      <c r="H695" s="23" t="n">
        <v>2</v>
      </c>
      <c r="I695" s="23" t="n">
        <v>0</v>
      </c>
      <c r="J695" s="23" t="n">
        <f>H695+I695</f>
        <v>2</v>
      </c>
      <c r="K695" s="23" t="n">
        <v>2</v>
      </c>
      <c r="L695" s="23" t="n">
        <v>2</v>
      </c>
      <c r="M695" s="23" t="n">
        <f>MIN(K695,J695)</f>
        <v>2</v>
      </c>
      <c r="N695" s="23" t="n">
        <f>MIN(L695,J695)</f>
        <v>2</v>
      </c>
      <c r="O695" s="25" t="n">
        <f>IF(K695=0,0,MIN(1,J695/K695))</f>
        <v>1</v>
      </c>
      <c r="P695" s="23" t="n">
        <f>IF(J695&gt;0,MAX(K695-J695,0),0)</f>
        <v>0</v>
      </c>
      <c r="Q695" s="23" t="n">
        <f>IF(J695=0,K695,0)</f>
        <v>0</v>
      </c>
      <c r="R695" s="23" t="n">
        <f>MAX(J695-K695,0)</f>
        <v>0</v>
      </c>
      <c r="S695" s="23" t="n">
        <f>IF(J695&gt;0,MAX(L695-J695,0),L695)</f>
        <v>0</v>
      </c>
    </row>
    <row r="696">
      <c r="A696" s="19" t="str">
        <v>捷克区</v>
      </c>
      <c r="B696" s="19" t="str">
        <v>布拉格8号仓</v>
      </c>
      <c r="C696" s="19" t="str">
        <v>拣货组</v>
      </c>
      <c r="D696" s="21" t="n">
        <v>46199</v>
      </c>
      <c r="E696" s="19" t="str">
        <v>2026-06</v>
      </c>
      <c r="F696" s="19" t="str">
        <v>叉车司机</v>
      </c>
      <c r="G696" s="19" t="str">
        <v>捷克区07:00-15:30 / CZ 07:00-15:30</v>
      </c>
      <c r="H696" s="23" t="n">
        <v>2</v>
      </c>
      <c r="I696" s="23" t="n">
        <v>0</v>
      </c>
      <c r="J696" s="23" t="n">
        <f>H696+I696</f>
        <v>2</v>
      </c>
      <c r="K696" s="23" t="n">
        <v>2</v>
      </c>
      <c r="L696" s="23" t="n">
        <v>2</v>
      </c>
      <c r="M696" s="23" t="n">
        <f>MIN(K696,J696)</f>
        <v>2</v>
      </c>
      <c r="N696" s="23" t="n">
        <f>MIN(L696,J696)</f>
        <v>2</v>
      </c>
      <c r="O696" s="25" t="n">
        <f>IF(K696=0,0,MIN(1,J696/K696))</f>
        <v>1</v>
      </c>
      <c r="P696" s="23" t="n">
        <f>IF(J696&gt;0,MAX(K696-J696,0),0)</f>
        <v>0</v>
      </c>
      <c r="Q696" s="23" t="n">
        <f>IF(J696=0,K696,0)</f>
        <v>0</v>
      </c>
      <c r="R696" s="23" t="n">
        <f>MAX(J696-K696,0)</f>
        <v>0</v>
      </c>
      <c r="S696" s="23" t="n">
        <f>IF(J696&gt;0,MAX(L696-J696,0),L696)</f>
        <v>0</v>
      </c>
    </row>
    <row r="697">
      <c r="A697" s="19" t="str">
        <v>捷克区</v>
      </c>
      <c r="B697" s="19" t="str">
        <v>布拉格8号仓</v>
      </c>
      <c r="C697" s="19" t="str">
        <v>拣货组</v>
      </c>
      <c r="D697" s="21" t="n">
        <v>46200</v>
      </c>
      <c r="E697" s="19" t="str">
        <v>2026-06</v>
      </c>
      <c r="F697" s="19" t="str">
        <v>叉车司机</v>
      </c>
      <c r="G697" s="19" t="str">
        <v>捷克区07:00-15:30 / CZ 07:00-15:30</v>
      </c>
      <c r="H697" s="23" t="n">
        <v>2</v>
      </c>
      <c r="I697" s="23" t="n">
        <v>0</v>
      </c>
      <c r="J697" s="23" t="n">
        <f>H697+I697</f>
        <v>2</v>
      </c>
      <c r="K697" s="23" t="n">
        <v>2</v>
      </c>
      <c r="L697" s="23" t="n">
        <v>2</v>
      </c>
      <c r="M697" s="23" t="n">
        <f>MIN(K697,J697)</f>
        <v>2</v>
      </c>
      <c r="N697" s="23" t="n">
        <f>MIN(L697,J697)</f>
        <v>2</v>
      </c>
      <c r="O697" s="25" t="n">
        <f>IF(K697=0,0,MIN(1,J697/K697))</f>
        <v>1</v>
      </c>
      <c r="P697" s="23" t="n">
        <f>IF(J697&gt;0,MAX(K697-J697,0),0)</f>
        <v>0</v>
      </c>
      <c r="Q697" s="23" t="n">
        <f>IF(J697=0,K697,0)</f>
        <v>0</v>
      </c>
      <c r="R697" s="23" t="n">
        <f>MAX(J697-K697,0)</f>
        <v>0</v>
      </c>
      <c r="S697" s="23" t="n">
        <f>IF(J697&gt;0,MAX(L697-J697,0),L697)</f>
        <v>0</v>
      </c>
    </row>
    <row r="698">
      <c r="A698" s="19" t="str">
        <v>捷克区</v>
      </c>
      <c r="B698" s="19" t="str">
        <v>布拉格8号仓</v>
      </c>
      <c r="C698" s="19" t="str">
        <v>拣货组</v>
      </c>
      <c r="D698" s="21" t="n">
        <v>46201</v>
      </c>
      <c r="E698" s="19" t="str">
        <v>2026-06</v>
      </c>
      <c r="F698" s="19" t="str">
        <v>叉车司机</v>
      </c>
      <c r="G698" s="19" t="str">
        <v>捷克区07:00-15:30 / CZ 07:00-15:30</v>
      </c>
      <c r="H698" s="23" t="n">
        <v>2</v>
      </c>
      <c r="I698" s="23" t="n">
        <v>0</v>
      </c>
      <c r="J698" s="23" t="n">
        <f>H698+I698</f>
        <v>2</v>
      </c>
      <c r="K698" s="23" t="n">
        <v>2</v>
      </c>
      <c r="L698" s="23" t="n">
        <v>2</v>
      </c>
      <c r="M698" s="23" t="n">
        <f>MIN(K698,J698)</f>
        <v>2</v>
      </c>
      <c r="N698" s="23" t="n">
        <f>MIN(L698,J698)</f>
        <v>2</v>
      </c>
      <c r="O698" s="25" t="n">
        <f>IF(K698=0,0,MIN(1,J698/K698))</f>
        <v>1</v>
      </c>
      <c r="P698" s="23" t="n">
        <f>IF(J698&gt;0,MAX(K698-J698,0),0)</f>
        <v>0</v>
      </c>
      <c r="Q698" s="23" t="n">
        <f>IF(J698=0,K698,0)</f>
        <v>0</v>
      </c>
      <c r="R698" s="23" t="n">
        <f>MAX(J698-K698,0)</f>
        <v>0</v>
      </c>
      <c r="S698" s="23" t="n">
        <f>IF(J698&gt;0,MAX(L698-J698,0),L698)</f>
        <v>0</v>
      </c>
    </row>
    <row r="699">
      <c r="A699" s="19" t="str">
        <v>捷克区</v>
      </c>
      <c r="B699" s="19" t="str">
        <v>布拉格8号仓</v>
      </c>
      <c r="C699" s="19" t="str">
        <v>拣货组</v>
      </c>
      <c r="D699" s="21" t="n">
        <v>46202</v>
      </c>
      <c r="E699" s="19" t="str">
        <v>2026-06</v>
      </c>
      <c r="F699" s="19" t="str">
        <v>叉车司机</v>
      </c>
      <c r="G699" s="19" t="str">
        <v>捷克区07:00-15:30 / CZ 07:00-15:30</v>
      </c>
      <c r="H699" s="23" t="n">
        <v>2</v>
      </c>
      <c r="I699" s="23" t="n">
        <v>0</v>
      </c>
      <c r="J699" s="23" t="n">
        <f>H699+I699</f>
        <v>2</v>
      </c>
      <c r="K699" s="23" t="n">
        <v>2</v>
      </c>
      <c r="L699" s="23" t="n">
        <v>2</v>
      </c>
      <c r="M699" s="23" t="n">
        <f>MIN(K699,J699)</f>
        <v>2</v>
      </c>
      <c r="N699" s="23" t="n">
        <f>MIN(L699,J699)</f>
        <v>2</v>
      </c>
      <c r="O699" s="25" t="n">
        <f>IF(K699=0,0,MIN(1,J699/K699))</f>
        <v>1</v>
      </c>
      <c r="P699" s="23" t="n">
        <f>IF(J699&gt;0,MAX(K699-J699,0),0)</f>
        <v>0</v>
      </c>
      <c r="Q699" s="23" t="n">
        <f>IF(J699=0,K699,0)</f>
        <v>0</v>
      </c>
      <c r="R699" s="23" t="n">
        <f>MAX(J699-K699,0)</f>
        <v>0</v>
      </c>
      <c r="S699" s="23" t="n">
        <f>IF(J699&gt;0,MAX(L699-J699,0),L699)</f>
        <v>0</v>
      </c>
    </row>
    <row r="700">
      <c r="A700" s="19" t="str">
        <v>捷克区</v>
      </c>
      <c r="B700" s="19" t="str">
        <v>布拉格8号仓</v>
      </c>
      <c r="C700" s="19" t="str">
        <v>拣货组</v>
      </c>
      <c r="D700" s="21" t="n">
        <v>46203</v>
      </c>
      <c r="E700" s="19" t="str">
        <v>2026-06</v>
      </c>
      <c r="F700" s="19" t="str">
        <v>叉车司机</v>
      </c>
      <c r="G700" s="19" t="str">
        <v>捷克区07:00-15:30 / CZ 07:00-15:30</v>
      </c>
      <c r="H700" s="23" t="n">
        <v>2</v>
      </c>
      <c r="I700" s="23" t="n">
        <v>0</v>
      </c>
      <c r="J700" s="23" t="n">
        <f>H700+I700</f>
        <v>2</v>
      </c>
      <c r="K700" s="23" t="n">
        <v>2</v>
      </c>
      <c r="L700" s="23" t="n">
        <v>2</v>
      </c>
      <c r="M700" s="23" t="n">
        <f>MIN(K700,J700)</f>
        <v>2</v>
      </c>
      <c r="N700" s="23" t="n">
        <f>MIN(L700,J700)</f>
        <v>2</v>
      </c>
      <c r="O700" s="25" t="n">
        <f>IF(K700=0,0,MIN(1,J700/K700))</f>
        <v>1</v>
      </c>
      <c r="P700" s="23" t="n">
        <f>IF(J700&gt;0,MAX(K700-J700,0),0)</f>
        <v>0</v>
      </c>
      <c r="Q700" s="23" t="n">
        <f>IF(J700=0,K700,0)</f>
        <v>0</v>
      </c>
      <c r="R700" s="23" t="n">
        <f>MAX(J700-K700,0)</f>
        <v>0</v>
      </c>
      <c r="S700" s="23" t="n">
        <f>IF(J700&gt;0,MAX(L700-J700,0),L700)</f>
        <v>0</v>
      </c>
    </row>
    <row r="701">
      <c r="A701" s="19" t="str">
        <v>波兰区</v>
      </c>
      <c r="B701" s="19" t="str">
        <v>弗罗茨瓦夫3号仓(SN)</v>
      </c>
      <c r="C701" s="19" t="str">
        <v>A班组</v>
      </c>
      <c r="D701" s="21" t="n">
        <v>46114</v>
      </c>
      <c r="E701" s="19" t="str">
        <v>2026-04</v>
      </c>
      <c r="F701" s="19" t="str">
        <v>操作员</v>
      </c>
      <c r="G701" s="19" t="str">
        <v>波兰区07:00-15:15 / POL 07:00-15:15</v>
      </c>
      <c r="H701" s="23" t="n">
        <v>0</v>
      </c>
      <c r="I701" s="23" t="n">
        <v>0</v>
      </c>
      <c r="J701" s="23" t="n">
        <f>H701+I701</f>
        <v>0</v>
      </c>
      <c r="K701" s="23" t="n">
        <v>5</v>
      </c>
      <c r="L701" s="23" t="n">
        <v>3</v>
      </c>
      <c r="M701" s="23" t="n">
        <f>MIN(K701,J701)</f>
        <v>0</v>
      </c>
      <c r="N701" s="23" t="n">
        <f>MIN(L701,J701)</f>
        <v>0</v>
      </c>
      <c r="O701" s="25" t="n">
        <f>IF(K701=0,0,MIN(1,J701/K701))</f>
        <v>0</v>
      </c>
      <c r="P701" s="23" t="n">
        <f>IF(J701&gt;0,MAX(K701-J701,0),0)</f>
        <v>0</v>
      </c>
      <c r="Q701" s="23" t="n">
        <f>IF(J701=0,K701,0)</f>
        <v>5</v>
      </c>
      <c r="R701" s="23" t="n">
        <f>MAX(J701-K701,0)</f>
        <v>0</v>
      </c>
      <c r="S701" s="23" t="n">
        <f>IF(J701&gt;0,MAX(L701-J701,0),L701)</f>
        <v>3</v>
      </c>
    </row>
    <row r="702">
      <c r="A702" s="19" t="str">
        <v>波兰区</v>
      </c>
      <c r="B702" s="19" t="str">
        <v>弗罗茨瓦夫3号仓(SN)</v>
      </c>
      <c r="C702" s="19" t="str">
        <v>A班组</v>
      </c>
      <c r="D702" s="21" t="n">
        <v>46115</v>
      </c>
      <c r="E702" s="19" t="str">
        <v>2026-04</v>
      </c>
      <c r="F702" s="19" t="str">
        <v>操作员</v>
      </c>
      <c r="G702" s="19" t="str">
        <v>波兰区07:00-15:15 / POL 07:00-15:15</v>
      </c>
      <c r="H702" s="23" t="n">
        <v>0</v>
      </c>
      <c r="I702" s="23" t="n">
        <v>0</v>
      </c>
      <c r="J702" s="23" t="n">
        <f>H702+I702</f>
        <v>0</v>
      </c>
      <c r="K702" s="23" t="n">
        <v>5</v>
      </c>
      <c r="L702" s="23" t="n">
        <v>3</v>
      </c>
      <c r="M702" s="23" t="n">
        <f>MIN(K702,J702)</f>
        <v>0</v>
      </c>
      <c r="N702" s="23" t="n">
        <f>MIN(L702,J702)</f>
        <v>0</v>
      </c>
      <c r="O702" s="25" t="n">
        <f>IF(K702=0,0,MIN(1,J702/K702))</f>
        <v>0</v>
      </c>
      <c r="P702" s="23" t="n">
        <f>IF(J702&gt;0,MAX(K702-J702,0),0)</f>
        <v>0</v>
      </c>
      <c r="Q702" s="23" t="n">
        <f>IF(J702=0,K702,0)</f>
        <v>5</v>
      </c>
      <c r="R702" s="23" t="n">
        <f>MAX(J702-K702,0)</f>
        <v>0</v>
      </c>
      <c r="S702" s="23" t="n">
        <f>IF(J702&gt;0,MAX(L702-J702,0),L702)</f>
        <v>3</v>
      </c>
    </row>
    <row r="703">
      <c r="A703" s="19" t="str">
        <v>波兰区</v>
      </c>
      <c r="B703" s="19" t="str">
        <v>弗罗茨瓦夫3号仓(SN)</v>
      </c>
      <c r="C703" s="19" t="str">
        <v>A班组</v>
      </c>
      <c r="D703" s="21" t="n">
        <v>46116</v>
      </c>
      <c r="E703" s="19" t="str">
        <v>2026-04</v>
      </c>
      <c r="F703" s="19" t="str">
        <v>操作员</v>
      </c>
      <c r="G703" s="19" t="str">
        <v>波兰区07:00-15:15 / POL 07:00-15:15</v>
      </c>
      <c r="H703" s="23" t="n">
        <v>0</v>
      </c>
      <c r="I703" s="23" t="n">
        <v>0</v>
      </c>
      <c r="J703" s="23" t="n">
        <f>H703+I703</f>
        <v>0</v>
      </c>
      <c r="K703" s="23" t="n">
        <v>5</v>
      </c>
      <c r="L703" s="23" t="n">
        <v>3</v>
      </c>
      <c r="M703" s="23" t="n">
        <f>MIN(K703,J703)</f>
        <v>0</v>
      </c>
      <c r="N703" s="23" t="n">
        <f>MIN(L703,J703)</f>
        <v>0</v>
      </c>
      <c r="O703" s="25" t="n">
        <f>IF(K703=0,0,MIN(1,J703/K703))</f>
        <v>0</v>
      </c>
      <c r="P703" s="23" t="n">
        <f>IF(J703&gt;0,MAX(K703-J703,0),0)</f>
        <v>0</v>
      </c>
      <c r="Q703" s="23" t="n">
        <f>IF(J703=0,K703,0)</f>
        <v>5</v>
      </c>
      <c r="R703" s="23" t="n">
        <f>MAX(J703-K703,0)</f>
        <v>0</v>
      </c>
      <c r="S703" s="23" t="n">
        <f>IF(J703&gt;0,MAX(L703-J703,0),L703)</f>
        <v>3</v>
      </c>
    </row>
    <row r="704">
      <c r="A704" s="19" t="str">
        <v>波兰区</v>
      </c>
      <c r="B704" s="19" t="str">
        <v>弗罗茨瓦夫3号仓(SN)</v>
      </c>
      <c r="C704" s="19" t="str">
        <v>A班组</v>
      </c>
      <c r="D704" s="21" t="n">
        <v>46120</v>
      </c>
      <c r="E704" s="19" t="str">
        <v>2026-04</v>
      </c>
      <c r="F704" s="19" t="str">
        <v>操作员</v>
      </c>
      <c r="G704" s="19" t="str">
        <v>10.5小时-早班-休息不计费-含加班-Rano（06:00~16:45）</v>
      </c>
      <c r="H704" s="23" t="n">
        <v>48</v>
      </c>
      <c r="I704" s="23" t="n">
        <v>0</v>
      </c>
      <c r="J704" s="23" t="n">
        <f>H704+I704</f>
        <v>48</v>
      </c>
      <c r="K704" s="23" t="n">
        <v>62</v>
      </c>
      <c r="L704" s="23" t="n">
        <v>49</v>
      </c>
      <c r="M704" s="23" t="n">
        <f>MIN(K704,J704)</f>
        <v>48</v>
      </c>
      <c r="N704" s="23" t="n">
        <f>MIN(L704,J704)</f>
        <v>48</v>
      </c>
      <c r="O704" s="25" t="n">
        <f>IF(K704=0,0,MIN(1,J704/K704))</f>
        <v>0.7741935483870968</v>
      </c>
      <c r="P704" s="23" t="n">
        <f>IF(J704&gt;0,MAX(K704-J704,0),0)</f>
        <v>14</v>
      </c>
      <c r="Q704" s="23" t="n">
        <f>IF(J704=0,K704,0)</f>
        <v>0</v>
      </c>
      <c r="R704" s="23" t="n">
        <f>MAX(J704-K704,0)</f>
        <v>0</v>
      </c>
      <c r="S704" s="23" t="n">
        <f>IF(J704&gt;0,MAX(L704-J704,0),L704)</f>
        <v>1</v>
      </c>
    </row>
    <row r="705">
      <c r="A705" s="19" t="str">
        <v>波兰区</v>
      </c>
      <c r="B705" s="19" t="str">
        <v>弗罗茨瓦夫3号仓(SN)</v>
      </c>
      <c r="C705" s="19" t="str">
        <v>A班组</v>
      </c>
      <c r="D705" s="21" t="n">
        <v>46126</v>
      </c>
      <c r="E705" s="19" t="str">
        <v>2026-04</v>
      </c>
      <c r="F705" s="19" t="str">
        <v>操作员</v>
      </c>
      <c r="G705" s="19" t="str">
        <v>10.5小时-晚班-休息不计费-含加班-NOC（18:00~04:45）</v>
      </c>
      <c r="H705" s="23" t="n">
        <v>20</v>
      </c>
      <c r="I705" s="23" t="n">
        <v>0</v>
      </c>
      <c r="J705" s="23" t="n">
        <f>H705+I705</f>
        <v>20</v>
      </c>
      <c r="K705" s="23" t="n">
        <v>25</v>
      </c>
      <c r="L705" s="23" t="n">
        <v>25</v>
      </c>
      <c r="M705" s="23" t="n">
        <f>MIN(K705,J705)</f>
        <v>20</v>
      </c>
      <c r="N705" s="23" t="n">
        <f>MIN(L705,J705)</f>
        <v>20</v>
      </c>
      <c r="O705" s="25" t="n">
        <f>IF(K705=0,0,MIN(1,J705/K705))</f>
        <v>0.8</v>
      </c>
      <c r="P705" s="23" t="n">
        <f>IF(J705&gt;0,MAX(K705-J705,0),0)</f>
        <v>5</v>
      </c>
      <c r="Q705" s="23" t="n">
        <f>IF(J705=0,K705,0)</f>
        <v>0</v>
      </c>
      <c r="R705" s="23" t="n">
        <f>MAX(J705-K705,0)</f>
        <v>0</v>
      </c>
      <c r="S705" s="23" t="n">
        <f>IF(J705&gt;0,MAX(L705-J705,0),L705)</f>
        <v>5</v>
      </c>
    </row>
    <row r="706">
      <c r="A706" s="19" t="str">
        <v>波兰区</v>
      </c>
      <c r="B706" s="19" t="str">
        <v>弗罗茨瓦夫3号仓(SN)</v>
      </c>
      <c r="C706" s="19" t="str">
        <v>A班组</v>
      </c>
      <c r="D706" s="21" t="n">
        <v>46133</v>
      </c>
      <c r="E706" s="19" t="str">
        <v>2026-04</v>
      </c>
      <c r="F706" s="19" t="str">
        <v>操作员</v>
      </c>
      <c r="G706" s="19" t="str">
        <v>10.5小时-早班-休息不计费-含加班-Rano（06:00~16:45）</v>
      </c>
      <c r="H706" s="23" t="n">
        <v>25</v>
      </c>
      <c r="I706" s="23" t="n">
        <v>0</v>
      </c>
      <c r="J706" s="23" t="n">
        <f>H706+I706</f>
        <v>25</v>
      </c>
      <c r="K706" s="23" t="n">
        <v>30</v>
      </c>
      <c r="L706" s="23" t="n">
        <v>30</v>
      </c>
      <c r="M706" s="23" t="n">
        <f>MIN(K706,J706)</f>
        <v>25</v>
      </c>
      <c r="N706" s="23" t="n">
        <f>MIN(L706,J706)</f>
        <v>25</v>
      </c>
      <c r="O706" s="25" t="n">
        <f>IF(K706=0,0,MIN(1,J706/K706))</f>
        <v>0.8333333333333334</v>
      </c>
      <c r="P706" s="23" t="n">
        <f>IF(J706&gt;0,MAX(K706-J706,0),0)</f>
        <v>5</v>
      </c>
      <c r="Q706" s="23" t="n">
        <f>IF(J706=0,K706,0)</f>
        <v>0</v>
      </c>
      <c r="R706" s="23" t="n">
        <f>MAX(J706-K706,0)</f>
        <v>0</v>
      </c>
      <c r="S706" s="23" t="n">
        <f>IF(J706&gt;0,MAX(L706-J706,0),L706)</f>
        <v>5</v>
      </c>
    </row>
    <row r="707">
      <c r="A707" s="19" t="str">
        <v>波兰区</v>
      </c>
      <c r="B707" s="19" t="str">
        <v>弗罗茨瓦夫3号仓(SN)</v>
      </c>
      <c r="C707" s="19" t="str">
        <v>A班组</v>
      </c>
      <c r="D707" s="21" t="n">
        <v>46140</v>
      </c>
      <c r="E707" s="19" t="str">
        <v>2026-04</v>
      </c>
      <c r="F707" s="19" t="str">
        <v>操作员</v>
      </c>
      <c r="G707" s="19" t="str">
        <v>10.5小时-晚班-休息不计费-含加班-NOC（18:00~04:45）</v>
      </c>
      <c r="H707" s="23" t="n">
        <v>40</v>
      </c>
      <c r="I707" s="23" t="n">
        <v>0</v>
      </c>
      <c r="J707" s="23" t="n">
        <f>H707+I707</f>
        <v>40</v>
      </c>
      <c r="K707" s="23" t="n">
        <v>58</v>
      </c>
      <c r="L707" s="23" t="n">
        <v>49</v>
      </c>
      <c r="M707" s="23" t="n">
        <f>MIN(K707,J707)</f>
        <v>40</v>
      </c>
      <c r="N707" s="23" t="n">
        <f>MIN(L707,J707)</f>
        <v>40</v>
      </c>
      <c r="O707" s="25" t="n">
        <f>IF(K707=0,0,MIN(1,J707/K707))</f>
        <v>0.6896551724137931</v>
      </c>
      <c r="P707" s="23" t="n">
        <f>IF(J707&gt;0,MAX(K707-J707,0),0)</f>
        <v>18</v>
      </c>
      <c r="Q707" s="23" t="n">
        <f>IF(J707=0,K707,0)</f>
        <v>0</v>
      </c>
      <c r="R707" s="23" t="n">
        <f>MAX(J707-K707,0)</f>
        <v>0</v>
      </c>
      <c r="S707" s="23" t="n">
        <f>IF(J707&gt;0,MAX(L707-J707,0),L707)</f>
        <v>9</v>
      </c>
    </row>
    <row r="708">
      <c r="A708" s="19" t="str">
        <v>波兰区</v>
      </c>
      <c r="B708" s="19" t="str">
        <v>弗罗茨瓦夫3号仓(SN)</v>
      </c>
      <c r="C708" s="19" t="str">
        <v>A班组</v>
      </c>
      <c r="D708" s="21" t="n">
        <v>46143</v>
      </c>
      <c r="E708" s="19" t="str">
        <v>2026-05</v>
      </c>
      <c r="F708" s="19" t="str">
        <v>操作员</v>
      </c>
      <c r="G708" s="19" t="str">
        <v>10.5小时-早班-休息不计费-含加班-Rano（06:00~16:45）</v>
      </c>
      <c r="H708" s="23" t="n">
        <v>40</v>
      </c>
      <c r="I708" s="23" t="n">
        <v>0</v>
      </c>
      <c r="J708" s="23" t="n">
        <f>H708+I708</f>
        <v>40</v>
      </c>
      <c r="K708" s="23" t="n">
        <v>20</v>
      </c>
      <c r="L708" s="23" t="n">
        <v>20</v>
      </c>
      <c r="M708" s="23" t="n">
        <f>MIN(K708,J708)</f>
        <v>20</v>
      </c>
      <c r="N708" s="23" t="n">
        <f>MIN(L708,J708)</f>
        <v>20</v>
      </c>
      <c r="O708" s="25" t="n">
        <f>IF(K708=0,0,MIN(1,J708/K708))</f>
        <v>1</v>
      </c>
      <c r="P708" s="23" t="n">
        <f>IF(J708&gt;0,MAX(K708-J708,0),0)</f>
        <v>0</v>
      </c>
      <c r="Q708" s="23" t="n">
        <f>IF(J708=0,K708,0)</f>
        <v>0</v>
      </c>
      <c r="R708" s="23" t="n">
        <f>MAX(J708-K708,0)</f>
        <v>20</v>
      </c>
      <c r="S708" s="23" t="n">
        <f>IF(J708&gt;0,MAX(L708-J708,0),L708)</f>
        <v>0</v>
      </c>
    </row>
    <row r="709">
      <c r="A709" s="19" t="str">
        <v>波兰区</v>
      </c>
      <c r="B709" s="19" t="str">
        <v>弗罗茨瓦夫3号仓(SN)</v>
      </c>
      <c r="C709" s="19" t="str">
        <v>A班组</v>
      </c>
      <c r="D709" s="21" t="n">
        <v>46147</v>
      </c>
      <c r="E709" s="19" t="str">
        <v>2026-05</v>
      </c>
      <c r="F709" s="19" t="str">
        <v>操作员</v>
      </c>
      <c r="G709" s="19" t="str">
        <v>10.5小时-早班-休息不计费-含加班-Rano（06:00~16:45）</v>
      </c>
      <c r="H709" s="23" t="n">
        <v>50</v>
      </c>
      <c r="I709" s="23" t="n">
        <v>0</v>
      </c>
      <c r="J709" s="23" t="n">
        <f>H709+I709</f>
        <v>50</v>
      </c>
      <c r="K709" s="23" t="n">
        <v>62</v>
      </c>
      <c r="L709" s="23" t="n">
        <v>35</v>
      </c>
      <c r="M709" s="23" t="n">
        <f>MIN(K709,J709)</f>
        <v>50</v>
      </c>
      <c r="N709" s="23" t="n">
        <f>MIN(L709,J709)</f>
        <v>35</v>
      </c>
      <c r="O709" s="25" t="n">
        <f>IF(K709=0,0,MIN(1,J709/K709))</f>
        <v>0.8064516129032258</v>
      </c>
      <c r="P709" s="23" t="n">
        <f>IF(J709&gt;0,MAX(K709-J709,0),0)</f>
        <v>12</v>
      </c>
      <c r="Q709" s="23" t="n">
        <f>IF(J709=0,K709,0)</f>
        <v>0</v>
      </c>
      <c r="R709" s="23" t="n">
        <f>MAX(J709-K709,0)</f>
        <v>0</v>
      </c>
      <c r="S709" s="23" t="n">
        <f>IF(J709&gt;0,MAX(L709-J709,0),L709)</f>
        <v>0</v>
      </c>
    </row>
    <row r="710">
      <c r="A710" s="19" t="str">
        <v>波兰区</v>
      </c>
      <c r="B710" s="19" t="str">
        <v>弗罗茨瓦夫3号仓(SN)</v>
      </c>
      <c r="C710" s="19" t="str">
        <v>A班组</v>
      </c>
      <c r="D710" s="21" t="n">
        <v>46150</v>
      </c>
      <c r="E710" s="19" t="str">
        <v>2026-05</v>
      </c>
      <c r="F710" s="19" t="str">
        <v>操作员</v>
      </c>
      <c r="G710" s="19" t="str">
        <v>10.5小时-晚班-休息不计费-含加班-NOC（18:00~04:45）</v>
      </c>
      <c r="H710" s="23" t="n">
        <v>20</v>
      </c>
      <c r="I710" s="23" t="n">
        <v>0</v>
      </c>
      <c r="J710" s="23" t="n">
        <f>H710+I710</f>
        <v>20</v>
      </c>
      <c r="K710" s="23" t="n">
        <v>22</v>
      </c>
      <c r="L710" s="23" t="n">
        <v>22</v>
      </c>
      <c r="M710" s="23" t="n">
        <f>MIN(K710,J710)</f>
        <v>20</v>
      </c>
      <c r="N710" s="23" t="n">
        <f>MIN(L710,J710)</f>
        <v>20</v>
      </c>
      <c r="O710" s="25" t="n">
        <f>IF(K710=0,0,MIN(1,J710/K710))</f>
        <v>0.9090909090909091</v>
      </c>
      <c r="P710" s="23" t="n">
        <f>IF(J710&gt;0,MAX(K710-J710,0),0)</f>
        <v>2</v>
      </c>
      <c r="Q710" s="23" t="n">
        <f>IF(J710=0,K710,0)</f>
        <v>0</v>
      </c>
      <c r="R710" s="23" t="n">
        <f>MAX(J710-K710,0)</f>
        <v>0</v>
      </c>
      <c r="S710" s="23" t="n">
        <f>IF(J710&gt;0,MAX(L710-J710,0),L710)</f>
        <v>2</v>
      </c>
    </row>
    <row r="711">
      <c r="A711" s="19" t="str">
        <v>波兰区</v>
      </c>
      <c r="B711" s="19" t="str">
        <v>弗罗茨瓦夫3号仓(SN)</v>
      </c>
      <c r="C711" s="19" t="str">
        <v>A班组</v>
      </c>
      <c r="D711" s="21" t="n">
        <v>46156</v>
      </c>
      <c r="E711" s="19" t="str">
        <v>2026-05</v>
      </c>
      <c r="F711" s="19" t="str">
        <v>操作员</v>
      </c>
      <c r="G711" s="19" t="str">
        <v>10.5小时-早班-休息不计费-含加班-Rano（06:00~16:45）</v>
      </c>
      <c r="H711" s="23" t="n">
        <v>50</v>
      </c>
      <c r="I711" s="23" t="n">
        <v>0</v>
      </c>
      <c r="J711" s="23" t="n">
        <f>H711+I711</f>
        <v>50</v>
      </c>
      <c r="K711" s="23" t="n">
        <v>87</v>
      </c>
      <c r="L711" s="23" t="n">
        <v>35</v>
      </c>
      <c r="M711" s="23" t="n">
        <f>MIN(K711,J711)</f>
        <v>50</v>
      </c>
      <c r="N711" s="23" t="n">
        <f>MIN(L711,J711)</f>
        <v>35</v>
      </c>
      <c r="O711" s="25" t="n">
        <f>IF(K711=0,0,MIN(1,J711/K711))</f>
        <v>0.5747126436781609</v>
      </c>
      <c r="P711" s="23" t="n">
        <f>IF(J711&gt;0,MAX(K711-J711,0),0)</f>
        <v>37</v>
      </c>
      <c r="Q711" s="23" t="n">
        <f>IF(J711=0,K711,0)</f>
        <v>0</v>
      </c>
      <c r="R711" s="23" t="n">
        <f>MAX(J711-K711,0)</f>
        <v>0</v>
      </c>
      <c r="S711" s="23" t="n">
        <f>IF(J711&gt;0,MAX(L711-J711,0),L711)</f>
        <v>0</v>
      </c>
    </row>
    <row r="712">
      <c r="A712" s="19" t="str">
        <v>波兰区</v>
      </c>
      <c r="B712" s="19" t="str">
        <v>弗罗茨瓦夫3号仓(SN)</v>
      </c>
      <c r="C712" s="19" t="str">
        <v>A班组</v>
      </c>
      <c r="D712" s="21" t="n">
        <v>46168</v>
      </c>
      <c r="E712" s="19" t="str">
        <v>2026-05</v>
      </c>
      <c r="F712" s="19" t="str">
        <v>操作员</v>
      </c>
      <c r="G712" s="19" t="str">
        <v>10.5小时-早班-休息不计费-含加班-Rano（06:00~16:45）</v>
      </c>
      <c r="H712" s="23" t="n">
        <v>40</v>
      </c>
      <c r="I712" s="23" t="n">
        <v>0</v>
      </c>
      <c r="J712" s="23" t="n">
        <f>H712+I712</f>
        <v>40</v>
      </c>
      <c r="K712" s="23" t="n">
        <v>32</v>
      </c>
      <c r="L712" s="23" t="n">
        <v>32</v>
      </c>
      <c r="M712" s="23" t="n">
        <f>MIN(K712,J712)</f>
        <v>32</v>
      </c>
      <c r="N712" s="23" t="n">
        <f>MIN(L712,J712)</f>
        <v>32</v>
      </c>
      <c r="O712" s="25" t="n">
        <f>IF(K712=0,0,MIN(1,J712/K712))</f>
        <v>1</v>
      </c>
      <c r="P712" s="23" t="n">
        <f>IF(J712&gt;0,MAX(K712-J712,0),0)</f>
        <v>0</v>
      </c>
      <c r="Q712" s="23" t="n">
        <f>IF(J712=0,K712,0)</f>
        <v>0</v>
      </c>
      <c r="R712" s="23" t="n">
        <f>MAX(J712-K712,0)</f>
        <v>8</v>
      </c>
      <c r="S712" s="23" t="n">
        <f>IF(J712&gt;0,MAX(L712-J712,0),L712)</f>
        <v>0</v>
      </c>
    </row>
    <row r="713">
      <c r="A713" s="19" t="str">
        <v>波兰区</v>
      </c>
      <c r="B713" s="19" t="str">
        <v>弗罗茨瓦夫3号仓(SN)</v>
      </c>
      <c r="C713" s="19" t="str">
        <v>A班组</v>
      </c>
      <c r="D713" s="21" t="n">
        <v>46175</v>
      </c>
      <c r="E713" s="19" t="str">
        <v>2026-06</v>
      </c>
      <c r="F713" s="19" t="str">
        <v>操作员</v>
      </c>
      <c r="G713" s="19" t="str">
        <v>10.5小时-晚班-休息不计费-含加班-NOC（18:00~04:45）</v>
      </c>
      <c r="H713" s="23" t="n">
        <v>70</v>
      </c>
      <c r="I713" s="23" t="n">
        <v>0</v>
      </c>
      <c r="J713" s="23" t="n">
        <f>H713+I713</f>
        <v>70</v>
      </c>
      <c r="K713" s="23" t="n">
        <v>26</v>
      </c>
      <c r="L713" s="23" t="n">
        <v>12</v>
      </c>
      <c r="M713" s="23" t="n">
        <f>MIN(K713,J713)</f>
        <v>26</v>
      </c>
      <c r="N713" s="23" t="n">
        <f>MIN(L713,J713)</f>
        <v>12</v>
      </c>
      <c r="O713" s="25" t="n">
        <f>IF(K713=0,0,MIN(1,J713/K713))</f>
        <v>1</v>
      </c>
      <c r="P713" s="23" t="n">
        <f>IF(J713&gt;0,MAX(K713-J713,0),0)</f>
        <v>0</v>
      </c>
      <c r="Q713" s="23" t="n">
        <f>IF(J713=0,K713,0)</f>
        <v>0</v>
      </c>
      <c r="R713" s="23" t="n">
        <f>MAX(J713-K713,0)</f>
        <v>44</v>
      </c>
      <c r="S713" s="23" t="n">
        <f>IF(J713&gt;0,MAX(L713-J713,0),L713)</f>
        <v>0</v>
      </c>
    </row>
    <row r="714">
      <c r="A714" s="19" t="str">
        <v>波兰区</v>
      </c>
      <c r="B714" s="19" t="str">
        <v>弗罗茨瓦夫3号仓(SN)</v>
      </c>
      <c r="C714" s="19" t="str">
        <v>A班组</v>
      </c>
      <c r="D714" s="21" t="n">
        <v>46182</v>
      </c>
      <c r="E714" s="19" t="str">
        <v>2026-06</v>
      </c>
      <c r="F714" s="19" t="str">
        <v>操作员</v>
      </c>
      <c r="G714" s="19" t="str">
        <v>10.5小时-早班-休息不计费-含加班-Rano（06:00~16:45）</v>
      </c>
      <c r="H714" s="23" t="n">
        <v>70</v>
      </c>
      <c r="I714" s="23" t="n">
        <v>0</v>
      </c>
      <c r="J714" s="23" t="n">
        <f>H714+I714</f>
        <v>70</v>
      </c>
      <c r="K714" s="23" t="n">
        <v>25</v>
      </c>
      <c r="L714" s="23" t="n">
        <v>20</v>
      </c>
      <c r="M714" s="23" t="n">
        <f>MIN(K714,J714)</f>
        <v>25</v>
      </c>
      <c r="N714" s="23" t="n">
        <f>MIN(L714,J714)</f>
        <v>20</v>
      </c>
      <c r="O714" s="25" t="n">
        <f>IF(K714=0,0,MIN(1,J714/K714))</f>
        <v>1</v>
      </c>
      <c r="P714" s="23" t="n">
        <f>IF(J714&gt;0,MAX(K714-J714,0),0)</f>
        <v>0</v>
      </c>
      <c r="Q714" s="23" t="n">
        <f>IF(J714=0,K714,0)</f>
        <v>0</v>
      </c>
      <c r="R714" s="23" t="n">
        <f>MAX(J714-K714,0)</f>
        <v>45</v>
      </c>
      <c r="S714" s="23" t="n">
        <f>IF(J714&gt;0,MAX(L714-J714,0),L714)</f>
        <v>0</v>
      </c>
    </row>
    <row r="715">
      <c r="A715" s="19" t="str">
        <v>波兰区</v>
      </c>
      <c r="B715" s="19" t="str">
        <v>弗罗茨瓦夫3号仓(SN)</v>
      </c>
      <c r="C715" s="19" t="str">
        <v>A班组</v>
      </c>
      <c r="D715" s="21" t="n">
        <v>46189</v>
      </c>
      <c r="E715" s="19" t="str">
        <v>2026-06</v>
      </c>
      <c r="F715" s="19" t="str">
        <v>操作员</v>
      </c>
      <c r="G715" s="19" t="str">
        <v>10.5小时-晚班-休息不计费-含加班-NOC（18:00~04:45）</v>
      </c>
      <c r="H715" s="23" t="n">
        <v>70</v>
      </c>
      <c r="I715" s="23" t="n">
        <v>0</v>
      </c>
      <c r="J715" s="23" t="n">
        <f>H715+I715</f>
        <v>70</v>
      </c>
      <c r="K715" s="23" t="n">
        <v>20</v>
      </c>
      <c r="L715" s="23" t="n">
        <v>11</v>
      </c>
      <c r="M715" s="23" t="n">
        <f>MIN(K715,J715)</f>
        <v>20</v>
      </c>
      <c r="N715" s="23" t="n">
        <f>MIN(L715,J715)</f>
        <v>11</v>
      </c>
      <c r="O715" s="25" t="n">
        <f>IF(K715=0,0,MIN(1,J715/K715))</f>
        <v>1</v>
      </c>
      <c r="P715" s="23" t="n">
        <f>IF(J715&gt;0,MAX(K715-J715,0),0)</f>
        <v>0</v>
      </c>
      <c r="Q715" s="23" t="n">
        <f>IF(J715=0,K715,0)</f>
        <v>0</v>
      </c>
      <c r="R715" s="23" t="n">
        <f>MAX(J715-K715,0)</f>
        <v>50</v>
      </c>
      <c r="S715" s="23" t="n">
        <f>IF(J715&gt;0,MAX(L715-J715,0),L715)</f>
        <v>0</v>
      </c>
    </row>
    <row r="716">
      <c r="A716" s="19" t="str">
        <v>波兰区</v>
      </c>
      <c r="B716" s="19" t="str">
        <v>弗罗茨瓦夫3号仓(SN)</v>
      </c>
      <c r="C716" s="19" t="str">
        <v>A班组</v>
      </c>
      <c r="D716" s="21" t="n">
        <v>46198</v>
      </c>
      <c r="E716" s="19" t="str">
        <v>2026-06</v>
      </c>
      <c r="F716" s="19" t="str">
        <v>操作员</v>
      </c>
      <c r="G716" s="19" t="str">
        <v>10.5小时-晚班-休息不计费-含加班-NOC（18:00~04:45）</v>
      </c>
      <c r="H716" s="23" t="n">
        <v>70</v>
      </c>
      <c r="I716" s="23" t="n">
        <v>0</v>
      </c>
      <c r="J716" s="23" t="n">
        <f>H716+I716</f>
        <v>70</v>
      </c>
      <c r="K716" s="23" t="n">
        <v>64</v>
      </c>
      <c r="L716" s="23" t="n">
        <v>22</v>
      </c>
      <c r="M716" s="23" t="n">
        <f>MIN(K716,J716)</f>
        <v>64</v>
      </c>
      <c r="N716" s="23" t="n">
        <f>MIN(L716,J716)</f>
        <v>22</v>
      </c>
      <c r="O716" s="25" t="n">
        <f>IF(K716=0,0,MIN(1,J716/K716))</f>
        <v>1</v>
      </c>
      <c r="P716" s="23" t="n">
        <f>IF(J716&gt;0,MAX(K716-J716,0),0)</f>
        <v>0</v>
      </c>
      <c r="Q716" s="23" t="n">
        <f>IF(J716=0,K716,0)</f>
        <v>0</v>
      </c>
      <c r="R716" s="23" t="n">
        <f>MAX(J716-K716,0)</f>
        <v>6</v>
      </c>
      <c r="S716" s="23" t="n">
        <f>IF(J716&gt;0,MAX(L716-J716,0),L716)</f>
        <v>0</v>
      </c>
    </row>
    <row r="717">
      <c r="A717" s="19" t="str">
        <v>波兰区</v>
      </c>
      <c r="B717" s="19" t="str">
        <v>弗罗茨瓦夫3号仓(SN)</v>
      </c>
      <c r="C717" s="19" t="str">
        <v>A班组</v>
      </c>
      <c r="D717" s="21" t="n">
        <v>46203</v>
      </c>
      <c r="E717" s="19" t="str">
        <v>2026-06</v>
      </c>
      <c r="F717" s="19" t="str">
        <v>操作员</v>
      </c>
      <c r="G717" s="19" t="str">
        <v>10.5小时-早班-休息不计费-含加班-Rano（06:00~16:45）</v>
      </c>
      <c r="H717" s="23" t="n">
        <v>70</v>
      </c>
      <c r="I717" s="23" t="n">
        <v>0</v>
      </c>
      <c r="J717" s="23" t="n">
        <f>H717+I717</f>
        <v>70</v>
      </c>
      <c r="K717" s="23" t="n">
        <v>0</v>
      </c>
      <c r="L717" s="23" t="n">
        <v>0</v>
      </c>
      <c r="M717" s="23" t="n">
        <f>MIN(K717,J717)</f>
        <v>0</v>
      </c>
      <c r="N717" s="23" t="n">
        <f>MIN(L717,J717)</f>
        <v>0</v>
      </c>
      <c r="O717" s="25" t="n">
        <f>IF(K717=0,0,MIN(1,J717/K717))</f>
        <v>0</v>
      </c>
      <c r="P717" s="23" t="n">
        <f>IF(J717&gt;0,MAX(K717-J717,0),0)</f>
        <v>0</v>
      </c>
      <c r="Q717" s="23" t="n">
        <f>IF(J717=0,K717,0)</f>
        <v>0</v>
      </c>
      <c r="R717" s="23" t="n">
        <f>MAX(J717-K717,0)</f>
        <v>70</v>
      </c>
      <c r="S717" s="23" t="n">
        <f>IF(J717&gt;0,MAX(L717-J717,0),L717)</f>
        <v>0</v>
      </c>
    </row>
    <row r="718">
      <c r="A718" s="19" t="str">
        <v>波兰区</v>
      </c>
      <c r="B718" s="19" t="str">
        <v>弗罗茨瓦夫3号仓(SN)</v>
      </c>
      <c r="C718" s="19" t="str">
        <v>B班组</v>
      </c>
      <c r="D718" s="21" t="n">
        <v>46120</v>
      </c>
      <c r="E718" s="19" t="str">
        <v>2026-04</v>
      </c>
      <c r="F718" s="19" t="str">
        <v>操作员</v>
      </c>
      <c r="G718" s="19" t="str">
        <v>波兰区07:00-15:15 / POL 07:00-15:15</v>
      </c>
      <c r="H718" s="23" t="n">
        <v>0</v>
      </c>
      <c r="I718" s="23" t="n">
        <v>0</v>
      </c>
      <c r="J718" s="23" t="n">
        <f>H718+I718</f>
        <v>0</v>
      </c>
      <c r="K718" s="23" t="n">
        <v>5</v>
      </c>
      <c r="L718" s="23" t="n">
        <v>5</v>
      </c>
      <c r="M718" s="23" t="n">
        <f>MIN(K718,J718)</f>
        <v>0</v>
      </c>
      <c r="N718" s="23" t="n">
        <f>MIN(L718,J718)</f>
        <v>0</v>
      </c>
      <c r="O718" s="25" t="n">
        <f>IF(K718=0,0,MIN(1,J718/K718))</f>
        <v>0</v>
      </c>
      <c r="P718" s="23" t="n">
        <f>IF(J718&gt;0,MAX(K718-J718,0),0)</f>
        <v>0</v>
      </c>
      <c r="Q718" s="23" t="n">
        <f>IF(J718=0,K718,0)</f>
        <v>5</v>
      </c>
      <c r="R718" s="23" t="n">
        <f>MAX(J718-K718,0)</f>
        <v>0</v>
      </c>
      <c r="S718" s="23" t="n">
        <f>IF(J718&gt;0,MAX(L718-J718,0),L718)</f>
        <v>5</v>
      </c>
    </row>
    <row r="719">
      <c r="A719" s="19" t="str">
        <v>波兰区</v>
      </c>
      <c r="B719" s="19" t="str">
        <v>弗罗茨瓦夫3号仓(SN)</v>
      </c>
      <c r="C719" s="19" t="str">
        <v>B班组</v>
      </c>
      <c r="D719" s="21" t="n">
        <v>46121</v>
      </c>
      <c r="E719" s="19" t="str">
        <v>2026-04</v>
      </c>
      <c r="F719" s="19" t="str">
        <v>操作员</v>
      </c>
      <c r="G719" s="19" t="str">
        <v>10.5小时-晚班-休息不计费-含加班-NOC（18:00~04:45）</v>
      </c>
      <c r="H719" s="23" t="n">
        <v>0</v>
      </c>
      <c r="I719" s="23" t="n">
        <v>0</v>
      </c>
      <c r="J719" s="23" t="n">
        <f>H719+I719</f>
        <v>0</v>
      </c>
      <c r="K719" s="23" t="n">
        <v>5</v>
      </c>
      <c r="L719" s="23" t="n">
        <v>4</v>
      </c>
      <c r="M719" s="23" t="n">
        <f>MIN(K719,J719)</f>
        <v>0</v>
      </c>
      <c r="N719" s="23" t="n">
        <f>MIN(L719,J719)</f>
        <v>0</v>
      </c>
      <c r="O719" s="25" t="n">
        <f>IF(K719=0,0,MIN(1,J719/K719))</f>
        <v>0</v>
      </c>
      <c r="P719" s="23" t="n">
        <f>IF(J719&gt;0,MAX(K719-J719,0),0)</f>
        <v>0</v>
      </c>
      <c r="Q719" s="23" t="n">
        <f>IF(J719=0,K719,0)</f>
        <v>5</v>
      </c>
      <c r="R719" s="23" t="n">
        <f>MAX(J719-K719,0)</f>
        <v>0</v>
      </c>
      <c r="S719" s="23" t="n">
        <f>IF(J719&gt;0,MAX(L719-J719,0),L719)</f>
        <v>4</v>
      </c>
    </row>
    <row r="720">
      <c r="A720" s="19" t="str">
        <v>波兰区</v>
      </c>
      <c r="B720" s="19" t="str">
        <v>弗罗茨瓦夫3号仓(SN)</v>
      </c>
      <c r="C720" s="19" t="str">
        <v>B班组</v>
      </c>
      <c r="D720" s="21" t="n">
        <v>46122</v>
      </c>
      <c r="E720" s="19" t="str">
        <v>2026-04</v>
      </c>
      <c r="F720" s="19" t="str">
        <v>操作员</v>
      </c>
      <c r="G720" s="19" t="str">
        <v>10.5小时-晚班-休息不计费-含加班-NOC（18:00~04:45）</v>
      </c>
      <c r="H720" s="23" t="n">
        <v>29</v>
      </c>
      <c r="I720" s="23" t="n">
        <v>0</v>
      </c>
      <c r="J720" s="23" t="n">
        <f>H720+I720</f>
        <v>29</v>
      </c>
      <c r="K720" s="23" t="n">
        <v>39</v>
      </c>
      <c r="L720" s="23" t="n">
        <v>33</v>
      </c>
      <c r="M720" s="23" t="n">
        <f>MIN(K720,J720)</f>
        <v>29</v>
      </c>
      <c r="N720" s="23" t="n">
        <f>MIN(L720,J720)</f>
        <v>29</v>
      </c>
      <c r="O720" s="25" t="n">
        <f>IF(K720=0,0,MIN(1,J720/K720))</f>
        <v>0.7435897435897436</v>
      </c>
      <c r="P720" s="23" t="n">
        <f>IF(J720&gt;0,MAX(K720-J720,0),0)</f>
        <v>10</v>
      </c>
      <c r="Q720" s="23" t="n">
        <f>IF(J720=0,K720,0)</f>
        <v>0</v>
      </c>
      <c r="R720" s="23" t="n">
        <f>MAX(J720-K720,0)</f>
        <v>0</v>
      </c>
      <c r="S720" s="23" t="n">
        <f>IF(J720&gt;0,MAX(L720-J720,0),L720)</f>
        <v>4</v>
      </c>
    </row>
    <row r="721">
      <c r="A721" s="19" t="str">
        <v>波兰区</v>
      </c>
      <c r="B721" s="19" t="str">
        <v>弗罗茨瓦夫3号仓(SN)</v>
      </c>
      <c r="C721" s="19" t="str">
        <v>B班组</v>
      </c>
      <c r="D721" s="21" t="n">
        <v>46128</v>
      </c>
      <c r="E721" s="19" t="str">
        <v>2026-04</v>
      </c>
      <c r="F721" s="19" t="str">
        <v>操作员</v>
      </c>
      <c r="G721" s="19" t="str">
        <v>10.5小时-早班-休息不计费-含加班-Rano（06:00~16:45）</v>
      </c>
      <c r="H721" s="23" t="n">
        <v>20</v>
      </c>
      <c r="I721" s="23" t="n">
        <v>0</v>
      </c>
      <c r="J721" s="23" t="n">
        <f>H721+I721</f>
        <v>20</v>
      </c>
      <c r="K721" s="23" t="n">
        <v>26</v>
      </c>
      <c r="L721" s="23" t="n">
        <v>23</v>
      </c>
      <c r="M721" s="23" t="n">
        <f>MIN(K721,J721)</f>
        <v>20</v>
      </c>
      <c r="N721" s="23" t="n">
        <f>MIN(L721,J721)</f>
        <v>20</v>
      </c>
      <c r="O721" s="25" t="n">
        <f>IF(K721=0,0,MIN(1,J721/K721))</f>
        <v>0.7692307692307693</v>
      </c>
      <c r="P721" s="23" t="n">
        <f>IF(J721&gt;0,MAX(K721-J721,0),0)</f>
        <v>6</v>
      </c>
      <c r="Q721" s="23" t="n">
        <f>IF(J721=0,K721,0)</f>
        <v>0</v>
      </c>
      <c r="R721" s="23" t="n">
        <f>MAX(J721-K721,0)</f>
        <v>0</v>
      </c>
      <c r="S721" s="23" t="n">
        <f>IF(J721&gt;0,MAX(L721-J721,0),L721)</f>
        <v>3</v>
      </c>
    </row>
    <row r="722">
      <c r="A722" s="19" t="str">
        <v>波兰区</v>
      </c>
      <c r="B722" s="19" t="str">
        <v>弗罗茨瓦夫3号仓(SN)</v>
      </c>
      <c r="C722" s="19" t="str">
        <v>B班组</v>
      </c>
      <c r="D722" s="21" t="n">
        <v>46134</v>
      </c>
      <c r="E722" s="19" t="str">
        <v>2026-04</v>
      </c>
      <c r="F722" s="19" t="str">
        <v>操作员</v>
      </c>
      <c r="G722" s="19" t="str">
        <v>10.5小时-晚班-休息不计费-含加班-NOC（18:00~04:45）</v>
      </c>
      <c r="H722" s="23" t="n">
        <v>25</v>
      </c>
      <c r="I722" s="23" t="n">
        <v>0</v>
      </c>
      <c r="J722" s="23" t="n">
        <f>H722+I722</f>
        <v>25</v>
      </c>
      <c r="K722" s="23" t="n">
        <v>30</v>
      </c>
      <c r="L722" s="23" t="n">
        <v>29</v>
      </c>
      <c r="M722" s="23" t="n">
        <f>MIN(K722,J722)</f>
        <v>25</v>
      </c>
      <c r="N722" s="23" t="n">
        <f>MIN(L722,J722)</f>
        <v>25</v>
      </c>
      <c r="O722" s="25" t="n">
        <f>IF(K722=0,0,MIN(1,J722/K722))</f>
        <v>0.8333333333333334</v>
      </c>
      <c r="P722" s="23" t="n">
        <f>IF(J722&gt;0,MAX(K722-J722,0),0)</f>
        <v>5</v>
      </c>
      <c r="Q722" s="23" t="n">
        <f>IF(J722=0,K722,0)</f>
        <v>0</v>
      </c>
      <c r="R722" s="23" t="n">
        <f>MAX(J722-K722,0)</f>
        <v>0</v>
      </c>
      <c r="S722" s="23" t="n">
        <f>IF(J722&gt;0,MAX(L722-J722,0),L722)</f>
        <v>4</v>
      </c>
    </row>
    <row r="723">
      <c r="A723" s="19" t="str">
        <v>波兰区</v>
      </c>
      <c r="B723" s="19" t="str">
        <v>弗罗茨瓦夫3号仓(SN)</v>
      </c>
      <c r="C723" s="19" t="str">
        <v>B班组</v>
      </c>
      <c r="D723" s="21" t="n">
        <v>46140</v>
      </c>
      <c r="E723" s="19" t="str">
        <v>2026-04</v>
      </c>
      <c r="F723" s="19" t="str">
        <v>操作员</v>
      </c>
      <c r="G723" s="19" t="str">
        <v>10.5小时-早班-休息不计费-含加班-Rano（06:00~16:45）</v>
      </c>
      <c r="H723" s="23" t="n">
        <v>40</v>
      </c>
      <c r="I723" s="23" t="n">
        <v>0</v>
      </c>
      <c r="J723" s="23" t="n">
        <f>H723+I723</f>
        <v>40</v>
      </c>
      <c r="K723" s="23" t="n">
        <v>55</v>
      </c>
      <c r="L723" s="23" t="n">
        <v>28</v>
      </c>
      <c r="M723" s="23" t="n">
        <f>MIN(K723,J723)</f>
        <v>40</v>
      </c>
      <c r="N723" s="23" t="n">
        <f>MIN(L723,J723)</f>
        <v>28</v>
      </c>
      <c r="O723" s="25" t="n">
        <f>IF(K723=0,0,MIN(1,J723/K723))</f>
        <v>0.7272727272727273</v>
      </c>
      <c r="P723" s="23" t="n">
        <f>IF(J723&gt;0,MAX(K723-J723,0),0)</f>
        <v>15</v>
      </c>
      <c r="Q723" s="23" t="n">
        <f>IF(J723=0,K723,0)</f>
        <v>0</v>
      </c>
      <c r="R723" s="23" t="n">
        <f>MAX(J723-K723,0)</f>
        <v>0</v>
      </c>
      <c r="S723" s="23" t="n">
        <f>IF(J723&gt;0,MAX(L723-J723,0),L723)</f>
        <v>0</v>
      </c>
    </row>
    <row r="724">
      <c r="A724" s="19" t="str">
        <v>波兰区</v>
      </c>
      <c r="B724" s="19" t="str">
        <v>弗罗茨瓦夫3号仓(SN)</v>
      </c>
      <c r="C724" s="19" t="str">
        <v>B班组</v>
      </c>
      <c r="D724" s="21" t="n">
        <v>46147</v>
      </c>
      <c r="E724" s="19" t="str">
        <v>2026-05</v>
      </c>
      <c r="F724" s="19" t="str">
        <v>操作员</v>
      </c>
      <c r="G724" s="19" t="str">
        <v>10.5小时-晚班-休息不计费-含加班-NOC（18:00~04:45）</v>
      </c>
      <c r="H724" s="23" t="n">
        <v>50</v>
      </c>
      <c r="I724" s="23" t="n">
        <v>0</v>
      </c>
      <c r="J724" s="23" t="n">
        <f>H724+I724</f>
        <v>50</v>
      </c>
      <c r="K724" s="23" t="n">
        <v>56</v>
      </c>
      <c r="L724" s="23" t="n">
        <v>26</v>
      </c>
      <c r="M724" s="23" t="n">
        <f>MIN(K724,J724)</f>
        <v>50</v>
      </c>
      <c r="N724" s="23" t="n">
        <f>MIN(L724,J724)</f>
        <v>26</v>
      </c>
      <c r="O724" s="25" t="n">
        <f>IF(K724=0,0,MIN(1,J724/K724))</f>
        <v>0.8928571428571429</v>
      </c>
      <c r="P724" s="23" t="n">
        <f>IF(J724&gt;0,MAX(K724-J724,0),0)</f>
        <v>6</v>
      </c>
      <c r="Q724" s="23" t="n">
        <f>IF(J724=0,K724,0)</f>
        <v>0</v>
      </c>
      <c r="R724" s="23" t="n">
        <f>MAX(J724-K724,0)</f>
        <v>0</v>
      </c>
      <c r="S724" s="23" t="n">
        <f>IF(J724&gt;0,MAX(L724-J724,0),L724)</f>
        <v>0</v>
      </c>
    </row>
    <row r="725">
      <c r="A725" s="19" t="str">
        <v>波兰区</v>
      </c>
      <c r="B725" s="19" t="str">
        <v>弗罗茨瓦夫3号仓(SN)</v>
      </c>
      <c r="C725" s="19" t="str">
        <v>B班组</v>
      </c>
      <c r="D725" s="21" t="n">
        <v>46154</v>
      </c>
      <c r="E725" s="19" t="str">
        <v>2026-05</v>
      </c>
      <c r="F725" s="19" t="str">
        <v>操作员</v>
      </c>
      <c r="G725" s="19" t="str">
        <v>10.5小时-早班-休息不计费-含加班-Rano（06:00~16:45）</v>
      </c>
      <c r="H725" s="23" t="n">
        <v>50</v>
      </c>
      <c r="I725" s="23" t="n">
        <v>0</v>
      </c>
      <c r="J725" s="23" t="n">
        <f>H725+I725</f>
        <v>50</v>
      </c>
      <c r="K725" s="23" t="n">
        <v>41</v>
      </c>
      <c r="L725" s="23" t="n">
        <v>30</v>
      </c>
      <c r="M725" s="23" t="n">
        <f>MIN(K725,J725)</f>
        <v>41</v>
      </c>
      <c r="N725" s="23" t="n">
        <f>MIN(L725,J725)</f>
        <v>30</v>
      </c>
      <c r="O725" s="25" t="n">
        <f>IF(K725=0,0,MIN(1,J725/K725))</f>
        <v>1</v>
      </c>
      <c r="P725" s="23" t="n">
        <f>IF(J725&gt;0,MAX(K725-J725,0),0)</f>
        <v>0</v>
      </c>
      <c r="Q725" s="23" t="n">
        <f>IF(J725=0,K725,0)</f>
        <v>0</v>
      </c>
      <c r="R725" s="23" t="n">
        <f>MAX(J725-K725,0)</f>
        <v>9</v>
      </c>
      <c r="S725" s="23" t="n">
        <f>IF(J725&gt;0,MAX(L725-J725,0),L725)</f>
        <v>0</v>
      </c>
    </row>
    <row r="726">
      <c r="A726" s="19" t="str">
        <v>波兰区</v>
      </c>
      <c r="B726" s="19" t="str">
        <v>弗罗茨瓦夫3号仓(SN)</v>
      </c>
      <c r="C726" s="19" t="str">
        <v>B班组</v>
      </c>
      <c r="D726" s="21" t="n">
        <v>46170</v>
      </c>
      <c r="E726" s="19" t="str">
        <v>2026-05</v>
      </c>
      <c r="F726" s="19" t="str">
        <v>操作员</v>
      </c>
      <c r="G726" s="19" t="str">
        <v>10.5小时-晚班-休息不计费-含加班-NOC（18:00~04:45）</v>
      </c>
      <c r="H726" s="23" t="n">
        <v>50</v>
      </c>
      <c r="I726" s="23" t="n">
        <v>0</v>
      </c>
      <c r="J726" s="23" t="n">
        <f>H726+I726</f>
        <v>50</v>
      </c>
      <c r="K726" s="23" t="n">
        <v>91</v>
      </c>
      <c r="L726" s="23" t="n">
        <v>45</v>
      </c>
      <c r="M726" s="23" t="n">
        <f>MIN(K726,J726)</f>
        <v>50</v>
      </c>
      <c r="N726" s="23" t="n">
        <f>MIN(L726,J726)</f>
        <v>45</v>
      </c>
      <c r="O726" s="25" t="n">
        <f>IF(K726=0,0,MIN(1,J726/K726))</f>
        <v>0.5494505494505495</v>
      </c>
      <c r="P726" s="23" t="n">
        <f>IF(J726&gt;0,MAX(K726-J726,0),0)</f>
        <v>41</v>
      </c>
      <c r="Q726" s="23" t="n">
        <f>IF(J726=0,K726,0)</f>
        <v>0</v>
      </c>
      <c r="R726" s="23" t="n">
        <f>MAX(J726-K726,0)</f>
        <v>0</v>
      </c>
      <c r="S726" s="23" t="n">
        <f>IF(J726&gt;0,MAX(L726-J726,0),L726)</f>
        <v>0</v>
      </c>
    </row>
    <row r="727">
      <c r="A727" s="19" t="str">
        <v>波兰区</v>
      </c>
      <c r="B727" s="19" t="str">
        <v>弗罗茨瓦夫3号仓(SN)</v>
      </c>
      <c r="C727" s="19" t="str">
        <v>B班组</v>
      </c>
      <c r="D727" s="21" t="n">
        <v>46176</v>
      </c>
      <c r="E727" s="19" t="str">
        <v>2026-06</v>
      </c>
      <c r="F727" s="19" t="str">
        <v>操作员</v>
      </c>
      <c r="G727" s="19" t="str">
        <v>10.5小时-早班-休息不计费-含加班-Rano（06:00~16:45）</v>
      </c>
      <c r="H727" s="23" t="n">
        <v>60</v>
      </c>
      <c r="I727" s="23" t="n">
        <v>0</v>
      </c>
      <c r="J727" s="23" t="n">
        <f>H727+I727</f>
        <v>60</v>
      </c>
      <c r="K727" s="23" t="n">
        <v>55</v>
      </c>
      <c r="L727" s="23" t="n">
        <v>32</v>
      </c>
      <c r="M727" s="23" t="n">
        <f>MIN(K727,J727)</f>
        <v>55</v>
      </c>
      <c r="N727" s="23" t="n">
        <f>MIN(L727,J727)</f>
        <v>32</v>
      </c>
      <c r="O727" s="25" t="n">
        <f>IF(K727=0,0,MIN(1,J727/K727))</f>
        <v>1</v>
      </c>
      <c r="P727" s="23" t="n">
        <f>IF(J727&gt;0,MAX(K727-J727,0),0)</f>
        <v>0</v>
      </c>
      <c r="Q727" s="23" t="n">
        <f>IF(J727=0,K727,0)</f>
        <v>0</v>
      </c>
      <c r="R727" s="23" t="n">
        <f>MAX(J727-K727,0)</f>
        <v>5</v>
      </c>
      <c r="S727" s="23" t="n">
        <f>IF(J727&gt;0,MAX(L727-J727,0),L727)</f>
        <v>0</v>
      </c>
    </row>
    <row r="728">
      <c r="A728" s="19" t="str">
        <v>波兰区</v>
      </c>
      <c r="B728" s="19" t="str">
        <v>弗罗茨瓦夫3号仓(SN)</v>
      </c>
      <c r="C728" s="19" t="str">
        <v>B班组</v>
      </c>
      <c r="D728" s="21" t="n">
        <v>46182</v>
      </c>
      <c r="E728" s="19" t="str">
        <v>2026-06</v>
      </c>
      <c r="F728" s="19" t="str">
        <v>操作员</v>
      </c>
      <c r="G728" s="19" t="str">
        <v>10.5小时-晚班-休息不计费-含加班-NOC（18:00~04:45）</v>
      </c>
      <c r="H728" s="23" t="n">
        <v>70</v>
      </c>
      <c r="I728" s="23" t="n">
        <v>0</v>
      </c>
      <c r="J728" s="23" t="n">
        <f>H728+I728</f>
        <v>70</v>
      </c>
      <c r="K728" s="23" t="n">
        <v>35</v>
      </c>
      <c r="L728" s="23" t="n">
        <v>28</v>
      </c>
      <c r="M728" s="23" t="n">
        <f>MIN(K728,J728)</f>
        <v>35</v>
      </c>
      <c r="N728" s="23" t="n">
        <f>MIN(L728,J728)</f>
        <v>28</v>
      </c>
      <c r="O728" s="25" t="n">
        <f>IF(K728=0,0,MIN(1,J728/K728))</f>
        <v>1</v>
      </c>
      <c r="P728" s="23" t="n">
        <f>IF(J728&gt;0,MAX(K728-J728,0),0)</f>
        <v>0</v>
      </c>
      <c r="Q728" s="23" t="n">
        <f>IF(J728=0,K728,0)</f>
        <v>0</v>
      </c>
      <c r="R728" s="23" t="n">
        <f>MAX(J728-K728,0)</f>
        <v>35</v>
      </c>
      <c r="S728" s="23" t="n">
        <f>IF(J728&gt;0,MAX(L728-J728,0),L728)</f>
        <v>0</v>
      </c>
    </row>
    <row r="729">
      <c r="A729" s="19" t="str">
        <v>波兰区</v>
      </c>
      <c r="B729" s="19" t="str">
        <v>弗罗茨瓦夫3号仓(SN)</v>
      </c>
      <c r="C729" s="19" t="str">
        <v>B班组</v>
      </c>
      <c r="D729" s="21" t="n">
        <v>46189</v>
      </c>
      <c r="E729" s="19" t="str">
        <v>2026-06</v>
      </c>
      <c r="F729" s="19" t="str">
        <v>操作员</v>
      </c>
      <c r="G729" s="19" t="str">
        <v>10.5小时-早班-休息不计费-含加班-Rano（06:00~16:45）</v>
      </c>
      <c r="H729" s="23" t="n">
        <v>70</v>
      </c>
      <c r="I729" s="23" t="n">
        <v>0</v>
      </c>
      <c r="J729" s="23" t="n">
        <f>H729+I729</f>
        <v>70</v>
      </c>
      <c r="K729" s="23" t="n">
        <v>35</v>
      </c>
      <c r="L729" s="23" t="n">
        <v>21</v>
      </c>
      <c r="M729" s="23" t="n">
        <f>MIN(K729,J729)</f>
        <v>35</v>
      </c>
      <c r="N729" s="23" t="n">
        <f>MIN(L729,J729)</f>
        <v>21</v>
      </c>
      <c r="O729" s="25" t="n">
        <f>IF(K729=0,0,MIN(1,J729/K729))</f>
        <v>1</v>
      </c>
      <c r="P729" s="23" t="n">
        <f>IF(J729&gt;0,MAX(K729-J729,0),0)</f>
        <v>0</v>
      </c>
      <c r="Q729" s="23" t="n">
        <f>IF(J729=0,K729,0)</f>
        <v>0</v>
      </c>
      <c r="R729" s="23" t="n">
        <f>MAX(J729-K729,0)</f>
        <v>35</v>
      </c>
      <c r="S729" s="23" t="n">
        <f>IF(J729&gt;0,MAX(L729-J729,0),L729)</f>
        <v>0</v>
      </c>
    </row>
    <row r="730">
      <c r="A730" s="19" t="str">
        <v>波兰区</v>
      </c>
      <c r="B730" s="19" t="str">
        <v>弗罗茨瓦夫3号仓(SN)</v>
      </c>
      <c r="C730" s="19" t="str">
        <v>B班组</v>
      </c>
      <c r="D730" s="21" t="n">
        <v>46190</v>
      </c>
      <c r="E730" s="19" t="str">
        <v>2026-06</v>
      </c>
      <c r="F730" s="19" t="str">
        <v>操作员</v>
      </c>
      <c r="G730" s="19" t="str">
        <v>10.5小时-早班-休息不计费-含加班-Rano（06:00~16:45）</v>
      </c>
      <c r="H730" s="23" t="n">
        <v>70</v>
      </c>
      <c r="I730" s="23" t="n">
        <v>0</v>
      </c>
      <c r="J730" s="23" t="n">
        <f>H730+I730</f>
        <v>70</v>
      </c>
      <c r="K730" s="23" t="n">
        <v>118</v>
      </c>
      <c r="L730" s="23" t="n">
        <v>35</v>
      </c>
      <c r="M730" s="23" t="n">
        <f>MIN(K730,J730)</f>
        <v>70</v>
      </c>
      <c r="N730" s="23" t="n">
        <f>MIN(L730,J730)</f>
        <v>35</v>
      </c>
      <c r="O730" s="25" t="n">
        <f>IF(K730=0,0,MIN(1,J730/K730))</f>
        <v>0.5932203389830508</v>
      </c>
      <c r="P730" s="23" t="n">
        <f>IF(J730&gt;0,MAX(K730-J730,0),0)</f>
        <v>48</v>
      </c>
      <c r="Q730" s="23" t="n">
        <f>IF(J730=0,K730,0)</f>
        <v>0</v>
      </c>
      <c r="R730" s="23" t="n">
        <f>MAX(J730-K730,0)</f>
        <v>0</v>
      </c>
      <c r="S730" s="23" t="n">
        <f>IF(J730&gt;0,MAX(L730-J730,0),L730)</f>
        <v>0</v>
      </c>
    </row>
    <row r="731">
      <c r="A731" s="19" t="str">
        <v>波兰区</v>
      </c>
      <c r="B731" s="19" t="str">
        <v>弗罗茨瓦夫3号仓(SN)</v>
      </c>
      <c r="C731" s="19" t="str">
        <v>B班组</v>
      </c>
      <c r="D731" s="21" t="n">
        <v>46196</v>
      </c>
      <c r="E731" s="19" t="str">
        <v>2026-06</v>
      </c>
      <c r="F731" s="19" t="str">
        <v>操作员</v>
      </c>
      <c r="G731" s="19" t="str">
        <v>10.5小时-晚班-休息不计费-含加班-NOC（18:00~04:45）</v>
      </c>
      <c r="H731" s="23" t="n">
        <v>70</v>
      </c>
      <c r="I731" s="23" t="n">
        <v>0</v>
      </c>
      <c r="J731" s="23" t="n">
        <f>H731+I731</f>
        <v>70</v>
      </c>
      <c r="K731" s="23" t="n">
        <v>0</v>
      </c>
      <c r="L731" s="23" t="n">
        <v>0</v>
      </c>
      <c r="M731" s="23" t="n">
        <f>MIN(K731,J731)</f>
        <v>0</v>
      </c>
      <c r="N731" s="23" t="n">
        <f>MIN(L731,J731)</f>
        <v>0</v>
      </c>
      <c r="O731" s="25" t="n">
        <f>IF(K731=0,0,MIN(1,J731/K731))</f>
        <v>0</v>
      </c>
      <c r="P731" s="23" t="n">
        <f>IF(J731&gt;0,MAX(K731-J731,0),0)</f>
        <v>0</v>
      </c>
      <c r="Q731" s="23" t="n">
        <f>IF(J731=0,K731,0)</f>
        <v>0</v>
      </c>
      <c r="R731" s="23" t="n">
        <f>MAX(J731-K731,0)</f>
        <v>70</v>
      </c>
      <c r="S731" s="23" t="n">
        <f>IF(J731&gt;0,MAX(L731-J731,0),L731)</f>
        <v>0</v>
      </c>
    </row>
    <row r="732">
      <c r="A732" s="19" t="str">
        <v>波兰区</v>
      </c>
      <c r="B732" s="19" t="str">
        <v>弗罗茨瓦夫3号仓(SN)</v>
      </c>
      <c r="C732" s="19" t="str">
        <v>C班组</v>
      </c>
      <c r="D732" s="21" t="n">
        <v>46120</v>
      </c>
      <c r="E732" s="19" t="str">
        <v>2026-04</v>
      </c>
      <c r="F732" s="19" t="str">
        <v>操作员</v>
      </c>
      <c r="G732" s="19" t="str">
        <v>10.5小时-晚班-休息不计费-含加班-NOC（18:00~04:45）</v>
      </c>
      <c r="H732" s="23" t="n">
        <v>26</v>
      </c>
      <c r="I732" s="23" t="n">
        <v>0</v>
      </c>
      <c r="J732" s="23" t="n">
        <f>H732+I732</f>
        <v>26</v>
      </c>
      <c r="K732" s="23" t="n">
        <v>25</v>
      </c>
      <c r="L732" s="23" t="n">
        <v>25</v>
      </c>
      <c r="M732" s="23" t="n">
        <f>MIN(K732,J732)</f>
        <v>25</v>
      </c>
      <c r="N732" s="23" t="n">
        <f>MIN(L732,J732)</f>
        <v>25</v>
      </c>
      <c r="O732" s="25" t="n">
        <f>IF(K732=0,0,MIN(1,J732/K732))</f>
        <v>1</v>
      </c>
      <c r="P732" s="23" t="n">
        <f>IF(J732&gt;0,MAX(K732-J732,0),0)</f>
        <v>0</v>
      </c>
      <c r="Q732" s="23" t="n">
        <f>IF(J732=0,K732,0)</f>
        <v>0</v>
      </c>
      <c r="R732" s="23" t="n">
        <f>MAX(J732-K732,0)</f>
        <v>1</v>
      </c>
      <c r="S732" s="23" t="n">
        <f>IF(J732&gt;0,MAX(L732-J732,0),L732)</f>
        <v>0</v>
      </c>
    </row>
    <row r="733">
      <c r="A733" s="19" t="str">
        <v>波兰区</v>
      </c>
      <c r="B733" s="19" t="str">
        <v>弗罗茨瓦夫3号仓(SN)</v>
      </c>
      <c r="C733" s="19" t="str">
        <v>C班组</v>
      </c>
      <c r="D733" s="21" t="n">
        <v>46122</v>
      </c>
      <c r="E733" s="19" t="str">
        <v>2026-04</v>
      </c>
      <c r="F733" s="19" t="str">
        <v>操作员</v>
      </c>
      <c r="G733" s="19" t="str">
        <v>10.5小时-晚班-休息不计费-含加班-NOC（18:00~04:45）</v>
      </c>
      <c r="H733" s="23" t="n">
        <v>0</v>
      </c>
      <c r="I733" s="23" t="n">
        <v>0</v>
      </c>
      <c r="J733" s="23" t="n">
        <f>H733+I733</f>
        <v>0</v>
      </c>
      <c r="K733" s="23" t="n">
        <v>5</v>
      </c>
      <c r="L733" s="23" t="n">
        <v>5</v>
      </c>
      <c r="M733" s="23" t="n">
        <f>MIN(K733,J733)</f>
        <v>0</v>
      </c>
      <c r="N733" s="23" t="n">
        <f>MIN(L733,J733)</f>
        <v>0</v>
      </c>
      <c r="O733" s="25" t="n">
        <f>IF(K733=0,0,MIN(1,J733/K733))</f>
        <v>0</v>
      </c>
      <c r="P733" s="23" t="n">
        <f>IF(J733&gt;0,MAX(K733-J733,0),0)</f>
        <v>0</v>
      </c>
      <c r="Q733" s="23" t="n">
        <f>IF(J733=0,K733,0)</f>
        <v>5</v>
      </c>
      <c r="R733" s="23" t="n">
        <f>MAX(J733-K733,0)</f>
        <v>0</v>
      </c>
      <c r="S733" s="23" t="n">
        <f>IF(J733&gt;0,MAX(L733-J733,0),L733)</f>
        <v>5</v>
      </c>
    </row>
    <row r="734">
      <c r="A734" s="19" t="str">
        <v>波兰区</v>
      </c>
      <c r="B734" s="19" t="str">
        <v>弗罗茨瓦夫3号仓(SN)</v>
      </c>
      <c r="C734" s="19" t="str">
        <v>C班组</v>
      </c>
      <c r="D734" s="21" t="n">
        <v>46126</v>
      </c>
      <c r="E734" s="19" t="str">
        <v>2026-04</v>
      </c>
      <c r="F734" s="19" t="str">
        <v>操作员</v>
      </c>
      <c r="G734" s="19" t="str">
        <v>10.5小时-早班-休息不计费-含加班-Rano（06:00~16:45）</v>
      </c>
      <c r="H734" s="23" t="n">
        <v>20</v>
      </c>
      <c r="I734" s="23" t="n">
        <v>0</v>
      </c>
      <c r="J734" s="23" t="n">
        <f>H734+I734</f>
        <v>20</v>
      </c>
      <c r="K734" s="23" t="n">
        <v>27</v>
      </c>
      <c r="L734" s="23" t="n">
        <v>25</v>
      </c>
      <c r="M734" s="23" t="n">
        <f>MIN(K734,J734)</f>
        <v>20</v>
      </c>
      <c r="N734" s="23" t="n">
        <f>MIN(L734,J734)</f>
        <v>20</v>
      </c>
      <c r="O734" s="25" t="n">
        <f>IF(K734=0,0,MIN(1,J734/K734))</f>
        <v>0.7407407407407407</v>
      </c>
      <c r="P734" s="23" t="n">
        <f>IF(J734&gt;0,MAX(K734-J734,0),0)</f>
        <v>7</v>
      </c>
      <c r="Q734" s="23" t="n">
        <f>IF(J734=0,K734,0)</f>
        <v>0</v>
      </c>
      <c r="R734" s="23" t="n">
        <f>MAX(J734-K734,0)</f>
        <v>0</v>
      </c>
      <c r="S734" s="23" t="n">
        <f>IF(J734&gt;0,MAX(L734-J734,0),L734)</f>
        <v>5</v>
      </c>
    </row>
    <row r="735">
      <c r="A735" s="19" t="str">
        <v>波兰区</v>
      </c>
      <c r="B735" s="19" t="str">
        <v>弗罗茨瓦夫3号仓(SN)</v>
      </c>
      <c r="C735" s="19" t="str">
        <v>C班组</v>
      </c>
      <c r="D735" s="21" t="n">
        <v>46133</v>
      </c>
      <c r="E735" s="19" t="str">
        <v>2026-04</v>
      </c>
      <c r="F735" s="19" t="str">
        <v>操作员</v>
      </c>
      <c r="G735" s="19" t="str">
        <v>10.5小时-晚班-休息不计费-含加班-NOC（18:00~04:45）</v>
      </c>
      <c r="H735" s="23" t="n">
        <v>25</v>
      </c>
      <c r="I735" s="23" t="n">
        <v>0</v>
      </c>
      <c r="J735" s="23" t="n">
        <f>H735+I735</f>
        <v>25</v>
      </c>
      <c r="K735" s="23" t="n">
        <v>30</v>
      </c>
      <c r="L735" s="23" t="n">
        <v>27</v>
      </c>
      <c r="M735" s="23" t="n">
        <f>MIN(K735,J735)</f>
        <v>25</v>
      </c>
      <c r="N735" s="23" t="n">
        <f>MIN(L735,J735)</f>
        <v>25</v>
      </c>
      <c r="O735" s="25" t="n">
        <f>IF(K735=0,0,MIN(1,J735/K735))</f>
        <v>0.8333333333333334</v>
      </c>
      <c r="P735" s="23" t="n">
        <f>IF(J735&gt;0,MAX(K735-J735,0),0)</f>
        <v>5</v>
      </c>
      <c r="Q735" s="23" t="n">
        <f>IF(J735=0,K735,0)</f>
        <v>0</v>
      </c>
      <c r="R735" s="23" t="n">
        <f>MAX(J735-K735,0)</f>
        <v>0</v>
      </c>
      <c r="S735" s="23" t="n">
        <f>IF(J735&gt;0,MAX(L735-J735,0),L735)</f>
        <v>2</v>
      </c>
    </row>
    <row r="736">
      <c r="A736" s="19" t="str">
        <v>波兰区</v>
      </c>
      <c r="B736" s="19" t="str">
        <v>弗罗茨瓦夫3号仓(SN)</v>
      </c>
      <c r="C736" s="19" t="str">
        <v>C班组</v>
      </c>
      <c r="D736" s="21" t="n">
        <v>46142</v>
      </c>
      <c r="E736" s="19" t="str">
        <v>2026-04</v>
      </c>
      <c r="F736" s="19" t="str">
        <v>操作员</v>
      </c>
      <c r="G736" s="19" t="str">
        <v>10.5小时-晚班-休息不计费-含加班-NOC（18:00~04:45）</v>
      </c>
      <c r="H736" s="23" t="n">
        <v>40</v>
      </c>
      <c r="I736" s="23" t="n">
        <v>0</v>
      </c>
      <c r="J736" s="23" t="n">
        <f>H736+I736</f>
        <v>40</v>
      </c>
      <c r="K736" s="23" t="n">
        <v>48</v>
      </c>
      <c r="L736" s="23" t="n">
        <v>38</v>
      </c>
      <c r="M736" s="23" t="n">
        <f>MIN(K736,J736)</f>
        <v>40</v>
      </c>
      <c r="N736" s="23" t="n">
        <f>MIN(L736,J736)</f>
        <v>38</v>
      </c>
      <c r="O736" s="25" t="n">
        <f>IF(K736=0,0,MIN(1,J736/K736))</f>
        <v>0.8333333333333334</v>
      </c>
      <c r="P736" s="23" t="n">
        <f>IF(J736&gt;0,MAX(K736-J736,0),0)</f>
        <v>8</v>
      </c>
      <c r="Q736" s="23" t="n">
        <f>IF(J736=0,K736,0)</f>
        <v>0</v>
      </c>
      <c r="R736" s="23" t="n">
        <f>MAX(J736-K736,0)</f>
        <v>0</v>
      </c>
      <c r="S736" s="23" t="n">
        <f>IF(J736&gt;0,MAX(L736-J736,0),L736)</f>
        <v>0</v>
      </c>
    </row>
    <row r="737">
      <c r="A737" s="19" t="str">
        <v>波兰区</v>
      </c>
      <c r="B737" s="19" t="str">
        <v>弗罗茨瓦夫3号仓(SN)</v>
      </c>
      <c r="C737" s="19" t="str">
        <v>C班组</v>
      </c>
      <c r="D737" s="21" t="n">
        <v>46148</v>
      </c>
      <c r="E737" s="19" t="str">
        <v>2026-05</v>
      </c>
      <c r="F737" s="19" t="str">
        <v>操作员</v>
      </c>
      <c r="G737" s="19" t="str">
        <v>10.5小时-早班-休息不计费-含加班-Rano（06:00~16:45）</v>
      </c>
      <c r="H737" s="23" t="n">
        <v>50</v>
      </c>
      <c r="I737" s="23" t="n">
        <v>0</v>
      </c>
      <c r="J737" s="23" t="n">
        <f>H737+I737</f>
        <v>50</v>
      </c>
      <c r="K737" s="23" t="n">
        <v>75</v>
      </c>
      <c r="L737" s="23" t="n">
        <v>43</v>
      </c>
      <c r="M737" s="23" t="n">
        <f>MIN(K737,J737)</f>
        <v>50</v>
      </c>
      <c r="N737" s="23" t="n">
        <f>MIN(L737,J737)</f>
        <v>43</v>
      </c>
      <c r="O737" s="25" t="n">
        <f>IF(K737=0,0,MIN(1,J737/K737))</f>
        <v>0.6666666666666666</v>
      </c>
      <c r="P737" s="23" t="n">
        <f>IF(J737&gt;0,MAX(K737-J737,0),0)</f>
        <v>25</v>
      </c>
      <c r="Q737" s="23" t="n">
        <f>IF(J737=0,K737,0)</f>
        <v>0</v>
      </c>
      <c r="R737" s="23" t="n">
        <f>MAX(J737-K737,0)</f>
        <v>0</v>
      </c>
      <c r="S737" s="23" t="n">
        <f>IF(J737&gt;0,MAX(L737-J737,0),L737)</f>
        <v>0</v>
      </c>
    </row>
    <row r="738">
      <c r="A738" s="19" t="str">
        <v>波兰区</v>
      </c>
      <c r="B738" s="19" t="str">
        <v>弗罗茨瓦夫3号仓(SN)</v>
      </c>
      <c r="C738" s="19" t="str">
        <v>C班组</v>
      </c>
      <c r="D738" s="21" t="n">
        <v>46148</v>
      </c>
      <c r="E738" s="19" t="str">
        <v>2026-05</v>
      </c>
      <c r="F738" s="19" t="str">
        <v>操作员</v>
      </c>
      <c r="G738" s="19" t="str">
        <v>10.5小时-晚班-休息不计费-含加班-NOC（18:00~04:45）</v>
      </c>
      <c r="H738" s="23" t="n">
        <v>0</v>
      </c>
      <c r="I738" s="23" t="n">
        <v>0</v>
      </c>
      <c r="J738" s="23" t="n">
        <f>H738+I738</f>
        <v>0</v>
      </c>
      <c r="K738" s="23" t="n">
        <v>0</v>
      </c>
      <c r="L738" s="23" t="n">
        <v>0</v>
      </c>
      <c r="M738" s="23" t="n">
        <f>MIN(K738,J738)</f>
        <v>0</v>
      </c>
      <c r="N738" s="23" t="n">
        <f>MIN(L738,J738)</f>
        <v>0</v>
      </c>
      <c r="O738" s="25" t="n">
        <f>IF(K738=0,0,MIN(1,J738/K738))</f>
        <v>0</v>
      </c>
      <c r="P738" s="23" t="n">
        <f>IF(J738&gt;0,MAX(K738-J738,0),0)</f>
        <v>0</v>
      </c>
      <c r="Q738" s="23" t="n">
        <f>IF(J738=0,K738,0)</f>
        <v>0</v>
      </c>
      <c r="R738" s="23" t="n">
        <f>MAX(J738-K738,0)</f>
        <v>0</v>
      </c>
      <c r="S738" s="23" t="n">
        <f>IF(J738&gt;0,MAX(L738-J738,0),L738)</f>
        <v>0</v>
      </c>
    </row>
    <row r="739">
      <c r="A739" s="19" t="str">
        <v>波兰区</v>
      </c>
      <c r="B739" s="19" t="str">
        <v>弗罗茨瓦夫3号仓(SN)</v>
      </c>
      <c r="C739" s="19" t="str">
        <v>C班组</v>
      </c>
      <c r="D739" s="21" t="n">
        <v>46154</v>
      </c>
      <c r="E739" s="19" t="str">
        <v>2026-05</v>
      </c>
      <c r="F739" s="19" t="str">
        <v>操作员</v>
      </c>
      <c r="G739" s="19" t="str">
        <v>10.5小时-晚班-休息不计费-含加班-NOC（18:00~04:45）</v>
      </c>
      <c r="H739" s="23" t="n">
        <v>50</v>
      </c>
      <c r="I739" s="23" t="n">
        <v>0</v>
      </c>
      <c r="J739" s="23" t="n">
        <f>H739+I739</f>
        <v>50</v>
      </c>
      <c r="K739" s="23" t="n">
        <v>63</v>
      </c>
      <c r="L739" s="23" t="n">
        <v>48</v>
      </c>
      <c r="M739" s="23" t="n">
        <f>MIN(K739,J739)</f>
        <v>50</v>
      </c>
      <c r="N739" s="23" t="n">
        <f>MIN(L739,J739)</f>
        <v>48</v>
      </c>
      <c r="O739" s="25" t="n">
        <f>IF(K739=0,0,MIN(1,J739/K739))</f>
        <v>0.7936507936507936</v>
      </c>
      <c r="P739" s="23" t="n">
        <f>IF(J739&gt;0,MAX(K739-J739,0),0)</f>
        <v>13</v>
      </c>
      <c r="Q739" s="23" t="n">
        <f>IF(J739=0,K739,0)</f>
        <v>0</v>
      </c>
      <c r="R739" s="23" t="n">
        <f>MAX(J739-K739,0)</f>
        <v>0</v>
      </c>
      <c r="S739" s="23" t="n">
        <f>IF(J739&gt;0,MAX(L739-J739,0),L739)</f>
        <v>0</v>
      </c>
    </row>
    <row r="740">
      <c r="A740" s="19" t="str">
        <v>波兰区</v>
      </c>
      <c r="B740" s="19" t="str">
        <v>弗罗茨瓦夫3号仓(SN)</v>
      </c>
      <c r="C740" s="19" t="str">
        <v>C班组</v>
      </c>
      <c r="D740" s="21" t="n">
        <v>46168</v>
      </c>
      <c r="E740" s="19" t="str">
        <v>2026-05</v>
      </c>
      <c r="F740" s="19" t="str">
        <v>操作员</v>
      </c>
      <c r="G740" s="19" t="str">
        <v>10.5小时-晚班-休息不计费-含加班-NOC（18:00~04:45）</v>
      </c>
      <c r="H740" s="23" t="n">
        <v>65</v>
      </c>
      <c r="I740" s="23" t="n">
        <v>0</v>
      </c>
      <c r="J740" s="23" t="n">
        <f>H740+I740</f>
        <v>65</v>
      </c>
      <c r="K740" s="23" t="n">
        <v>70</v>
      </c>
      <c r="L740" s="23" t="n">
        <v>54</v>
      </c>
      <c r="M740" s="23" t="n">
        <f>MIN(K740,J740)</f>
        <v>65</v>
      </c>
      <c r="N740" s="23" t="n">
        <f>MIN(L740,J740)</f>
        <v>54</v>
      </c>
      <c r="O740" s="25" t="n">
        <f>IF(K740=0,0,MIN(1,J740/K740))</f>
        <v>0.9285714285714286</v>
      </c>
      <c r="P740" s="23" t="n">
        <f>IF(J740&gt;0,MAX(K740-J740,0),0)</f>
        <v>5</v>
      </c>
      <c r="Q740" s="23" t="n">
        <f>IF(J740=0,K740,0)</f>
        <v>0</v>
      </c>
      <c r="R740" s="23" t="n">
        <f>MAX(J740-K740,0)</f>
        <v>0</v>
      </c>
      <c r="S740" s="23" t="n">
        <f>IF(J740&gt;0,MAX(L740-J740,0),L740)</f>
        <v>0</v>
      </c>
    </row>
    <row r="741">
      <c r="A741" s="19" t="str">
        <v>波兰区</v>
      </c>
      <c r="B741" s="19" t="str">
        <v>弗罗茨瓦夫3号仓(SN)</v>
      </c>
      <c r="C741" s="19" t="str">
        <v>C班组</v>
      </c>
      <c r="D741" s="21" t="n">
        <v>46175</v>
      </c>
      <c r="E741" s="19" t="str">
        <v>2026-06</v>
      </c>
      <c r="F741" s="19" t="str">
        <v>操作员</v>
      </c>
      <c r="G741" s="19" t="str">
        <v>10.5小时-早班-休息不计费-含加班-Rano（06:00~16:45）</v>
      </c>
      <c r="H741" s="23" t="n">
        <v>50</v>
      </c>
      <c r="I741" s="23" t="n">
        <v>0</v>
      </c>
      <c r="J741" s="23" t="n">
        <f>H741+I741</f>
        <v>50</v>
      </c>
      <c r="K741" s="23" t="n">
        <v>25</v>
      </c>
      <c r="L741" s="23" t="n">
        <v>8</v>
      </c>
      <c r="M741" s="23" t="n">
        <f>MIN(K741,J741)</f>
        <v>25</v>
      </c>
      <c r="N741" s="23" t="n">
        <f>MIN(L741,J741)</f>
        <v>8</v>
      </c>
      <c r="O741" s="25" t="n">
        <f>IF(K741=0,0,MIN(1,J741/K741))</f>
        <v>1</v>
      </c>
      <c r="P741" s="23" t="n">
        <f>IF(J741&gt;0,MAX(K741-J741,0),0)</f>
        <v>0</v>
      </c>
      <c r="Q741" s="23" t="n">
        <f>IF(J741=0,K741,0)</f>
        <v>0</v>
      </c>
      <c r="R741" s="23" t="n">
        <f>MAX(J741-K741,0)</f>
        <v>25</v>
      </c>
      <c r="S741" s="23" t="n">
        <f>IF(J741&gt;0,MAX(L741-J741,0),L741)</f>
        <v>0</v>
      </c>
    </row>
    <row r="742">
      <c r="A742" s="19" t="str">
        <v>波兰区</v>
      </c>
      <c r="B742" s="19" t="str">
        <v>弗罗茨瓦夫3号仓(SN)</v>
      </c>
      <c r="C742" s="19" t="str">
        <v>C班组</v>
      </c>
      <c r="D742" s="21" t="n">
        <v>46183</v>
      </c>
      <c r="E742" s="19" t="str">
        <v>2026-06</v>
      </c>
      <c r="F742" s="19" t="str">
        <v>操作员</v>
      </c>
      <c r="G742" s="19" t="str">
        <v>10.5小时-早班-休息不计费-含加班-Rano（06:00~16:45）</v>
      </c>
      <c r="H742" s="23" t="n">
        <v>70</v>
      </c>
      <c r="I742" s="23" t="n">
        <v>0</v>
      </c>
      <c r="J742" s="23" t="n">
        <f>H742+I742</f>
        <v>70</v>
      </c>
      <c r="K742" s="23" t="n">
        <v>88</v>
      </c>
      <c r="L742" s="23" t="n">
        <v>34</v>
      </c>
      <c r="M742" s="23" t="n">
        <f>MIN(K742,J742)</f>
        <v>70</v>
      </c>
      <c r="N742" s="23" t="n">
        <f>MIN(L742,J742)</f>
        <v>34</v>
      </c>
      <c r="O742" s="25" t="n">
        <f>IF(K742=0,0,MIN(1,J742/K742))</f>
        <v>0.7954545454545454</v>
      </c>
      <c r="P742" s="23" t="n">
        <f>IF(J742&gt;0,MAX(K742-J742,0),0)</f>
        <v>18</v>
      </c>
      <c r="Q742" s="23" t="n">
        <f>IF(J742=0,K742,0)</f>
        <v>0</v>
      </c>
      <c r="R742" s="23" t="n">
        <f>MAX(J742-K742,0)</f>
        <v>0</v>
      </c>
      <c r="S742" s="23" t="n">
        <f>IF(J742&gt;0,MAX(L742-J742,0),L742)</f>
        <v>0</v>
      </c>
    </row>
    <row r="743">
      <c r="A743" s="19" t="str">
        <v>波兰区</v>
      </c>
      <c r="B743" s="19" t="str">
        <v>弗罗茨瓦夫3号仓(SN)</v>
      </c>
      <c r="C743" s="19" t="str">
        <v>C班组</v>
      </c>
      <c r="D743" s="21" t="n">
        <v>46184</v>
      </c>
      <c r="E743" s="19" t="str">
        <v>2026-06</v>
      </c>
      <c r="F743" s="19" t="str">
        <v>操作员</v>
      </c>
      <c r="G743" s="19" t="str">
        <v>10.5小时-早班-休息不计费-含加班-Rano（06:00~16:45）</v>
      </c>
      <c r="H743" s="23" t="n">
        <v>70</v>
      </c>
      <c r="I743" s="23" t="n">
        <v>0</v>
      </c>
      <c r="J743" s="23" t="n">
        <f>H743+I743</f>
        <v>70</v>
      </c>
      <c r="K743" s="23" t="n">
        <v>64</v>
      </c>
      <c r="L743" s="23" t="n">
        <v>10</v>
      </c>
      <c r="M743" s="23" t="n">
        <f>MIN(K743,J743)</f>
        <v>64</v>
      </c>
      <c r="N743" s="23" t="n">
        <f>MIN(L743,J743)</f>
        <v>10</v>
      </c>
      <c r="O743" s="25" t="n">
        <f>IF(K743=0,0,MIN(1,J743/K743))</f>
        <v>1</v>
      </c>
      <c r="P743" s="23" t="n">
        <f>IF(J743&gt;0,MAX(K743-J743,0),0)</f>
        <v>0</v>
      </c>
      <c r="Q743" s="23" t="n">
        <f>IF(J743=0,K743,0)</f>
        <v>0</v>
      </c>
      <c r="R743" s="23" t="n">
        <f>MAX(J743-K743,0)</f>
        <v>6</v>
      </c>
      <c r="S743" s="23" t="n">
        <f>IF(J743&gt;0,MAX(L743-J743,0),L743)</f>
        <v>0</v>
      </c>
    </row>
    <row r="744">
      <c r="A744" s="19" t="str">
        <v>波兰区</v>
      </c>
      <c r="B744" s="19" t="str">
        <v>弗罗茨瓦夫3号仓(SN)</v>
      </c>
      <c r="C744" s="19" t="str">
        <v>C班组</v>
      </c>
      <c r="D744" s="21" t="n">
        <v>46191</v>
      </c>
      <c r="E744" s="19" t="str">
        <v>2026-06</v>
      </c>
      <c r="F744" s="19" t="str">
        <v>操作员</v>
      </c>
      <c r="G744" s="19" t="str">
        <v>10.5小时-晚班-休息不计费-含加班-NOC（18:00~04:45）</v>
      </c>
      <c r="H744" s="23" t="n">
        <v>70</v>
      </c>
      <c r="I744" s="23" t="n">
        <v>0</v>
      </c>
      <c r="J744" s="23" t="n">
        <f>H744+I744</f>
        <v>70</v>
      </c>
      <c r="K744" s="23" t="n">
        <v>84</v>
      </c>
      <c r="L744" s="23" t="n">
        <v>17</v>
      </c>
      <c r="M744" s="23" t="n">
        <f>MIN(K744,J744)</f>
        <v>70</v>
      </c>
      <c r="N744" s="23" t="n">
        <f>MIN(L744,J744)</f>
        <v>17</v>
      </c>
      <c r="O744" s="25" t="n">
        <f>IF(K744=0,0,MIN(1,J744/K744))</f>
        <v>0.8333333333333334</v>
      </c>
      <c r="P744" s="23" t="n">
        <f>IF(J744&gt;0,MAX(K744-J744,0),0)</f>
        <v>14</v>
      </c>
      <c r="Q744" s="23" t="n">
        <f>IF(J744=0,K744,0)</f>
        <v>0</v>
      </c>
      <c r="R744" s="23" t="n">
        <f>MAX(J744-K744,0)</f>
        <v>0</v>
      </c>
      <c r="S744" s="23" t="n">
        <f>IF(J744&gt;0,MAX(L744-J744,0),L744)</f>
        <v>0</v>
      </c>
    </row>
    <row r="745">
      <c r="A745" s="19" t="str">
        <v>波兰区</v>
      </c>
      <c r="B745" s="19" t="str">
        <v>弗罗茨瓦夫3号仓(SN)</v>
      </c>
      <c r="C745" s="19" t="str">
        <v>C班组</v>
      </c>
      <c r="D745" s="21" t="n">
        <v>46196</v>
      </c>
      <c r="E745" s="19" t="str">
        <v>2026-06</v>
      </c>
      <c r="F745" s="19" t="str">
        <v>操作员</v>
      </c>
      <c r="G745" s="19" t="str">
        <v>10.5小时-早班-休息不计费-含加班-Rano（06:00~16:45）</v>
      </c>
      <c r="H745" s="23" t="n">
        <v>70</v>
      </c>
      <c r="I745" s="23" t="n">
        <v>0</v>
      </c>
      <c r="J745" s="23" t="n">
        <f>H745+I745</f>
        <v>70</v>
      </c>
      <c r="K745" s="23" t="n">
        <v>0</v>
      </c>
      <c r="L745" s="23" t="n">
        <v>0</v>
      </c>
      <c r="M745" s="23" t="n">
        <f>MIN(K745,J745)</f>
        <v>0</v>
      </c>
      <c r="N745" s="23" t="n">
        <f>MIN(L745,J745)</f>
        <v>0</v>
      </c>
      <c r="O745" s="25" t="n">
        <f>IF(K745=0,0,MIN(1,J745/K745))</f>
        <v>0</v>
      </c>
      <c r="P745" s="23" t="n">
        <f>IF(J745&gt;0,MAX(K745-J745,0),0)</f>
        <v>0</v>
      </c>
      <c r="Q745" s="23" t="n">
        <f>IF(J745=0,K745,0)</f>
        <v>0</v>
      </c>
      <c r="R745" s="23" t="n">
        <f>MAX(J745-K745,0)</f>
        <v>70</v>
      </c>
      <c r="S745" s="23" t="n">
        <f>IF(J745&gt;0,MAX(L745-J745,0),L745)</f>
        <v>0</v>
      </c>
    </row>
    <row r="746">
      <c r="A746" s="19" t="str">
        <v>波兰区</v>
      </c>
      <c r="B746" s="19" t="str">
        <v>弗罗茨瓦夫3号仓(SN)</v>
      </c>
      <c r="C746" s="19" t="str">
        <v>C班组</v>
      </c>
      <c r="D746" s="21" t="n">
        <v>46198</v>
      </c>
      <c r="E746" s="19" t="str">
        <v>2026-06</v>
      </c>
      <c r="F746" s="19" t="str">
        <v>操作员</v>
      </c>
      <c r="G746" s="19" t="str">
        <v>10.5小时-早班-休息不计费-含加班-Rano（06:00~16:45）</v>
      </c>
      <c r="H746" s="23" t="n">
        <v>70</v>
      </c>
      <c r="I746" s="23" t="n">
        <v>0</v>
      </c>
      <c r="J746" s="23" t="n">
        <f>H746+I746</f>
        <v>70</v>
      </c>
      <c r="K746" s="23" t="n">
        <v>55</v>
      </c>
      <c r="L746" s="23" t="n">
        <v>39</v>
      </c>
      <c r="M746" s="23" t="n">
        <f>MIN(K746,J746)</f>
        <v>55</v>
      </c>
      <c r="N746" s="23" t="n">
        <f>MIN(L746,J746)</f>
        <v>39</v>
      </c>
      <c r="O746" s="25" t="n">
        <f>IF(K746=0,0,MIN(1,J746/K746))</f>
        <v>1</v>
      </c>
      <c r="P746" s="23" t="n">
        <f>IF(J746&gt;0,MAX(K746-J746,0),0)</f>
        <v>0</v>
      </c>
      <c r="Q746" s="23" t="n">
        <f>IF(J746=0,K746,0)</f>
        <v>0</v>
      </c>
      <c r="R746" s="23" t="n">
        <f>MAX(J746-K746,0)</f>
        <v>15</v>
      </c>
      <c r="S746" s="23" t="n">
        <f>IF(J746&gt;0,MAX(L746-J746,0),L746)</f>
        <v>0</v>
      </c>
    </row>
    <row r="747">
      <c r="A747" s="19" t="str">
        <v>波兰区</v>
      </c>
      <c r="B747" s="19" t="str">
        <v>弗罗茨瓦夫3号仓(SN)</v>
      </c>
      <c r="C747" s="19" t="str">
        <v>C班组</v>
      </c>
      <c r="D747" s="21" t="n">
        <v>46203</v>
      </c>
      <c r="E747" s="19" t="str">
        <v>2026-06</v>
      </c>
      <c r="F747" s="19" t="str">
        <v>操作员</v>
      </c>
      <c r="G747" s="19" t="str">
        <v>10.5小时-晚班-休息不计费-含加班-NOC（18:00~04:45）</v>
      </c>
      <c r="H747" s="23" t="n">
        <v>70</v>
      </c>
      <c r="I747" s="23" t="n">
        <v>0</v>
      </c>
      <c r="J747" s="23" t="n">
        <f>H747+I747</f>
        <v>70</v>
      </c>
      <c r="K747" s="23" t="n">
        <v>20</v>
      </c>
      <c r="L747" s="23" t="n">
        <v>4</v>
      </c>
      <c r="M747" s="23" t="n">
        <f>MIN(K747,J747)</f>
        <v>20</v>
      </c>
      <c r="N747" s="23" t="n">
        <f>MIN(L747,J747)</f>
        <v>4</v>
      </c>
      <c r="O747" s="25" t="n">
        <f>IF(K747=0,0,MIN(1,J747/K747))</f>
        <v>1</v>
      </c>
      <c r="P747" s="23" t="n">
        <f>IF(J747&gt;0,MAX(K747-J747,0),0)</f>
        <v>0</v>
      </c>
      <c r="Q747" s="23" t="n">
        <f>IF(J747=0,K747,0)</f>
        <v>0</v>
      </c>
      <c r="R747" s="23" t="n">
        <f>MAX(J747-K747,0)</f>
        <v>50</v>
      </c>
      <c r="S747" s="23" t="n">
        <f>IF(J747&gt;0,MAX(L747-J747,0),L747)</f>
        <v>0</v>
      </c>
    </row>
    <row r="748">
      <c r="A748" s="19" t="str">
        <v>波兰区</v>
      </c>
      <c r="B748" s="19" t="str">
        <v>弗罗茨瓦夫5号仓(TEMU)</v>
      </c>
      <c r="C748" s="19" t="str">
        <v>A班组</v>
      </c>
      <c r="D748" s="21" t="n">
        <v>46157</v>
      </c>
      <c r="E748" s="19" t="str">
        <v>2026-05</v>
      </c>
      <c r="F748" s="19" t="str">
        <v>操作员</v>
      </c>
      <c r="G748" s="19" t="str">
        <v>10.5小时-早班-休息不计费-含加班-Rano（06:00~16:45）</v>
      </c>
      <c r="H748" s="23" t="n">
        <v>30</v>
      </c>
      <c r="I748" s="23" t="n">
        <v>0</v>
      </c>
      <c r="J748" s="23" t="n">
        <f>H748+I748</f>
        <v>30</v>
      </c>
      <c r="K748" s="23" t="n">
        <v>0</v>
      </c>
      <c r="L748" s="23" t="n">
        <v>0</v>
      </c>
      <c r="M748" s="23" t="n">
        <f>MIN(K748,J748)</f>
        <v>0</v>
      </c>
      <c r="N748" s="23" t="n">
        <f>MIN(L748,J748)</f>
        <v>0</v>
      </c>
      <c r="O748" s="25" t="n">
        <f>IF(K748=0,0,MIN(1,J748/K748))</f>
        <v>0</v>
      </c>
      <c r="P748" s="23" t="n">
        <f>IF(J748&gt;0,MAX(K748-J748,0),0)</f>
        <v>0</v>
      </c>
      <c r="Q748" s="23" t="n">
        <f>IF(J748=0,K748,0)</f>
        <v>0</v>
      </c>
      <c r="R748" s="23" t="n">
        <f>MAX(J748-K748,0)</f>
        <v>30</v>
      </c>
      <c r="S748" s="23" t="n">
        <f>IF(J748&gt;0,MAX(L748-J748,0),L748)</f>
        <v>0</v>
      </c>
    </row>
    <row r="749">
      <c r="A749" s="19" t="str">
        <v>波兰区</v>
      </c>
      <c r="B749" s="19" t="str">
        <v>弗罗茨瓦夫5号仓(TEMU)</v>
      </c>
      <c r="C749" s="19" t="str">
        <v>A班组</v>
      </c>
      <c r="D749" s="21" t="n">
        <v>46161</v>
      </c>
      <c r="E749" s="19" t="str">
        <v>2026-05</v>
      </c>
      <c r="F749" s="19" t="str">
        <v>操作员</v>
      </c>
      <c r="G749" s="19" t="str">
        <v>10.5小时-早班-休息不计费-含加班-Rano（06:00~16:45）</v>
      </c>
      <c r="H749" s="23" t="n">
        <v>0</v>
      </c>
      <c r="I749" s="23" t="n">
        <v>0</v>
      </c>
      <c r="J749" s="23" t="n">
        <f>H749+I749</f>
        <v>0</v>
      </c>
      <c r="K749" s="23" t="n">
        <v>35</v>
      </c>
      <c r="L749" s="23" t="n">
        <v>0</v>
      </c>
      <c r="M749" s="23" t="n">
        <f>MIN(K749,J749)</f>
        <v>0</v>
      </c>
      <c r="N749" s="23" t="n">
        <f>MIN(L749,J749)</f>
        <v>0</v>
      </c>
      <c r="O749" s="25" t="n">
        <f>IF(K749=0,0,MIN(1,J749/K749))</f>
        <v>0</v>
      </c>
      <c r="P749" s="23" t="n">
        <f>IF(J749&gt;0,MAX(K749-J749,0),0)</f>
        <v>0</v>
      </c>
      <c r="Q749" s="23" t="n">
        <f>IF(J749=0,K749,0)</f>
        <v>35</v>
      </c>
      <c r="R749" s="23" t="n">
        <f>MAX(J749-K749,0)</f>
        <v>0</v>
      </c>
      <c r="S749" s="23" t="n">
        <f>IF(J749&gt;0,MAX(L749-J749,0),L749)</f>
        <v>0</v>
      </c>
    </row>
    <row r="750">
      <c r="A750" s="19" t="str">
        <v>波兰区</v>
      </c>
      <c r="B750" s="19" t="str">
        <v>弗罗茨瓦夫5号仓(TEMU)</v>
      </c>
      <c r="C750" s="19" t="str">
        <v>A班组</v>
      </c>
      <c r="D750" s="21" t="n">
        <v>46168</v>
      </c>
      <c r="E750" s="19" t="str">
        <v>2026-05</v>
      </c>
      <c r="F750" s="19" t="str">
        <v>操作员</v>
      </c>
      <c r="G750" s="19" t="str">
        <v>10.5小时-早班-休息不计费-含加班-Rano（06:00~16:45）</v>
      </c>
      <c r="H750" s="23" t="n">
        <v>30</v>
      </c>
      <c r="I750" s="23" t="n">
        <v>0</v>
      </c>
      <c r="J750" s="23" t="n">
        <f>H750+I750</f>
        <v>30</v>
      </c>
      <c r="K750" s="23" t="n">
        <v>10</v>
      </c>
      <c r="L750" s="23" t="n">
        <v>5</v>
      </c>
      <c r="M750" s="23" t="n">
        <f>MIN(K750,J750)</f>
        <v>10</v>
      </c>
      <c r="N750" s="23" t="n">
        <f>MIN(L750,J750)</f>
        <v>5</v>
      </c>
      <c r="O750" s="25" t="n">
        <f>IF(K750=0,0,MIN(1,J750/K750))</f>
        <v>1</v>
      </c>
      <c r="P750" s="23" t="n">
        <f>IF(J750&gt;0,MAX(K750-J750,0),0)</f>
        <v>0</v>
      </c>
      <c r="Q750" s="23" t="n">
        <f>IF(J750=0,K750,0)</f>
        <v>0</v>
      </c>
      <c r="R750" s="23" t="n">
        <f>MAX(J750-K750,0)</f>
        <v>20</v>
      </c>
      <c r="S750" s="23" t="n">
        <f>IF(J750&gt;0,MAX(L750-J750,0),L750)</f>
        <v>0</v>
      </c>
    </row>
    <row r="751">
      <c r="A751" s="19" t="str">
        <v>波兰区</v>
      </c>
      <c r="B751" s="19" t="str">
        <v>弗罗茨瓦夫5号仓(TEMU)</v>
      </c>
      <c r="C751" s="19" t="str">
        <v>A班组</v>
      </c>
      <c r="D751" s="21" t="n">
        <v>46175</v>
      </c>
      <c r="E751" s="19" t="str">
        <v>2026-06</v>
      </c>
      <c r="F751" s="19" t="str">
        <v>操作员</v>
      </c>
      <c r="G751" s="19" t="str">
        <v>10.5小时-晚班-休息不计费-含加班-NOC（18:00~04:45）</v>
      </c>
      <c r="H751" s="23" t="n">
        <v>20</v>
      </c>
      <c r="I751" s="23" t="n">
        <v>0</v>
      </c>
      <c r="J751" s="23" t="n">
        <f>H751+I751</f>
        <v>20</v>
      </c>
      <c r="K751" s="23" t="n">
        <v>0</v>
      </c>
      <c r="L751" s="23" t="n">
        <v>0</v>
      </c>
      <c r="M751" s="23" t="n">
        <f>MIN(K751,J751)</f>
        <v>0</v>
      </c>
      <c r="N751" s="23" t="n">
        <f>MIN(L751,J751)</f>
        <v>0</v>
      </c>
      <c r="O751" s="25" t="n">
        <f>IF(K751=0,0,MIN(1,J751/K751))</f>
        <v>0</v>
      </c>
      <c r="P751" s="23" t="n">
        <f>IF(J751&gt;0,MAX(K751-J751,0),0)</f>
        <v>0</v>
      </c>
      <c r="Q751" s="23" t="n">
        <f>IF(J751=0,K751,0)</f>
        <v>0</v>
      </c>
      <c r="R751" s="23" t="n">
        <f>MAX(J751-K751,0)</f>
        <v>20</v>
      </c>
      <c r="S751" s="23" t="n">
        <f>IF(J751&gt;0,MAX(L751-J751,0),L751)</f>
        <v>0</v>
      </c>
    </row>
    <row r="752">
      <c r="A752" s="19" t="str">
        <v>波兰区</v>
      </c>
      <c r="B752" s="19" t="str">
        <v>弗罗茨瓦夫5号仓(TEMU)</v>
      </c>
      <c r="C752" s="19" t="str">
        <v>A班组</v>
      </c>
      <c r="D752" s="21" t="n">
        <v>46176</v>
      </c>
      <c r="E752" s="19" t="str">
        <v>2026-06</v>
      </c>
      <c r="F752" s="19" t="str">
        <v>操作员</v>
      </c>
      <c r="G752" s="19" t="str">
        <v>10.5小时-晚班-休息不计费-含加班-NOC（18:00~04:45）</v>
      </c>
      <c r="H752" s="23" t="n">
        <v>15</v>
      </c>
      <c r="I752" s="23" t="n">
        <v>0</v>
      </c>
      <c r="J752" s="23" t="n">
        <f>H752+I752</f>
        <v>15</v>
      </c>
      <c r="K752" s="23" t="n">
        <v>0</v>
      </c>
      <c r="L752" s="23" t="n">
        <v>0</v>
      </c>
      <c r="M752" s="23" t="n">
        <f>MIN(K752,J752)</f>
        <v>0</v>
      </c>
      <c r="N752" s="23" t="n">
        <f>MIN(L752,J752)</f>
        <v>0</v>
      </c>
      <c r="O752" s="25" t="n">
        <f>IF(K752=0,0,MIN(1,J752/K752))</f>
        <v>0</v>
      </c>
      <c r="P752" s="23" t="n">
        <f>IF(J752&gt;0,MAX(K752-J752,0),0)</f>
        <v>0</v>
      </c>
      <c r="Q752" s="23" t="n">
        <f>IF(J752=0,K752,0)</f>
        <v>0</v>
      </c>
      <c r="R752" s="23" t="n">
        <f>MAX(J752-K752,0)</f>
        <v>15</v>
      </c>
      <c r="S752" s="23" t="n">
        <f>IF(J752&gt;0,MAX(L752-J752,0),L752)</f>
        <v>0</v>
      </c>
    </row>
    <row r="753">
      <c r="A753" s="19" t="str">
        <v>波兰区</v>
      </c>
      <c r="B753" s="19" t="str">
        <v>弗罗茨瓦夫5号仓(TEMU)</v>
      </c>
      <c r="C753" s="19" t="str">
        <v>A班组</v>
      </c>
      <c r="D753" s="21" t="n">
        <v>46181</v>
      </c>
      <c r="E753" s="19" t="str">
        <v>2026-06</v>
      </c>
      <c r="F753" s="19" t="str">
        <v>操作员</v>
      </c>
      <c r="G753" s="19" t="str">
        <v>10.5小时-早班-休息不计费-含加班-Rano（06:00~16:45）</v>
      </c>
      <c r="H753" s="23" t="n">
        <v>60</v>
      </c>
      <c r="I753" s="23" t="n">
        <v>0</v>
      </c>
      <c r="J753" s="23" t="n">
        <f>H753+I753</f>
        <v>60</v>
      </c>
      <c r="K753" s="23" t="n">
        <v>0</v>
      </c>
      <c r="L753" s="23" t="n">
        <v>0</v>
      </c>
      <c r="M753" s="23" t="n">
        <f>MIN(K753,J753)</f>
        <v>0</v>
      </c>
      <c r="N753" s="23" t="n">
        <f>MIN(L753,J753)</f>
        <v>0</v>
      </c>
      <c r="O753" s="25" t="n">
        <f>IF(K753=0,0,MIN(1,J753/K753))</f>
        <v>0</v>
      </c>
      <c r="P753" s="23" t="n">
        <f>IF(J753&gt;0,MAX(K753-J753,0),0)</f>
        <v>0</v>
      </c>
      <c r="Q753" s="23" t="n">
        <f>IF(J753=0,K753,0)</f>
        <v>0</v>
      </c>
      <c r="R753" s="23" t="n">
        <f>MAX(J753-K753,0)</f>
        <v>60</v>
      </c>
      <c r="S753" s="23" t="n">
        <f>IF(J753&gt;0,MAX(L753-J753,0),L753)</f>
        <v>0</v>
      </c>
    </row>
    <row r="754">
      <c r="A754" s="19" t="str">
        <v>波兰区</v>
      </c>
      <c r="B754" s="19" t="str">
        <v>弗罗茨瓦夫5号仓(TEMU)</v>
      </c>
      <c r="C754" s="19" t="str">
        <v>B班组</v>
      </c>
      <c r="D754" s="21" t="n">
        <v>46154</v>
      </c>
      <c r="E754" s="19" t="str">
        <v>2026-05</v>
      </c>
      <c r="F754" s="19" t="str">
        <v>操作员</v>
      </c>
      <c r="G754" s="19" t="str">
        <v>10.5小时-早班-休息不计费-含加班-Rano（06:00~16:45）</v>
      </c>
      <c r="H754" s="23" t="n">
        <v>37</v>
      </c>
      <c r="I754" s="23" t="n">
        <v>0</v>
      </c>
      <c r="J754" s="23" t="n">
        <f>H754+I754</f>
        <v>37</v>
      </c>
      <c r="K754" s="23" t="n">
        <v>5</v>
      </c>
      <c r="L754" s="23" t="n">
        <v>5</v>
      </c>
      <c r="M754" s="23" t="n">
        <f>MIN(K754,J754)</f>
        <v>5</v>
      </c>
      <c r="N754" s="23" t="n">
        <f>MIN(L754,J754)</f>
        <v>5</v>
      </c>
      <c r="O754" s="25" t="n">
        <f>IF(K754=0,0,MIN(1,J754/K754))</f>
        <v>1</v>
      </c>
      <c r="P754" s="23" t="n">
        <f>IF(J754&gt;0,MAX(K754-J754,0),0)</f>
        <v>0</v>
      </c>
      <c r="Q754" s="23" t="n">
        <f>IF(J754=0,K754,0)</f>
        <v>0</v>
      </c>
      <c r="R754" s="23" t="n">
        <f>MAX(J754-K754,0)</f>
        <v>32</v>
      </c>
      <c r="S754" s="23" t="n">
        <f>IF(J754&gt;0,MAX(L754-J754,0),L754)</f>
        <v>0</v>
      </c>
    </row>
    <row r="755">
      <c r="A755" s="19" t="str">
        <v>波兰区</v>
      </c>
      <c r="B755" s="19" t="str">
        <v>弗罗茨瓦夫5号仓(TEMU)</v>
      </c>
      <c r="C755" s="19" t="str">
        <v>B班组</v>
      </c>
      <c r="D755" s="21" t="n">
        <v>46162</v>
      </c>
      <c r="E755" s="19" t="str">
        <v>2026-05</v>
      </c>
      <c r="F755" s="19" t="str">
        <v>操作员</v>
      </c>
      <c r="G755" s="19" t="str">
        <v>10.5小时-早班-休息不计费-含加班-Rano（06:00~16:45）</v>
      </c>
      <c r="H755" s="23" t="n">
        <v>0</v>
      </c>
      <c r="I755" s="23" t="n">
        <v>0</v>
      </c>
      <c r="J755" s="23" t="n">
        <f>H755+I755</f>
        <v>0</v>
      </c>
      <c r="K755" s="23" t="n">
        <v>35</v>
      </c>
      <c r="L755" s="23" t="n">
        <v>0</v>
      </c>
      <c r="M755" s="23" t="n">
        <f>MIN(K755,J755)</f>
        <v>0</v>
      </c>
      <c r="N755" s="23" t="n">
        <f>MIN(L755,J755)</f>
        <v>0</v>
      </c>
      <c r="O755" s="25" t="n">
        <f>IF(K755=0,0,MIN(1,J755/K755))</f>
        <v>0</v>
      </c>
      <c r="P755" s="23" t="n">
        <f>IF(J755&gt;0,MAX(K755-J755,0),0)</f>
        <v>0</v>
      </c>
      <c r="Q755" s="23" t="n">
        <f>IF(J755=0,K755,0)</f>
        <v>35</v>
      </c>
      <c r="R755" s="23" t="n">
        <f>MAX(J755-K755,0)</f>
        <v>0</v>
      </c>
      <c r="S755" s="23" t="n">
        <f>IF(J755&gt;0,MAX(L755-J755,0),L755)</f>
        <v>0</v>
      </c>
    </row>
    <row r="756">
      <c r="A756" s="19" t="str">
        <v>波兰区</v>
      </c>
      <c r="B756" s="19" t="str">
        <v>弗罗茨瓦夫5号仓(TEMU)</v>
      </c>
      <c r="C756" s="19" t="str">
        <v>B班组</v>
      </c>
      <c r="D756" s="21" t="n">
        <v>46170</v>
      </c>
      <c r="E756" s="19" t="str">
        <v>2026-05</v>
      </c>
      <c r="F756" s="19" t="str">
        <v>操作员</v>
      </c>
      <c r="G756" s="19" t="str">
        <v>10.5小时-早班-休息不计费-含加班-Rano（06:00~16:45）</v>
      </c>
      <c r="H756" s="23" t="n">
        <v>53</v>
      </c>
      <c r="I756" s="23" t="n">
        <v>0</v>
      </c>
      <c r="J756" s="23" t="n">
        <f>H756+I756</f>
        <v>53</v>
      </c>
      <c r="K756" s="23" t="n">
        <v>23</v>
      </c>
      <c r="L756" s="23" t="n">
        <v>0</v>
      </c>
      <c r="M756" s="23" t="n">
        <f>MIN(K756,J756)</f>
        <v>23</v>
      </c>
      <c r="N756" s="23" t="n">
        <f>MIN(L756,J756)</f>
        <v>0</v>
      </c>
      <c r="O756" s="25" t="n">
        <f>IF(K756=0,0,MIN(1,J756/K756))</f>
        <v>1</v>
      </c>
      <c r="P756" s="23" t="n">
        <f>IF(J756&gt;0,MAX(K756-J756,0),0)</f>
        <v>0</v>
      </c>
      <c r="Q756" s="23" t="n">
        <f>IF(J756=0,K756,0)</f>
        <v>0</v>
      </c>
      <c r="R756" s="23" t="n">
        <f>MAX(J756-K756,0)</f>
        <v>30</v>
      </c>
      <c r="S756" s="23" t="n">
        <f>IF(J756&gt;0,MAX(L756-J756,0),L756)</f>
        <v>0</v>
      </c>
    </row>
    <row r="757">
      <c r="A757" s="19" t="str">
        <v>波兰区</v>
      </c>
      <c r="B757" s="19" t="str">
        <v>弗罗茨瓦夫5号仓(TEMU)</v>
      </c>
      <c r="C757" s="19" t="str">
        <v>B班组</v>
      </c>
      <c r="D757" s="21" t="n">
        <v>46178</v>
      </c>
      <c r="E757" s="19" t="str">
        <v>2026-06</v>
      </c>
      <c r="F757" s="19" t="str">
        <v>操作员</v>
      </c>
      <c r="G757" s="19" t="str">
        <v>10.5小时-晚班-休息不计费-含加班-NOC（18:00~04:45）</v>
      </c>
      <c r="H757" s="23" t="n">
        <v>33</v>
      </c>
      <c r="I757" s="23" t="n">
        <v>0</v>
      </c>
      <c r="J757" s="23" t="n">
        <f>H757+I757</f>
        <v>33</v>
      </c>
      <c r="K757" s="23" t="n">
        <v>0</v>
      </c>
      <c r="L757" s="23" t="n">
        <v>0</v>
      </c>
      <c r="M757" s="23" t="n">
        <f>MIN(K757,J757)</f>
        <v>0</v>
      </c>
      <c r="N757" s="23" t="n">
        <f>MIN(L757,J757)</f>
        <v>0</v>
      </c>
      <c r="O757" s="25" t="n">
        <f>IF(K757=0,0,MIN(1,J757/K757))</f>
        <v>0</v>
      </c>
      <c r="P757" s="23" t="n">
        <f>IF(J757&gt;0,MAX(K757-J757,0),0)</f>
        <v>0</v>
      </c>
      <c r="Q757" s="23" t="n">
        <f>IF(J757=0,K757,0)</f>
        <v>0</v>
      </c>
      <c r="R757" s="23" t="n">
        <f>MAX(J757-K757,0)</f>
        <v>33</v>
      </c>
      <c r="S757" s="23" t="n">
        <f>IF(J757&gt;0,MAX(L757-J757,0),L757)</f>
        <v>0</v>
      </c>
    </row>
    <row r="758">
      <c r="A758" s="19" t="str">
        <v>波兰区</v>
      </c>
      <c r="B758" s="19" t="str">
        <v>弗罗茨瓦夫5号仓(TEMU)</v>
      </c>
      <c r="C758" s="19" t="str">
        <v>B班组</v>
      </c>
      <c r="D758" s="21" t="n">
        <v>46181</v>
      </c>
      <c r="E758" s="19" t="str">
        <v>2026-06</v>
      </c>
      <c r="F758" s="19" t="str">
        <v>操作员</v>
      </c>
      <c r="G758" s="19" t="str">
        <v>10.5小时-晚班-休息不计费-含加班-NOC（18:00~04:45）</v>
      </c>
      <c r="H758" s="23" t="n">
        <v>30</v>
      </c>
      <c r="I758" s="23" t="n">
        <v>0</v>
      </c>
      <c r="J758" s="23" t="n">
        <f>H758+I758</f>
        <v>30</v>
      </c>
      <c r="K758" s="23" t="n">
        <v>0</v>
      </c>
      <c r="L758" s="23" t="n">
        <v>0</v>
      </c>
      <c r="M758" s="23" t="n">
        <f>MIN(K758,J758)</f>
        <v>0</v>
      </c>
      <c r="N758" s="23" t="n">
        <f>MIN(L758,J758)</f>
        <v>0</v>
      </c>
      <c r="O758" s="25" t="n">
        <f>IF(K758=0,0,MIN(1,J758/K758))</f>
        <v>0</v>
      </c>
      <c r="P758" s="23" t="n">
        <f>IF(J758&gt;0,MAX(K758-J758,0),0)</f>
        <v>0</v>
      </c>
      <c r="Q758" s="23" t="n">
        <f>IF(J758=0,K758,0)</f>
        <v>0</v>
      </c>
      <c r="R758" s="23" t="n">
        <f>MAX(J758-K758,0)</f>
        <v>30</v>
      </c>
      <c r="S758" s="23" t="n">
        <f>IF(J758&gt;0,MAX(L758-J758,0),L758)</f>
        <v>0</v>
      </c>
    </row>
    <row r="759">
      <c r="A759" s="19" t="str">
        <v>波兰区</v>
      </c>
      <c r="B759" s="19" t="str">
        <v>弗罗茨瓦夫5号仓(TEMU)</v>
      </c>
      <c r="C759" s="19" t="str">
        <v>C班组</v>
      </c>
      <c r="D759" s="21" t="n">
        <v>46175</v>
      </c>
      <c r="E759" s="19" t="str">
        <v>2026-06</v>
      </c>
      <c r="F759" s="19" t="str">
        <v>操作员</v>
      </c>
      <c r="G759" s="19" t="str">
        <v>10.5小时-早班-休息不计费-含加班-Rano（06:00~16:45）</v>
      </c>
      <c r="H759" s="23" t="n">
        <v>40</v>
      </c>
      <c r="I759" s="23" t="n">
        <v>0</v>
      </c>
      <c r="J759" s="23" t="n">
        <f>H759+I759</f>
        <v>40</v>
      </c>
      <c r="K759" s="23" t="n">
        <v>0</v>
      </c>
      <c r="L759" s="23" t="n">
        <v>0</v>
      </c>
      <c r="M759" s="23" t="n">
        <f>MIN(K759,J759)</f>
        <v>0</v>
      </c>
      <c r="N759" s="23" t="n">
        <f>MIN(L759,J759)</f>
        <v>0</v>
      </c>
      <c r="O759" s="25" t="n">
        <f>IF(K759=0,0,MIN(1,J759/K759))</f>
        <v>0</v>
      </c>
      <c r="P759" s="23" t="n">
        <f>IF(J759&gt;0,MAX(K759-J759,0),0)</f>
        <v>0</v>
      </c>
      <c r="Q759" s="23" t="n">
        <f>IF(J759=0,K759,0)</f>
        <v>0</v>
      </c>
      <c r="R759" s="23" t="n">
        <f>MAX(J759-K759,0)</f>
        <v>40</v>
      </c>
      <c r="S759" s="23" t="n">
        <f>IF(J759&gt;0,MAX(L759-J759,0),L759)</f>
        <v>0</v>
      </c>
    </row>
    <row r="760">
      <c r="A760" s="19" t="str">
        <v>波兰区</v>
      </c>
      <c r="B760" s="19" t="str">
        <v>弗罗茨瓦夫5号仓(TEMU)</v>
      </c>
      <c r="C760" s="19" t="str">
        <v>C班组</v>
      </c>
      <c r="D760" s="21" t="n">
        <v>46176</v>
      </c>
      <c r="E760" s="19" t="str">
        <v>2026-06</v>
      </c>
      <c r="F760" s="19" t="str">
        <v>操作员</v>
      </c>
      <c r="G760" s="19" t="str">
        <v>10.5小时-早班-休息不计费-含加班-Rano（06:00~16:45）</v>
      </c>
      <c r="H760" s="23" t="n">
        <v>15</v>
      </c>
      <c r="I760" s="23" t="n">
        <v>0</v>
      </c>
      <c r="J760" s="23" t="n">
        <f>H760+I760</f>
        <v>15</v>
      </c>
      <c r="K760" s="23" t="n">
        <v>0</v>
      </c>
      <c r="L760" s="23" t="n">
        <v>0</v>
      </c>
      <c r="M760" s="23" t="n">
        <f>MIN(K760,J760)</f>
        <v>0</v>
      </c>
      <c r="N760" s="23" t="n">
        <f>MIN(L760,J760)</f>
        <v>0</v>
      </c>
      <c r="O760" s="25" t="n">
        <f>IF(K760=0,0,MIN(1,J760/K760))</f>
        <v>0</v>
      </c>
      <c r="P760" s="23" t="n">
        <f>IF(J760&gt;0,MAX(K760-J760,0),0)</f>
        <v>0</v>
      </c>
      <c r="Q760" s="23" t="n">
        <f>IF(J760=0,K760,0)</f>
        <v>0</v>
      </c>
      <c r="R760" s="23" t="n">
        <f>MAX(J760-K760,0)</f>
        <v>15</v>
      </c>
      <c r="S760" s="23" t="n">
        <f>IF(J760&gt;0,MAX(L760-J760,0),L760)</f>
        <v>0</v>
      </c>
    </row>
    <row r="761">
      <c r="A761" s="19" t="str">
        <v>波兰区</v>
      </c>
      <c r="B761" s="19" t="str">
        <v>弗罗茨瓦夫5号仓(TEMU)</v>
      </c>
      <c r="C761" s="19" t="str">
        <v>C班组</v>
      </c>
      <c r="D761" s="21" t="n">
        <v>46183</v>
      </c>
      <c r="E761" s="19" t="str">
        <v>2026-06</v>
      </c>
      <c r="F761" s="19" t="str">
        <v>操作员</v>
      </c>
      <c r="G761" s="19" t="str">
        <v>10.5小时-晚班-休息不计费-含加班-NOC（18:00~04:45）</v>
      </c>
      <c r="H761" s="23" t="n">
        <v>70</v>
      </c>
      <c r="I761" s="23" t="n">
        <v>0</v>
      </c>
      <c r="J761" s="23" t="n">
        <f>H761+I761</f>
        <v>70</v>
      </c>
      <c r="K761" s="23" t="n">
        <v>0</v>
      </c>
      <c r="L761" s="23" t="n">
        <v>0</v>
      </c>
      <c r="M761" s="23" t="n">
        <f>MIN(K761,J761)</f>
        <v>0</v>
      </c>
      <c r="N761" s="23" t="n">
        <f>MIN(L761,J761)</f>
        <v>0</v>
      </c>
      <c r="O761" s="25" t="n">
        <f>IF(K761=0,0,MIN(1,J761/K761))</f>
        <v>0</v>
      </c>
      <c r="P761" s="23" t="n">
        <f>IF(J761&gt;0,MAX(K761-J761,0),0)</f>
        <v>0</v>
      </c>
      <c r="Q761" s="23" t="n">
        <f>IF(J761=0,K761,0)</f>
        <v>0</v>
      </c>
      <c r="R761" s="23" t="n">
        <f>MAX(J761-K761,0)</f>
        <v>70</v>
      </c>
      <c r="S761" s="23" t="n">
        <f>IF(J761&gt;0,MAX(L761-J761,0),L761)</f>
        <v>0</v>
      </c>
    </row>
    <row r="762">
      <c r="A762" s="19" t="str">
        <v>英国区</v>
      </c>
      <c r="B762" s="19" t="str">
        <v>伯明翰15号仓</v>
      </c>
      <c r="C762" s="19" t="str">
        <v>入库组</v>
      </c>
      <c r="D762" s="21" t="n">
        <v>46113</v>
      </c>
      <c r="E762" s="19" t="str">
        <v>2026-04</v>
      </c>
      <c r="F762" s="19" t="str">
        <v>操作员</v>
      </c>
      <c r="G762" s="19" t="str">
        <v>英国区09:00-17:30 / UK 09:00-17:30</v>
      </c>
      <c r="H762" s="23" t="n">
        <v>2</v>
      </c>
      <c r="I762" s="23" t="n">
        <v>0</v>
      </c>
      <c r="J762" s="23" t="n">
        <f>H762+I762</f>
        <v>2</v>
      </c>
      <c r="K762" s="23" t="n">
        <v>2</v>
      </c>
      <c r="L762" s="23" t="n">
        <v>2</v>
      </c>
      <c r="M762" s="23" t="n">
        <f>MIN(K762,J762)</f>
        <v>2</v>
      </c>
      <c r="N762" s="23" t="n">
        <f>MIN(L762,J762)</f>
        <v>2</v>
      </c>
      <c r="O762" s="25" t="n">
        <f>IF(K762=0,0,MIN(1,J762/K762))</f>
        <v>1</v>
      </c>
      <c r="P762" s="23" t="n">
        <f>IF(J762&gt;0,MAX(K762-J762,0),0)</f>
        <v>0</v>
      </c>
      <c r="Q762" s="23" t="n">
        <f>IF(J762=0,K762,0)</f>
        <v>0</v>
      </c>
      <c r="R762" s="23" t="n">
        <f>MAX(J762-K762,0)</f>
        <v>0</v>
      </c>
      <c r="S762" s="23" t="n">
        <f>IF(J762&gt;0,MAX(L762-J762,0),L762)</f>
        <v>0</v>
      </c>
    </row>
    <row r="763">
      <c r="A763" s="19" t="str">
        <v>英国区</v>
      </c>
      <c r="B763" s="19" t="str">
        <v>伯明翰15号仓</v>
      </c>
      <c r="C763" s="19" t="str">
        <v>入库组</v>
      </c>
      <c r="D763" s="21" t="n">
        <v>46113</v>
      </c>
      <c r="E763" s="19" t="str">
        <v>2026-04</v>
      </c>
      <c r="F763" s="19" t="str">
        <v>操作员</v>
      </c>
      <c r="G763" s="19" t="str">
        <v>英国区15:00-00:30 / UK 15:00-00:30</v>
      </c>
      <c r="H763" s="23" t="n">
        <v>5</v>
      </c>
      <c r="I763" s="23" t="n">
        <v>0</v>
      </c>
      <c r="J763" s="23" t="n">
        <f>H763+I763</f>
        <v>5</v>
      </c>
      <c r="K763" s="23" t="n">
        <v>5</v>
      </c>
      <c r="L763" s="23" t="n">
        <v>5</v>
      </c>
      <c r="M763" s="23" t="n">
        <f>MIN(K763,J763)</f>
        <v>5</v>
      </c>
      <c r="N763" s="23" t="n">
        <f>MIN(L763,J763)</f>
        <v>5</v>
      </c>
      <c r="O763" s="25" t="n">
        <f>IF(K763=0,0,MIN(1,J763/K763))</f>
        <v>1</v>
      </c>
      <c r="P763" s="23" t="n">
        <f>IF(J763&gt;0,MAX(K763-J763,0),0)</f>
        <v>0</v>
      </c>
      <c r="Q763" s="23" t="n">
        <f>IF(J763=0,K763,0)</f>
        <v>0</v>
      </c>
      <c r="R763" s="23" t="n">
        <f>MAX(J763-K763,0)</f>
        <v>0</v>
      </c>
      <c r="S763" s="23" t="n">
        <f>IF(J763&gt;0,MAX(L763-J763,0),L763)</f>
        <v>0</v>
      </c>
    </row>
    <row r="764">
      <c r="A764" s="19" t="str">
        <v>英国区</v>
      </c>
      <c r="B764" s="19" t="str">
        <v>伯明翰15号仓</v>
      </c>
      <c r="C764" s="19" t="str">
        <v>入库组</v>
      </c>
      <c r="D764" s="21" t="n">
        <v>46114</v>
      </c>
      <c r="E764" s="19" t="str">
        <v>2026-04</v>
      </c>
      <c r="F764" s="19" t="str">
        <v>操作员</v>
      </c>
      <c r="G764" s="19" t="str">
        <v>英国区08:00-16:30 / UK 08:00-16:30</v>
      </c>
      <c r="H764" s="23" t="n">
        <v>2</v>
      </c>
      <c r="I764" s="23" t="n">
        <v>0</v>
      </c>
      <c r="J764" s="23" t="n">
        <f>H764+I764</f>
        <v>2</v>
      </c>
      <c r="K764" s="23" t="n">
        <v>2</v>
      </c>
      <c r="L764" s="23" t="n">
        <v>2</v>
      </c>
      <c r="M764" s="23" t="n">
        <f>MIN(K764,J764)</f>
        <v>2</v>
      </c>
      <c r="N764" s="23" t="n">
        <f>MIN(L764,J764)</f>
        <v>2</v>
      </c>
      <c r="O764" s="25" t="n">
        <f>IF(K764=0,0,MIN(1,J764/K764))</f>
        <v>1</v>
      </c>
      <c r="P764" s="23" t="n">
        <f>IF(J764&gt;0,MAX(K764-J764,0),0)</f>
        <v>0</v>
      </c>
      <c r="Q764" s="23" t="n">
        <f>IF(J764=0,K764,0)</f>
        <v>0</v>
      </c>
      <c r="R764" s="23" t="n">
        <f>MAX(J764-K764,0)</f>
        <v>0</v>
      </c>
      <c r="S764" s="23" t="n">
        <f>IF(J764&gt;0,MAX(L764-J764,0),L764)</f>
        <v>0</v>
      </c>
    </row>
    <row r="765">
      <c r="A765" s="19" t="str">
        <v>英国区</v>
      </c>
      <c r="B765" s="19" t="str">
        <v>伯明翰15号仓</v>
      </c>
      <c r="C765" s="19" t="str">
        <v>入库组</v>
      </c>
      <c r="D765" s="21" t="n">
        <v>46114</v>
      </c>
      <c r="E765" s="19" t="str">
        <v>2026-04</v>
      </c>
      <c r="F765" s="19" t="str">
        <v>操作员</v>
      </c>
      <c r="G765" s="19" t="str">
        <v>英国区09:00-17:30 / UK 09:00-17:30</v>
      </c>
      <c r="H765" s="23" t="n">
        <v>2</v>
      </c>
      <c r="I765" s="23" t="n">
        <v>0</v>
      </c>
      <c r="J765" s="23" t="n">
        <f>H765+I765</f>
        <v>2</v>
      </c>
      <c r="K765" s="23" t="n">
        <v>2</v>
      </c>
      <c r="L765" s="23" t="n">
        <v>2</v>
      </c>
      <c r="M765" s="23" t="n">
        <f>MIN(K765,J765)</f>
        <v>2</v>
      </c>
      <c r="N765" s="23" t="n">
        <f>MIN(L765,J765)</f>
        <v>2</v>
      </c>
      <c r="O765" s="25" t="n">
        <f>IF(K765=0,0,MIN(1,J765/K765))</f>
        <v>1</v>
      </c>
      <c r="P765" s="23" t="n">
        <f>IF(J765&gt;0,MAX(K765-J765,0),0)</f>
        <v>0</v>
      </c>
      <c r="Q765" s="23" t="n">
        <f>IF(J765=0,K765,0)</f>
        <v>0</v>
      </c>
      <c r="R765" s="23" t="n">
        <f>MAX(J765-K765,0)</f>
        <v>0</v>
      </c>
      <c r="S765" s="23" t="n">
        <f>IF(J765&gt;0,MAX(L765-J765,0),L765)</f>
        <v>0</v>
      </c>
    </row>
    <row r="766">
      <c r="A766" s="19" t="str">
        <v>英国区</v>
      </c>
      <c r="B766" s="19" t="str">
        <v>伯明翰15号仓</v>
      </c>
      <c r="C766" s="19" t="str">
        <v>入库组</v>
      </c>
      <c r="D766" s="21" t="n">
        <v>46114</v>
      </c>
      <c r="E766" s="19" t="str">
        <v>2026-04</v>
      </c>
      <c r="F766" s="19" t="str">
        <v>操作员</v>
      </c>
      <c r="G766" s="19" t="str">
        <v>英国区11:00-19:30 / UK 11:00-19:30</v>
      </c>
      <c r="H766" s="23" t="n">
        <v>5</v>
      </c>
      <c r="I766" s="23" t="n">
        <v>0</v>
      </c>
      <c r="J766" s="23" t="n">
        <f>H766+I766</f>
        <v>5</v>
      </c>
      <c r="K766" s="23" t="n">
        <v>5</v>
      </c>
      <c r="L766" s="23" t="n">
        <v>4</v>
      </c>
      <c r="M766" s="23" t="n">
        <f>MIN(K766,J766)</f>
        <v>5</v>
      </c>
      <c r="N766" s="23" t="n">
        <f>MIN(L766,J766)</f>
        <v>4</v>
      </c>
      <c r="O766" s="25" t="n">
        <f>IF(K766=0,0,MIN(1,J766/K766))</f>
        <v>1</v>
      </c>
      <c r="P766" s="23" t="n">
        <f>IF(J766&gt;0,MAX(K766-J766,0),0)</f>
        <v>0</v>
      </c>
      <c r="Q766" s="23" t="n">
        <f>IF(J766=0,K766,0)</f>
        <v>0</v>
      </c>
      <c r="R766" s="23" t="n">
        <f>MAX(J766-K766,0)</f>
        <v>0</v>
      </c>
      <c r="S766" s="23" t="n">
        <f>IF(J766&gt;0,MAX(L766-J766,0),L766)</f>
        <v>0</v>
      </c>
    </row>
    <row r="767">
      <c r="A767" s="19" t="str">
        <v>英国区</v>
      </c>
      <c r="B767" s="19" t="str">
        <v>伯明翰15号仓</v>
      </c>
      <c r="C767" s="19" t="str">
        <v>入库组</v>
      </c>
      <c r="D767" s="21" t="n">
        <v>46114</v>
      </c>
      <c r="E767" s="19" t="str">
        <v>2026-04</v>
      </c>
      <c r="F767" s="19" t="str">
        <v>操作员</v>
      </c>
      <c r="G767" s="19" t="str">
        <v>英国区15:00-00:30 / UK 15:00-00:30</v>
      </c>
      <c r="H767" s="23" t="n">
        <v>1</v>
      </c>
      <c r="I767" s="23" t="n">
        <v>0</v>
      </c>
      <c r="J767" s="23" t="n">
        <f>H767+I767</f>
        <v>1</v>
      </c>
      <c r="K767" s="23" t="n">
        <v>1</v>
      </c>
      <c r="L767" s="23" t="n">
        <v>1</v>
      </c>
      <c r="M767" s="23" t="n">
        <f>MIN(K767,J767)</f>
        <v>1</v>
      </c>
      <c r="N767" s="23" t="n">
        <f>MIN(L767,J767)</f>
        <v>1</v>
      </c>
      <c r="O767" s="25" t="n">
        <f>IF(K767=0,0,MIN(1,J767/K767))</f>
        <v>1</v>
      </c>
      <c r="P767" s="23" t="n">
        <f>IF(J767&gt;0,MAX(K767-J767,0),0)</f>
        <v>0</v>
      </c>
      <c r="Q767" s="23" t="n">
        <f>IF(J767=0,K767,0)</f>
        <v>0</v>
      </c>
      <c r="R767" s="23" t="n">
        <f>MAX(J767-K767,0)</f>
        <v>0</v>
      </c>
      <c r="S767" s="23" t="n">
        <f>IF(J767&gt;0,MAX(L767-J767,0),L767)</f>
        <v>0</v>
      </c>
    </row>
    <row r="768">
      <c r="A768" s="19" t="str">
        <v>英国区</v>
      </c>
      <c r="B768" s="19" t="str">
        <v>伯明翰15号仓</v>
      </c>
      <c r="C768" s="19" t="str">
        <v>入库组</v>
      </c>
      <c r="D768" s="21" t="n">
        <v>46119</v>
      </c>
      <c r="E768" s="19" t="str">
        <v>2026-04</v>
      </c>
      <c r="F768" s="19" t="str">
        <v>操作员</v>
      </c>
      <c r="G768" s="19" t="str">
        <v>英国区09:00-17:30 / UK 09:00-17:30</v>
      </c>
      <c r="H768" s="23" t="n">
        <v>2</v>
      </c>
      <c r="I768" s="23" t="n">
        <v>0</v>
      </c>
      <c r="J768" s="23" t="n">
        <f>H768+I768</f>
        <v>2</v>
      </c>
      <c r="K768" s="23" t="n">
        <v>2</v>
      </c>
      <c r="L768" s="23" t="n">
        <v>2</v>
      </c>
      <c r="M768" s="23" t="n">
        <f>MIN(K768,J768)</f>
        <v>2</v>
      </c>
      <c r="N768" s="23" t="n">
        <f>MIN(L768,J768)</f>
        <v>2</v>
      </c>
      <c r="O768" s="25" t="n">
        <f>IF(K768=0,0,MIN(1,J768/K768))</f>
        <v>1</v>
      </c>
      <c r="P768" s="23" t="n">
        <f>IF(J768&gt;0,MAX(K768-J768,0),0)</f>
        <v>0</v>
      </c>
      <c r="Q768" s="23" t="n">
        <f>IF(J768=0,K768,0)</f>
        <v>0</v>
      </c>
      <c r="R768" s="23" t="n">
        <f>MAX(J768-K768,0)</f>
        <v>0</v>
      </c>
      <c r="S768" s="23" t="n">
        <f>IF(J768&gt;0,MAX(L768-J768,0),L768)</f>
        <v>0</v>
      </c>
    </row>
    <row r="769">
      <c r="A769" s="19" t="str">
        <v>英国区</v>
      </c>
      <c r="B769" s="19" t="str">
        <v>伯明翰15号仓</v>
      </c>
      <c r="C769" s="19" t="str">
        <v>入库组</v>
      </c>
      <c r="D769" s="21" t="n">
        <v>46120</v>
      </c>
      <c r="E769" s="19" t="str">
        <v>2026-04</v>
      </c>
      <c r="F769" s="19" t="str">
        <v>操作员</v>
      </c>
      <c r="G769" s="19" t="str">
        <v>英国区08:00-16:30 / UK 08:00-16:30</v>
      </c>
      <c r="H769" s="23" t="n">
        <v>1</v>
      </c>
      <c r="I769" s="23" t="n">
        <v>0</v>
      </c>
      <c r="J769" s="23" t="n">
        <f>H769+I769</f>
        <v>1</v>
      </c>
      <c r="K769" s="23" t="n">
        <v>1</v>
      </c>
      <c r="L769" s="23" t="n">
        <v>1</v>
      </c>
      <c r="M769" s="23" t="n">
        <f>MIN(K769,J769)</f>
        <v>1</v>
      </c>
      <c r="N769" s="23" t="n">
        <f>MIN(L769,J769)</f>
        <v>1</v>
      </c>
      <c r="O769" s="25" t="n">
        <f>IF(K769=0,0,MIN(1,J769/K769))</f>
        <v>1</v>
      </c>
      <c r="P769" s="23" t="n">
        <f>IF(J769&gt;0,MAX(K769-J769,0),0)</f>
        <v>0</v>
      </c>
      <c r="Q769" s="23" t="n">
        <f>IF(J769=0,K769,0)</f>
        <v>0</v>
      </c>
      <c r="R769" s="23" t="n">
        <f>MAX(J769-K769,0)</f>
        <v>0</v>
      </c>
      <c r="S769" s="23" t="n">
        <f>IF(J769&gt;0,MAX(L769-J769,0),L769)</f>
        <v>0</v>
      </c>
    </row>
    <row r="770">
      <c r="A770" s="19" t="str">
        <v>英国区</v>
      </c>
      <c r="B770" s="19" t="str">
        <v>伯明翰15号仓</v>
      </c>
      <c r="C770" s="19" t="str">
        <v>入库组</v>
      </c>
      <c r="D770" s="21" t="n">
        <v>46120</v>
      </c>
      <c r="E770" s="19" t="str">
        <v>2026-04</v>
      </c>
      <c r="F770" s="19" t="str">
        <v>操作员</v>
      </c>
      <c r="G770" s="19" t="str">
        <v>英国区15:00-00:30 / UK 15:00-00:30</v>
      </c>
      <c r="H770" s="23" t="n">
        <v>1</v>
      </c>
      <c r="I770" s="23" t="n">
        <v>0</v>
      </c>
      <c r="J770" s="23" t="n">
        <f>H770+I770</f>
        <v>1</v>
      </c>
      <c r="K770" s="23" t="n">
        <v>1</v>
      </c>
      <c r="L770" s="23" t="n">
        <v>1</v>
      </c>
      <c r="M770" s="23" t="n">
        <f>MIN(K770,J770)</f>
        <v>1</v>
      </c>
      <c r="N770" s="23" t="n">
        <f>MIN(L770,J770)</f>
        <v>1</v>
      </c>
      <c r="O770" s="25" t="n">
        <f>IF(K770=0,0,MIN(1,J770/K770))</f>
        <v>1</v>
      </c>
      <c r="P770" s="23" t="n">
        <f>IF(J770&gt;0,MAX(K770-J770,0),0)</f>
        <v>0</v>
      </c>
      <c r="Q770" s="23" t="n">
        <f>IF(J770=0,K770,0)</f>
        <v>0</v>
      </c>
      <c r="R770" s="23" t="n">
        <f>MAX(J770-K770,0)</f>
        <v>0</v>
      </c>
      <c r="S770" s="23" t="n">
        <f>IF(J770&gt;0,MAX(L770-J770,0),L770)</f>
        <v>0</v>
      </c>
    </row>
    <row r="771">
      <c r="A771" s="19" t="str">
        <v>英国区</v>
      </c>
      <c r="B771" s="19" t="str">
        <v>伯明翰15号仓</v>
      </c>
      <c r="C771" s="19" t="str">
        <v>入库组</v>
      </c>
      <c r="D771" s="21" t="n">
        <v>46122</v>
      </c>
      <c r="E771" s="19" t="str">
        <v>2026-04</v>
      </c>
      <c r="F771" s="19" t="str">
        <v>操作员</v>
      </c>
      <c r="G771" s="19" t="str">
        <v>英国区08:00-16:30 / UK 08:00-16:30</v>
      </c>
      <c r="H771" s="23" t="n">
        <v>2</v>
      </c>
      <c r="I771" s="23" t="n">
        <v>0</v>
      </c>
      <c r="J771" s="23" t="n">
        <f>H771+I771</f>
        <v>2</v>
      </c>
      <c r="K771" s="23" t="n">
        <v>2</v>
      </c>
      <c r="L771" s="23" t="n">
        <v>2</v>
      </c>
      <c r="M771" s="23" t="n">
        <f>MIN(K771,J771)</f>
        <v>2</v>
      </c>
      <c r="N771" s="23" t="n">
        <f>MIN(L771,J771)</f>
        <v>2</v>
      </c>
      <c r="O771" s="25" t="n">
        <f>IF(K771=0,0,MIN(1,J771/K771))</f>
        <v>1</v>
      </c>
      <c r="P771" s="23" t="n">
        <f>IF(J771&gt;0,MAX(K771-J771,0),0)</f>
        <v>0</v>
      </c>
      <c r="Q771" s="23" t="n">
        <f>IF(J771=0,K771,0)</f>
        <v>0</v>
      </c>
      <c r="R771" s="23" t="n">
        <f>MAX(J771-K771,0)</f>
        <v>0</v>
      </c>
      <c r="S771" s="23" t="n">
        <f>IF(J771&gt;0,MAX(L771-J771,0),L771)</f>
        <v>0</v>
      </c>
    </row>
    <row r="772">
      <c r="A772" s="19" t="str">
        <v>英国区</v>
      </c>
      <c r="B772" s="19" t="str">
        <v>伯明翰15号仓</v>
      </c>
      <c r="C772" s="19" t="str">
        <v>入库组</v>
      </c>
      <c r="D772" s="21" t="n">
        <v>46125</v>
      </c>
      <c r="E772" s="19" t="str">
        <v>2026-04</v>
      </c>
      <c r="F772" s="19" t="str">
        <v>操作员</v>
      </c>
      <c r="G772" s="19" t="str">
        <v>英国区08:00-16:30 / UK 08:00-16:30</v>
      </c>
      <c r="H772" s="23" t="n">
        <v>2</v>
      </c>
      <c r="I772" s="23" t="n">
        <v>0</v>
      </c>
      <c r="J772" s="23" t="n">
        <f>H772+I772</f>
        <v>2</v>
      </c>
      <c r="K772" s="23" t="n">
        <v>2</v>
      </c>
      <c r="L772" s="23" t="n">
        <v>2</v>
      </c>
      <c r="M772" s="23" t="n">
        <f>MIN(K772,J772)</f>
        <v>2</v>
      </c>
      <c r="N772" s="23" t="n">
        <f>MIN(L772,J772)</f>
        <v>2</v>
      </c>
      <c r="O772" s="25" t="n">
        <f>IF(K772=0,0,MIN(1,J772/K772))</f>
        <v>1</v>
      </c>
      <c r="P772" s="23" t="n">
        <f>IF(J772&gt;0,MAX(K772-J772,0),0)</f>
        <v>0</v>
      </c>
      <c r="Q772" s="23" t="n">
        <f>IF(J772=0,K772,0)</f>
        <v>0</v>
      </c>
      <c r="R772" s="23" t="n">
        <f>MAX(J772-K772,0)</f>
        <v>0</v>
      </c>
      <c r="S772" s="23" t="n">
        <f>IF(J772&gt;0,MAX(L772-J772,0),L772)</f>
        <v>0</v>
      </c>
    </row>
    <row r="773">
      <c r="A773" s="19" t="str">
        <v>英国区</v>
      </c>
      <c r="B773" s="19" t="str">
        <v>伯明翰15号仓</v>
      </c>
      <c r="C773" s="19" t="str">
        <v>入库组</v>
      </c>
      <c r="D773" s="21" t="n">
        <v>46125</v>
      </c>
      <c r="E773" s="19" t="str">
        <v>2026-04</v>
      </c>
      <c r="F773" s="19" t="str">
        <v>操作员</v>
      </c>
      <c r="G773" s="19" t="str">
        <v>英国区09:00-17:30 / UK 09:00-17:30</v>
      </c>
      <c r="H773" s="23" t="n">
        <v>2</v>
      </c>
      <c r="I773" s="23" t="n">
        <v>0</v>
      </c>
      <c r="J773" s="23" t="n">
        <f>H773+I773</f>
        <v>2</v>
      </c>
      <c r="K773" s="23" t="n">
        <v>2</v>
      </c>
      <c r="L773" s="23" t="n">
        <v>2</v>
      </c>
      <c r="M773" s="23" t="n">
        <f>MIN(K773,J773)</f>
        <v>2</v>
      </c>
      <c r="N773" s="23" t="n">
        <f>MIN(L773,J773)</f>
        <v>2</v>
      </c>
      <c r="O773" s="25" t="n">
        <f>IF(K773=0,0,MIN(1,J773/K773))</f>
        <v>1</v>
      </c>
      <c r="P773" s="23" t="n">
        <f>IF(J773&gt;0,MAX(K773-J773,0),0)</f>
        <v>0</v>
      </c>
      <c r="Q773" s="23" t="n">
        <f>IF(J773=0,K773,0)</f>
        <v>0</v>
      </c>
      <c r="R773" s="23" t="n">
        <f>MAX(J773-K773,0)</f>
        <v>0</v>
      </c>
      <c r="S773" s="23" t="n">
        <f>IF(J773&gt;0,MAX(L773-J773,0),L773)</f>
        <v>0</v>
      </c>
    </row>
    <row r="774">
      <c r="A774" s="19" t="str">
        <v>英国区</v>
      </c>
      <c r="B774" s="19" t="str">
        <v>伯明翰15号仓</v>
      </c>
      <c r="C774" s="19" t="str">
        <v>入库组</v>
      </c>
      <c r="D774" s="21" t="n">
        <v>46125</v>
      </c>
      <c r="E774" s="19" t="str">
        <v>2026-04</v>
      </c>
      <c r="F774" s="19" t="str">
        <v>操作员</v>
      </c>
      <c r="G774" s="19" t="str">
        <v>英国区15:00-00:30 / UK 15:00-00:30</v>
      </c>
      <c r="H774" s="23" t="n">
        <v>2</v>
      </c>
      <c r="I774" s="23" t="n">
        <v>0</v>
      </c>
      <c r="J774" s="23" t="n">
        <f>H774+I774</f>
        <v>2</v>
      </c>
      <c r="K774" s="23" t="n">
        <v>2</v>
      </c>
      <c r="L774" s="23" t="n">
        <v>2</v>
      </c>
      <c r="M774" s="23" t="n">
        <f>MIN(K774,J774)</f>
        <v>2</v>
      </c>
      <c r="N774" s="23" t="n">
        <f>MIN(L774,J774)</f>
        <v>2</v>
      </c>
      <c r="O774" s="25" t="n">
        <f>IF(K774=0,0,MIN(1,J774/K774))</f>
        <v>1</v>
      </c>
      <c r="P774" s="23" t="n">
        <f>IF(J774&gt;0,MAX(K774-J774,0),0)</f>
        <v>0</v>
      </c>
      <c r="Q774" s="23" t="n">
        <f>IF(J774=0,K774,0)</f>
        <v>0</v>
      </c>
      <c r="R774" s="23" t="n">
        <f>MAX(J774-K774,0)</f>
        <v>0</v>
      </c>
      <c r="S774" s="23" t="n">
        <f>IF(J774&gt;0,MAX(L774-J774,0),L774)</f>
        <v>0</v>
      </c>
    </row>
    <row r="775">
      <c r="A775" s="19" t="str">
        <v>英国区</v>
      </c>
      <c r="B775" s="19" t="str">
        <v>伯明翰15号仓</v>
      </c>
      <c r="C775" s="19" t="str">
        <v>入库组</v>
      </c>
      <c r="D775" s="21" t="n">
        <v>46126</v>
      </c>
      <c r="E775" s="19" t="str">
        <v>2026-04</v>
      </c>
      <c r="F775" s="19" t="str">
        <v>操作员</v>
      </c>
      <c r="G775" s="19" t="str">
        <v>英国区09:00-17:30 / UK 09:00-17:30</v>
      </c>
      <c r="H775" s="23" t="n">
        <v>1</v>
      </c>
      <c r="I775" s="23" t="n">
        <v>0</v>
      </c>
      <c r="J775" s="23" t="n">
        <f>H775+I775</f>
        <v>1</v>
      </c>
      <c r="K775" s="23" t="n">
        <v>1</v>
      </c>
      <c r="L775" s="23" t="n">
        <v>1</v>
      </c>
      <c r="M775" s="23" t="n">
        <f>MIN(K775,J775)</f>
        <v>1</v>
      </c>
      <c r="N775" s="23" t="n">
        <f>MIN(L775,J775)</f>
        <v>1</v>
      </c>
      <c r="O775" s="25" t="n">
        <f>IF(K775=0,0,MIN(1,J775/K775))</f>
        <v>1</v>
      </c>
      <c r="P775" s="23" t="n">
        <f>IF(J775&gt;0,MAX(K775-J775,0),0)</f>
        <v>0</v>
      </c>
      <c r="Q775" s="23" t="n">
        <f>IF(J775=0,K775,0)</f>
        <v>0</v>
      </c>
      <c r="R775" s="23" t="n">
        <f>MAX(J775-K775,0)</f>
        <v>0</v>
      </c>
      <c r="S775" s="23" t="n">
        <f>IF(J775&gt;0,MAX(L775-J775,0),L775)</f>
        <v>0</v>
      </c>
    </row>
    <row r="776">
      <c r="A776" s="19" t="str">
        <v>英国区</v>
      </c>
      <c r="B776" s="19" t="str">
        <v>伯明翰15号仓</v>
      </c>
      <c r="C776" s="19" t="str">
        <v>入库组</v>
      </c>
      <c r="D776" s="21" t="n">
        <v>46156</v>
      </c>
      <c r="E776" s="19" t="str">
        <v>2026-05</v>
      </c>
      <c r="F776" s="19" t="str">
        <v>操作员</v>
      </c>
      <c r="G776" s="19" t="str">
        <v>英国区08:00-16:30 / UK 08:00-16:30</v>
      </c>
      <c r="H776" s="23" t="n">
        <v>1</v>
      </c>
      <c r="I776" s="23" t="n">
        <v>0</v>
      </c>
      <c r="J776" s="23" t="n">
        <f>H776+I776</f>
        <v>1</v>
      </c>
      <c r="K776" s="23" t="n">
        <v>1</v>
      </c>
      <c r="L776" s="23" t="n">
        <v>1</v>
      </c>
      <c r="M776" s="23" t="n">
        <f>MIN(K776,J776)</f>
        <v>1</v>
      </c>
      <c r="N776" s="23" t="n">
        <f>MIN(L776,J776)</f>
        <v>1</v>
      </c>
      <c r="O776" s="25" t="n">
        <f>IF(K776=0,0,MIN(1,J776/K776))</f>
        <v>1</v>
      </c>
      <c r="P776" s="23" t="n">
        <f>IF(J776&gt;0,MAX(K776-J776,0),0)</f>
        <v>0</v>
      </c>
      <c r="Q776" s="23" t="n">
        <f>IF(J776=0,K776,0)</f>
        <v>0</v>
      </c>
      <c r="R776" s="23" t="n">
        <f>MAX(J776-K776,0)</f>
        <v>0</v>
      </c>
      <c r="S776" s="23" t="n">
        <f>IF(J776&gt;0,MAX(L776-J776,0),L776)</f>
        <v>0</v>
      </c>
    </row>
    <row r="777">
      <c r="A777" s="19" t="str">
        <v>英国区</v>
      </c>
      <c r="B777" s="19" t="str">
        <v>伯明翰15号仓</v>
      </c>
      <c r="C777" s="19" t="str">
        <v>入库组</v>
      </c>
      <c r="D777" s="21" t="n">
        <v>46156</v>
      </c>
      <c r="E777" s="19" t="str">
        <v>2026-05</v>
      </c>
      <c r="F777" s="19" t="str">
        <v>操作员</v>
      </c>
      <c r="G777" s="19" t="str">
        <v>英国区11:00-19:30 / UK 11:00-19:30</v>
      </c>
      <c r="H777" s="23" t="n">
        <v>1</v>
      </c>
      <c r="I777" s="23" t="n">
        <v>0</v>
      </c>
      <c r="J777" s="23" t="n">
        <f>H777+I777</f>
        <v>1</v>
      </c>
      <c r="K777" s="23" t="n">
        <v>1</v>
      </c>
      <c r="L777" s="23" t="n">
        <v>1</v>
      </c>
      <c r="M777" s="23" t="n">
        <f>MIN(K777,J777)</f>
        <v>1</v>
      </c>
      <c r="N777" s="23" t="n">
        <f>MIN(L777,J777)</f>
        <v>1</v>
      </c>
      <c r="O777" s="25" t="n">
        <f>IF(K777=0,0,MIN(1,J777/K777))</f>
        <v>1</v>
      </c>
      <c r="P777" s="23" t="n">
        <f>IF(J777&gt;0,MAX(K777-J777,0),0)</f>
        <v>0</v>
      </c>
      <c r="Q777" s="23" t="n">
        <f>IF(J777=0,K777,0)</f>
        <v>0</v>
      </c>
      <c r="R777" s="23" t="n">
        <f>MAX(J777-K777,0)</f>
        <v>0</v>
      </c>
      <c r="S777" s="23" t="n">
        <f>IF(J777&gt;0,MAX(L777-J777,0),L777)</f>
        <v>0</v>
      </c>
    </row>
    <row r="778">
      <c r="A778" s="19" t="str">
        <v>英国区</v>
      </c>
      <c r="B778" s="19" t="str">
        <v>伯明翰15号仓</v>
      </c>
      <c r="C778" s="19" t="str">
        <v>入库组</v>
      </c>
      <c r="D778" s="21" t="n">
        <v>46157</v>
      </c>
      <c r="E778" s="19" t="str">
        <v>2026-05</v>
      </c>
      <c r="F778" s="19" t="str">
        <v>操作员</v>
      </c>
      <c r="G778" s="19" t="str">
        <v>英国区08:00-16:30 / UK 08:00-16:30</v>
      </c>
      <c r="H778" s="23" t="n">
        <v>4</v>
      </c>
      <c r="I778" s="23" t="n">
        <v>0</v>
      </c>
      <c r="J778" s="23" t="n">
        <f>H778+I778</f>
        <v>4</v>
      </c>
      <c r="K778" s="23" t="n">
        <v>4</v>
      </c>
      <c r="L778" s="23" t="n">
        <v>4</v>
      </c>
      <c r="M778" s="23" t="n">
        <f>MIN(K778,J778)</f>
        <v>4</v>
      </c>
      <c r="N778" s="23" t="n">
        <f>MIN(L778,J778)</f>
        <v>4</v>
      </c>
      <c r="O778" s="25" t="n">
        <f>IF(K778=0,0,MIN(1,J778/K778))</f>
        <v>1</v>
      </c>
      <c r="P778" s="23" t="n">
        <f>IF(J778&gt;0,MAX(K778-J778,0),0)</f>
        <v>0</v>
      </c>
      <c r="Q778" s="23" t="n">
        <f>IF(J778=0,K778,0)</f>
        <v>0</v>
      </c>
      <c r="R778" s="23" t="n">
        <f>MAX(J778-K778,0)</f>
        <v>0</v>
      </c>
      <c r="S778" s="23" t="n">
        <f>IF(J778&gt;0,MAX(L778-J778,0),L778)</f>
        <v>0</v>
      </c>
    </row>
    <row r="779">
      <c r="A779" s="19" t="str">
        <v>英国区</v>
      </c>
      <c r="B779" s="19" t="str">
        <v>伯明翰15号仓</v>
      </c>
      <c r="C779" s="19" t="str">
        <v>入库组</v>
      </c>
      <c r="D779" s="21" t="n">
        <v>46157</v>
      </c>
      <c r="E779" s="19" t="str">
        <v>2026-05</v>
      </c>
      <c r="F779" s="19" t="str">
        <v>操作员</v>
      </c>
      <c r="G779" s="19" t="str">
        <v>英国区11:00-19:30 / UK 11:00-19:30</v>
      </c>
      <c r="H779" s="23" t="n">
        <v>1</v>
      </c>
      <c r="I779" s="23" t="n">
        <v>0</v>
      </c>
      <c r="J779" s="23" t="n">
        <f>H779+I779</f>
        <v>1</v>
      </c>
      <c r="K779" s="23" t="n">
        <v>1</v>
      </c>
      <c r="L779" s="23" t="n">
        <v>1</v>
      </c>
      <c r="M779" s="23" t="n">
        <f>MIN(K779,J779)</f>
        <v>1</v>
      </c>
      <c r="N779" s="23" t="n">
        <f>MIN(L779,J779)</f>
        <v>1</v>
      </c>
      <c r="O779" s="25" t="n">
        <f>IF(K779=0,0,MIN(1,J779/K779))</f>
        <v>1</v>
      </c>
      <c r="P779" s="23" t="n">
        <f>IF(J779&gt;0,MAX(K779-J779,0),0)</f>
        <v>0</v>
      </c>
      <c r="Q779" s="23" t="n">
        <f>IF(J779=0,K779,0)</f>
        <v>0</v>
      </c>
      <c r="R779" s="23" t="n">
        <f>MAX(J779-K779,0)</f>
        <v>0</v>
      </c>
      <c r="S779" s="23" t="n">
        <f>IF(J779&gt;0,MAX(L779-J779,0),L779)</f>
        <v>0</v>
      </c>
    </row>
    <row r="780">
      <c r="A780" s="19" t="str">
        <v>英国区</v>
      </c>
      <c r="B780" s="19" t="str">
        <v>伯明翰15号仓</v>
      </c>
      <c r="C780" s="19" t="str">
        <v>入库组</v>
      </c>
      <c r="D780" s="21" t="n">
        <v>46163</v>
      </c>
      <c r="E780" s="19" t="str">
        <v>2026-05</v>
      </c>
      <c r="F780" s="19" t="str">
        <v>操作员</v>
      </c>
      <c r="G780" s="19" t="str">
        <v>英国区08:00-16:30 / UK 08:00-16:30</v>
      </c>
      <c r="H780" s="23" t="n">
        <v>2</v>
      </c>
      <c r="I780" s="23" t="n">
        <v>0</v>
      </c>
      <c r="J780" s="23" t="n">
        <f>H780+I780</f>
        <v>2</v>
      </c>
      <c r="K780" s="23" t="n">
        <v>2</v>
      </c>
      <c r="L780" s="23" t="n">
        <v>2</v>
      </c>
      <c r="M780" s="23" t="n">
        <f>MIN(K780,J780)</f>
        <v>2</v>
      </c>
      <c r="N780" s="23" t="n">
        <f>MIN(L780,J780)</f>
        <v>2</v>
      </c>
      <c r="O780" s="25" t="n">
        <f>IF(K780=0,0,MIN(1,J780/K780))</f>
        <v>1</v>
      </c>
      <c r="P780" s="23" t="n">
        <f>IF(J780&gt;0,MAX(K780-J780,0),0)</f>
        <v>0</v>
      </c>
      <c r="Q780" s="23" t="n">
        <f>IF(J780=0,K780,0)</f>
        <v>0</v>
      </c>
      <c r="R780" s="23" t="n">
        <f>MAX(J780-K780,0)</f>
        <v>0</v>
      </c>
      <c r="S780" s="23" t="n">
        <f>IF(J780&gt;0,MAX(L780-J780,0),L780)</f>
        <v>0</v>
      </c>
    </row>
    <row r="781">
      <c r="A781" s="19" t="str">
        <v>英国区</v>
      </c>
      <c r="B781" s="19" t="str">
        <v>伯明翰15号仓</v>
      </c>
      <c r="C781" s="19" t="str">
        <v>入库组</v>
      </c>
      <c r="D781" s="21" t="n">
        <v>46164</v>
      </c>
      <c r="E781" s="19" t="str">
        <v>2026-05</v>
      </c>
      <c r="F781" s="19" t="str">
        <v>操作员</v>
      </c>
      <c r="G781" s="19" t="str">
        <v>英国区11:00-19:30 / UK 11:00-19:30</v>
      </c>
      <c r="H781" s="23" t="n">
        <v>2</v>
      </c>
      <c r="I781" s="23" t="n">
        <v>0</v>
      </c>
      <c r="J781" s="23" t="n">
        <f>H781+I781</f>
        <v>2</v>
      </c>
      <c r="K781" s="23" t="n">
        <v>2</v>
      </c>
      <c r="L781" s="23" t="n">
        <v>2</v>
      </c>
      <c r="M781" s="23" t="n">
        <f>MIN(K781,J781)</f>
        <v>2</v>
      </c>
      <c r="N781" s="23" t="n">
        <f>MIN(L781,J781)</f>
        <v>2</v>
      </c>
      <c r="O781" s="25" t="n">
        <f>IF(K781=0,0,MIN(1,J781/K781))</f>
        <v>1</v>
      </c>
      <c r="P781" s="23" t="n">
        <f>IF(J781&gt;0,MAX(K781-J781,0),0)</f>
        <v>0</v>
      </c>
      <c r="Q781" s="23" t="n">
        <f>IF(J781=0,K781,0)</f>
        <v>0</v>
      </c>
      <c r="R781" s="23" t="n">
        <f>MAX(J781-K781,0)</f>
        <v>0</v>
      </c>
      <c r="S781" s="23" t="n">
        <f>IF(J781&gt;0,MAX(L781-J781,0),L781)</f>
        <v>0</v>
      </c>
    </row>
    <row r="782">
      <c r="A782" s="19" t="str">
        <v>英国区</v>
      </c>
      <c r="B782" s="19" t="str">
        <v>伯明翰15号仓</v>
      </c>
      <c r="C782" s="19" t="str">
        <v>入库组</v>
      </c>
      <c r="D782" s="21" t="n">
        <v>46165</v>
      </c>
      <c r="E782" s="19" t="str">
        <v>2026-05</v>
      </c>
      <c r="F782" s="19" t="str">
        <v>操作员</v>
      </c>
      <c r="G782" s="19" t="str">
        <v>英国区08:00-16:30 / UK 08:00-16:30</v>
      </c>
      <c r="H782" s="23" t="n">
        <v>2</v>
      </c>
      <c r="I782" s="23" t="n">
        <v>0</v>
      </c>
      <c r="J782" s="23" t="n">
        <f>H782+I782</f>
        <v>2</v>
      </c>
      <c r="K782" s="23" t="n">
        <v>2</v>
      </c>
      <c r="L782" s="23" t="n">
        <v>2</v>
      </c>
      <c r="M782" s="23" t="n">
        <f>MIN(K782,J782)</f>
        <v>2</v>
      </c>
      <c r="N782" s="23" t="n">
        <f>MIN(L782,J782)</f>
        <v>2</v>
      </c>
      <c r="O782" s="25" t="n">
        <f>IF(K782=0,0,MIN(1,J782/K782))</f>
        <v>1</v>
      </c>
      <c r="P782" s="23" t="n">
        <f>IF(J782&gt;0,MAX(K782-J782,0),0)</f>
        <v>0</v>
      </c>
      <c r="Q782" s="23" t="n">
        <f>IF(J782=0,K782,0)</f>
        <v>0</v>
      </c>
      <c r="R782" s="23" t="n">
        <f>MAX(J782-K782,0)</f>
        <v>0</v>
      </c>
      <c r="S782" s="23" t="n">
        <f>IF(J782&gt;0,MAX(L782-J782,0),L782)</f>
        <v>0</v>
      </c>
    </row>
    <row r="783">
      <c r="A783" s="19" t="str">
        <v>英国区</v>
      </c>
      <c r="B783" s="19" t="str">
        <v>伯明翰15号仓</v>
      </c>
      <c r="C783" s="19" t="str">
        <v>入库组</v>
      </c>
      <c r="D783" s="21" t="n">
        <v>46170</v>
      </c>
      <c r="E783" s="19" t="str">
        <v>2026-05</v>
      </c>
      <c r="F783" s="19" t="str">
        <v>操作员</v>
      </c>
      <c r="G783" s="19" t="str">
        <v>英国区08:00-16:30 / UK 08:00-16:30</v>
      </c>
      <c r="H783" s="23" t="n">
        <v>1</v>
      </c>
      <c r="I783" s="23" t="n">
        <v>0</v>
      </c>
      <c r="J783" s="23" t="n">
        <f>H783+I783</f>
        <v>1</v>
      </c>
      <c r="K783" s="23" t="n">
        <v>1</v>
      </c>
      <c r="L783" s="23" t="n">
        <v>1</v>
      </c>
      <c r="M783" s="23" t="n">
        <f>MIN(K783,J783)</f>
        <v>1</v>
      </c>
      <c r="N783" s="23" t="n">
        <f>MIN(L783,J783)</f>
        <v>1</v>
      </c>
      <c r="O783" s="25" t="n">
        <f>IF(K783=0,0,MIN(1,J783/K783))</f>
        <v>1</v>
      </c>
      <c r="P783" s="23" t="n">
        <f>IF(J783&gt;0,MAX(K783-J783,0),0)</f>
        <v>0</v>
      </c>
      <c r="Q783" s="23" t="n">
        <f>IF(J783=0,K783,0)</f>
        <v>0</v>
      </c>
      <c r="R783" s="23" t="n">
        <f>MAX(J783-K783,0)</f>
        <v>0</v>
      </c>
      <c r="S783" s="23" t="n">
        <f>IF(J783&gt;0,MAX(L783-J783,0),L783)</f>
        <v>0</v>
      </c>
    </row>
    <row r="784">
      <c r="A784" s="19" t="str">
        <v>英国区</v>
      </c>
      <c r="B784" s="19" t="str">
        <v>伯明翰15号仓</v>
      </c>
      <c r="C784" s="19" t="str">
        <v>入库组</v>
      </c>
      <c r="D784" s="21" t="n">
        <v>46184</v>
      </c>
      <c r="E784" s="19" t="str">
        <v>2026-06</v>
      </c>
      <c r="F784" s="19" t="str">
        <v>操作员</v>
      </c>
      <c r="G784" s="19" t="str">
        <v>英国区11:00-19:30 / UK 11:00-19:30</v>
      </c>
      <c r="H784" s="23" t="n">
        <v>1</v>
      </c>
      <c r="I784" s="23" t="n">
        <v>0</v>
      </c>
      <c r="J784" s="23" t="n">
        <f>H784+I784</f>
        <v>1</v>
      </c>
      <c r="K784" s="23" t="n">
        <v>1</v>
      </c>
      <c r="L784" s="23" t="n">
        <v>1</v>
      </c>
      <c r="M784" s="23" t="n">
        <f>MIN(K784,J784)</f>
        <v>1</v>
      </c>
      <c r="N784" s="23" t="n">
        <f>MIN(L784,J784)</f>
        <v>1</v>
      </c>
      <c r="O784" s="25" t="n">
        <f>IF(K784=0,0,MIN(1,J784/K784))</f>
        <v>1</v>
      </c>
      <c r="P784" s="23" t="n">
        <f>IF(J784&gt;0,MAX(K784-J784,0),0)</f>
        <v>0</v>
      </c>
      <c r="Q784" s="23" t="n">
        <f>IF(J784=0,K784,0)</f>
        <v>0</v>
      </c>
      <c r="R784" s="23" t="n">
        <f>MAX(J784-K784,0)</f>
        <v>0</v>
      </c>
      <c r="S784" s="23" t="n">
        <f>IF(J784&gt;0,MAX(L784-J784,0),L784)</f>
        <v>0</v>
      </c>
    </row>
    <row r="785">
      <c r="A785" s="19" t="str">
        <v>英国区</v>
      </c>
      <c r="B785" s="19" t="str">
        <v>伯明翰15号仓</v>
      </c>
      <c r="C785" s="19" t="str">
        <v>入库组</v>
      </c>
      <c r="D785" s="21" t="n">
        <v>46188</v>
      </c>
      <c r="E785" s="19" t="str">
        <v>2026-06</v>
      </c>
      <c r="F785" s="19" t="str">
        <v>操作员</v>
      </c>
      <c r="G785" s="19" t="str">
        <v>英国区08:00-16:30 / UK 08:00-16:30</v>
      </c>
      <c r="H785" s="23" t="n">
        <v>1</v>
      </c>
      <c r="I785" s="23" t="n">
        <v>0</v>
      </c>
      <c r="J785" s="23" t="n">
        <f>H785+I785</f>
        <v>1</v>
      </c>
      <c r="K785" s="23" t="n">
        <v>1</v>
      </c>
      <c r="L785" s="23" t="n">
        <v>1</v>
      </c>
      <c r="M785" s="23" t="n">
        <f>MIN(K785,J785)</f>
        <v>1</v>
      </c>
      <c r="N785" s="23" t="n">
        <f>MIN(L785,J785)</f>
        <v>1</v>
      </c>
      <c r="O785" s="25" t="n">
        <f>IF(K785=0,0,MIN(1,J785/K785))</f>
        <v>1</v>
      </c>
      <c r="P785" s="23" t="n">
        <f>IF(J785&gt;0,MAX(K785-J785,0),0)</f>
        <v>0</v>
      </c>
      <c r="Q785" s="23" t="n">
        <f>IF(J785=0,K785,0)</f>
        <v>0</v>
      </c>
      <c r="R785" s="23" t="n">
        <f>MAX(J785-K785,0)</f>
        <v>0</v>
      </c>
      <c r="S785" s="23" t="n">
        <f>IF(J785&gt;0,MAX(L785-J785,0),L785)</f>
        <v>0</v>
      </c>
    </row>
    <row r="786">
      <c r="A786" s="19" t="str">
        <v>英国区</v>
      </c>
      <c r="B786" s="19" t="str">
        <v>伯明翰15号仓</v>
      </c>
      <c r="C786" s="19" t="str">
        <v>入库组</v>
      </c>
      <c r="D786" s="21" t="n">
        <v>46190</v>
      </c>
      <c r="E786" s="19" t="str">
        <v>2026-06</v>
      </c>
      <c r="F786" s="19" t="str">
        <v>操作员</v>
      </c>
      <c r="G786" s="19" t="str">
        <v>英国区09:00-17:30 / UK 09:00-17:30</v>
      </c>
      <c r="H786" s="23" t="n">
        <v>6</v>
      </c>
      <c r="I786" s="23" t="n">
        <v>0</v>
      </c>
      <c r="J786" s="23" t="n">
        <f>H786+I786</f>
        <v>6</v>
      </c>
      <c r="K786" s="23" t="n">
        <v>6</v>
      </c>
      <c r="L786" s="23" t="n">
        <v>6</v>
      </c>
      <c r="M786" s="23" t="n">
        <f>MIN(K786,J786)</f>
        <v>6</v>
      </c>
      <c r="N786" s="23" t="n">
        <f>MIN(L786,J786)</f>
        <v>6</v>
      </c>
      <c r="O786" s="25" t="n">
        <f>IF(K786=0,0,MIN(1,J786/K786))</f>
        <v>1</v>
      </c>
      <c r="P786" s="23" t="n">
        <f>IF(J786&gt;0,MAX(K786-J786,0),0)</f>
        <v>0</v>
      </c>
      <c r="Q786" s="23" t="n">
        <f>IF(J786=0,K786,0)</f>
        <v>0</v>
      </c>
      <c r="R786" s="23" t="n">
        <f>MAX(J786-K786,0)</f>
        <v>0</v>
      </c>
      <c r="S786" s="23" t="n">
        <f>IF(J786&gt;0,MAX(L786-J786,0),L786)</f>
        <v>0</v>
      </c>
    </row>
    <row r="787">
      <c r="A787" s="19" t="str">
        <v>英国区</v>
      </c>
      <c r="B787" s="19" t="str">
        <v>伯明翰15号仓</v>
      </c>
      <c r="C787" s="19" t="str">
        <v>入库组</v>
      </c>
      <c r="D787" s="21" t="n">
        <v>46192</v>
      </c>
      <c r="E787" s="19" t="str">
        <v>2026-06</v>
      </c>
      <c r="F787" s="19" t="str">
        <v>操作员</v>
      </c>
      <c r="G787" s="19" t="str">
        <v>英国区07:00-15:30 / UK 07:00-15:30</v>
      </c>
      <c r="H787" s="23" t="n">
        <v>1</v>
      </c>
      <c r="I787" s="23" t="n">
        <v>0</v>
      </c>
      <c r="J787" s="23" t="n">
        <f>H787+I787</f>
        <v>1</v>
      </c>
      <c r="K787" s="23" t="n">
        <v>1</v>
      </c>
      <c r="L787" s="23" t="n">
        <v>1</v>
      </c>
      <c r="M787" s="23" t="n">
        <f>MIN(K787,J787)</f>
        <v>1</v>
      </c>
      <c r="N787" s="23" t="n">
        <f>MIN(L787,J787)</f>
        <v>1</v>
      </c>
      <c r="O787" s="25" t="n">
        <f>IF(K787=0,0,MIN(1,J787/K787))</f>
        <v>1</v>
      </c>
      <c r="P787" s="23" t="n">
        <f>IF(J787&gt;0,MAX(K787-J787,0),0)</f>
        <v>0</v>
      </c>
      <c r="Q787" s="23" t="n">
        <f>IF(J787=0,K787,0)</f>
        <v>0</v>
      </c>
      <c r="R787" s="23" t="n">
        <f>MAX(J787-K787,0)</f>
        <v>0</v>
      </c>
      <c r="S787" s="23" t="n">
        <f>IF(J787&gt;0,MAX(L787-J787,0),L787)</f>
        <v>0</v>
      </c>
    </row>
    <row r="788">
      <c r="A788" s="19" t="str">
        <v>英国区</v>
      </c>
      <c r="B788" s="19" t="str">
        <v>伯明翰15号仓</v>
      </c>
      <c r="C788" s="19" t="str">
        <v>入库组</v>
      </c>
      <c r="D788" s="21" t="n">
        <v>46192</v>
      </c>
      <c r="E788" s="19" t="str">
        <v>2026-06</v>
      </c>
      <c r="F788" s="19" t="str">
        <v>操作员</v>
      </c>
      <c r="G788" s="19" t="str">
        <v>英国区09:00-17:30 / UK 09:00-17:30</v>
      </c>
      <c r="H788" s="23" t="n">
        <v>3</v>
      </c>
      <c r="I788" s="23" t="n">
        <v>0</v>
      </c>
      <c r="J788" s="23" t="n">
        <f>H788+I788</f>
        <v>3</v>
      </c>
      <c r="K788" s="23" t="n">
        <v>3</v>
      </c>
      <c r="L788" s="23" t="n">
        <v>3</v>
      </c>
      <c r="M788" s="23" t="n">
        <f>MIN(K788,J788)</f>
        <v>3</v>
      </c>
      <c r="N788" s="23" t="n">
        <f>MIN(L788,J788)</f>
        <v>3</v>
      </c>
      <c r="O788" s="25" t="n">
        <f>IF(K788=0,0,MIN(1,J788/K788))</f>
        <v>1</v>
      </c>
      <c r="P788" s="23" t="n">
        <f>IF(J788&gt;0,MAX(K788-J788,0),0)</f>
        <v>0</v>
      </c>
      <c r="Q788" s="23" t="n">
        <f>IF(J788=0,K788,0)</f>
        <v>0</v>
      </c>
      <c r="R788" s="23" t="n">
        <f>MAX(J788-K788,0)</f>
        <v>0</v>
      </c>
      <c r="S788" s="23" t="n">
        <f>IF(J788&gt;0,MAX(L788-J788,0),L788)</f>
        <v>0</v>
      </c>
    </row>
    <row r="789">
      <c r="A789" s="19" t="str">
        <v>英国区</v>
      </c>
      <c r="B789" s="19" t="str">
        <v>伯明翰15号仓</v>
      </c>
      <c r="C789" s="19" t="str">
        <v>包装组</v>
      </c>
      <c r="D789" s="21" t="n">
        <v>46131</v>
      </c>
      <c r="E789" s="19" t="str">
        <v>2026-04</v>
      </c>
      <c r="F789" s="19" t="str">
        <v>操作员</v>
      </c>
      <c r="G789" s="19" t="str">
        <v>英国区09:00-17:30 / UK 09:00-17:30</v>
      </c>
      <c r="H789" s="23" t="n">
        <v>2</v>
      </c>
      <c r="I789" s="23" t="n">
        <v>0</v>
      </c>
      <c r="J789" s="23" t="n">
        <f>H789+I789</f>
        <v>2</v>
      </c>
      <c r="K789" s="23" t="n">
        <v>2</v>
      </c>
      <c r="L789" s="23" t="n">
        <v>2</v>
      </c>
      <c r="M789" s="23" t="n">
        <f>MIN(K789,J789)</f>
        <v>2</v>
      </c>
      <c r="N789" s="23" t="n">
        <f>MIN(L789,J789)</f>
        <v>2</v>
      </c>
      <c r="O789" s="25" t="n">
        <f>IF(K789=0,0,MIN(1,J789/K789))</f>
        <v>1</v>
      </c>
      <c r="P789" s="23" t="n">
        <f>IF(J789&gt;0,MAX(K789-J789,0),0)</f>
        <v>0</v>
      </c>
      <c r="Q789" s="23" t="n">
        <f>IF(J789=0,K789,0)</f>
        <v>0</v>
      </c>
      <c r="R789" s="23" t="n">
        <f>MAX(J789-K789,0)</f>
        <v>0</v>
      </c>
      <c r="S789" s="23" t="n">
        <f>IF(J789&gt;0,MAX(L789-J789,0),L789)</f>
        <v>0</v>
      </c>
    </row>
    <row r="790">
      <c r="A790" s="19" t="str">
        <v>英国区</v>
      </c>
      <c r="B790" s="19" t="str">
        <v>伯明翰15号仓</v>
      </c>
      <c r="C790" s="19" t="str">
        <v>包装组</v>
      </c>
      <c r="D790" s="21" t="n">
        <v>46141</v>
      </c>
      <c r="E790" s="19" t="str">
        <v>2026-04</v>
      </c>
      <c r="F790" s="19" t="str">
        <v>操作员</v>
      </c>
      <c r="G790" s="19" t="str">
        <v>英国区09:00-17:30 / UK 09:00-17:30</v>
      </c>
      <c r="H790" s="23" t="n">
        <v>1</v>
      </c>
      <c r="I790" s="23" t="n">
        <v>0</v>
      </c>
      <c r="J790" s="23" t="n">
        <f>H790+I790</f>
        <v>1</v>
      </c>
      <c r="K790" s="23" t="n">
        <v>1</v>
      </c>
      <c r="L790" s="23" t="n">
        <v>1</v>
      </c>
      <c r="M790" s="23" t="n">
        <f>MIN(K790,J790)</f>
        <v>1</v>
      </c>
      <c r="N790" s="23" t="n">
        <f>MIN(L790,J790)</f>
        <v>1</v>
      </c>
      <c r="O790" s="25" t="n">
        <f>IF(K790=0,0,MIN(1,J790/K790))</f>
        <v>1</v>
      </c>
      <c r="P790" s="23" t="n">
        <f>IF(J790&gt;0,MAX(K790-J790,0),0)</f>
        <v>0</v>
      </c>
      <c r="Q790" s="23" t="n">
        <f>IF(J790=0,K790,0)</f>
        <v>0</v>
      </c>
      <c r="R790" s="23" t="n">
        <f>MAX(J790-K790,0)</f>
        <v>0</v>
      </c>
      <c r="S790" s="23" t="n">
        <f>IF(J790&gt;0,MAX(L790-J790,0),L790)</f>
        <v>0</v>
      </c>
    </row>
    <row r="791">
      <c r="A791" s="19" t="str">
        <v>英国区</v>
      </c>
      <c r="B791" s="19" t="str">
        <v>伯明翰15号仓</v>
      </c>
      <c r="C791" s="19" t="str">
        <v>包装组</v>
      </c>
      <c r="D791" s="21" t="n">
        <v>46156</v>
      </c>
      <c r="E791" s="19" t="str">
        <v>2026-05</v>
      </c>
      <c r="F791" s="19" t="str">
        <v>操作员</v>
      </c>
      <c r="G791" s="19" t="str">
        <v>英国区09:00-17:30 / UK 09:00-17:30</v>
      </c>
      <c r="H791" s="23" t="n">
        <v>1</v>
      </c>
      <c r="I791" s="23" t="n">
        <v>0</v>
      </c>
      <c r="J791" s="23" t="n">
        <f>H791+I791</f>
        <v>1</v>
      </c>
      <c r="K791" s="23" t="n">
        <v>1</v>
      </c>
      <c r="L791" s="23" t="n">
        <v>1</v>
      </c>
      <c r="M791" s="23" t="n">
        <f>MIN(K791,J791)</f>
        <v>1</v>
      </c>
      <c r="N791" s="23" t="n">
        <f>MIN(L791,J791)</f>
        <v>1</v>
      </c>
      <c r="O791" s="25" t="n">
        <f>IF(K791=0,0,MIN(1,J791/K791))</f>
        <v>1</v>
      </c>
      <c r="P791" s="23" t="n">
        <f>IF(J791&gt;0,MAX(K791-J791,0),0)</f>
        <v>0</v>
      </c>
      <c r="Q791" s="23" t="n">
        <f>IF(J791=0,K791,0)</f>
        <v>0</v>
      </c>
      <c r="R791" s="23" t="n">
        <f>MAX(J791-K791,0)</f>
        <v>0</v>
      </c>
      <c r="S791" s="23" t="n">
        <f>IF(J791&gt;0,MAX(L791-J791,0),L791)</f>
        <v>0</v>
      </c>
    </row>
    <row r="792">
      <c r="A792" s="19" t="str">
        <v>英国区</v>
      </c>
      <c r="B792" s="19" t="str">
        <v>伯明翰15号仓</v>
      </c>
      <c r="C792" s="19" t="str">
        <v>包装组</v>
      </c>
      <c r="D792" s="21" t="n">
        <v>46157</v>
      </c>
      <c r="E792" s="19" t="str">
        <v>2026-05</v>
      </c>
      <c r="F792" s="19" t="str">
        <v>操作员</v>
      </c>
      <c r="G792" s="19" t="str">
        <v>英国区11:00-19:30 / UK 11:00-19:30</v>
      </c>
      <c r="H792" s="23" t="n">
        <v>1</v>
      </c>
      <c r="I792" s="23" t="n">
        <v>0</v>
      </c>
      <c r="J792" s="23" t="n">
        <f>H792+I792</f>
        <v>1</v>
      </c>
      <c r="K792" s="23" t="n">
        <v>1</v>
      </c>
      <c r="L792" s="23" t="n">
        <v>1</v>
      </c>
      <c r="M792" s="23" t="n">
        <f>MIN(K792,J792)</f>
        <v>1</v>
      </c>
      <c r="N792" s="23" t="n">
        <f>MIN(L792,J792)</f>
        <v>1</v>
      </c>
      <c r="O792" s="25" t="n">
        <f>IF(K792=0,0,MIN(1,J792/K792))</f>
        <v>1</v>
      </c>
      <c r="P792" s="23" t="n">
        <f>IF(J792&gt;0,MAX(K792-J792,0),0)</f>
        <v>0</v>
      </c>
      <c r="Q792" s="23" t="n">
        <f>IF(J792=0,K792,0)</f>
        <v>0</v>
      </c>
      <c r="R792" s="23" t="n">
        <f>MAX(J792-K792,0)</f>
        <v>0</v>
      </c>
      <c r="S792" s="23" t="n">
        <f>IF(J792&gt;0,MAX(L792-J792,0),L792)</f>
        <v>0</v>
      </c>
    </row>
    <row r="793">
      <c r="A793" s="19" t="str">
        <v>英国区</v>
      </c>
      <c r="B793" s="19" t="str">
        <v>伯明翰15号仓</v>
      </c>
      <c r="C793" s="19" t="str">
        <v>包装组</v>
      </c>
      <c r="D793" s="21" t="n">
        <v>46160</v>
      </c>
      <c r="E793" s="19" t="str">
        <v>2026-05</v>
      </c>
      <c r="F793" s="19" t="str">
        <v>操作员</v>
      </c>
      <c r="G793" s="19" t="str">
        <v>英国区09:00-17:30 / UK 09:00-17:30</v>
      </c>
      <c r="H793" s="23" t="n">
        <v>1</v>
      </c>
      <c r="I793" s="23" t="n">
        <v>0</v>
      </c>
      <c r="J793" s="23" t="n">
        <f>H793+I793</f>
        <v>1</v>
      </c>
      <c r="K793" s="23" t="n">
        <v>1</v>
      </c>
      <c r="L793" s="23" t="n">
        <v>1</v>
      </c>
      <c r="M793" s="23" t="n">
        <f>MIN(K793,J793)</f>
        <v>1</v>
      </c>
      <c r="N793" s="23" t="n">
        <f>MIN(L793,J793)</f>
        <v>1</v>
      </c>
      <c r="O793" s="25" t="n">
        <f>IF(K793=0,0,MIN(1,J793/K793))</f>
        <v>1</v>
      </c>
      <c r="P793" s="23" t="n">
        <f>IF(J793&gt;0,MAX(K793-J793,0),0)</f>
        <v>0</v>
      </c>
      <c r="Q793" s="23" t="n">
        <f>IF(J793=0,K793,0)</f>
        <v>0</v>
      </c>
      <c r="R793" s="23" t="n">
        <f>MAX(J793-K793,0)</f>
        <v>0</v>
      </c>
      <c r="S793" s="23" t="n">
        <f>IF(J793&gt;0,MAX(L793-J793,0),L793)</f>
        <v>0</v>
      </c>
    </row>
    <row r="794">
      <c r="A794" s="19" t="str">
        <v>英国区</v>
      </c>
      <c r="B794" s="19" t="str">
        <v>伯明翰15号仓</v>
      </c>
      <c r="C794" s="19" t="str">
        <v>包装组</v>
      </c>
      <c r="D794" s="21" t="n">
        <v>46161</v>
      </c>
      <c r="E794" s="19" t="str">
        <v>2026-05</v>
      </c>
      <c r="F794" s="19" t="str">
        <v>操作员</v>
      </c>
      <c r="G794" s="19" t="str">
        <v>英国区09:00-17:30 / UK 09:00-17:30</v>
      </c>
      <c r="H794" s="23" t="n">
        <v>2</v>
      </c>
      <c r="I794" s="23" t="n">
        <v>0</v>
      </c>
      <c r="J794" s="23" t="n">
        <f>H794+I794</f>
        <v>2</v>
      </c>
      <c r="K794" s="23" t="n">
        <v>2</v>
      </c>
      <c r="L794" s="23" t="n">
        <v>2</v>
      </c>
      <c r="M794" s="23" t="n">
        <f>MIN(K794,J794)</f>
        <v>2</v>
      </c>
      <c r="N794" s="23" t="n">
        <f>MIN(L794,J794)</f>
        <v>2</v>
      </c>
      <c r="O794" s="25" t="n">
        <f>IF(K794=0,0,MIN(1,J794/K794))</f>
        <v>1</v>
      </c>
      <c r="P794" s="23" t="n">
        <f>IF(J794&gt;0,MAX(K794-J794,0),0)</f>
        <v>0</v>
      </c>
      <c r="Q794" s="23" t="n">
        <f>IF(J794=0,K794,0)</f>
        <v>0</v>
      </c>
      <c r="R794" s="23" t="n">
        <f>MAX(J794-K794,0)</f>
        <v>0</v>
      </c>
      <c r="S794" s="23" t="n">
        <f>IF(J794&gt;0,MAX(L794-J794,0),L794)</f>
        <v>0</v>
      </c>
    </row>
    <row r="795">
      <c r="A795" s="19" t="str">
        <v>英国区</v>
      </c>
      <c r="B795" s="19" t="str">
        <v>伯明翰15号仓</v>
      </c>
      <c r="C795" s="19" t="str">
        <v>包装组</v>
      </c>
      <c r="D795" s="21" t="n">
        <v>46177</v>
      </c>
      <c r="E795" s="19" t="str">
        <v>2026-06</v>
      </c>
      <c r="F795" s="19" t="str">
        <v>操作员</v>
      </c>
      <c r="G795" s="19" t="str">
        <v>英国区09:00-17:30 / UK 09:00-17:30</v>
      </c>
      <c r="H795" s="23" t="n">
        <v>1</v>
      </c>
      <c r="I795" s="23" t="n">
        <v>0</v>
      </c>
      <c r="J795" s="23" t="n">
        <f>H795+I795</f>
        <v>1</v>
      </c>
      <c r="K795" s="23" t="n">
        <v>1</v>
      </c>
      <c r="L795" s="23" t="n">
        <v>1</v>
      </c>
      <c r="M795" s="23" t="n">
        <f>MIN(K795,J795)</f>
        <v>1</v>
      </c>
      <c r="N795" s="23" t="n">
        <f>MIN(L795,J795)</f>
        <v>1</v>
      </c>
      <c r="O795" s="25" t="n">
        <f>IF(K795=0,0,MIN(1,J795/K795))</f>
        <v>1</v>
      </c>
      <c r="P795" s="23" t="n">
        <f>IF(J795&gt;0,MAX(K795-J795,0),0)</f>
        <v>0</v>
      </c>
      <c r="Q795" s="23" t="n">
        <f>IF(J795=0,K795,0)</f>
        <v>0</v>
      </c>
      <c r="R795" s="23" t="n">
        <f>MAX(J795-K795,0)</f>
        <v>0</v>
      </c>
      <c r="S795" s="23" t="n">
        <f>IF(J795&gt;0,MAX(L795-J795,0),L795)</f>
        <v>0</v>
      </c>
    </row>
    <row r="796">
      <c r="A796" s="19" t="str">
        <v>英国区</v>
      </c>
      <c r="B796" s="19" t="str">
        <v>伯明翰15号仓</v>
      </c>
      <c r="C796" s="19" t="str">
        <v>包装组</v>
      </c>
      <c r="D796" s="21" t="n">
        <v>46192</v>
      </c>
      <c r="E796" s="19" t="str">
        <v>2026-06</v>
      </c>
      <c r="F796" s="19" t="str">
        <v>操作员</v>
      </c>
      <c r="G796" s="19" t="str">
        <v>英国区09:00-17:30 / UK 09:00-17:30</v>
      </c>
      <c r="H796" s="23" t="n">
        <v>2</v>
      </c>
      <c r="I796" s="23" t="n">
        <v>0</v>
      </c>
      <c r="J796" s="23" t="n">
        <f>H796+I796</f>
        <v>2</v>
      </c>
      <c r="K796" s="23" t="n">
        <v>2</v>
      </c>
      <c r="L796" s="23" t="n">
        <v>2</v>
      </c>
      <c r="M796" s="23" t="n">
        <f>MIN(K796,J796)</f>
        <v>2</v>
      </c>
      <c r="N796" s="23" t="n">
        <f>MIN(L796,J796)</f>
        <v>2</v>
      </c>
      <c r="O796" s="25" t="n">
        <f>IF(K796=0,0,MIN(1,J796/K796))</f>
        <v>1</v>
      </c>
      <c r="P796" s="23" t="n">
        <f>IF(J796&gt;0,MAX(K796-J796,0),0)</f>
        <v>0</v>
      </c>
      <c r="Q796" s="23" t="n">
        <f>IF(J796=0,K796,0)</f>
        <v>0</v>
      </c>
      <c r="R796" s="23" t="n">
        <f>MAX(J796-K796,0)</f>
        <v>0</v>
      </c>
      <c r="S796" s="23" t="n">
        <f>IF(J796&gt;0,MAX(L796-J796,0),L796)</f>
        <v>0</v>
      </c>
    </row>
    <row r="797">
      <c r="A797" s="19" t="str">
        <v>英国区</v>
      </c>
      <c r="B797" s="19" t="str">
        <v>伯明翰15号仓</v>
      </c>
      <c r="C797" s="19" t="str">
        <v>售后组</v>
      </c>
      <c r="D797" s="21" t="n">
        <v>46147</v>
      </c>
      <c r="E797" s="19" t="str">
        <v>2026-05</v>
      </c>
      <c r="F797" s="19" t="str">
        <v>操作员</v>
      </c>
      <c r="G797" s="19" t="str">
        <v>英国区09:00-17:30 / UK 09:00-17:30</v>
      </c>
      <c r="H797" s="23" t="n">
        <v>1</v>
      </c>
      <c r="I797" s="23" t="n">
        <v>0</v>
      </c>
      <c r="J797" s="23" t="n">
        <f>H797+I797</f>
        <v>1</v>
      </c>
      <c r="K797" s="23" t="n">
        <v>1</v>
      </c>
      <c r="L797" s="23" t="n">
        <v>1</v>
      </c>
      <c r="M797" s="23" t="n">
        <f>MIN(K797,J797)</f>
        <v>1</v>
      </c>
      <c r="N797" s="23" t="n">
        <f>MIN(L797,J797)</f>
        <v>1</v>
      </c>
      <c r="O797" s="25" t="n">
        <f>IF(K797=0,0,MIN(1,J797/K797))</f>
        <v>1</v>
      </c>
      <c r="P797" s="23" t="n">
        <f>IF(J797&gt;0,MAX(K797-J797,0),0)</f>
        <v>0</v>
      </c>
      <c r="Q797" s="23" t="n">
        <f>IF(J797=0,K797,0)</f>
        <v>0</v>
      </c>
      <c r="R797" s="23" t="n">
        <f>MAX(J797-K797,0)</f>
        <v>0</v>
      </c>
      <c r="S797" s="23" t="n">
        <f>IF(J797&gt;0,MAX(L797-J797,0),L797)</f>
        <v>0</v>
      </c>
    </row>
    <row r="798">
      <c r="A798" s="19" t="str">
        <v>英国区</v>
      </c>
      <c r="B798" s="19" t="str">
        <v>伯明翰15号仓</v>
      </c>
      <c r="C798" s="19" t="str">
        <v>拣货组</v>
      </c>
      <c r="D798" s="21" t="n">
        <v>46114</v>
      </c>
      <c r="E798" s="19" t="str">
        <v>2026-04</v>
      </c>
      <c r="F798" s="19" t="str">
        <v>操作员</v>
      </c>
      <c r="G798" s="19" t="str">
        <v>英国区11:00-19:30 / UK 11:00-19:30</v>
      </c>
      <c r="H798" s="23" t="n">
        <v>1</v>
      </c>
      <c r="I798" s="23" t="n">
        <v>0</v>
      </c>
      <c r="J798" s="23" t="n">
        <f>H798+I798</f>
        <v>1</v>
      </c>
      <c r="K798" s="23" t="n">
        <v>1</v>
      </c>
      <c r="L798" s="23" t="n">
        <v>1</v>
      </c>
      <c r="M798" s="23" t="n">
        <f>MIN(K798,J798)</f>
        <v>1</v>
      </c>
      <c r="N798" s="23" t="n">
        <f>MIN(L798,J798)</f>
        <v>1</v>
      </c>
      <c r="O798" s="25" t="n">
        <f>IF(K798=0,0,MIN(1,J798/K798))</f>
        <v>1</v>
      </c>
      <c r="P798" s="23" t="n">
        <f>IF(J798&gt;0,MAX(K798-J798,0),0)</f>
        <v>0</v>
      </c>
      <c r="Q798" s="23" t="n">
        <f>IF(J798=0,K798,0)</f>
        <v>0</v>
      </c>
      <c r="R798" s="23" t="n">
        <f>MAX(J798-K798,0)</f>
        <v>0</v>
      </c>
      <c r="S798" s="23" t="n">
        <f>IF(J798&gt;0,MAX(L798-J798,0),L798)</f>
        <v>0</v>
      </c>
    </row>
    <row r="799">
      <c r="A799" s="19" t="str">
        <v>英国区</v>
      </c>
      <c r="B799" s="19" t="str">
        <v>伯明翰15号仓</v>
      </c>
      <c r="C799" s="19" t="str">
        <v>拣货组</v>
      </c>
      <c r="D799" s="21" t="n">
        <v>46119</v>
      </c>
      <c r="E799" s="19" t="str">
        <v>2026-04</v>
      </c>
      <c r="F799" s="19" t="str">
        <v>操作员</v>
      </c>
      <c r="G799" s="19" t="str">
        <v>英国区09:00-17:30 / UK 09:00-17:30</v>
      </c>
      <c r="H799" s="23" t="n">
        <v>1</v>
      </c>
      <c r="I799" s="23" t="n">
        <v>0</v>
      </c>
      <c r="J799" s="23" t="n">
        <f>H799+I799</f>
        <v>1</v>
      </c>
      <c r="K799" s="23" t="n">
        <v>1</v>
      </c>
      <c r="L799" s="23" t="n">
        <v>1</v>
      </c>
      <c r="M799" s="23" t="n">
        <f>MIN(K799,J799)</f>
        <v>1</v>
      </c>
      <c r="N799" s="23" t="n">
        <f>MIN(L799,J799)</f>
        <v>1</v>
      </c>
      <c r="O799" s="25" t="n">
        <f>IF(K799=0,0,MIN(1,J799/K799))</f>
        <v>1</v>
      </c>
      <c r="P799" s="23" t="n">
        <f>IF(J799&gt;0,MAX(K799-J799,0),0)</f>
        <v>0</v>
      </c>
      <c r="Q799" s="23" t="n">
        <f>IF(J799=0,K799,0)</f>
        <v>0</v>
      </c>
      <c r="R799" s="23" t="n">
        <f>MAX(J799-K799,0)</f>
        <v>0</v>
      </c>
      <c r="S799" s="23" t="n">
        <f>IF(J799&gt;0,MAX(L799-J799,0),L799)</f>
        <v>0</v>
      </c>
    </row>
    <row r="800">
      <c r="A800" s="19" t="str">
        <v>英国区</v>
      </c>
      <c r="B800" s="19" t="str">
        <v>伯明翰15号仓</v>
      </c>
      <c r="C800" s="19" t="str">
        <v>拣货组</v>
      </c>
      <c r="D800" s="21" t="n">
        <v>46120</v>
      </c>
      <c r="E800" s="19" t="str">
        <v>2026-04</v>
      </c>
      <c r="F800" s="19" t="str">
        <v>操作员</v>
      </c>
      <c r="G800" s="19" t="str">
        <v>英国区11:00-19:30 / UK 11:00-19:30</v>
      </c>
      <c r="H800" s="23" t="n">
        <v>2</v>
      </c>
      <c r="I800" s="23" t="n">
        <v>0</v>
      </c>
      <c r="J800" s="23" t="n">
        <f>H800+I800</f>
        <v>2</v>
      </c>
      <c r="K800" s="23" t="n">
        <v>2</v>
      </c>
      <c r="L800" s="23" t="n">
        <v>2</v>
      </c>
      <c r="M800" s="23" t="n">
        <f>MIN(K800,J800)</f>
        <v>2</v>
      </c>
      <c r="N800" s="23" t="n">
        <f>MIN(L800,J800)</f>
        <v>2</v>
      </c>
      <c r="O800" s="25" t="n">
        <f>IF(K800=0,0,MIN(1,J800/K800))</f>
        <v>1</v>
      </c>
      <c r="P800" s="23" t="n">
        <f>IF(J800&gt;0,MAX(K800-J800,0),0)</f>
        <v>0</v>
      </c>
      <c r="Q800" s="23" t="n">
        <f>IF(J800=0,K800,0)</f>
        <v>0</v>
      </c>
      <c r="R800" s="23" t="n">
        <f>MAX(J800-K800,0)</f>
        <v>0</v>
      </c>
      <c r="S800" s="23" t="n">
        <f>IF(J800&gt;0,MAX(L800-J800,0),L800)</f>
        <v>0</v>
      </c>
    </row>
    <row r="801">
      <c r="A801" s="19" t="str">
        <v>英国区</v>
      </c>
      <c r="B801" s="19" t="str">
        <v>伯明翰15号仓</v>
      </c>
      <c r="C801" s="19" t="str">
        <v>拣货组</v>
      </c>
      <c r="D801" s="21" t="n">
        <v>46122</v>
      </c>
      <c r="E801" s="19" t="str">
        <v>2026-04</v>
      </c>
      <c r="F801" s="19" t="str">
        <v>操作员</v>
      </c>
      <c r="G801" s="19" t="str">
        <v>英国区09:00-17:30 / UK 09:00-17:30</v>
      </c>
      <c r="H801" s="23" t="n">
        <v>2</v>
      </c>
      <c r="I801" s="23" t="n">
        <v>0</v>
      </c>
      <c r="J801" s="23" t="n">
        <f>H801+I801</f>
        <v>2</v>
      </c>
      <c r="K801" s="23" t="n">
        <v>2</v>
      </c>
      <c r="L801" s="23" t="n">
        <v>2</v>
      </c>
      <c r="M801" s="23" t="n">
        <f>MIN(K801,J801)</f>
        <v>2</v>
      </c>
      <c r="N801" s="23" t="n">
        <f>MIN(L801,J801)</f>
        <v>2</v>
      </c>
      <c r="O801" s="25" t="n">
        <f>IF(K801=0,0,MIN(1,J801/K801))</f>
        <v>1</v>
      </c>
      <c r="P801" s="23" t="n">
        <f>IF(J801&gt;0,MAX(K801-J801,0),0)</f>
        <v>0</v>
      </c>
      <c r="Q801" s="23" t="n">
        <f>IF(J801=0,K801,0)</f>
        <v>0</v>
      </c>
      <c r="R801" s="23" t="n">
        <f>MAX(J801-K801,0)</f>
        <v>0</v>
      </c>
      <c r="S801" s="23" t="n">
        <f>IF(J801&gt;0,MAX(L801-J801,0),L801)</f>
        <v>0</v>
      </c>
    </row>
    <row r="802">
      <c r="A802" s="19" t="str">
        <v>英国区</v>
      </c>
      <c r="B802" s="19" t="str">
        <v>伯明翰15号仓</v>
      </c>
      <c r="C802" s="19" t="str">
        <v>拣货组</v>
      </c>
      <c r="D802" s="21" t="n">
        <v>46124</v>
      </c>
      <c r="E802" s="19" t="str">
        <v>2026-04</v>
      </c>
      <c r="F802" s="19" t="str">
        <v>操作员</v>
      </c>
      <c r="G802" s="19" t="str">
        <v>英国区09:00-17:30 / UK 09:00-17:30</v>
      </c>
      <c r="H802" s="23" t="n">
        <v>2</v>
      </c>
      <c r="I802" s="23" t="n">
        <v>0</v>
      </c>
      <c r="J802" s="23" t="n">
        <f>H802+I802</f>
        <v>2</v>
      </c>
      <c r="K802" s="23" t="n">
        <v>2</v>
      </c>
      <c r="L802" s="23" t="n">
        <v>1</v>
      </c>
      <c r="M802" s="23" t="n">
        <f>MIN(K802,J802)</f>
        <v>2</v>
      </c>
      <c r="N802" s="23" t="n">
        <f>MIN(L802,J802)</f>
        <v>1</v>
      </c>
      <c r="O802" s="25" t="n">
        <f>IF(K802=0,0,MIN(1,J802/K802))</f>
        <v>1</v>
      </c>
      <c r="P802" s="23" t="n">
        <f>IF(J802&gt;0,MAX(K802-J802,0),0)</f>
        <v>0</v>
      </c>
      <c r="Q802" s="23" t="n">
        <f>IF(J802=0,K802,0)</f>
        <v>0</v>
      </c>
      <c r="R802" s="23" t="n">
        <f>MAX(J802-K802,0)</f>
        <v>0</v>
      </c>
      <c r="S802" s="23" t="n">
        <f>IF(J802&gt;0,MAX(L802-J802,0),L802)</f>
        <v>0</v>
      </c>
    </row>
    <row r="803">
      <c r="A803" s="19" t="str">
        <v>英国区</v>
      </c>
      <c r="B803" s="19" t="str">
        <v>伯明翰15号仓</v>
      </c>
      <c r="C803" s="19" t="str">
        <v>拣货组</v>
      </c>
      <c r="D803" s="21" t="n">
        <v>46126</v>
      </c>
      <c r="E803" s="19" t="str">
        <v>2026-04</v>
      </c>
      <c r="F803" s="19" t="str">
        <v>操作员</v>
      </c>
      <c r="G803" s="19" t="str">
        <v>英国区09:00-17:30 / UK 09:00-17:30</v>
      </c>
      <c r="H803" s="23" t="n">
        <v>3</v>
      </c>
      <c r="I803" s="23" t="n">
        <v>0</v>
      </c>
      <c r="J803" s="23" t="n">
        <f>H803+I803</f>
        <v>3</v>
      </c>
      <c r="K803" s="23" t="n">
        <v>3</v>
      </c>
      <c r="L803" s="23" t="n">
        <v>3</v>
      </c>
      <c r="M803" s="23" t="n">
        <f>MIN(K803,J803)</f>
        <v>3</v>
      </c>
      <c r="N803" s="23" t="n">
        <f>MIN(L803,J803)</f>
        <v>3</v>
      </c>
      <c r="O803" s="25" t="n">
        <f>IF(K803=0,0,MIN(1,J803/K803))</f>
        <v>1</v>
      </c>
      <c r="P803" s="23" t="n">
        <f>IF(J803&gt;0,MAX(K803-J803,0),0)</f>
        <v>0</v>
      </c>
      <c r="Q803" s="23" t="n">
        <f>IF(J803=0,K803,0)</f>
        <v>0</v>
      </c>
      <c r="R803" s="23" t="n">
        <f>MAX(J803-K803,0)</f>
        <v>0</v>
      </c>
      <c r="S803" s="23" t="n">
        <f>IF(J803&gt;0,MAX(L803-J803,0),L803)</f>
        <v>0</v>
      </c>
    </row>
    <row r="804">
      <c r="A804" s="19" t="str">
        <v>英国区</v>
      </c>
      <c r="B804" s="19" t="str">
        <v>伯明翰15号仓</v>
      </c>
      <c r="C804" s="19" t="str">
        <v>拣货组</v>
      </c>
      <c r="D804" s="21" t="n">
        <v>46127</v>
      </c>
      <c r="E804" s="19" t="str">
        <v>2026-04</v>
      </c>
      <c r="F804" s="19" t="str">
        <v>操作员</v>
      </c>
      <c r="G804" s="19" t="str">
        <v>英国区09:00-17:30 / UK 09:00-17:30</v>
      </c>
      <c r="H804" s="23" t="n">
        <v>3</v>
      </c>
      <c r="I804" s="23" t="n">
        <v>0</v>
      </c>
      <c r="J804" s="23" t="n">
        <f>H804+I804</f>
        <v>3</v>
      </c>
      <c r="K804" s="23" t="n">
        <v>3</v>
      </c>
      <c r="L804" s="23" t="n">
        <v>3</v>
      </c>
      <c r="M804" s="23" t="n">
        <f>MIN(K804,J804)</f>
        <v>3</v>
      </c>
      <c r="N804" s="23" t="n">
        <f>MIN(L804,J804)</f>
        <v>3</v>
      </c>
      <c r="O804" s="25" t="n">
        <f>IF(K804=0,0,MIN(1,J804/K804))</f>
        <v>1</v>
      </c>
      <c r="P804" s="23" t="n">
        <f>IF(J804&gt;0,MAX(K804-J804,0),0)</f>
        <v>0</v>
      </c>
      <c r="Q804" s="23" t="n">
        <f>IF(J804=0,K804,0)</f>
        <v>0</v>
      </c>
      <c r="R804" s="23" t="n">
        <f>MAX(J804-K804,0)</f>
        <v>0</v>
      </c>
      <c r="S804" s="23" t="n">
        <f>IF(J804&gt;0,MAX(L804-J804,0),L804)</f>
        <v>0</v>
      </c>
    </row>
    <row r="805">
      <c r="A805" s="19" t="str">
        <v>英国区</v>
      </c>
      <c r="B805" s="19" t="str">
        <v>伯明翰15号仓</v>
      </c>
      <c r="C805" s="19" t="str">
        <v>拣货组</v>
      </c>
      <c r="D805" s="21" t="n">
        <v>46128</v>
      </c>
      <c r="E805" s="19" t="str">
        <v>2026-04</v>
      </c>
      <c r="F805" s="19" t="str">
        <v>操作员</v>
      </c>
      <c r="G805" s="19" t="str">
        <v>英国区09:00-17:30 / UK 09:00-17:30</v>
      </c>
      <c r="H805" s="23" t="n">
        <v>3</v>
      </c>
      <c r="I805" s="23" t="n">
        <v>0</v>
      </c>
      <c r="J805" s="23" t="n">
        <f>H805+I805</f>
        <v>3</v>
      </c>
      <c r="K805" s="23" t="n">
        <v>3</v>
      </c>
      <c r="L805" s="23" t="n">
        <v>3</v>
      </c>
      <c r="M805" s="23" t="n">
        <f>MIN(K805,J805)</f>
        <v>3</v>
      </c>
      <c r="N805" s="23" t="n">
        <f>MIN(L805,J805)</f>
        <v>3</v>
      </c>
      <c r="O805" s="25" t="n">
        <f>IF(K805=0,0,MIN(1,J805/K805))</f>
        <v>1</v>
      </c>
      <c r="P805" s="23" t="n">
        <f>IF(J805&gt;0,MAX(K805-J805,0),0)</f>
        <v>0</v>
      </c>
      <c r="Q805" s="23" t="n">
        <f>IF(J805=0,K805,0)</f>
        <v>0</v>
      </c>
      <c r="R805" s="23" t="n">
        <f>MAX(J805-K805,0)</f>
        <v>0</v>
      </c>
      <c r="S805" s="23" t="n">
        <f>IF(J805&gt;0,MAX(L805-J805,0),L805)</f>
        <v>0</v>
      </c>
    </row>
    <row r="806">
      <c r="A806" s="19" t="str">
        <v>英国区</v>
      </c>
      <c r="B806" s="19" t="str">
        <v>伯明翰15号仓</v>
      </c>
      <c r="C806" s="19" t="str">
        <v>拣货组</v>
      </c>
      <c r="D806" s="21" t="n">
        <v>46129</v>
      </c>
      <c r="E806" s="19" t="str">
        <v>2026-04</v>
      </c>
      <c r="F806" s="19" t="str">
        <v>操作员</v>
      </c>
      <c r="G806" s="19" t="str">
        <v>英国区09:00-17:30 / UK 09:00-17:30</v>
      </c>
      <c r="H806" s="23" t="n">
        <v>2</v>
      </c>
      <c r="I806" s="23" t="n">
        <v>0</v>
      </c>
      <c r="J806" s="23" t="n">
        <f>H806+I806</f>
        <v>2</v>
      </c>
      <c r="K806" s="23" t="n">
        <v>2</v>
      </c>
      <c r="L806" s="23" t="n">
        <v>2</v>
      </c>
      <c r="M806" s="23" t="n">
        <f>MIN(K806,J806)</f>
        <v>2</v>
      </c>
      <c r="N806" s="23" t="n">
        <f>MIN(L806,J806)</f>
        <v>2</v>
      </c>
      <c r="O806" s="25" t="n">
        <f>IF(K806=0,0,MIN(1,J806/K806))</f>
        <v>1</v>
      </c>
      <c r="P806" s="23" t="n">
        <f>IF(J806&gt;0,MAX(K806-J806,0),0)</f>
        <v>0</v>
      </c>
      <c r="Q806" s="23" t="n">
        <f>IF(J806=0,K806,0)</f>
        <v>0</v>
      </c>
      <c r="R806" s="23" t="n">
        <f>MAX(J806-K806,0)</f>
        <v>0</v>
      </c>
      <c r="S806" s="23" t="n">
        <f>IF(J806&gt;0,MAX(L806-J806,0),L806)</f>
        <v>0</v>
      </c>
    </row>
    <row r="807">
      <c r="A807" s="19" t="str">
        <v>英国区</v>
      </c>
      <c r="B807" s="19" t="str">
        <v>伯明翰15号仓</v>
      </c>
      <c r="C807" s="19" t="str">
        <v>拣货组</v>
      </c>
      <c r="D807" s="21" t="n">
        <v>46135</v>
      </c>
      <c r="E807" s="19" t="str">
        <v>2026-04</v>
      </c>
      <c r="F807" s="19" t="str">
        <v>操作员</v>
      </c>
      <c r="G807" s="19" t="str">
        <v>英国区09:00-17:30 / UK 09:00-17:30</v>
      </c>
      <c r="H807" s="23" t="n">
        <v>1</v>
      </c>
      <c r="I807" s="23" t="n">
        <v>0</v>
      </c>
      <c r="J807" s="23" t="n">
        <f>H807+I807</f>
        <v>1</v>
      </c>
      <c r="K807" s="23" t="n">
        <v>1</v>
      </c>
      <c r="L807" s="23" t="n">
        <v>1</v>
      </c>
      <c r="M807" s="23" t="n">
        <f>MIN(K807,J807)</f>
        <v>1</v>
      </c>
      <c r="N807" s="23" t="n">
        <f>MIN(L807,J807)</f>
        <v>1</v>
      </c>
      <c r="O807" s="25" t="n">
        <f>IF(K807=0,0,MIN(1,J807/K807))</f>
        <v>1</v>
      </c>
      <c r="P807" s="23" t="n">
        <f>IF(J807&gt;0,MAX(K807-J807,0),0)</f>
        <v>0</v>
      </c>
      <c r="Q807" s="23" t="n">
        <f>IF(J807=0,K807,0)</f>
        <v>0</v>
      </c>
      <c r="R807" s="23" t="n">
        <f>MAX(J807-K807,0)</f>
        <v>0</v>
      </c>
      <c r="S807" s="23" t="n">
        <f>IF(J807&gt;0,MAX(L807-J807,0),L807)</f>
        <v>0</v>
      </c>
    </row>
    <row r="808">
      <c r="A808" s="19" t="str">
        <v>英国区</v>
      </c>
      <c r="B808" s="19" t="str">
        <v>伯明翰15号仓</v>
      </c>
      <c r="C808" s="19" t="str">
        <v>拣货组</v>
      </c>
      <c r="D808" s="21" t="n">
        <v>46136</v>
      </c>
      <c r="E808" s="19" t="str">
        <v>2026-04</v>
      </c>
      <c r="F808" s="19" t="str">
        <v>操作员</v>
      </c>
      <c r="G808" s="19" t="str">
        <v>英国区09:00-17:30 / UK 09:00-17:30</v>
      </c>
      <c r="H808" s="23" t="n">
        <v>1</v>
      </c>
      <c r="I808" s="23" t="n">
        <v>0</v>
      </c>
      <c r="J808" s="23" t="n">
        <f>H808+I808</f>
        <v>1</v>
      </c>
      <c r="K808" s="23" t="n">
        <v>1</v>
      </c>
      <c r="L808" s="23" t="n">
        <v>1</v>
      </c>
      <c r="M808" s="23" t="n">
        <f>MIN(K808,J808)</f>
        <v>1</v>
      </c>
      <c r="N808" s="23" t="n">
        <f>MIN(L808,J808)</f>
        <v>1</v>
      </c>
      <c r="O808" s="25" t="n">
        <f>IF(K808=0,0,MIN(1,J808/K808))</f>
        <v>1</v>
      </c>
      <c r="P808" s="23" t="n">
        <f>IF(J808&gt;0,MAX(K808-J808,0),0)</f>
        <v>0</v>
      </c>
      <c r="Q808" s="23" t="n">
        <f>IF(J808=0,K808,0)</f>
        <v>0</v>
      </c>
      <c r="R808" s="23" t="n">
        <f>MAX(J808-K808,0)</f>
        <v>0</v>
      </c>
      <c r="S808" s="23" t="n">
        <f>IF(J808&gt;0,MAX(L808-J808,0),L808)</f>
        <v>0</v>
      </c>
    </row>
    <row r="809">
      <c r="A809" s="19" t="str">
        <v>英国区</v>
      </c>
      <c r="B809" s="19" t="str">
        <v>伯明翰15号仓</v>
      </c>
      <c r="C809" s="19" t="str">
        <v>拣货组</v>
      </c>
      <c r="D809" s="21" t="n">
        <v>46175</v>
      </c>
      <c r="E809" s="19" t="str">
        <v>2026-06</v>
      </c>
      <c r="F809" s="19" t="str">
        <v>操作员</v>
      </c>
      <c r="G809" s="19" t="str">
        <v>英国区11:00-19:30 / UK 11:00-19:30</v>
      </c>
      <c r="H809" s="23" t="n">
        <v>1</v>
      </c>
      <c r="I809" s="23" t="n">
        <v>0</v>
      </c>
      <c r="J809" s="23" t="n">
        <f>H809+I809</f>
        <v>1</v>
      </c>
      <c r="K809" s="23" t="n">
        <v>1</v>
      </c>
      <c r="L809" s="23" t="n">
        <v>1</v>
      </c>
      <c r="M809" s="23" t="n">
        <f>MIN(K809,J809)</f>
        <v>1</v>
      </c>
      <c r="N809" s="23" t="n">
        <f>MIN(L809,J809)</f>
        <v>1</v>
      </c>
      <c r="O809" s="25" t="n">
        <f>IF(K809=0,0,MIN(1,J809/K809))</f>
        <v>1</v>
      </c>
      <c r="P809" s="23" t="n">
        <f>IF(J809&gt;0,MAX(K809-J809,0),0)</f>
        <v>0</v>
      </c>
      <c r="Q809" s="23" t="n">
        <f>IF(J809=0,K809,0)</f>
        <v>0</v>
      </c>
      <c r="R809" s="23" t="n">
        <f>MAX(J809-K809,0)</f>
        <v>0</v>
      </c>
      <c r="S809" s="23" t="n">
        <f>IF(J809&gt;0,MAX(L809-J809,0),L809)</f>
        <v>0</v>
      </c>
    </row>
    <row r="810">
      <c r="A810" s="19" t="str">
        <v>英国区</v>
      </c>
      <c r="B810" s="19" t="str">
        <v>伯明翰15号仓</v>
      </c>
      <c r="C810" s="19" t="str">
        <v>拣货组</v>
      </c>
      <c r="D810" s="21" t="n">
        <v>46178</v>
      </c>
      <c r="E810" s="19" t="str">
        <v>2026-06</v>
      </c>
      <c r="F810" s="19" t="str">
        <v>操作员</v>
      </c>
      <c r="G810" s="19" t="str">
        <v>英国区09:00-17:30 / UK 09:00-17:30</v>
      </c>
      <c r="H810" s="23" t="n">
        <v>4</v>
      </c>
      <c r="I810" s="23" t="n">
        <v>0</v>
      </c>
      <c r="J810" s="23" t="n">
        <f>H810+I810</f>
        <v>4</v>
      </c>
      <c r="K810" s="23" t="n">
        <v>4</v>
      </c>
      <c r="L810" s="23" t="n">
        <v>4</v>
      </c>
      <c r="M810" s="23" t="n">
        <f>MIN(K810,J810)</f>
        <v>4</v>
      </c>
      <c r="N810" s="23" t="n">
        <f>MIN(L810,J810)</f>
        <v>4</v>
      </c>
      <c r="O810" s="25" t="n">
        <f>IF(K810=0,0,MIN(1,J810/K810))</f>
        <v>1</v>
      </c>
      <c r="P810" s="23" t="n">
        <f>IF(J810&gt;0,MAX(K810-J810,0),0)</f>
        <v>0</v>
      </c>
      <c r="Q810" s="23" t="n">
        <f>IF(J810=0,K810,0)</f>
        <v>0</v>
      </c>
      <c r="R810" s="23" t="n">
        <f>MAX(J810-K810,0)</f>
        <v>0</v>
      </c>
      <c r="S810" s="23" t="n">
        <f>IF(J810&gt;0,MAX(L810-J810,0),L810)</f>
        <v>0</v>
      </c>
    </row>
    <row r="811">
      <c r="A811" s="19" t="str">
        <v>英国区</v>
      </c>
      <c r="B811" s="19" t="str">
        <v>伯明翰15号仓</v>
      </c>
      <c r="C811" s="19" t="str">
        <v>拣货组</v>
      </c>
      <c r="D811" s="21" t="n">
        <v>46183</v>
      </c>
      <c r="E811" s="19" t="str">
        <v>2026-06</v>
      </c>
      <c r="F811" s="19" t="str">
        <v>操作员</v>
      </c>
      <c r="G811" s="19" t="str">
        <v>英国区09:00-17:30 / UK 09:00-17:30</v>
      </c>
      <c r="H811" s="23" t="n">
        <v>2</v>
      </c>
      <c r="I811" s="23" t="n">
        <v>0</v>
      </c>
      <c r="J811" s="23" t="n">
        <f>H811+I811</f>
        <v>2</v>
      </c>
      <c r="K811" s="23" t="n">
        <v>2</v>
      </c>
      <c r="L811" s="23" t="n">
        <v>1</v>
      </c>
      <c r="M811" s="23" t="n">
        <f>MIN(K811,J811)</f>
        <v>2</v>
      </c>
      <c r="N811" s="23" t="n">
        <f>MIN(L811,J811)</f>
        <v>1</v>
      </c>
      <c r="O811" s="25" t="n">
        <f>IF(K811=0,0,MIN(1,J811/K811))</f>
        <v>1</v>
      </c>
      <c r="P811" s="23" t="n">
        <f>IF(J811&gt;0,MAX(K811-J811,0),0)</f>
        <v>0</v>
      </c>
      <c r="Q811" s="23" t="n">
        <f>IF(J811=0,K811,0)</f>
        <v>0</v>
      </c>
      <c r="R811" s="23" t="n">
        <f>MAX(J811-K811,0)</f>
        <v>0</v>
      </c>
      <c r="S811" s="23" t="n">
        <f>IF(J811&gt;0,MAX(L811-J811,0),L811)</f>
        <v>0</v>
      </c>
    </row>
    <row r="812">
      <c r="A812" s="19" t="str">
        <v>英国区</v>
      </c>
      <c r="B812" s="19" t="str">
        <v>伯明翰15号仓</v>
      </c>
      <c r="C812" s="19" t="str">
        <v>拣货组</v>
      </c>
      <c r="D812" s="21" t="n">
        <v>46188</v>
      </c>
      <c r="E812" s="19" t="str">
        <v>2026-06</v>
      </c>
      <c r="F812" s="19" t="str">
        <v>操作员</v>
      </c>
      <c r="G812" s="19" t="str">
        <v>英国区09:00-17:30 / UK 09:00-17:30</v>
      </c>
      <c r="H812" s="23" t="n">
        <v>7</v>
      </c>
      <c r="I812" s="23" t="n">
        <v>0</v>
      </c>
      <c r="J812" s="23" t="n">
        <f>H812+I812</f>
        <v>7</v>
      </c>
      <c r="K812" s="23" t="n">
        <v>7</v>
      </c>
      <c r="L812" s="23" t="n">
        <v>7</v>
      </c>
      <c r="M812" s="23" t="n">
        <f>MIN(K812,J812)</f>
        <v>7</v>
      </c>
      <c r="N812" s="23" t="n">
        <f>MIN(L812,J812)</f>
        <v>7</v>
      </c>
      <c r="O812" s="25" t="n">
        <f>IF(K812=0,0,MIN(1,J812/K812))</f>
        <v>1</v>
      </c>
      <c r="P812" s="23" t="n">
        <f>IF(J812&gt;0,MAX(K812-J812,0),0)</f>
        <v>0</v>
      </c>
      <c r="Q812" s="23" t="n">
        <f>IF(J812=0,K812,0)</f>
        <v>0</v>
      </c>
      <c r="R812" s="23" t="n">
        <f>MAX(J812-K812,0)</f>
        <v>0</v>
      </c>
      <c r="S812" s="23" t="n">
        <f>IF(J812&gt;0,MAX(L812-J812,0),L812)</f>
        <v>0</v>
      </c>
    </row>
    <row r="813">
      <c r="A813" s="19" t="str">
        <v>英国区</v>
      </c>
      <c r="B813" s="19" t="str">
        <v>伯明翰15号仓</v>
      </c>
      <c r="C813" s="19" t="str">
        <v>拣货组</v>
      </c>
      <c r="D813" s="21" t="n">
        <v>46191</v>
      </c>
      <c r="E813" s="19" t="str">
        <v>2026-06</v>
      </c>
      <c r="F813" s="19" t="str">
        <v>操作员</v>
      </c>
      <c r="G813" s="19" t="str">
        <v>英国区15:00-00:30 / UK 15:00-00:30</v>
      </c>
      <c r="H813" s="23" t="n">
        <v>2</v>
      </c>
      <c r="I813" s="23" t="n">
        <v>0</v>
      </c>
      <c r="J813" s="23" t="n">
        <f>H813+I813</f>
        <v>2</v>
      </c>
      <c r="K813" s="23" t="n">
        <v>0</v>
      </c>
      <c r="L813" s="23" t="n">
        <v>0</v>
      </c>
      <c r="M813" s="23" t="n">
        <f>MIN(K813,J813)</f>
        <v>0</v>
      </c>
      <c r="N813" s="23" t="n">
        <f>MIN(L813,J813)</f>
        <v>0</v>
      </c>
      <c r="O813" s="25" t="n">
        <f>IF(K813=0,0,MIN(1,J813/K813))</f>
        <v>0</v>
      </c>
      <c r="P813" s="23" t="n">
        <f>IF(J813&gt;0,MAX(K813-J813,0),0)</f>
        <v>0</v>
      </c>
      <c r="Q813" s="23" t="n">
        <f>IF(J813=0,K813,0)</f>
        <v>0</v>
      </c>
      <c r="R813" s="23" t="n">
        <f>MAX(J813-K813,0)</f>
        <v>2</v>
      </c>
      <c r="S813" s="23" t="n">
        <f>IF(J813&gt;0,MAX(L813-J813,0),L813)</f>
        <v>0</v>
      </c>
    </row>
    <row r="814">
      <c r="A814" s="19" t="str">
        <v>英国区</v>
      </c>
      <c r="B814" s="19" t="str">
        <v>伯明翰15号仓</v>
      </c>
      <c r="C814" s="19" t="str">
        <v>拣货组</v>
      </c>
      <c r="D814" s="21" t="n">
        <v>46192</v>
      </c>
      <c r="E814" s="19" t="str">
        <v>2026-06</v>
      </c>
      <c r="F814" s="19" t="str">
        <v>操作员</v>
      </c>
      <c r="G814" s="19" t="str">
        <v>英国区07:00-15:30 / UK 07:00-15:30</v>
      </c>
      <c r="H814" s="23" t="n">
        <v>1</v>
      </c>
      <c r="I814" s="23" t="n">
        <v>0</v>
      </c>
      <c r="J814" s="23" t="n">
        <f>H814+I814</f>
        <v>1</v>
      </c>
      <c r="K814" s="23" t="n">
        <v>1</v>
      </c>
      <c r="L814" s="23" t="n">
        <v>1</v>
      </c>
      <c r="M814" s="23" t="n">
        <f>MIN(K814,J814)</f>
        <v>1</v>
      </c>
      <c r="N814" s="23" t="n">
        <f>MIN(L814,J814)</f>
        <v>1</v>
      </c>
      <c r="O814" s="25" t="n">
        <f>IF(K814=0,0,MIN(1,J814/K814))</f>
        <v>1</v>
      </c>
      <c r="P814" s="23" t="n">
        <f>IF(J814&gt;0,MAX(K814-J814,0),0)</f>
        <v>0</v>
      </c>
      <c r="Q814" s="23" t="n">
        <f>IF(J814=0,K814,0)</f>
        <v>0</v>
      </c>
      <c r="R814" s="23" t="n">
        <f>MAX(J814-K814,0)</f>
        <v>0</v>
      </c>
      <c r="S814" s="23" t="n">
        <f>IF(J814&gt;0,MAX(L814-J814,0),L814)</f>
        <v>0</v>
      </c>
    </row>
    <row r="815">
      <c r="A815" s="19" t="str">
        <v>英国区</v>
      </c>
      <c r="B815" s="19" t="str">
        <v>伯明翰15号仓</v>
      </c>
      <c r="C815" s="19" t="str">
        <v>拣货组</v>
      </c>
      <c r="D815" s="21" t="n">
        <v>46195</v>
      </c>
      <c r="E815" s="19" t="str">
        <v>2026-06</v>
      </c>
      <c r="F815" s="19" t="str">
        <v>操作员</v>
      </c>
      <c r="G815" s="19" t="str">
        <v>英国区09:00-17:30 / UK 09:00-17:30</v>
      </c>
      <c r="H815" s="23" t="n">
        <v>4</v>
      </c>
      <c r="I815" s="23" t="n">
        <v>0</v>
      </c>
      <c r="J815" s="23" t="n">
        <f>H815+I815</f>
        <v>4</v>
      </c>
      <c r="K815" s="23" t="n">
        <v>4</v>
      </c>
      <c r="L815" s="23" t="n">
        <v>4</v>
      </c>
      <c r="M815" s="23" t="n">
        <f>MIN(K815,J815)</f>
        <v>4</v>
      </c>
      <c r="N815" s="23" t="n">
        <f>MIN(L815,J815)</f>
        <v>4</v>
      </c>
      <c r="O815" s="25" t="n">
        <f>IF(K815=0,0,MIN(1,J815/K815))</f>
        <v>1</v>
      </c>
      <c r="P815" s="23" t="n">
        <f>IF(J815&gt;0,MAX(K815-J815,0),0)</f>
        <v>0</v>
      </c>
      <c r="Q815" s="23" t="n">
        <f>IF(J815=0,K815,0)</f>
        <v>0</v>
      </c>
      <c r="R815" s="23" t="n">
        <f>MAX(J815-K815,0)</f>
        <v>0</v>
      </c>
      <c r="S815" s="23" t="n">
        <f>IF(J815&gt;0,MAX(L815-J815,0),L815)</f>
        <v>0</v>
      </c>
    </row>
    <row r="816">
      <c r="A816" s="19" t="str">
        <v>英国区</v>
      </c>
      <c r="B816" s="19" t="str">
        <v>伯明翰15号仓</v>
      </c>
      <c r="C816" s="19" t="str">
        <v>拣货组</v>
      </c>
      <c r="D816" s="21" t="n">
        <v>46196</v>
      </c>
      <c r="E816" s="19" t="str">
        <v>2026-06</v>
      </c>
      <c r="F816" s="19" t="str">
        <v>操作员</v>
      </c>
      <c r="G816" s="19" t="str">
        <v>英国区09:00-17:30 / UK 09:00-17:30</v>
      </c>
      <c r="H816" s="23" t="n">
        <v>3</v>
      </c>
      <c r="I816" s="23" t="n">
        <v>0</v>
      </c>
      <c r="J816" s="23" t="n">
        <f>H816+I816</f>
        <v>3</v>
      </c>
      <c r="K816" s="23" t="n">
        <v>3</v>
      </c>
      <c r="L816" s="23" t="n">
        <v>3</v>
      </c>
      <c r="M816" s="23" t="n">
        <f>MIN(K816,J816)</f>
        <v>3</v>
      </c>
      <c r="N816" s="23" t="n">
        <f>MIN(L816,J816)</f>
        <v>3</v>
      </c>
      <c r="O816" s="25" t="n">
        <f>IF(K816=0,0,MIN(1,J816/K816))</f>
        <v>1</v>
      </c>
      <c r="P816" s="23" t="n">
        <f>IF(J816&gt;0,MAX(K816-J816,0),0)</f>
        <v>0</v>
      </c>
      <c r="Q816" s="23" t="n">
        <f>IF(J816=0,K816,0)</f>
        <v>0</v>
      </c>
      <c r="R816" s="23" t="n">
        <f>MAX(J816-K816,0)</f>
        <v>0</v>
      </c>
      <c r="S816" s="23" t="n">
        <f>IF(J816&gt;0,MAX(L816-J816,0),L816)</f>
        <v>0</v>
      </c>
    </row>
    <row r="817">
      <c r="A817" s="19" t="str">
        <v>英国区</v>
      </c>
      <c r="B817" s="19" t="str">
        <v>伯明翰15号仓</v>
      </c>
      <c r="C817" s="19" t="str">
        <v>拣货组</v>
      </c>
      <c r="D817" s="21" t="n">
        <v>46198</v>
      </c>
      <c r="E817" s="19" t="str">
        <v>2026-06</v>
      </c>
      <c r="F817" s="19" t="str">
        <v>操作员</v>
      </c>
      <c r="G817" s="19" t="str">
        <v>英国区11:00-19:30 / UK 11:00-19:30</v>
      </c>
      <c r="H817" s="23" t="n">
        <v>1</v>
      </c>
      <c r="I817" s="23" t="n">
        <v>0</v>
      </c>
      <c r="J817" s="23" t="n">
        <f>H817+I817</f>
        <v>1</v>
      </c>
      <c r="K817" s="23" t="n">
        <v>1</v>
      </c>
      <c r="L817" s="23" t="n">
        <v>1</v>
      </c>
      <c r="M817" s="23" t="n">
        <f>MIN(K817,J817)</f>
        <v>1</v>
      </c>
      <c r="N817" s="23" t="n">
        <f>MIN(L817,J817)</f>
        <v>1</v>
      </c>
      <c r="O817" s="25" t="n">
        <f>IF(K817=0,0,MIN(1,J817/K817))</f>
        <v>1</v>
      </c>
      <c r="P817" s="23" t="n">
        <f>IF(J817&gt;0,MAX(K817-J817,0),0)</f>
        <v>0</v>
      </c>
      <c r="Q817" s="23" t="n">
        <f>IF(J817=0,K817,0)</f>
        <v>0</v>
      </c>
      <c r="R817" s="23" t="n">
        <f>MAX(J817-K817,0)</f>
        <v>0</v>
      </c>
      <c r="S817" s="23" t="n">
        <f>IF(J817&gt;0,MAX(L817-J817,0),L817)</f>
        <v>0</v>
      </c>
    </row>
    <row r="818">
      <c r="A818" s="19" t="str">
        <v>英国区</v>
      </c>
      <c r="B818" s="19" t="str">
        <v>伯明翰15号仓</v>
      </c>
      <c r="C818" s="19" t="str">
        <v>拣货组</v>
      </c>
      <c r="D818" s="21" t="n">
        <v>46199</v>
      </c>
      <c r="E818" s="19" t="str">
        <v>2026-06</v>
      </c>
      <c r="F818" s="19" t="str">
        <v>操作员</v>
      </c>
      <c r="G818" s="19" t="str">
        <v>英国区09:00-17:30 / UK 09:00-17:30</v>
      </c>
      <c r="H818" s="23" t="n">
        <v>2</v>
      </c>
      <c r="I818" s="23" t="n">
        <v>0</v>
      </c>
      <c r="J818" s="23" t="n">
        <f>H818+I818</f>
        <v>2</v>
      </c>
      <c r="K818" s="23" t="n">
        <v>2</v>
      </c>
      <c r="L818" s="23" t="n">
        <v>2</v>
      </c>
      <c r="M818" s="23" t="n">
        <f>MIN(K818,J818)</f>
        <v>2</v>
      </c>
      <c r="N818" s="23" t="n">
        <f>MIN(L818,J818)</f>
        <v>2</v>
      </c>
      <c r="O818" s="25" t="n">
        <f>IF(K818=0,0,MIN(1,J818/K818))</f>
        <v>1</v>
      </c>
      <c r="P818" s="23" t="n">
        <f>IF(J818&gt;0,MAX(K818-J818,0),0)</f>
        <v>0</v>
      </c>
      <c r="Q818" s="23" t="n">
        <f>IF(J818=0,K818,0)</f>
        <v>0</v>
      </c>
      <c r="R818" s="23" t="n">
        <f>MAX(J818-K818,0)</f>
        <v>0</v>
      </c>
      <c r="S818" s="23" t="n">
        <f>IF(J818&gt;0,MAX(L818-J818,0),L818)</f>
        <v>0</v>
      </c>
    </row>
    <row r="819">
      <c r="A819" s="19" t="str">
        <v>英国区</v>
      </c>
      <c r="B819" s="19" t="str">
        <v>伯明翰15号仓</v>
      </c>
      <c r="C819" s="19" t="str">
        <v>拣货组</v>
      </c>
      <c r="D819" s="21" t="n">
        <v>46199</v>
      </c>
      <c r="E819" s="19" t="str">
        <v>2026-06</v>
      </c>
      <c r="F819" s="19" t="str">
        <v>操作员</v>
      </c>
      <c r="G819" s="19" t="str">
        <v>英国区11:00-19:30 / UK 11:00-19:30</v>
      </c>
      <c r="H819" s="23" t="n">
        <v>2</v>
      </c>
      <c r="I819" s="23" t="n">
        <v>0</v>
      </c>
      <c r="J819" s="23" t="n">
        <f>H819+I819</f>
        <v>2</v>
      </c>
      <c r="K819" s="23" t="n">
        <v>2</v>
      </c>
      <c r="L819" s="23" t="n">
        <v>2</v>
      </c>
      <c r="M819" s="23" t="n">
        <f>MIN(K819,J819)</f>
        <v>2</v>
      </c>
      <c r="N819" s="23" t="n">
        <f>MIN(L819,J819)</f>
        <v>2</v>
      </c>
      <c r="O819" s="25" t="n">
        <f>IF(K819=0,0,MIN(1,J819/K819))</f>
        <v>1</v>
      </c>
      <c r="P819" s="23" t="n">
        <f>IF(J819&gt;0,MAX(K819-J819,0),0)</f>
        <v>0</v>
      </c>
      <c r="Q819" s="23" t="n">
        <f>IF(J819=0,K819,0)</f>
        <v>0</v>
      </c>
      <c r="R819" s="23" t="n">
        <f>MAX(J819-K819,0)</f>
        <v>0</v>
      </c>
      <c r="S819" s="23" t="n">
        <f>IF(J819&gt;0,MAX(L819-J819,0),L819)</f>
        <v>0</v>
      </c>
    </row>
    <row r="820">
      <c r="A820" s="19" t="str">
        <v>英国区</v>
      </c>
      <c r="B820" s="19" t="str">
        <v>伯明翰15号仓</v>
      </c>
      <c r="C820" s="19" t="str">
        <v>拣货组</v>
      </c>
      <c r="D820" s="21" t="n">
        <v>46202</v>
      </c>
      <c r="E820" s="19" t="str">
        <v>2026-06</v>
      </c>
      <c r="F820" s="19" t="str">
        <v>操作员</v>
      </c>
      <c r="G820" s="19" t="str">
        <v>英国区09:00-17:30 / UK 09:00-17:30</v>
      </c>
      <c r="H820" s="23" t="n">
        <v>4</v>
      </c>
      <c r="I820" s="23" t="n">
        <v>0</v>
      </c>
      <c r="J820" s="23" t="n">
        <f>H820+I820</f>
        <v>4</v>
      </c>
      <c r="K820" s="23" t="n">
        <v>4</v>
      </c>
      <c r="L820" s="23" t="n">
        <v>4</v>
      </c>
      <c r="M820" s="23" t="n">
        <f>MIN(K820,J820)</f>
        <v>4</v>
      </c>
      <c r="N820" s="23" t="n">
        <f>MIN(L820,J820)</f>
        <v>4</v>
      </c>
      <c r="O820" s="25" t="n">
        <f>IF(K820=0,0,MIN(1,J820/K820))</f>
        <v>1</v>
      </c>
      <c r="P820" s="23" t="n">
        <f>IF(J820&gt;0,MAX(K820-J820,0),0)</f>
        <v>0</v>
      </c>
      <c r="Q820" s="23" t="n">
        <f>IF(J820=0,K820,0)</f>
        <v>0</v>
      </c>
      <c r="R820" s="23" t="n">
        <f>MAX(J820-K820,0)</f>
        <v>0</v>
      </c>
      <c r="S820" s="23" t="n">
        <f>IF(J820&gt;0,MAX(L820-J820,0),L820)</f>
        <v>0</v>
      </c>
    </row>
    <row r="821">
      <c r="A821" s="19" t="str">
        <v>英国区</v>
      </c>
      <c r="B821" s="19" t="str">
        <v>伯明翰15号仓</v>
      </c>
      <c r="C821" s="19" t="str">
        <v>拣货组</v>
      </c>
      <c r="D821" s="21" t="n">
        <v>46203</v>
      </c>
      <c r="E821" s="19" t="str">
        <v>2026-06</v>
      </c>
      <c r="F821" s="19" t="str">
        <v>操作员</v>
      </c>
      <c r="G821" s="19" t="str">
        <v>英国区09:00-17:30 / UK 09:00-17:30</v>
      </c>
      <c r="H821" s="23" t="n">
        <v>2</v>
      </c>
      <c r="I821" s="23" t="n">
        <v>0</v>
      </c>
      <c r="J821" s="23" t="n">
        <f>H821+I821</f>
        <v>2</v>
      </c>
      <c r="K821" s="23" t="n">
        <v>2</v>
      </c>
      <c r="L821" s="23" t="n">
        <v>2</v>
      </c>
      <c r="M821" s="23" t="n">
        <f>MIN(K821,J821)</f>
        <v>2</v>
      </c>
      <c r="N821" s="23" t="n">
        <f>MIN(L821,J821)</f>
        <v>2</v>
      </c>
      <c r="O821" s="25" t="n">
        <f>IF(K821=0,0,MIN(1,J821/K821))</f>
        <v>1</v>
      </c>
      <c r="P821" s="23" t="n">
        <f>IF(J821&gt;0,MAX(K821-J821,0),0)</f>
        <v>0</v>
      </c>
      <c r="Q821" s="23" t="n">
        <f>IF(J821=0,K821,0)</f>
        <v>0</v>
      </c>
      <c r="R821" s="23" t="n">
        <f>MAX(J821-K821,0)</f>
        <v>0</v>
      </c>
      <c r="S821" s="23" t="n">
        <f>IF(J821&gt;0,MAX(L821-J821,0),L821)</f>
        <v>0</v>
      </c>
    </row>
    <row r="822">
      <c r="A822" s="19" t="str">
        <v>英国区</v>
      </c>
      <c r="B822" s="19" t="str">
        <v>伯明翰15号仓</v>
      </c>
      <c r="C822" s="19" t="str">
        <v>理货组</v>
      </c>
      <c r="D822" s="21" t="n">
        <v>46141</v>
      </c>
      <c r="E822" s="19" t="str">
        <v>2026-04</v>
      </c>
      <c r="F822" s="19" t="str">
        <v>操作员</v>
      </c>
      <c r="G822" s="19" t="str">
        <v>英国区10:00-18:30 / UK 10:00-18:30</v>
      </c>
      <c r="H822" s="23" t="n">
        <v>1</v>
      </c>
      <c r="I822" s="23" t="n">
        <v>0</v>
      </c>
      <c r="J822" s="23" t="n">
        <f>H822+I822</f>
        <v>1</v>
      </c>
      <c r="K822" s="23" t="n">
        <v>1</v>
      </c>
      <c r="L822" s="23" t="n">
        <v>1</v>
      </c>
      <c r="M822" s="23" t="n">
        <f>MIN(K822,J822)</f>
        <v>1</v>
      </c>
      <c r="N822" s="23" t="n">
        <f>MIN(L822,J822)</f>
        <v>1</v>
      </c>
      <c r="O822" s="25" t="n">
        <f>IF(K822=0,0,MIN(1,J822/K822))</f>
        <v>1</v>
      </c>
      <c r="P822" s="23" t="n">
        <f>IF(J822&gt;0,MAX(K822-J822,0),0)</f>
        <v>0</v>
      </c>
      <c r="Q822" s="23" t="n">
        <f>IF(J822=0,K822,0)</f>
        <v>0</v>
      </c>
      <c r="R822" s="23" t="n">
        <f>MAX(J822-K822,0)</f>
        <v>0</v>
      </c>
      <c r="S822" s="23" t="n">
        <f>IF(J822&gt;0,MAX(L822-J822,0),L822)</f>
        <v>0</v>
      </c>
    </row>
    <row r="823">
      <c r="A823" s="19" t="str">
        <v>英国区</v>
      </c>
      <c r="B823" s="19" t="str">
        <v>伯明翰16号仓</v>
      </c>
      <c r="C823" s="19" t="str">
        <v>入库组</v>
      </c>
      <c r="D823" s="21" t="n">
        <v>46114</v>
      </c>
      <c r="E823" s="19" t="str">
        <v>2026-04</v>
      </c>
      <c r="F823" s="19" t="str">
        <v>操作员</v>
      </c>
      <c r="G823" s="19" t="str">
        <v>英国区08:00-16:30 / UK 08:00-16:30</v>
      </c>
      <c r="H823" s="23" t="n">
        <v>4</v>
      </c>
      <c r="I823" s="23" t="n">
        <v>0</v>
      </c>
      <c r="J823" s="23" t="n">
        <f>H823+I823</f>
        <v>4</v>
      </c>
      <c r="K823" s="23" t="n">
        <v>4</v>
      </c>
      <c r="L823" s="23" t="n">
        <v>4</v>
      </c>
      <c r="M823" s="23" t="n">
        <f>MIN(K823,J823)</f>
        <v>4</v>
      </c>
      <c r="N823" s="23" t="n">
        <f>MIN(L823,J823)</f>
        <v>4</v>
      </c>
      <c r="O823" s="25" t="n">
        <f>IF(K823=0,0,MIN(1,J823/K823))</f>
        <v>1</v>
      </c>
      <c r="P823" s="23" t="n">
        <f>IF(J823&gt;0,MAX(K823-J823,0),0)</f>
        <v>0</v>
      </c>
      <c r="Q823" s="23" t="n">
        <f>IF(J823=0,K823,0)</f>
        <v>0</v>
      </c>
      <c r="R823" s="23" t="n">
        <f>MAX(J823-K823,0)</f>
        <v>0</v>
      </c>
      <c r="S823" s="23" t="n">
        <f>IF(J823&gt;0,MAX(L823-J823,0),L823)</f>
        <v>0</v>
      </c>
    </row>
    <row r="824">
      <c r="A824" s="19" t="str">
        <v>英国区</v>
      </c>
      <c r="B824" s="19" t="str">
        <v>伯明翰16号仓</v>
      </c>
      <c r="C824" s="19" t="str">
        <v>入库组</v>
      </c>
      <c r="D824" s="21" t="n">
        <v>46114</v>
      </c>
      <c r="E824" s="19" t="str">
        <v>2026-04</v>
      </c>
      <c r="F824" s="19" t="str">
        <v>操作员</v>
      </c>
      <c r="G824" s="19" t="str">
        <v>英国区11:00-19:30 / UK 11:00-19:30</v>
      </c>
      <c r="H824" s="23" t="n">
        <v>2</v>
      </c>
      <c r="I824" s="23" t="n">
        <v>0</v>
      </c>
      <c r="J824" s="23" t="n">
        <f>H824+I824</f>
        <v>2</v>
      </c>
      <c r="K824" s="23" t="n">
        <v>2</v>
      </c>
      <c r="L824" s="23" t="n">
        <v>2</v>
      </c>
      <c r="M824" s="23" t="n">
        <f>MIN(K824,J824)</f>
        <v>2</v>
      </c>
      <c r="N824" s="23" t="n">
        <f>MIN(L824,J824)</f>
        <v>2</v>
      </c>
      <c r="O824" s="25" t="n">
        <f>IF(K824=0,0,MIN(1,J824/K824))</f>
        <v>1</v>
      </c>
      <c r="P824" s="23" t="n">
        <f>IF(J824&gt;0,MAX(K824-J824,0),0)</f>
        <v>0</v>
      </c>
      <c r="Q824" s="23" t="n">
        <f>IF(J824=0,K824,0)</f>
        <v>0</v>
      </c>
      <c r="R824" s="23" t="n">
        <f>MAX(J824-K824,0)</f>
        <v>0</v>
      </c>
      <c r="S824" s="23" t="n">
        <f>IF(J824&gt;0,MAX(L824-J824,0),L824)</f>
        <v>0</v>
      </c>
    </row>
    <row r="825">
      <c r="A825" s="19" t="str">
        <v>英国区</v>
      </c>
      <c r="B825" s="19" t="str">
        <v>伯明翰16号仓</v>
      </c>
      <c r="C825" s="19" t="str">
        <v>入库组</v>
      </c>
      <c r="D825" s="21" t="n">
        <v>46161</v>
      </c>
      <c r="E825" s="19" t="str">
        <v>2026-05</v>
      </c>
      <c r="F825" s="19" t="str">
        <v>操作员</v>
      </c>
      <c r="G825" s="19" t="str">
        <v>英国区09:00-17:30 / UK 09:00-17:30</v>
      </c>
      <c r="H825" s="23" t="n">
        <v>2</v>
      </c>
      <c r="I825" s="23" t="n">
        <v>0</v>
      </c>
      <c r="J825" s="23" t="n">
        <f>H825+I825</f>
        <v>2</v>
      </c>
      <c r="K825" s="23" t="n">
        <v>2</v>
      </c>
      <c r="L825" s="23" t="n">
        <v>2</v>
      </c>
      <c r="M825" s="23" t="n">
        <f>MIN(K825,J825)</f>
        <v>2</v>
      </c>
      <c r="N825" s="23" t="n">
        <f>MIN(L825,J825)</f>
        <v>2</v>
      </c>
      <c r="O825" s="25" t="n">
        <f>IF(K825=0,0,MIN(1,J825/K825))</f>
        <v>1</v>
      </c>
      <c r="P825" s="23" t="n">
        <f>IF(J825&gt;0,MAX(K825-J825,0),0)</f>
        <v>0</v>
      </c>
      <c r="Q825" s="23" t="n">
        <f>IF(J825=0,K825,0)</f>
        <v>0</v>
      </c>
      <c r="R825" s="23" t="n">
        <f>MAX(J825-K825,0)</f>
        <v>0</v>
      </c>
      <c r="S825" s="23" t="n">
        <f>IF(J825&gt;0,MAX(L825-J825,0),L825)</f>
        <v>0</v>
      </c>
    </row>
    <row r="826">
      <c r="A826" s="19" t="str">
        <v>英国区</v>
      </c>
      <c r="B826" s="19" t="str">
        <v>伯明翰16号仓</v>
      </c>
      <c r="C826" s="19" t="str">
        <v>入库组</v>
      </c>
      <c r="D826" s="21" t="n">
        <v>46162</v>
      </c>
      <c r="E826" s="19" t="str">
        <v>2026-05</v>
      </c>
      <c r="F826" s="19" t="str">
        <v>操作员</v>
      </c>
      <c r="G826" s="19" t="str">
        <v>英国区09:00-17:30 / UK 09:00-17:30</v>
      </c>
      <c r="H826" s="23" t="n">
        <v>2</v>
      </c>
      <c r="I826" s="23" t="n">
        <v>0</v>
      </c>
      <c r="J826" s="23" t="n">
        <f>H826+I826</f>
        <v>2</v>
      </c>
      <c r="K826" s="23" t="n">
        <v>2</v>
      </c>
      <c r="L826" s="23" t="n">
        <v>2</v>
      </c>
      <c r="M826" s="23" t="n">
        <f>MIN(K826,J826)</f>
        <v>2</v>
      </c>
      <c r="N826" s="23" t="n">
        <f>MIN(L826,J826)</f>
        <v>2</v>
      </c>
      <c r="O826" s="25" t="n">
        <f>IF(K826=0,0,MIN(1,J826/K826))</f>
        <v>1</v>
      </c>
      <c r="P826" s="23" t="n">
        <f>IF(J826&gt;0,MAX(K826-J826,0),0)</f>
        <v>0</v>
      </c>
      <c r="Q826" s="23" t="n">
        <f>IF(J826=0,K826,0)</f>
        <v>0</v>
      </c>
      <c r="R826" s="23" t="n">
        <f>MAX(J826-K826,0)</f>
        <v>0</v>
      </c>
      <c r="S826" s="23" t="n">
        <f>IF(J826&gt;0,MAX(L826-J826,0),L826)</f>
        <v>0</v>
      </c>
    </row>
    <row r="827">
      <c r="A827" s="19" t="str">
        <v>英国区</v>
      </c>
      <c r="B827" s="19" t="str">
        <v>伯明翰16号仓</v>
      </c>
      <c r="C827" s="19" t="str">
        <v>入库组</v>
      </c>
      <c r="D827" s="21" t="n">
        <v>46163</v>
      </c>
      <c r="E827" s="19" t="str">
        <v>2026-05</v>
      </c>
      <c r="F827" s="19" t="str">
        <v>操作员</v>
      </c>
      <c r="G827" s="19" t="str">
        <v>英国区09:00-17:30 / UK 09:00-17:30</v>
      </c>
      <c r="H827" s="23" t="n">
        <v>2</v>
      </c>
      <c r="I827" s="23" t="n">
        <v>0</v>
      </c>
      <c r="J827" s="23" t="n">
        <f>H827+I827</f>
        <v>2</v>
      </c>
      <c r="K827" s="23" t="n">
        <v>2</v>
      </c>
      <c r="L827" s="23" t="n">
        <v>2</v>
      </c>
      <c r="M827" s="23" t="n">
        <f>MIN(K827,J827)</f>
        <v>2</v>
      </c>
      <c r="N827" s="23" t="n">
        <f>MIN(L827,J827)</f>
        <v>2</v>
      </c>
      <c r="O827" s="25" t="n">
        <f>IF(K827=0,0,MIN(1,J827/K827))</f>
        <v>1</v>
      </c>
      <c r="P827" s="23" t="n">
        <f>IF(J827&gt;0,MAX(K827-J827,0),0)</f>
        <v>0</v>
      </c>
      <c r="Q827" s="23" t="n">
        <f>IF(J827=0,K827,0)</f>
        <v>0</v>
      </c>
      <c r="R827" s="23" t="n">
        <f>MAX(J827-K827,0)</f>
        <v>0</v>
      </c>
      <c r="S827" s="23" t="n">
        <f>IF(J827&gt;0,MAX(L827-J827,0),L827)</f>
        <v>0</v>
      </c>
    </row>
    <row r="828">
      <c r="A828" s="19" t="str">
        <v>英国区</v>
      </c>
      <c r="B828" s="19" t="str">
        <v>伯明翰16号仓</v>
      </c>
      <c r="C828" s="19" t="str">
        <v>入库组</v>
      </c>
      <c r="D828" s="21" t="n">
        <v>46164</v>
      </c>
      <c r="E828" s="19" t="str">
        <v>2026-05</v>
      </c>
      <c r="F828" s="19" t="str">
        <v>操作员</v>
      </c>
      <c r="G828" s="19" t="str">
        <v>英国区09:00-17:30 / UK 09:00-17:30</v>
      </c>
      <c r="H828" s="23" t="n">
        <v>2</v>
      </c>
      <c r="I828" s="23" t="n">
        <v>0</v>
      </c>
      <c r="J828" s="23" t="n">
        <f>H828+I828</f>
        <v>2</v>
      </c>
      <c r="K828" s="23" t="n">
        <v>2</v>
      </c>
      <c r="L828" s="23" t="n">
        <v>1</v>
      </c>
      <c r="M828" s="23" t="n">
        <f>MIN(K828,J828)</f>
        <v>2</v>
      </c>
      <c r="N828" s="23" t="n">
        <f>MIN(L828,J828)</f>
        <v>1</v>
      </c>
      <c r="O828" s="25" t="n">
        <f>IF(K828=0,0,MIN(1,J828/K828))</f>
        <v>1</v>
      </c>
      <c r="P828" s="23" t="n">
        <f>IF(J828&gt;0,MAX(K828-J828,0),0)</f>
        <v>0</v>
      </c>
      <c r="Q828" s="23" t="n">
        <f>IF(J828=0,K828,0)</f>
        <v>0</v>
      </c>
      <c r="R828" s="23" t="n">
        <f>MAX(J828-K828,0)</f>
        <v>0</v>
      </c>
      <c r="S828" s="23" t="n">
        <f>IF(J828&gt;0,MAX(L828-J828,0),L828)</f>
        <v>0</v>
      </c>
    </row>
    <row r="829">
      <c r="A829" s="19" t="str">
        <v>英国区</v>
      </c>
      <c r="B829" s="19" t="str">
        <v>伯明翰16号仓</v>
      </c>
      <c r="C829" s="19" t="str">
        <v>入库组</v>
      </c>
      <c r="D829" s="21" t="n">
        <v>46183</v>
      </c>
      <c r="E829" s="19" t="str">
        <v>2026-06</v>
      </c>
      <c r="F829" s="19" t="str">
        <v>操作员</v>
      </c>
      <c r="G829" s="19" t="str">
        <v>英国区11:00-19:30 / UK 11:00-19:30</v>
      </c>
      <c r="H829" s="23" t="n">
        <v>2</v>
      </c>
      <c r="I829" s="23" t="n">
        <v>0</v>
      </c>
      <c r="J829" s="23" t="n">
        <f>H829+I829</f>
        <v>2</v>
      </c>
      <c r="K829" s="23" t="n">
        <v>2</v>
      </c>
      <c r="L829" s="23" t="n">
        <v>2</v>
      </c>
      <c r="M829" s="23" t="n">
        <f>MIN(K829,J829)</f>
        <v>2</v>
      </c>
      <c r="N829" s="23" t="n">
        <f>MIN(L829,J829)</f>
        <v>2</v>
      </c>
      <c r="O829" s="25" t="n">
        <f>IF(K829=0,0,MIN(1,J829/K829))</f>
        <v>1</v>
      </c>
      <c r="P829" s="23" t="n">
        <f>IF(J829&gt;0,MAX(K829-J829,0),0)</f>
        <v>0</v>
      </c>
      <c r="Q829" s="23" t="n">
        <f>IF(J829=0,K829,0)</f>
        <v>0</v>
      </c>
      <c r="R829" s="23" t="n">
        <f>MAX(J829-K829,0)</f>
        <v>0</v>
      </c>
      <c r="S829" s="23" t="n">
        <f>IF(J829&gt;0,MAX(L829-J829,0),L829)</f>
        <v>0</v>
      </c>
    </row>
    <row r="830">
      <c r="A830" s="19" t="str">
        <v>英国区</v>
      </c>
      <c r="B830" s="19" t="str">
        <v>伯明翰16号仓</v>
      </c>
      <c r="C830" s="19" t="str">
        <v>入库组</v>
      </c>
      <c r="D830" s="21" t="n">
        <v>46188</v>
      </c>
      <c r="E830" s="19" t="str">
        <v>2026-06</v>
      </c>
      <c r="F830" s="19" t="str">
        <v>操作员</v>
      </c>
      <c r="G830" s="19" t="str">
        <v>英国区07:00-15:30 / UK 07:00-15:30</v>
      </c>
      <c r="H830" s="23" t="n">
        <v>1</v>
      </c>
      <c r="I830" s="23" t="n">
        <v>0</v>
      </c>
      <c r="J830" s="23" t="n">
        <f>H830+I830</f>
        <v>1</v>
      </c>
      <c r="K830" s="23" t="n">
        <v>1</v>
      </c>
      <c r="L830" s="23" t="n">
        <v>1</v>
      </c>
      <c r="M830" s="23" t="n">
        <f>MIN(K830,J830)</f>
        <v>1</v>
      </c>
      <c r="N830" s="23" t="n">
        <f>MIN(L830,J830)</f>
        <v>1</v>
      </c>
      <c r="O830" s="25" t="n">
        <f>IF(K830=0,0,MIN(1,J830/K830))</f>
        <v>1</v>
      </c>
      <c r="P830" s="23" t="n">
        <f>IF(J830&gt;0,MAX(K830-J830,0),0)</f>
        <v>0</v>
      </c>
      <c r="Q830" s="23" t="n">
        <f>IF(J830=0,K830,0)</f>
        <v>0</v>
      </c>
      <c r="R830" s="23" t="n">
        <f>MAX(J830-K830,0)</f>
        <v>0</v>
      </c>
      <c r="S830" s="23" t="n">
        <f>IF(J830&gt;0,MAX(L830-J830,0),L830)</f>
        <v>0</v>
      </c>
    </row>
    <row r="831">
      <c r="A831" s="19" t="str">
        <v>英国区</v>
      </c>
      <c r="B831" s="19" t="str">
        <v>伯明翰16号仓</v>
      </c>
      <c r="C831" s="19" t="str">
        <v>入库组</v>
      </c>
      <c r="D831" s="21" t="n">
        <v>46190</v>
      </c>
      <c r="E831" s="19" t="str">
        <v>2026-06</v>
      </c>
      <c r="F831" s="19" t="str">
        <v>操作员</v>
      </c>
      <c r="G831" s="19" t="str">
        <v>英国区09:00-17:30 / UK 09:00-17:30</v>
      </c>
      <c r="H831" s="23" t="n">
        <v>2</v>
      </c>
      <c r="I831" s="23" t="n">
        <v>0</v>
      </c>
      <c r="J831" s="23" t="n">
        <f>H831+I831</f>
        <v>2</v>
      </c>
      <c r="K831" s="23" t="n">
        <v>2</v>
      </c>
      <c r="L831" s="23" t="n">
        <v>2</v>
      </c>
      <c r="M831" s="23" t="n">
        <f>MIN(K831,J831)</f>
        <v>2</v>
      </c>
      <c r="N831" s="23" t="n">
        <f>MIN(L831,J831)</f>
        <v>2</v>
      </c>
      <c r="O831" s="25" t="n">
        <f>IF(K831=0,0,MIN(1,J831/K831))</f>
        <v>1</v>
      </c>
      <c r="P831" s="23" t="n">
        <f>IF(J831&gt;0,MAX(K831-J831,0),0)</f>
        <v>0</v>
      </c>
      <c r="Q831" s="23" t="n">
        <f>IF(J831=0,K831,0)</f>
        <v>0</v>
      </c>
      <c r="R831" s="23" t="n">
        <f>MAX(J831-K831,0)</f>
        <v>0</v>
      </c>
      <c r="S831" s="23" t="n">
        <f>IF(J831&gt;0,MAX(L831-J831,0),L831)</f>
        <v>0</v>
      </c>
    </row>
    <row r="832">
      <c r="A832" s="19" t="str">
        <v>英国区</v>
      </c>
      <c r="B832" s="19" t="str">
        <v>伯明翰16号仓</v>
      </c>
      <c r="C832" s="19" t="str">
        <v>入库组</v>
      </c>
      <c r="D832" s="21" t="n">
        <v>46191</v>
      </c>
      <c r="E832" s="19" t="str">
        <v>2026-06</v>
      </c>
      <c r="F832" s="19" t="str">
        <v>操作员</v>
      </c>
      <c r="G832" s="19" t="str">
        <v>英国区07:00-15:30 / UK 07:00-15:30</v>
      </c>
      <c r="H832" s="23" t="n">
        <v>1</v>
      </c>
      <c r="I832" s="23" t="n">
        <v>0</v>
      </c>
      <c r="J832" s="23" t="n">
        <f>H832+I832</f>
        <v>1</v>
      </c>
      <c r="K832" s="23" t="n">
        <v>1</v>
      </c>
      <c r="L832" s="23" t="n">
        <v>1</v>
      </c>
      <c r="M832" s="23" t="n">
        <f>MIN(K832,J832)</f>
        <v>1</v>
      </c>
      <c r="N832" s="23" t="n">
        <f>MIN(L832,J832)</f>
        <v>1</v>
      </c>
      <c r="O832" s="25" t="n">
        <f>IF(K832=0,0,MIN(1,J832/K832))</f>
        <v>1</v>
      </c>
      <c r="P832" s="23" t="n">
        <f>IF(J832&gt;0,MAX(K832-J832,0),0)</f>
        <v>0</v>
      </c>
      <c r="Q832" s="23" t="n">
        <f>IF(J832=0,K832,0)</f>
        <v>0</v>
      </c>
      <c r="R832" s="23" t="n">
        <f>MAX(J832-K832,0)</f>
        <v>0</v>
      </c>
      <c r="S832" s="23" t="n">
        <f>IF(J832&gt;0,MAX(L832-J832,0),L832)</f>
        <v>0</v>
      </c>
    </row>
    <row r="833">
      <c r="A833" s="19" t="str">
        <v>英国区</v>
      </c>
      <c r="B833" s="19" t="str">
        <v>伯明翰16号仓</v>
      </c>
      <c r="C833" s="19" t="str">
        <v>入库组</v>
      </c>
      <c r="D833" s="21" t="n">
        <v>46191</v>
      </c>
      <c r="E833" s="19" t="str">
        <v>2026-06</v>
      </c>
      <c r="F833" s="19" t="str">
        <v>操作员</v>
      </c>
      <c r="G833" s="19" t="str">
        <v>英国区09:00-17:30 / UK 09:00-17:30</v>
      </c>
      <c r="H833" s="23" t="n">
        <v>2</v>
      </c>
      <c r="I833" s="23" t="n">
        <v>0</v>
      </c>
      <c r="J833" s="23" t="n">
        <f>H833+I833</f>
        <v>2</v>
      </c>
      <c r="K833" s="23" t="n">
        <v>2</v>
      </c>
      <c r="L833" s="23" t="n">
        <v>2</v>
      </c>
      <c r="M833" s="23" t="n">
        <f>MIN(K833,J833)</f>
        <v>2</v>
      </c>
      <c r="N833" s="23" t="n">
        <f>MIN(L833,J833)</f>
        <v>2</v>
      </c>
      <c r="O833" s="25" t="n">
        <f>IF(K833=0,0,MIN(1,J833/K833))</f>
        <v>1</v>
      </c>
      <c r="P833" s="23" t="n">
        <f>IF(J833&gt;0,MAX(K833-J833,0),0)</f>
        <v>0</v>
      </c>
      <c r="Q833" s="23" t="n">
        <f>IF(J833=0,K833,0)</f>
        <v>0</v>
      </c>
      <c r="R833" s="23" t="n">
        <f>MAX(J833-K833,0)</f>
        <v>0</v>
      </c>
      <c r="S833" s="23" t="n">
        <f>IF(J833&gt;0,MAX(L833-J833,0),L833)</f>
        <v>0</v>
      </c>
    </row>
    <row r="834">
      <c r="A834" s="19" t="str">
        <v>英国区</v>
      </c>
      <c r="B834" s="19" t="str">
        <v>伯明翰18号仓(SN)</v>
      </c>
      <c r="C834" s="19" t="str">
        <v>云途组</v>
      </c>
      <c r="D834" s="21" t="n">
        <v>46126</v>
      </c>
      <c r="E834" s="19" t="str">
        <v>2026-04</v>
      </c>
      <c r="F834" s="19" t="str">
        <v>操作员</v>
      </c>
      <c r="G834" s="19" t="str">
        <v>英国区07:00-15:30 / UK 07:00-15:30</v>
      </c>
      <c r="H834" s="23" t="n">
        <v>5</v>
      </c>
      <c r="I834" s="23" t="n">
        <v>0</v>
      </c>
      <c r="J834" s="23" t="n">
        <f>H834+I834</f>
        <v>5</v>
      </c>
      <c r="K834" s="23" t="n">
        <v>2</v>
      </c>
      <c r="L834" s="23" t="n">
        <v>0</v>
      </c>
      <c r="M834" s="23" t="n">
        <f>MIN(K834,J834)</f>
        <v>2</v>
      </c>
      <c r="N834" s="23" t="n">
        <f>MIN(L834,J834)</f>
        <v>0</v>
      </c>
      <c r="O834" s="25" t="n">
        <f>IF(K834=0,0,MIN(1,J834/K834))</f>
        <v>1</v>
      </c>
      <c r="P834" s="23" t="n">
        <f>IF(J834&gt;0,MAX(K834-J834,0),0)</f>
        <v>0</v>
      </c>
      <c r="Q834" s="23" t="n">
        <f>IF(J834=0,K834,0)</f>
        <v>0</v>
      </c>
      <c r="R834" s="23" t="n">
        <f>MAX(J834-K834,0)</f>
        <v>3</v>
      </c>
      <c r="S834" s="23" t="n">
        <f>IF(J834&gt;0,MAX(L834-J834,0),L834)</f>
        <v>0</v>
      </c>
    </row>
    <row r="835">
      <c r="A835" s="19" t="str">
        <v>英国区</v>
      </c>
      <c r="B835" s="19" t="str">
        <v>伯明翰18号仓(SN)</v>
      </c>
      <c r="C835" s="19" t="str">
        <v>质检组</v>
      </c>
      <c r="D835" s="21" t="n">
        <v>46113</v>
      </c>
      <c r="E835" s="19" t="str">
        <v>2026-04</v>
      </c>
      <c r="F835" s="19" t="str">
        <v>操作员</v>
      </c>
      <c r="G835" s="19" t="str">
        <v>英国灵活（6小时扣午休） / UK FLEX (6-HR LUNCH BREAK DEDUCTED)</v>
      </c>
      <c r="H835" s="23" t="n">
        <v>8</v>
      </c>
      <c r="I835" s="23" t="n">
        <v>0</v>
      </c>
      <c r="J835" s="23" t="n">
        <f>H835+I835</f>
        <v>8</v>
      </c>
      <c r="K835" s="23" t="n">
        <v>8</v>
      </c>
      <c r="L835" s="23" t="n">
        <v>8</v>
      </c>
      <c r="M835" s="23" t="n">
        <f>MIN(K835,J835)</f>
        <v>8</v>
      </c>
      <c r="N835" s="23" t="n">
        <f>MIN(L835,J835)</f>
        <v>8</v>
      </c>
      <c r="O835" s="25" t="n">
        <f>IF(K835=0,0,MIN(1,J835/K835))</f>
        <v>1</v>
      </c>
      <c r="P835" s="23" t="n">
        <f>IF(J835&gt;0,MAX(K835-J835,0),0)</f>
        <v>0</v>
      </c>
      <c r="Q835" s="23" t="n">
        <f>IF(J835=0,K835,0)</f>
        <v>0</v>
      </c>
      <c r="R835" s="23" t="n">
        <f>MAX(J835-K835,0)</f>
        <v>0</v>
      </c>
      <c r="S835" s="23" t="n">
        <f>IF(J835&gt;0,MAX(L835-J835,0),L835)</f>
        <v>0</v>
      </c>
    </row>
    <row r="836">
      <c r="A836" s="19" t="str">
        <v>英国区</v>
      </c>
      <c r="B836" s="19" t="str">
        <v>伯明翰18号仓(SN)</v>
      </c>
      <c r="C836" s="19" t="str">
        <v>质检组</v>
      </c>
      <c r="D836" s="21" t="n">
        <v>46115</v>
      </c>
      <c r="E836" s="19" t="str">
        <v>2026-04</v>
      </c>
      <c r="F836" s="19" t="str">
        <v>操作员</v>
      </c>
      <c r="G836" s="19" t="str">
        <v>英国灵活（6小时扣午休） / UK FLEX (6-HR LUNCH BREAK DEDUCTED)</v>
      </c>
      <c r="H836" s="23" t="n">
        <v>8</v>
      </c>
      <c r="I836" s="23" t="n">
        <v>0</v>
      </c>
      <c r="J836" s="23" t="n">
        <f>H836+I836</f>
        <v>8</v>
      </c>
      <c r="K836" s="23" t="n">
        <v>8</v>
      </c>
      <c r="L836" s="23" t="n">
        <v>8</v>
      </c>
      <c r="M836" s="23" t="n">
        <f>MIN(K836,J836)</f>
        <v>8</v>
      </c>
      <c r="N836" s="23" t="n">
        <f>MIN(L836,J836)</f>
        <v>8</v>
      </c>
      <c r="O836" s="25" t="n">
        <f>IF(K836=0,0,MIN(1,J836/K836))</f>
        <v>1</v>
      </c>
      <c r="P836" s="23" t="n">
        <f>IF(J836&gt;0,MAX(K836-J836,0),0)</f>
        <v>0</v>
      </c>
      <c r="Q836" s="23" t="n">
        <f>IF(J836=0,K836,0)</f>
        <v>0</v>
      </c>
      <c r="R836" s="23" t="n">
        <f>MAX(J836-K836,0)</f>
        <v>0</v>
      </c>
      <c r="S836" s="23" t="n">
        <f>IF(J836&gt;0,MAX(L836-J836,0),L836)</f>
        <v>0</v>
      </c>
    </row>
    <row r="837">
      <c r="A837" s="19" t="str">
        <v>英国区</v>
      </c>
      <c r="B837" s="19" t="str">
        <v>伯明翰18号仓(SN)</v>
      </c>
      <c r="C837" s="19" t="str">
        <v>质检组</v>
      </c>
      <c r="D837" s="21" t="n">
        <v>46121</v>
      </c>
      <c r="E837" s="19" t="str">
        <v>2026-04</v>
      </c>
      <c r="F837" s="19" t="str">
        <v>操作员</v>
      </c>
      <c r="G837" s="19" t="str">
        <v>英国灵活（6小时扣午休） / UK FLEX (6-HR LUNCH BREAK DEDUCTED)</v>
      </c>
      <c r="H837" s="23" t="n">
        <v>8</v>
      </c>
      <c r="I837" s="23" t="n">
        <v>0</v>
      </c>
      <c r="J837" s="23" t="n">
        <f>H837+I837</f>
        <v>8</v>
      </c>
      <c r="K837" s="23" t="n">
        <v>8</v>
      </c>
      <c r="L837" s="23" t="n">
        <v>8</v>
      </c>
      <c r="M837" s="23" t="n">
        <f>MIN(K837,J837)</f>
        <v>8</v>
      </c>
      <c r="N837" s="23" t="n">
        <f>MIN(L837,J837)</f>
        <v>8</v>
      </c>
      <c r="O837" s="25" t="n">
        <f>IF(K837=0,0,MIN(1,J837/K837))</f>
        <v>1</v>
      </c>
      <c r="P837" s="23" t="n">
        <f>IF(J837&gt;0,MAX(K837-J837,0),0)</f>
        <v>0</v>
      </c>
      <c r="Q837" s="23" t="n">
        <f>IF(J837=0,K837,0)</f>
        <v>0</v>
      </c>
      <c r="R837" s="23" t="n">
        <f>MAX(J837-K837,0)</f>
        <v>0</v>
      </c>
      <c r="S837" s="23" t="n">
        <f>IF(J837&gt;0,MAX(L837-J837,0),L837)</f>
        <v>0</v>
      </c>
    </row>
    <row r="838">
      <c r="A838" s="19" t="str">
        <v>英国区</v>
      </c>
      <c r="B838" s="19" t="str">
        <v>伯明翰18号仓(SN)</v>
      </c>
      <c r="C838" s="19" t="str">
        <v>质检组</v>
      </c>
      <c r="D838" s="21" t="n">
        <v>46125</v>
      </c>
      <c r="E838" s="19" t="str">
        <v>2026-04</v>
      </c>
      <c r="F838" s="19" t="str">
        <v>操作员</v>
      </c>
      <c r="G838" s="19" t="str">
        <v>英国灵活（6小时扣午休） / UK FLEX (6-HR LUNCH BREAK DEDUCTED)</v>
      </c>
      <c r="H838" s="23" t="n">
        <v>12</v>
      </c>
      <c r="I838" s="23" t="n">
        <v>0</v>
      </c>
      <c r="J838" s="23" t="n">
        <f>H838+I838</f>
        <v>12</v>
      </c>
      <c r="K838" s="23" t="n">
        <v>12</v>
      </c>
      <c r="L838" s="23" t="n">
        <v>10</v>
      </c>
      <c r="M838" s="23" t="n">
        <f>MIN(K838,J838)</f>
        <v>12</v>
      </c>
      <c r="N838" s="23" t="n">
        <f>MIN(L838,J838)</f>
        <v>10</v>
      </c>
      <c r="O838" s="25" t="n">
        <f>IF(K838=0,0,MIN(1,J838/K838))</f>
        <v>1</v>
      </c>
      <c r="P838" s="23" t="n">
        <f>IF(J838&gt;0,MAX(K838-J838,0),0)</f>
        <v>0</v>
      </c>
      <c r="Q838" s="23" t="n">
        <f>IF(J838=0,K838,0)</f>
        <v>0</v>
      </c>
      <c r="R838" s="23" t="n">
        <f>MAX(J838-K838,0)</f>
        <v>0</v>
      </c>
      <c r="S838" s="23" t="n">
        <f>IF(J838&gt;0,MAX(L838-J838,0),L838)</f>
        <v>0</v>
      </c>
    </row>
    <row r="839">
      <c r="A839" s="19" t="str">
        <v>英国区</v>
      </c>
      <c r="B839" s="19" t="str">
        <v>伯明翰18号仓(SN)</v>
      </c>
      <c r="C839" s="19" t="str">
        <v>质检组</v>
      </c>
      <c r="D839" s="21" t="n">
        <v>46127</v>
      </c>
      <c r="E839" s="19" t="str">
        <v>2026-04</v>
      </c>
      <c r="F839" s="19" t="str">
        <v>操作员</v>
      </c>
      <c r="G839" s="19" t="str">
        <v>英国灵活（6小时扣午休） / UK FLEX (6-HR LUNCH BREAK DEDUCTED)</v>
      </c>
      <c r="H839" s="23" t="n">
        <v>12</v>
      </c>
      <c r="I839" s="23" t="n">
        <v>0</v>
      </c>
      <c r="J839" s="23" t="n">
        <f>H839+I839</f>
        <v>12</v>
      </c>
      <c r="K839" s="23" t="n">
        <v>12</v>
      </c>
      <c r="L839" s="23" t="n">
        <v>12</v>
      </c>
      <c r="M839" s="23" t="n">
        <f>MIN(K839,J839)</f>
        <v>12</v>
      </c>
      <c r="N839" s="23" t="n">
        <f>MIN(L839,J839)</f>
        <v>12</v>
      </c>
      <c r="O839" s="25" t="n">
        <f>IF(K839=0,0,MIN(1,J839/K839))</f>
        <v>1</v>
      </c>
      <c r="P839" s="23" t="n">
        <f>IF(J839&gt;0,MAX(K839-J839,0),0)</f>
        <v>0</v>
      </c>
      <c r="Q839" s="23" t="n">
        <f>IF(J839=0,K839,0)</f>
        <v>0</v>
      </c>
      <c r="R839" s="23" t="n">
        <f>MAX(J839-K839,0)</f>
        <v>0</v>
      </c>
      <c r="S839" s="23" t="n">
        <f>IF(J839&gt;0,MAX(L839-J839,0),L839)</f>
        <v>0</v>
      </c>
    </row>
    <row r="840">
      <c r="A840" s="19" t="str">
        <v>英国区</v>
      </c>
      <c r="B840" s="19" t="str">
        <v>伯明翰18号仓(SN)</v>
      </c>
      <c r="C840" s="19" t="str">
        <v>质检组</v>
      </c>
      <c r="D840" s="21" t="n">
        <v>46129</v>
      </c>
      <c r="E840" s="19" t="str">
        <v>2026-04</v>
      </c>
      <c r="F840" s="19" t="str">
        <v>操作员</v>
      </c>
      <c r="G840" s="19" t="str">
        <v>英国灵活（6小时扣午休） / UK FLEX (6-HR LUNCH BREAK DEDUCTED)</v>
      </c>
      <c r="H840" s="23" t="n">
        <v>1</v>
      </c>
      <c r="I840" s="23" t="n">
        <v>0</v>
      </c>
      <c r="J840" s="23" t="n">
        <f>H840+I840</f>
        <v>1</v>
      </c>
      <c r="K840" s="23" t="n">
        <v>1</v>
      </c>
      <c r="L840" s="23" t="n">
        <v>1</v>
      </c>
      <c r="M840" s="23" t="n">
        <f>MIN(K840,J840)</f>
        <v>1</v>
      </c>
      <c r="N840" s="23" t="n">
        <f>MIN(L840,J840)</f>
        <v>1</v>
      </c>
      <c r="O840" s="25" t="n">
        <f>IF(K840=0,0,MIN(1,J840/K840))</f>
        <v>1</v>
      </c>
      <c r="P840" s="23" t="n">
        <f>IF(J840&gt;0,MAX(K840-J840,0),0)</f>
        <v>0</v>
      </c>
      <c r="Q840" s="23" t="n">
        <f>IF(J840=0,K840,0)</f>
        <v>0</v>
      </c>
      <c r="R840" s="23" t="n">
        <f>MAX(J840-K840,0)</f>
        <v>0</v>
      </c>
      <c r="S840" s="23" t="n">
        <f>IF(J840&gt;0,MAX(L840-J840,0),L840)</f>
        <v>0</v>
      </c>
    </row>
    <row r="841">
      <c r="A841" s="19" t="str">
        <v>英国区</v>
      </c>
      <c r="B841" s="19" t="str">
        <v>伯明翰18号仓(SN)</v>
      </c>
      <c r="C841" s="19" t="str">
        <v>质检组</v>
      </c>
      <c r="D841" s="21" t="n">
        <v>46132</v>
      </c>
      <c r="E841" s="19" t="str">
        <v>2026-04</v>
      </c>
      <c r="F841" s="19" t="str">
        <v>操作员</v>
      </c>
      <c r="G841" s="19" t="str">
        <v>英国灵活（6小时扣午休） / UK FLEX (6-HR LUNCH BREAK DEDUCTED)</v>
      </c>
      <c r="H841" s="23" t="n">
        <v>14</v>
      </c>
      <c r="I841" s="23" t="n">
        <v>0</v>
      </c>
      <c r="J841" s="23" t="n">
        <f>H841+I841</f>
        <v>14</v>
      </c>
      <c r="K841" s="23" t="n">
        <v>14</v>
      </c>
      <c r="L841" s="23" t="n">
        <v>14</v>
      </c>
      <c r="M841" s="23" t="n">
        <f>MIN(K841,J841)</f>
        <v>14</v>
      </c>
      <c r="N841" s="23" t="n">
        <f>MIN(L841,J841)</f>
        <v>14</v>
      </c>
      <c r="O841" s="25" t="n">
        <f>IF(K841=0,0,MIN(1,J841/K841))</f>
        <v>1</v>
      </c>
      <c r="P841" s="23" t="n">
        <f>IF(J841&gt;0,MAX(K841-J841,0),0)</f>
        <v>0</v>
      </c>
      <c r="Q841" s="23" t="n">
        <f>IF(J841=0,K841,0)</f>
        <v>0</v>
      </c>
      <c r="R841" s="23" t="n">
        <f>MAX(J841-K841,0)</f>
        <v>0</v>
      </c>
      <c r="S841" s="23" t="n">
        <f>IF(J841&gt;0,MAX(L841-J841,0),L841)</f>
        <v>0</v>
      </c>
    </row>
    <row r="842">
      <c r="A842" s="19" t="str">
        <v>英国区</v>
      </c>
      <c r="B842" s="19" t="str">
        <v>伯明翰18号仓(SN)</v>
      </c>
      <c r="C842" s="19" t="str">
        <v>质检组</v>
      </c>
      <c r="D842" s="21" t="n">
        <v>46134</v>
      </c>
      <c r="E842" s="19" t="str">
        <v>2026-04</v>
      </c>
      <c r="F842" s="19" t="str">
        <v>操作员</v>
      </c>
      <c r="G842" s="19" t="str">
        <v>英国灵活（6小时扣午休） / UK FLEX (6-HR LUNCH BREAK DEDUCTED)</v>
      </c>
      <c r="H842" s="23" t="n">
        <v>15</v>
      </c>
      <c r="I842" s="23" t="n">
        <v>0</v>
      </c>
      <c r="J842" s="23" t="n">
        <f>H842+I842</f>
        <v>15</v>
      </c>
      <c r="K842" s="23" t="n">
        <v>15</v>
      </c>
      <c r="L842" s="23" t="n">
        <v>15</v>
      </c>
      <c r="M842" s="23" t="n">
        <f>MIN(K842,J842)</f>
        <v>15</v>
      </c>
      <c r="N842" s="23" t="n">
        <f>MIN(L842,J842)</f>
        <v>15</v>
      </c>
      <c r="O842" s="25" t="n">
        <f>IF(K842=0,0,MIN(1,J842/K842))</f>
        <v>1</v>
      </c>
      <c r="P842" s="23" t="n">
        <f>IF(J842&gt;0,MAX(K842-J842,0),0)</f>
        <v>0</v>
      </c>
      <c r="Q842" s="23" t="n">
        <f>IF(J842=0,K842,0)</f>
        <v>0</v>
      </c>
      <c r="R842" s="23" t="n">
        <f>MAX(J842-K842,0)</f>
        <v>0</v>
      </c>
      <c r="S842" s="23" t="n">
        <f>IF(J842&gt;0,MAX(L842-J842,0),L842)</f>
        <v>0</v>
      </c>
    </row>
    <row r="843">
      <c r="A843" s="19" t="str">
        <v>英国区</v>
      </c>
      <c r="B843" s="19" t="str">
        <v>伯明翰18号仓(SN)</v>
      </c>
      <c r="C843" s="19" t="str">
        <v>质检组</v>
      </c>
      <c r="D843" s="21" t="n">
        <v>46136</v>
      </c>
      <c r="E843" s="19" t="str">
        <v>2026-04</v>
      </c>
      <c r="F843" s="19" t="str">
        <v>操作员</v>
      </c>
      <c r="G843" s="19" t="str">
        <v>英国灵活（6小时扣午休） / UK FLEX (6-HR LUNCH BREAK DEDUCTED)</v>
      </c>
      <c r="H843" s="23" t="n">
        <v>12</v>
      </c>
      <c r="I843" s="23" t="n">
        <v>0</v>
      </c>
      <c r="J843" s="23" t="n">
        <f>H843+I843</f>
        <v>12</v>
      </c>
      <c r="K843" s="23" t="n">
        <v>12</v>
      </c>
      <c r="L843" s="23" t="n">
        <v>12</v>
      </c>
      <c r="M843" s="23" t="n">
        <f>MIN(K843,J843)</f>
        <v>12</v>
      </c>
      <c r="N843" s="23" t="n">
        <f>MIN(L843,J843)</f>
        <v>12</v>
      </c>
      <c r="O843" s="25" t="n">
        <f>IF(K843=0,0,MIN(1,J843/K843))</f>
        <v>1</v>
      </c>
      <c r="P843" s="23" t="n">
        <f>IF(J843&gt;0,MAX(K843-J843,0),0)</f>
        <v>0</v>
      </c>
      <c r="Q843" s="23" t="n">
        <f>IF(J843=0,K843,0)</f>
        <v>0</v>
      </c>
      <c r="R843" s="23" t="n">
        <f>MAX(J843-K843,0)</f>
        <v>0</v>
      </c>
      <c r="S843" s="23" t="n">
        <f>IF(J843&gt;0,MAX(L843-J843,0),L843)</f>
        <v>0</v>
      </c>
    </row>
    <row r="844">
      <c r="A844" s="19" t="str">
        <v>英国区</v>
      </c>
      <c r="B844" s="19" t="str">
        <v>伯明翰18号仓(SN)</v>
      </c>
      <c r="C844" s="19" t="str">
        <v>质检组</v>
      </c>
      <c r="D844" s="21" t="n">
        <v>46139</v>
      </c>
      <c r="E844" s="19" t="str">
        <v>2026-04</v>
      </c>
      <c r="F844" s="19" t="str">
        <v>操作员</v>
      </c>
      <c r="G844" s="19" t="str">
        <v>英国灵活（6小时扣午休） / UK FLEX (6-HR LUNCH BREAK DEDUCTED)</v>
      </c>
      <c r="H844" s="23" t="n">
        <v>11</v>
      </c>
      <c r="I844" s="23" t="n">
        <v>0</v>
      </c>
      <c r="J844" s="23" t="n">
        <f>H844+I844</f>
        <v>11</v>
      </c>
      <c r="K844" s="23" t="n">
        <v>11</v>
      </c>
      <c r="L844" s="23" t="n">
        <v>11</v>
      </c>
      <c r="M844" s="23" t="n">
        <f>MIN(K844,J844)</f>
        <v>11</v>
      </c>
      <c r="N844" s="23" t="n">
        <f>MIN(L844,J844)</f>
        <v>11</v>
      </c>
      <c r="O844" s="25" t="n">
        <f>IF(K844=0,0,MIN(1,J844/K844))</f>
        <v>1</v>
      </c>
      <c r="P844" s="23" t="n">
        <f>IF(J844&gt;0,MAX(K844-J844,0),0)</f>
        <v>0</v>
      </c>
      <c r="Q844" s="23" t="n">
        <f>IF(J844=0,K844,0)</f>
        <v>0</v>
      </c>
      <c r="R844" s="23" t="n">
        <f>MAX(J844-K844,0)</f>
        <v>0</v>
      </c>
      <c r="S844" s="23" t="n">
        <f>IF(J844&gt;0,MAX(L844-J844,0),L844)</f>
        <v>0</v>
      </c>
    </row>
    <row r="845">
      <c r="A845" s="19" t="str">
        <v>英国区</v>
      </c>
      <c r="B845" s="19" t="str">
        <v>伯明翰18号仓(SN)</v>
      </c>
      <c r="C845" s="19" t="str">
        <v>质检组</v>
      </c>
      <c r="D845" s="21" t="n">
        <v>46141</v>
      </c>
      <c r="E845" s="19" t="str">
        <v>2026-04</v>
      </c>
      <c r="F845" s="19" t="str">
        <v>操作员</v>
      </c>
      <c r="G845" s="19" t="str">
        <v>英国灵活（6小时扣午休） / UK FLEX (6-HR LUNCH BREAK DEDUCTED)</v>
      </c>
      <c r="H845" s="23" t="n">
        <v>12</v>
      </c>
      <c r="I845" s="23" t="n">
        <v>0</v>
      </c>
      <c r="J845" s="23" t="n">
        <f>H845+I845</f>
        <v>12</v>
      </c>
      <c r="K845" s="23" t="n">
        <v>12</v>
      </c>
      <c r="L845" s="23" t="n">
        <v>12</v>
      </c>
      <c r="M845" s="23" t="n">
        <f>MIN(K845,J845)</f>
        <v>12</v>
      </c>
      <c r="N845" s="23" t="n">
        <f>MIN(L845,J845)</f>
        <v>12</v>
      </c>
      <c r="O845" s="25" t="n">
        <f>IF(K845=0,0,MIN(1,J845/K845))</f>
        <v>1</v>
      </c>
      <c r="P845" s="23" t="n">
        <f>IF(J845&gt;0,MAX(K845-J845,0),0)</f>
        <v>0</v>
      </c>
      <c r="Q845" s="23" t="n">
        <f>IF(J845=0,K845,0)</f>
        <v>0</v>
      </c>
      <c r="R845" s="23" t="n">
        <f>MAX(J845-K845,0)</f>
        <v>0</v>
      </c>
      <c r="S845" s="23" t="n">
        <f>IF(J845&gt;0,MAX(L845-J845,0),L845)</f>
        <v>0</v>
      </c>
    </row>
    <row r="846">
      <c r="A846" s="19" t="str">
        <v>英国区</v>
      </c>
      <c r="B846" s="19" t="str">
        <v>伯明翰18号仓(SN)</v>
      </c>
      <c r="C846" s="19" t="str">
        <v>质检组</v>
      </c>
      <c r="D846" s="21" t="n">
        <v>46142</v>
      </c>
      <c r="E846" s="19" t="str">
        <v>2026-04</v>
      </c>
      <c r="F846" s="19" t="str">
        <v>操作员</v>
      </c>
      <c r="G846" s="19" t="str">
        <v>英国灵活（6小时扣午休） / UK FLEX (6-HR LUNCH BREAK DEDUCTED)</v>
      </c>
      <c r="H846" s="23" t="n">
        <v>16</v>
      </c>
      <c r="I846" s="23" t="n">
        <v>0</v>
      </c>
      <c r="J846" s="23" t="n">
        <f>H846+I846</f>
        <v>16</v>
      </c>
      <c r="K846" s="23" t="n">
        <v>16</v>
      </c>
      <c r="L846" s="23" t="n">
        <v>16</v>
      </c>
      <c r="M846" s="23" t="n">
        <f>MIN(K846,J846)</f>
        <v>16</v>
      </c>
      <c r="N846" s="23" t="n">
        <f>MIN(L846,J846)</f>
        <v>16</v>
      </c>
      <c r="O846" s="25" t="n">
        <f>IF(K846=0,0,MIN(1,J846/K846))</f>
        <v>1</v>
      </c>
      <c r="P846" s="23" t="n">
        <f>IF(J846&gt;0,MAX(K846-J846,0),0)</f>
        <v>0</v>
      </c>
      <c r="Q846" s="23" t="n">
        <f>IF(J846=0,K846,0)</f>
        <v>0</v>
      </c>
      <c r="R846" s="23" t="n">
        <f>MAX(J846-K846,0)</f>
        <v>0</v>
      </c>
      <c r="S846" s="23" t="n">
        <f>IF(J846&gt;0,MAX(L846-J846,0),L846)</f>
        <v>0</v>
      </c>
    </row>
    <row r="847">
      <c r="A847" s="19" t="str">
        <v>英国区</v>
      </c>
      <c r="B847" s="19" t="str">
        <v>伯明翰18号仓(SN)</v>
      </c>
      <c r="C847" s="19" t="str">
        <v>质检组</v>
      </c>
      <c r="D847" s="21" t="n">
        <v>46143</v>
      </c>
      <c r="E847" s="19" t="str">
        <v>2026-05</v>
      </c>
      <c r="F847" s="19" t="str">
        <v>操作员</v>
      </c>
      <c r="G847" s="19" t="str">
        <v>英国灵活（6小时扣午休） / UK FLEX (6-HR LUNCH BREAK DEDUCTED)</v>
      </c>
      <c r="H847" s="23" t="n">
        <v>12</v>
      </c>
      <c r="I847" s="23" t="n">
        <v>0</v>
      </c>
      <c r="J847" s="23" t="n">
        <f>H847+I847</f>
        <v>12</v>
      </c>
      <c r="K847" s="23" t="n">
        <v>12</v>
      </c>
      <c r="L847" s="23" t="n">
        <v>12</v>
      </c>
      <c r="M847" s="23" t="n">
        <f>MIN(K847,J847)</f>
        <v>12</v>
      </c>
      <c r="N847" s="23" t="n">
        <f>MIN(L847,J847)</f>
        <v>12</v>
      </c>
      <c r="O847" s="25" t="n">
        <f>IF(K847=0,0,MIN(1,J847/K847))</f>
        <v>1</v>
      </c>
      <c r="P847" s="23" t="n">
        <f>IF(J847&gt;0,MAX(K847-J847,0),0)</f>
        <v>0</v>
      </c>
      <c r="Q847" s="23" t="n">
        <f>IF(J847=0,K847,0)</f>
        <v>0</v>
      </c>
      <c r="R847" s="23" t="n">
        <f>MAX(J847-K847,0)</f>
        <v>0</v>
      </c>
      <c r="S847" s="23" t="n">
        <f>IF(J847&gt;0,MAX(L847-J847,0),L847)</f>
        <v>0</v>
      </c>
    </row>
    <row r="848">
      <c r="A848" s="19" t="str">
        <v>英国区</v>
      </c>
      <c r="B848" s="19" t="str">
        <v>伯明翰18号仓(SN)</v>
      </c>
      <c r="C848" s="19" t="str">
        <v>质检组</v>
      </c>
      <c r="D848" s="21" t="n">
        <v>46147</v>
      </c>
      <c r="E848" s="19" t="str">
        <v>2026-05</v>
      </c>
      <c r="F848" s="19" t="str">
        <v>操作员</v>
      </c>
      <c r="G848" s="19" t="str">
        <v>英国灵活（6小时扣午休） / UK FLEX (6-HR LUNCH BREAK DEDUCTED)</v>
      </c>
      <c r="H848" s="23" t="n">
        <v>12</v>
      </c>
      <c r="I848" s="23" t="n">
        <v>0</v>
      </c>
      <c r="J848" s="23" t="n">
        <f>H848+I848</f>
        <v>12</v>
      </c>
      <c r="K848" s="23" t="n">
        <v>12</v>
      </c>
      <c r="L848" s="23" t="n">
        <v>12</v>
      </c>
      <c r="M848" s="23" t="n">
        <f>MIN(K848,J848)</f>
        <v>12</v>
      </c>
      <c r="N848" s="23" t="n">
        <f>MIN(L848,J848)</f>
        <v>12</v>
      </c>
      <c r="O848" s="25" t="n">
        <f>IF(K848=0,0,MIN(1,J848/K848))</f>
        <v>1</v>
      </c>
      <c r="P848" s="23" t="n">
        <f>IF(J848&gt;0,MAX(K848-J848,0),0)</f>
        <v>0</v>
      </c>
      <c r="Q848" s="23" t="n">
        <f>IF(J848=0,K848,0)</f>
        <v>0</v>
      </c>
      <c r="R848" s="23" t="n">
        <f>MAX(J848-K848,0)</f>
        <v>0</v>
      </c>
      <c r="S848" s="23" t="n">
        <f>IF(J848&gt;0,MAX(L848-J848,0),L848)</f>
        <v>0</v>
      </c>
    </row>
    <row r="849">
      <c r="A849" s="19" t="str">
        <v>英国区</v>
      </c>
      <c r="B849" s="19" t="str">
        <v>伯明翰18号仓(SN)</v>
      </c>
      <c r="C849" s="19" t="str">
        <v>质检组</v>
      </c>
      <c r="D849" s="21" t="n">
        <v>46149</v>
      </c>
      <c r="E849" s="19" t="str">
        <v>2026-05</v>
      </c>
      <c r="F849" s="19" t="str">
        <v>操作员</v>
      </c>
      <c r="G849" s="19" t="str">
        <v>英国灵活（6小时扣午休） / UK FLEX (6-HR LUNCH BREAK DEDUCTED)</v>
      </c>
      <c r="H849" s="23" t="n">
        <v>12</v>
      </c>
      <c r="I849" s="23" t="n">
        <v>0</v>
      </c>
      <c r="J849" s="23" t="n">
        <f>H849+I849</f>
        <v>12</v>
      </c>
      <c r="K849" s="23" t="n">
        <v>12</v>
      </c>
      <c r="L849" s="23" t="n">
        <v>12</v>
      </c>
      <c r="M849" s="23" t="n">
        <f>MIN(K849,J849)</f>
        <v>12</v>
      </c>
      <c r="N849" s="23" t="n">
        <f>MIN(L849,J849)</f>
        <v>12</v>
      </c>
      <c r="O849" s="25" t="n">
        <f>IF(K849=0,0,MIN(1,J849/K849))</f>
        <v>1</v>
      </c>
      <c r="P849" s="23" t="n">
        <f>IF(J849&gt;0,MAX(K849-J849,0),0)</f>
        <v>0</v>
      </c>
      <c r="Q849" s="23" t="n">
        <f>IF(J849=0,K849,0)</f>
        <v>0</v>
      </c>
      <c r="R849" s="23" t="n">
        <f>MAX(J849-K849,0)</f>
        <v>0</v>
      </c>
      <c r="S849" s="23" t="n">
        <f>IF(J849&gt;0,MAX(L849-J849,0),L849)</f>
        <v>0</v>
      </c>
    </row>
    <row r="850">
      <c r="A850" s="19" t="str">
        <v>英国区</v>
      </c>
      <c r="B850" s="19" t="str">
        <v>伯明翰18号仓(SN)</v>
      </c>
      <c r="C850" s="19" t="str">
        <v>质检组</v>
      </c>
      <c r="D850" s="21" t="n">
        <v>46153</v>
      </c>
      <c r="E850" s="19" t="str">
        <v>2026-05</v>
      </c>
      <c r="F850" s="19" t="str">
        <v>操作员</v>
      </c>
      <c r="G850" s="19" t="str">
        <v>英国灵活（6小时扣午休） / UK FLEX (6-HR LUNCH BREAK DEDUCTED)</v>
      </c>
      <c r="H850" s="23" t="n">
        <v>12</v>
      </c>
      <c r="I850" s="23" t="n">
        <v>0</v>
      </c>
      <c r="J850" s="23" t="n">
        <f>H850+I850</f>
        <v>12</v>
      </c>
      <c r="K850" s="23" t="n">
        <v>12</v>
      </c>
      <c r="L850" s="23" t="n">
        <v>12</v>
      </c>
      <c r="M850" s="23" t="n">
        <f>MIN(K850,J850)</f>
        <v>12</v>
      </c>
      <c r="N850" s="23" t="n">
        <f>MIN(L850,J850)</f>
        <v>12</v>
      </c>
      <c r="O850" s="25" t="n">
        <f>IF(K850=0,0,MIN(1,J850/K850))</f>
        <v>1</v>
      </c>
      <c r="P850" s="23" t="n">
        <f>IF(J850&gt;0,MAX(K850-J850,0),0)</f>
        <v>0</v>
      </c>
      <c r="Q850" s="23" t="n">
        <f>IF(J850=0,K850,0)</f>
        <v>0</v>
      </c>
      <c r="R850" s="23" t="n">
        <f>MAX(J850-K850,0)</f>
        <v>0</v>
      </c>
      <c r="S850" s="23" t="n">
        <f>IF(J850&gt;0,MAX(L850-J850,0),L850)</f>
        <v>0</v>
      </c>
    </row>
    <row r="851">
      <c r="A851" s="19" t="str">
        <v>英国区</v>
      </c>
      <c r="B851" s="19" t="str">
        <v>伯明翰18号仓(SN)</v>
      </c>
      <c r="C851" s="19" t="str">
        <v>质检组</v>
      </c>
      <c r="D851" s="21" t="n">
        <v>46155</v>
      </c>
      <c r="E851" s="19" t="str">
        <v>2026-05</v>
      </c>
      <c r="F851" s="19" t="str">
        <v>操作员</v>
      </c>
      <c r="G851" s="19" t="str">
        <v>英国灵活（6小时扣午休） / UK FLEX (6-HR LUNCH BREAK DEDUCTED)</v>
      </c>
      <c r="H851" s="23" t="n">
        <v>12</v>
      </c>
      <c r="I851" s="23" t="n">
        <v>0</v>
      </c>
      <c r="J851" s="23" t="n">
        <f>H851+I851</f>
        <v>12</v>
      </c>
      <c r="K851" s="23" t="n">
        <v>12</v>
      </c>
      <c r="L851" s="23" t="n">
        <v>12</v>
      </c>
      <c r="M851" s="23" t="n">
        <f>MIN(K851,J851)</f>
        <v>12</v>
      </c>
      <c r="N851" s="23" t="n">
        <f>MIN(L851,J851)</f>
        <v>12</v>
      </c>
      <c r="O851" s="25" t="n">
        <f>IF(K851=0,0,MIN(1,J851/K851))</f>
        <v>1</v>
      </c>
      <c r="P851" s="23" t="n">
        <f>IF(J851&gt;0,MAX(K851-J851,0),0)</f>
        <v>0</v>
      </c>
      <c r="Q851" s="23" t="n">
        <f>IF(J851=0,K851,0)</f>
        <v>0</v>
      </c>
      <c r="R851" s="23" t="n">
        <f>MAX(J851-K851,0)</f>
        <v>0</v>
      </c>
      <c r="S851" s="23" t="n">
        <f>IF(J851&gt;0,MAX(L851-J851,0),L851)</f>
        <v>0</v>
      </c>
    </row>
    <row r="852">
      <c r="A852" s="19" t="str">
        <v>英国区</v>
      </c>
      <c r="B852" s="19" t="str">
        <v>伯明翰18号仓(SN)</v>
      </c>
      <c r="C852" s="19" t="str">
        <v>质检组</v>
      </c>
      <c r="D852" s="21" t="n">
        <v>46157</v>
      </c>
      <c r="E852" s="19" t="str">
        <v>2026-05</v>
      </c>
      <c r="F852" s="19" t="str">
        <v>操作员</v>
      </c>
      <c r="G852" s="19" t="str">
        <v>英国灵活（6小时扣午休） / UK FLEX (6-HR LUNCH BREAK DEDUCTED)</v>
      </c>
      <c r="H852" s="23" t="n">
        <v>27</v>
      </c>
      <c r="I852" s="23" t="n">
        <v>0</v>
      </c>
      <c r="J852" s="23" t="n">
        <f>H852+I852</f>
        <v>27</v>
      </c>
      <c r="K852" s="23" t="n">
        <v>27</v>
      </c>
      <c r="L852" s="23" t="n">
        <v>27</v>
      </c>
      <c r="M852" s="23" t="n">
        <f>MIN(K852,J852)</f>
        <v>27</v>
      </c>
      <c r="N852" s="23" t="n">
        <f>MIN(L852,J852)</f>
        <v>27</v>
      </c>
      <c r="O852" s="25" t="n">
        <f>IF(K852=0,0,MIN(1,J852/K852))</f>
        <v>1</v>
      </c>
      <c r="P852" s="23" t="n">
        <f>IF(J852&gt;0,MAX(K852-J852,0),0)</f>
        <v>0</v>
      </c>
      <c r="Q852" s="23" t="n">
        <f>IF(J852=0,K852,0)</f>
        <v>0</v>
      </c>
      <c r="R852" s="23" t="n">
        <f>MAX(J852-K852,0)</f>
        <v>0</v>
      </c>
      <c r="S852" s="23" t="n">
        <f>IF(J852&gt;0,MAX(L852-J852,0),L852)</f>
        <v>0</v>
      </c>
    </row>
    <row r="853">
      <c r="A853" s="19" t="str">
        <v>英国区</v>
      </c>
      <c r="B853" s="19" t="str">
        <v>伯明翰18号仓(SN)</v>
      </c>
      <c r="C853" s="19" t="str">
        <v>质检组</v>
      </c>
      <c r="D853" s="21" t="n">
        <v>46158</v>
      </c>
      <c r="E853" s="19" t="str">
        <v>2026-05</v>
      </c>
      <c r="F853" s="19" t="str">
        <v>操作员</v>
      </c>
      <c r="G853" s="19" t="str">
        <v>英国灵活（6小时扣午休） / UK FLEX (6-HR LUNCH BREAK DEDUCTED)</v>
      </c>
      <c r="H853" s="23" t="n">
        <v>12</v>
      </c>
      <c r="I853" s="23" t="n">
        <v>0</v>
      </c>
      <c r="J853" s="23" t="n">
        <f>H853+I853</f>
        <v>12</v>
      </c>
      <c r="K853" s="23" t="n">
        <v>12</v>
      </c>
      <c r="L853" s="23" t="n">
        <v>12</v>
      </c>
      <c r="M853" s="23" t="n">
        <f>MIN(K853,J853)</f>
        <v>12</v>
      </c>
      <c r="N853" s="23" t="n">
        <f>MIN(L853,J853)</f>
        <v>12</v>
      </c>
      <c r="O853" s="25" t="n">
        <f>IF(K853=0,0,MIN(1,J853/K853))</f>
        <v>1</v>
      </c>
      <c r="P853" s="23" t="n">
        <f>IF(J853&gt;0,MAX(K853-J853,0),0)</f>
        <v>0</v>
      </c>
      <c r="Q853" s="23" t="n">
        <f>IF(J853=0,K853,0)</f>
        <v>0</v>
      </c>
      <c r="R853" s="23" t="n">
        <f>MAX(J853-K853,0)</f>
        <v>0</v>
      </c>
      <c r="S853" s="23" t="n">
        <f>IF(J853&gt;0,MAX(L853-J853,0),L853)</f>
        <v>0</v>
      </c>
    </row>
    <row r="854">
      <c r="A854" s="19" t="str">
        <v>英国区</v>
      </c>
      <c r="B854" s="19" t="str">
        <v>伯明翰18号仓(SN)</v>
      </c>
      <c r="C854" s="19" t="str">
        <v>质检组</v>
      </c>
      <c r="D854" s="21" t="n">
        <v>46160</v>
      </c>
      <c r="E854" s="19" t="str">
        <v>2026-05</v>
      </c>
      <c r="F854" s="19" t="str">
        <v>操作员</v>
      </c>
      <c r="G854" s="19" t="str">
        <v>英国灵活（6小时扣午休） / UK FLEX (6-HR LUNCH BREAK DEDUCTED)</v>
      </c>
      <c r="H854" s="23" t="n">
        <v>52</v>
      </c>
      <c r="I854" s="23" t="n">
        <v>0</v>
      </c>
      <c r="J854" s="23" t="n">
        <f>H854+I854</f>
        <v>52</v>
      </c>
      <c r="K854" s="23" t="n">
        <v>52</v>
      </c>
      <c r="L854" s="23" t="n">
        <v>1</v>
      </c>
      <c r="M854" s="23" t="n">
        <f>MIN(K854,J854)</f>
        <v>52</v>
      </c>
      <c r="N854" s="23" t="n">
        <f>MIN(L854,J854)</f>
        <v>1</v>
      </c>
      <c r="O854" s="25" t="n">
        <f>IF(K854=0,0,MIN(1,J854/K854))</f>
        <v>1</v>
      </c>
      <c r="P854" s="23" t="n">
        <f>IF(J854&gt;0,MAX(K854-J854,0),0)</f>
        <v>0</v>
      </c>
      <c r="Q854" s="23" t="n">
        <f>IF(J854=0,K854,0)</f>
        <v>0</v>
      </c>
      <c r="R854" s="23" t="n">
        <f>MAX(J854-K854,0)</f>
        <v>0</v>
      </c>
      <c r="S854" s="23" t="n">
        <f>IF(J854&gt;0,MAX(L854-J854,0),L854)</f>
        <v>0</v>
      </c>
    </row>
    <row r="855">
      <c r="A855" s="19" t="str">
        <v>英国区</v>
      </c>
      <c r="B855" s="19" t="str">
        <v>伯明翰18号仓(SN)</v>
      </c>
      <c r="C855" s="19" t="str">
        <v>质检组</v>
      </c>
      <c r="D855" s="21" t="n">
        <v>46161</v>
      </c>
      <c r="E855" s="19" t="str">
        <v>2026-05</v>
      </c>
      <c r="F855" s="19" t="str">
        <v>操作员</v>
      </c>
      <c r="G855" s="19" t="str">
        <v>英国灵活（6小时扣午休） / UK FLEX (6-HR LUNCH BREAK DEDUCTED)</v>
      </c>
      <c r="H855" s="23" t="n">
        <v>75</v>
      </c>
      <c r="I855" s="23" t="n">
        <v>0</v>
      </c>
      <c r="J855" s="23" t="n">
        <f>H855+I855</f>
        <v>75</v>
      </c>
      <c r="K855" s="23" t="n">
        <v>75</v>
      </c>
      <c r="L855" s="23" t="n">
        <v>75</v>
      </c>
      <c r="M855" s="23" t="n">
        <f>MIN(K855,J855)</f>
        <v>75</v>
      </c>
      <c r="N855" s="23" t="n">
        <f>MIN(L855,J855)</f>
        <v>75</v>
      </c>
      <c r="O855" s="25" t="n">
        <f>IF(K855=0,0,MIN(1,J855/K855))</f>
        <v>1</v>
      </c>
      <c r="P855" s="23" t="n">
        <f>IF(J855&gt;0,MAX(K855-J855,0),0)</f>
        <v>0</v>
      </c>
      <c r="Q855" s="23" t="n">
        <f>IF(J855=0,K855,0)</f>
        <v>0</v>
      </c>
      <c r="R855" s="23" t="n">
        <f>MAX(J855-K855,0)</f>
        <v>0</v>
      </c>
      <c r="S855" s="23" t="n">
        <f>IF(J855&gt;0,MAX(L855-J855,0),L855)</f>
        <v>0</v>
      </c>
    </row>
    <row r="856">
      <c r="A856" s="19" t="str">
        <v>英国区</v>
      </c>
      <c r="B856" s="19" t="str">
        <v>伯明翰18号仓(SN)</v>
      </c>
      <c r="C856" s="19" t="str">
        <v>质检组</v>
      </c>
      <c r="D856" s="21" t="n">
        <v>46162</v>
      </c>
      <c r="E856" s="19" t="str">
        <v>2026-05</v>
      </c>
      <c r="F856" s="19" t="str">
        <v>操作员</v>
      </c>
      <c r="G856" s="19" t="str">
        <v>英国灵活（6小时扣午休） / UK FLEX (6-HR LUNCH BREAK DEDUCTED)</v>
      </c>
      <c r="H856" s="23" t="n">
        <v>5</v>
      </c>
      <c r="I856" s="23" t="n">
        <v>0</v>
      </c>
      <c r="J856" s="23" t="n">
        <f>H856+I856</f>
        <v>5</v>
      </c>
      <c r="K856" s="23" t="n">
        <v>5</v>
      </c>
      <c r="L856" s="23" t="n">
        <v>5</v>
      </c>
      <c r="M856" s="23" t="n">
        <f>MIN(K856,J856)</f>
        <v>5</v>
      </c>
      <c r="N856" s="23" t="n">
        <f>MIN(L856,J856)</f>
        <v>5</v>
      </c>
      <c r="O856" s="25" t="n">
        <f>IF(K856=0,0,MIN(1,J856/K856))</f>
        <v>1</v>
      </c>
      <c r="P856" s="23" t="n">
        <f>IF(J856&gt;0,MAX(K856-J856,0),0)</f>
        <v>0</v>
      </c>
      <c r="Q856" s="23" t="n">
        <f>IF(J856=0,K856,0)</f>
        <v>0</v>
      </c>
      <c r="R856" s="23" t="n">
        <f>MAX(J856-K856,0)</f>
        <v>0</v>
      </c>
      <c r="S856" s="23" t="n">
        <f>IF(J856&gt;0,MAX(L856-J856,0),L856)</f>
        <v>0</v>
      </c>
    </row>
    <row r="857">
      <c r="A857" s="19" t="str">
        <v>英国区</v>
      </c>
      <c r="B857" s="19" t="str">
        <v>伯明翰18号仓(SN)</v>
      </c>
      <c r="C857" s="19" t="str">
        <v>质检组</v>
      </c>
      <c r="D857" s="21" t="n">
        <v>46164</v>
      </c>
      <c r="E857" s="19" t="str">
        <v>2026-05</v>
      </c>
      <c r="F857" s="19" t="str">
        <v>操作员</v>
      </c>
      <c r="G857" s="19" t="str">
        <v>英国灵活（6小时扣午休） / UK FLEX (6-HR LUNCH BREAK DEDUCTED)</v>
      </c>
      <c r="H857" s="23" t="n">
        <v>32</v>
      </c>
      <c r="I857" s="23" t="n">
        <v>0</v>
      </c>
      <c r="J857" s="23" t="n">
        <f>H857+I857</f>
        <v>32</v>
      </c>
      <c r="K857" s="23" t="n">
        <v>32</v>
      </c>
      <c r="L857" s="23" t="n">
        <v>32</v>
      </c>
      <c r="M857" s="23" t="n">
        <f>MIN(K857,J857)</f>
        <v>32</v>
      </c>
      <c r="N857" s="23" t="n">
        <f>MIN(L857,J857)</f>
        <v>32</v>
      </c>
      <c r="O857" s="25" t="n">
        <f>IF(K857=0,0,MIN(1,J857/K857))</f>
        <v>1</v>
      </c>
      <c r="P857" s="23" t="n">
        <f>IF(J857&gt;0,MAX(K857-J857,0),0)</f>
        <v>0</v>
      </c>
      <c r="Q857" s="23" t="n">
        <f>IF(J857=0,K857,0)</f>
        <v>0</v>
      </c>
      <c r="R857" s="23" t="n">
        <f>MAX(J857-K857,0)</f>
        <v>0</v>
      </c>
      <c r="S857" s="23" t="n">
        <f>IF(J857&gt;0,MAX(L857-J857,0),L857)</f>
        <v>0</v>
      </c>
    </row>
    <row r="858">
      <c r="A858" s="19" t="str">
        <v>英国区</v>
      </c>
      <c r="B858" s="19" t="str">
        <v>伯明翰18号仓(SN)</v>
      </c>
      <c r="C858" s="19" t="str">
        <v>质检组</v>
      </c>
      <c r="D858" s="21" t="n">
        <v>46171</v>
      </c>
      <c r="E858" s="19" t="str">
        <v>2026-05</v>
      </c>
      <c r="F858" s="19" t="str">
        <v>操作员</v>
      </c>
      <c r="G858" s="19" t="str">
        <v>英国灵活（6小时扣午休） / UK FLEX (6-HR LUNCH BREAK DEDUCTED)</v>
      </c>
      <c r="H858" s="23" t="n">
        <v>22</v>
      </c>
      <c r="I858" s="23" t="n">
        <v>0</v>
      </c>
      <c r="J858" s="23" t="n">
        <f>H858+I858</f>
        <v>22</v>
      </c>
      <c r="K858" s="23" t="n">
        <v>22</v>
      </c>
      <c r="L858" s="23" t="n">
        <v>22</v>
      </c>
      <c r="M858" s="23" t="n">
        <f>MIN(K858,J858)</f>
        <v>22</v>
      </c>
      <c r="N858" s="23" t="n">
        <f>MIN(L858,J858)</f>
        <v>22</v>
      </c>
      <c r="O858" s="25" t="n">
        <f>IF(K858=0,0,MIN(1,J858/K858))</f>
        <v>1</v>
      </c>
      <c r="P858" s="23" t="n">
        <f>IF(J858&gt;0,MAX(K858-J858,0),0)</f>
        <v>0</v>
      </c>
      <c r="Q858" s="23" t="n">
        <f>IF(J858=0,K858,0)</f>
        <v>0</v>
      </c>
      <c r="R858" s="23" t="n">
        <f>MAX(J858-K858,0)</f>
        <v>0</v>
      </c>
      <c r="S858" s="23" t="n">
        <f>IF(J858&gt;0,MAX(L858-J858,0),L858)</f>
        <v>0</v>
      </c>
    </row>
    <row r="859">
      <c r="A859" s="19" t="str">
        <v>英国区</v>
      </c>
      <c r="B859" s="19" t="str">
        <v>伯明翰18号仓(SN)</v>
      </c>
      <c r="C859" s="19" t="str">
        <v>质检组</v>
      </c>
      <c r="D859" s="21" t="n">
        <v>46183</v>
      </c>
      <c r="E859" s="19" t="str">
        <v>2026-06</v>
      </c>
      <c r="F859" s="19" t="str">
        <v>操作员</v>
      </c>
      <c r="G859" s="19" t="str">
        <v>英国灵活（6小时扣午休） / UK FLEX (6-HR LUNCH BREAK DEDUCTED)</v>
      </c>
      <c r="H859" s="23" t="n">
        <v>20</v>
      </c>
      <c r="I859" s="23" t="n">
        <v>0</v>
      </c>
      <c r="J859" s="23" t="n">
        <f>H859+I859</f>
        <v>20</v>
      </c>
      <c r="K859" s="23" t="n">
        <v>20</v>
      </c>
      <c r="L859" s="23" t="n">
        <v>20</v>
      </c>
      <c r="M859" s="23" t="n">
        <f>MIN(K859,J859)</f>
        <v>20</v>
      </c>
      <c r="N859" s="23" t="n">
        <f>MIN(L859,J859)</f>
        <v>20</v>
      </c>
      <c r="O859" s="25" t="n">
        <f>IF(K859=0,0,MIN(1,J859/K859))</f>
        <v>1</v>
      </c>
      <c r="P859" s="23" t="n">
        <f>IF(J859&gt;0,MAX(K859-J859,0),0)</f>
        <v>0</v>
      </c>
      <c r="Q859" s="23" t="n">
        <f>IF(J859=0,K859,0)</f>
        <v>0</v>
      </c>
      <c r="R859" s="23" t="n">
        <f>MAX(J859-K859,0)</f>
        <v>0</v>
      </c>
      <c r="S859" s="23" t="n">
        <f>IF(J859&gt;0,MAX(L859-J859,0),L859)</f>
        <v>0</v>
      </c>
    </row>
    <row r="860">
      <c r="A860" s="19" t="str">
        <v>英国区</v>
      </c>
      <c r="B860" s="19" t="str">
        <v>伯明翰18号仓(SN)</v>
      </c>
      <c r="C860" s="19" t="str">
        <v>质检组</v>
      </c>
      <c r="D860" s="21" t="n">
        <v>46184</v>
      </c>
      <c r="E860" s="19" t="str">
        <v>2026-06</v>
      </c>
      <c r="F860" s="19" t="str">
        <v>操作员</v>
      </c>
      <c r="G860" s="19" t="str">
        <v>英国灵活（6小时扣午休） / UK FLEX (6-HR LUNCH BREAK DEDUCTED)</v>
      </c>
      <c r="H860" s="23" t="n">
        <v>4</v>
      </c>
      <c r="I860" s="23" t="n">
        <v>0</v>
      </c>
      <c r="J860" s="23" t="n">
        <f>H860+I860</f>
        <v>4</v>
      </c>
      <c r="K860" s="23" t="n">
        <v>4</v>
      </c>
      <c r="L860" s="23" t="n">
        <v>4</v>
      </c>
      <c r="M860" s="23" t="n">
        <f>MIN(K860,J860)</f>
        <v>4</v>
      </c>
      <c r="N860" s="23" t="n">
        <f>MIN(L860,J860)</f>
        <v>4</v>
      </c>
      <c r="O860" s="25" t="n">
        <f>IF(K860=0,0,MIN(1,J860/K860))</f>
        <v>1</v>
      </c>
      <c r="P860" s="23" t="n">
        <f>IF(J860&gt;0,MAX(K860-J860,0),0)</f>
        <v>0</v>
      </c>
      <c r="Q860" s="23" t="n">
        <f>IF(J860=0,K860,0)</f>
        <v>0</v>
      </c>
      <c r="R860" s="23" t="n">
        <f>MAX(J860-K860,0)</f>
        <v>0</v>
      </c>
      <c r="S860" s="23" t="n">
        <f>IF(J860&gt;0,MAX(L860-J860,0),L860)</f>
        <v>0</v>
      </c>
    </row>
    <row r="861">
      <c r="A861" s="19" t="str">
        <v>英国区</v>
      </c>
      <c r="B861" s="19" t="str">
        <v>伯明翰18号仓(SN)</v>
      </c>
      <c r="C861" s="19" t="str">
        <v>质检组</v>
      </c>
      <c r="D861" s="21" t="n">
        <v>46185</v>
      </c>
      <c r="E861" s="19" t="str">
        <v>2026-06</v>
      </c>
      <c r="F861" s="19" t="str">
        <v>操作员</v>
      </c>
      <c r="G861" s="19" t="str">
        <v>英国灵活（6小时扣午休） / UK FLEX (6-HR LUNCH BREAK DEDUCTED)</v>
      </c>
      <c r="H861" s="23" t="n">
        <v>20</v>
      </c>
      <c r="I861" s="23" t="n">
        <v>0</v>
      </c>
      <c r="J861" s="23" t="n">
        <f>H861+I861</f>
        <v>20</v>
      </c>
      <c r="K861" s="23" t="n">
        <v>20</v>
      </c>
      <c r="L861" s="23" t="n">
        <v>20</v>
      </c>
      <c r="M861" s="23" t="n">
        <f>MIN(K861,J861)</f>
        <v>20</v>
      </c>
      <c r="N861" s="23" t="n">
        <f>MIN(L861,J861)</f>
        <v>20</v>
      </c>
      <c r="O861" s="25" t="n">
        <f>IF(K861=0,0,MIN(1,J861/K861))</f>
        <v>1</v>
      </c>
      <c r="P861" s="23" t="n">
        <f>IF(J861&gt;0,MAX(K861-J861,0),0)</f>
        <v>0</v>
      </c>
      <c r="Q861" s="23" t="n">
        <f>IF(J861=0,K861,0)</f>
        <v>0</v>
      </c>
      <c r="R861" s="23" t="n">
        <f>MAX(J861-K861,0)</f>
        <v>0</v>
      </c>
      <c r="S861" s="23" t="n">
        <f>IF(J861&gt;0,MAX(L861-J861,0),L861)</f>
        <v>0</v>
      </c>
    </row>
    <row r="862">
      <c r="A862" s="19" t="str">
        <v>英国区</v>
      </c>
      <c r="B862" s="19" t="str">
        <v>伯明翰18号仓(SN)</v>
      </c>
      <c r="C862" s="19" t="str">
        <v>质检组</v>
      </c>
      <c r="D862" s="21" t="n">
        <v>46192</v>
      </c>
      <c r="E862" s="19" t="str">
        <v>2026-06</v>
      </c>
      <c r="F862" s="19" t="str">
        <v>操作员</v>
      </c>
      <c r="G862" s="19" t="str">
        <v>英国灵活（6小时扣午休） / UK FLEX (6-HR LUNCH BREAK DEDUCTED)</v>
      </c>
      <c r="H862" s="23" t="n">
        <v>8</v>
      </c>
      <c r="I862" s="23" t="n">
        <v>0</v>
      </c>
      <c r="J862" s="23" t="n">
        <f>H862+I862</f>
        <v>8</v>
      </c>
      <c r="K862" s="23" t="n">
        <v>8</v>
      </c>
      <c r="L862" s="23" t="n">
        <v>8</v>
      </c>
      <c r="M862" s="23" t="n">
        <f>MIN(K862,J862)</f>
        <v>8</v>
      </c>
      <c r="N862" s="23" t="n">
        <f>MIN(L862,J862)</f>
        <v>8</v>
      </c>
      <c r="O862" s="25" t="n">
        <f>IF(K862=0,0,MIN(1,J862/K862))</f>
        <v>1</v>
      </c>
      <c r="P862" s="23" t="n">
        <f>IF(J862&gt;0,MAX(K862-J862,0),0)</f>
        <v>0</v>
      </c>
      <c r="Q862" s="23" t="n">
        <f>IF(J862=0,K862,0)</f>
        <v>0</v>
      </c>
      <c r="R862" s="23" t="n">
        <f>MAX(J862-K862,0)</f>
        <v>0</v>
      </c>
      <c r="S862" s="23" t="n">
        <f>IF(J862&gt;0,MAX(L862-J862,0),L862)</f>
        <v>0</v>
      </c>
    </row>
    <row r="863">
      <c r="A863" s="19" t="str">
        <v>英国区</v>
      </c>
      <c r="B863" s="19" t="str">
        <v>伯明翰18号仓(SN)</v>
      </c>
      <c r="C863" s="19" t="str">
        <v>质检组</v>
      </c>
      <c r="D863" s="21" t="n">
        <v>46197</v>
      </c>
      <c r="E863" s="19" t="str">
        <v>2026-06</v>
      </c>
      <c r="F863" s="19" t="str">
        <v>操作员</v>
      </c>
      <c r="G863" s="19" t="str">
        <v>英国灵活（6小时扣午休） / UK FLEX (6-HR LUNCH BREAK DEDUCTED)</v>
      </c>
      <c r="H863" s="23" t="n">
        <v>32</v>
      </c>
      <c r="I863" s="23" t="n">
        <v>0</v>
      </c>
      <c r="J863" s="23" t="n">
        <f>H863+I863</f>
        <v>32</v>
      </c>
      <c r="K863" s="23" t="n">
        <v>32</v>
      </c>
      <c r="L863" s="23" t="n">
        <v>32</v>
      </c>
      <c r="M863" s="23" t="n">
        <f>MIN(K863,J863)</f>
        <v>32</v>
      </c>
      <c r="N863" s="23" t="n">
        <f>MIN(L863,J863)</f>
        <v>32</v>
      </c>
      <c r="O863" s="25" t="n">
        <f>IF(K863=0,0,MIN(1,J863/K863))</f>
        <v>1</v>
      </c>
      <c r="P863" s="23" t="n">
        <f>IF(J863&gt;0,MAX(K863-J863,0),0)</f>
        <v>0</v>
      </c>
      <c r="Q863" s="23" t="n">
        <f>IF(J863=0,K863,0)</f>
        <v>0</v>
      </c>
      <c r="R863" s="23" t="n">
        <f>MAX(J863-K863,0)</f>
        <v>0</v>
      </c>
      <c r="S863" s="23" t="n">
        <f>IF(J863&gt;0,MAX(L863-J863,0),L863)</f>
        <v>0</v>
      </c>
    </row>
    <row r="864">
      <c r="A864" s="19" t="str">
        <v>英国区</v>
      </c>
      <c r="B864" s="19" t="str">
        <v>伯明翰18号仓(SN)</v>
      </c>
      <c r="C864" s="19" t="str">
        <v>质检组</v>
      </c>
      <c r="D864" s="21" t="n">
        <v>46198</v>
      </c>
      <c r="E864" s="19" t="str">
        <v>2026-06</v>
      </c>
      <c r="F864" s="19" t="str">
        <v>操作员</v>
      </c>
      <c r="G864" s="19" t="str">
        <v>英国灵活（6小时扣午休） / UK FLEX (6-HR LUNCH BREAK DEDUCTED)</v>
      </c>
      <c r="H864" s="23" t="n">
        <v>32</v>
      </c>
      <c r="I864" s="23" t="n">
        <v>0</v>
      </c>
      <c r="J864" s="23" t="n">
        <f>H864+I864</f>
        <v>32</v>
      </c>
      <c r="K864" s="23" t="n">
        <v>32</v>
      </c>
      <c r="L864" s="23" t="n">
        <v>32</v>
      </c>
      <c r="M864" s="23" t="n">
        <f>MIN(K864,J864)</f>
        <v>32</v>
      </c>
      <c r="N864" s="23" t="n">
        <f>MIN(L864,J864)</f>
        <v>32</v>
      </c>
      <c r="O864" s="25" t="n">
        <f>IF(K864=0,0,MIN(1,J864/K864))</f>
        <v>1</v>
      </c>
      <c r="P864" s="23" t="n">
        <f>IF(J864&gt;0,MAX(K864-J864,0),0)</f>
        <v>0</v>
      </c>
      <c r="Q864" s="23" t="n">
        <f>IF(J864=0,K864,0)</f>
        <v>0</v>
      </c>
      <c r="R864" s="23" t="n">
        <f>MAX(J864-K864,0)</f>
        <v>0</v>
      </c>
      <c r="S864" s="23" t="n">
        <f>IF(J864&gt;0,MAX(L864-J864,0),L864)</f>
        <v>0</v>
      </c>
    </row>
    <row r="865">
      <c r="A865" s="19" t="str">
        <v>英国区</v>
      </c>
      <c r="B865" s="19" t="str">
        <v>伯明翰18号仓(SN)</v>
      </c>
      <c r="C865" s="19" t="str">
        <v>质检组</v>
      </c>
      <c r="D865" s="21" t="n">
        <v>46199</v>
      </c>
      <c r="E865" s="19" t="str">
        <v>2026-06</v>
      </c>
      <c r="F865" s="19" t="str">
        <v>操作员</v>
      </c>
      <c r="G865" s="19" t="str">
        <v>英国灵活（6小时扣午休） / UK FLEX (6-HR LUNCH BREAK DEDUCTED)</v>
      </c>
      <c r="H865" s="23" t="n">
        <v>4</v>
      </c>
      <c r="I865" s="23" t="n">
        <v>0</v>
      </c>
      <c r="J865" s="23" t="n">
        <f>H865+I865</f>
        <v>4</v>
      </c>
      <c r="K865" s="23" t="n">
        <v>4</v>
      </c>
      <c r="L865" s="23" t="n">
        <v>4</v>
      </c>
      <c r="M865" s="23" t="n">
        <f>MIN(K865,J865)</f>
        <v>4</v>
      </c>
      <c r="N865" s="23" t="n">
        <f>MIN(L865,J865)</f>
        <v>4</v>
      </c>
      <c r="O865" s="25" t="n">
        <f>IF(K865=0,0,MIN(1,J865/K865))</f>
        <v>1</v>
      </c>
      <c r="P865" s="23" t="n">
        <f>IF(J865&gt;0,MAX(K865-J865,0),0)</f>
        <v>0</v>
      </c>
      <c r="Q865" s="23" t="n">
        <f>IF(J865=0,K865,0)</f>
        <v>0</v>
      </c>
      <c r="R865" s="23" t="n">
        <f>MAX(J865-K865,0)</f>
        <v>0</v>
      </c>
      <c r="S865" s="23" t="n">
        <f>IF(J865&gt;0,MAX(L865-J865,0),L865)</f>
        <v>0</v>
      </c>
    </row>
    <row r="866">
      <c r="A866" s="19" t="str">
        <v>英国区</v>
      </c>
      <c r="B866" s="19" t="str">
        <v>伯明翰19号仓</v>
      </c>
      <c r="C866" s="19" t="str">
        <v>交运组</v>
      </c>
      <c r="D866" s="21" t="n">
        <v>46141</v>
      </c>
      <c r="E866" s="19" t="str">
        <v>2026-04</v>
      </c>
      <c r="F866" s="19" t="str">
        <v>操作员</v>
      </c>
      <c r="G866" s="19" t="str">
        <v>英国区11:00-19:30 / UK 11:00-19:30</v>
      </c>
      <c r="H866" s="23" t="n">
        <v>1</v>
      </c>
      <c r="I866" s="23" t="n">
        <v>0</v>
      </c>
      <c r="J866" s="23" t="n">
        <f>H866+I866</f>
        <v>1</v>
      </c>
      <c r="K866" s="23" t="n">
        <v>1</v>
      </c>
      <c r="L866" s="23" t="n">
        <v>1</v>
      </c>
      <c r="M866" s="23" t="n">
        <f>MIN(K866,J866)</f>
        <v>1</v>
      </c>
      <c r="N866" s="23" t="n">
        <f>MIN(L866,J866)</f>
        <v>1</v>
      </c>
      <c r="O866" s="25" t="n">
        <f>IF(K866=0,0,MIN(1,J866/K866))</f>
        <v>1</v>
      </c>
      <c r="P866" s="23" t="n">
        <f>IF(J866&gt;0,MAX(K866-J866,0),0)</f>
        <v>0</v>
      </c>
      <c r="Q866" s="23" t="n">
        <f>IF(J866=0,K866,0)</f>
        <v>0</v>
      </c>
      <c r="R866" s="23" t="n">
        <f>MAX(J866-K866,0)</f>
        <v>0</v>
      </c>
      <c r="S866" s="23" t="n">
        <f>IF(J866&gt;0,MAX(L866-J866,0),L866)</f>
        <v>0</v>
      </c>
    </row>
    <row r="867">
      <c r="A867" s="19" t="str">
        <v>英国区</v>
      </c>
      <c r="B867" s="19" t="str">
        <v>伯明翰19号仓</v>
      </c>
      <c r="C867" s="19" t="str">
        <v>交运组</v>
      </c>
      <c r="D867" s="21" t="n">
        <v>46198</v>
      </c>
      <c r="E867" s="19" t="str">
        <v>2026-06</v>
      </c>
      <c r="F867" s="19" t="str">
        <v>操作员</v>
      </c>
      <c r="G867" s="19" t="str">
        <v>英国区11:00-19:30 / UK 11:00-19:30</v>
      </c>
      <c r="H867" s="23" t="n">
        <v>3</v>
      </c>
      <c r="I867" s="23" t="n">
        <v>0</v>
      </c>
      <c r="J867" s="23" t="n">
        <f>H867+I867</f>
        <v>3</v>
      </c>
      <c r="K867" s="23" t="n">
        <v>3</v>
      </c>
      <c r="L867" s="23" t="n">
        <v>3</v>
      </c>
      <c r="M867" s="23" t="n">
        <f>MIN(K867,J867)</f>
        <v>3</v>
      </c>
      <c r="N867" s="23" t="n">
        <f>MIN(L867,J867)</f>
        <v>3</v>
      </c>
      <c r="O867" s="25" t="n">
        <f>IF(K867=0,0,MIN(1,J867/K867))</f>
        <v>1</v>
      </c>
      <c r="P867" s="23" t="n">
        <f>IF(J867&gt;0,MAX(K867-J867,0),0)</f>
        <v>0</v>
      </c>
      <c r="Q867" s="23" t="n">
        <f>IF(J867=0,K867,0)</f>
        <v>0</v>
      </c>
      <c r="R867" s="23" t="n">
        <f>MAX(J867-K867,0)</f>
        <v>0</v>
      </c>
      <c r="S867" s="23" t="n">
        <f>IF(J867&gt;0,MAX(L867-J867,0),L867)</f>
        <v>0</v>
      </c>
    </row>
    <row r="868">
      <c r="A868" s="19" t="str">
        <v>英国区</v>
      </c>
      <c r="B868" s="19" t="str">
        <v>伯明翰19号仓</v>
      </c>
      <c r="C868" s="19" t="str">
        <v>交运组</v>
      </c>
      <c r="D868" s="21" t="n">
        <v>46199</v>
      </c>
      <c r="E868" s="19" t="str">
        <v>2026-06</v>
      </c>
      <c r="F868" s="19" t="str">
        <v>操作员</v>
      </c>
      <c r="G868" s="19" t="str">
        <v>英国区11:00-19:30 / UK 11:00-19:30</v>
      </c>
      <c r="H868" s="23" t="n">
        <v>3</v>
      </c>
      <c r="I868" s="23" t="n">
        <v>0</v>
      </c>
      <c r="J868" s="23" t="n">
        <f>H868+I868</f>
        <v>3</v>
      </c>
      <c r="K868" s="23" t="n">
        <v>3</v>
      </c>
      <c r="L868" s="23" t="n">
        <v>3</v>
      </c>
      <c r="M868" s="23" t="n">
        <f>MIN(K868,J868)</f>
        <v>3</v>
      </c>
      <c r="N868" s="23" t="n">
        <f>MIN(L868,J868)</f>
        <v>3</v>
      </c>
      <c r="O868" s="25" t="n">
        <f>IF(K868=0,0,MIN(1,J868/K868))</f>
        <v>1</v>
      </c>
      <c r="P868" s="23" t="n">
        <f>IF(J868&gt;0,MAX(K868-J868,0),0)</f>
        <v>0</v>
      </c>
      <c r="Q868" s="23" t="n">
        <f>IF(J868=0,K868,0)</f>
        <v>0</v>
      </c>
      <c r="R868" s="23" t="n">
        <f>MAX(J868-K868,0)</f>
        <v>0</v>
      </c>
      <c r="S868" s="23" t="n">
        <f>IF(J868&gt;0,MAX(L868-J868,0),L868)</f>
        <v>0</v>
      </c>
    </row>
    <row r="869">
      <c r="A869" s="19" t="str">
        <v>英国区</v>
      </c>
      <c r="B869" s="19" t="str">
        <v>伯明翰19号仓</v>
      </c>
      <c r="C869" s="19" t="str">
        <v>入库组</v>
      </c>
      <c r="D869" s="21" t="n">
        <v>46121</v>
      </c>
      <c r="E869" s="19" t="str">
        <v>2026-04</v>
      </c>
      <c r="F869" s="19" t="str">
        <v>操作员</v>
      </c>
      <c r="G869" s="19" t="str">
        <v>英国区07:00-15:30 / UK 07:00-15:30</v>
      </c>
      <c r="H869" s="23" t="n">
        <v>5</v>
      </c>
      <c r="I869" s="23" t="n">
        <v>0</v>
      </c>
      <c r="J869" s="23" t="n">
        <f>H869+I869</f>
        <v>5</v>
      </c>
      <c r="K869" s="23" t="n">
        <v>5</v>
      </c>
      <c r="L869" s="23" t="n">
        <v>5</v>
      </c>
      <c r="M869" s="23" t="n">
        <f>MIN(K869,J869)</f>
        <v>5</v>
      </c>
      <c r="N869" s="23" t="n">
        <f>MIN(L869,J869)</f>
        <v>5</v>
      </c>
      <c r="O869" s="25" t="n">
        <f>IF(K869=0,0,MIN(1,J869/K869))</f>
        <v>1</v>
      </c>
      <c r="P869" s="23" t="n">
        <f>IF(J869&gt;0,MAX(K869-J869,0),0)</f>
        <v>0</v>
      </c>
      <c r="Q869" s="23" t="n">
        <f>IF(J869=0,K869,0)</f>
        <v>0</v>
      </c>
      <c r="R869" s="23" t="n">
        <f>MAX(J869-K869,0)</f>
        <v>0</v>
      </c>
      <c r="S869" s="23" t="n">
        <f>IF(J869&gt;0,MAX(L869-J869,0),L869)</f>
        <v>0</v>
      </c>
    </row>
    <row r="870">
      <c r="A870" s="19" t="str">
        <v>英国区</v>
      </c>
      <c r="B870" s="19" t="str">
        <v>伯明翰19号仓</v>
      </c>
      <c r="C870" s="19" t="str">
        <v>入库组</v>
      </c>
      <c r="D870" s="21" t="n">
        <v>46122</v>
      </c>
      <c r="E870" s="19" t="str">
        <v>2026-04</v>
      </c>
      <c r="F870" s="19" t="str">
        <v>操作员</v>
      </c>
      <c r="G870" s="19" t="str">
        <v>英国区11:00-19:30 / UK 11:00-19:30</v>
      </c>
      <c r="H870" s="23" t="n">
        <v>4</v>
      </c>
      <c r="I870" s="23" t="n">
        <v>0</v>
      </c>
      <c r="J870" s="23" t="n">
        <f>H870+I870</f>
        <v>4</v>
      </c>
      <c r="K870" s="23" t="n">
        <v>4</v>
      </c>
      <c r="L870" s="23" t="n">
        <v>0</v>
      </c>
      <c r="M870" s="23" t="n">
        <f>MIN(K870,J870)</f>
        <v>4</v>
      </c>
      <c r="N870" s="23" t="n">
        <f>MIN(L870,J870)</f>
        <v>0</v>
      </c>
      <c r="O870" s="25" t="n">
        <f>IF(K870=0,0,MIN(1,J870/K870))</f>
        <v>1</v>
      </c>
      <c r="P870" s="23" t="n">
        <f>IF(J870&gt;0,MAX(K870-J870,0),0)</f>
        <v>0</v>
      </c>
      <c r="Q870" s="23" t="n">
        <f>IF(J870=0,K870,0)</f>
        <v>0</v>
      </c>
      <c r="R870" s="23" t="n">
        <f>MAX(J870-K870,0)</f>
        <v>0</v>
      </c>
      <c r="S870" s="23" t="n">
        <f>IF(J870&gt;0,MAX(L870-J870,0),L870)</f>
        <v>0</v>
      </c>
    </row>
    <row r="871">
      <c r="A871" s="19" t="str">
        <v>英国区</v>
      </c>
      <c r="B871" s="19" t="str">
        <v>伯明翰19号仓</v>
      </c>
      <c r="C871" s="19" t="str">
        <v>入库组</v>
      </c>
      <c r="D871" s="21" t="n">
        <v>46125</v>
      </c>
      <c r="E871" s="19" t="str">
        <v>2026-04</v>
      </c>
      <c r="F871" s="19" t="str">
        <v>操作员</v>
      </c>
      <c r="G871" s="19" t="str">
        <v>英国区07:00-15:30 / UK 07:00-15:30</v>
      </c>
      <c r="H871" s="23" t="n">
        <v>3</v>
      </c>
      <c r="I871" s="23" t="n">
        <v>0</v>
      </c>
      <c r="J871" s="23" t="n">
        <f>H871+I871</f>
        <v>3</v>
      </c>
      <c r="K871" s="23" t="n">
        <v>3</v>
      </c>
      <c r="L871" s="23" t="n">
        <v>3</v>
      </c>
      <c r="M871" s="23" t="n">
        <f>MIN(K871,J871)</f>
        <v>3</v>
      </c>
      <c r="N871" s="23" t="n">
        <f>MIN(L871,J871)</f>
        <v>3</v>
      </c>
      <c r="O871" s="25" t="n">
        <f>IF(K871=0,0,MIN(1,J871/K871))</f>
        <v>1</v>
      </c>
      <c r="P871" s="23" t="n">
        <f>IF(J871&gt;0,MAX(K871-J871,0),0)</f>
        <v>0</v>
      </c>
      <c r="Q871" s="23" t="n">
        <f>IF(J871=0,K871,0)</f>
        <v>0</v>
      </c>
      <c r="R871" s="23" t="n">
        <f>MAX(J871-K871,0)</f>
        <v>0</v>
      </c>
      <c r="S871" s="23" t="n">
        <f>IF(J871&gt;0,MAX(L871-J871,0),L871)</f>
        <v>0</v>
      </c>
    </row>
    <row r="872">
      <c r="A872" s="19" t="str">
        <v>英国区</v>
      </c>
      <c r="B872" s="19" t="str">
        <v>伯明翰19号仓</v>
      </c>
      <c r="C872" s="19" t="str">
        <v>入库组</v>
      </c>
      <c r="D872" s="21" t="n">
        <v>46126</v>
      </c>
      <c r="E872" s="19" t="str">
        <v>2026-04</v>
      </c>
      <c r="F872" s="19" t="str">
        <v>操作员</v>
      </c>
      <c r="G872" s="19" t="str">
        <v>英国区07:00-15:30 / UK 07:00-15:30</v>
      </c>
      <c r="H872" s="23" t="n">
        <v>7</v>
      </c>
      <c r="I872" s="23" t="n">
        <v>0</v>
      </c>
      <c r="J872" s="23" t="n">
        <f>H872+I872</f>
        <v>7</v>
      </c>
      <c r="K872" s="23" t="n">
        <v>7</v>
      </c>
      <c r="L872" s="23" t="n">
        <v>3</v>
      </c>
      <c r="M872" s="23" t="n">
        <f>MIN(K872,J872)</f>
        <v>7</v>
      </c>
      <c r="N872" s="23" t="n">
        <f>MIN(L872,J872)</f>
        <v>3</v>
      </c>
      <c r="O872" s="25" t="n">
        <f>IF(K872=0,0,MIN(1,J872/K872))</f>
        <v>1</v>
      </c>
      <c r="P872" s="23" t="n">
        <f>IF(J872&gt;0,MAX(K872-J872,0),0)</f>
        <v>0</v>
      </c>
      <c r="Q872" s="23" t="n">
        <f>IF(J872=0,K872,0)</f>
        <v>0</v>
      </c>
      <c r="R872" s="23" t="n">
        <f>MAX(J872-K872,0)</f>
        <v>0</v>
      </c>
      <c r="S872" s="23" t="n">
        <f>IF(J872&gt;0,MAX(L872-J872,0),L872)</f>
        <v>0</v>
      </c>
    </row>
    <row r="873">
      <c r="A873" s="19" t="str">
        <v>英国区</v>
      </c>
      <c r="B873" s="19" t="str">
        <v>伯明翰19号仓</v>
      </c>
      <c r="C873" s="19" t="str">
        <v>入库组</v>
      </c>
      <c r="D873" s="21" t="n">
        <v>46127</v>
      </c>
      <c r="E873" s="19" t="str">
        <v>2026-04</v>
      </c>
      <c r="F873" s="19" t="str">
        <v>操作员</v>
      </c>
      <c r="G873" s="19" t="str">
        <v>英国区07:00-15:30 / UK 07:00-15:30</v>
      </c>
      <c r="H873" s="23" t="n">
        <v>3</v>
      </c>
      <c r="I873" s="23" t="n">
        <v>0</v>
      </c>
      <c r="J873" s="23" t="n">
        <f>H873+I873</f>
        <v>3</v>
      </c>
      <c r="K873" s="23" t="n">
        <v>3</v>
      </c>
      <c r="L873" s="23" t="n">
        <v>3</v>
      </c>
      <c r="M873" s="23" t="n">
        <f>MIN(K873,J873)</f>
        <v>3</v>
      </c>
      <c r="N873" s="23" t="n">
        <f>MIN(L873,J873)</f>
        <v>3</v>
      </c>
      <c r="O873" s="25" t="n">
        <f>IF(K873=0,0,MIN(1,J873/K873))</f>
        <v>1</v>
      </c>
      <c r="P873" s="23" t="n">
        <f>IF(J873&gt;0,MAX(K873-J873,0),0)</f>
        <v>0</v>
      </c>
      <c r="Q873" s="23" t="n">
        <f>IF(J873=0,K873,0)</f>
        <v>0</v>
      </c>
      <c r="R873" s="23" t="n">
        <f>MAX(J873-K873,0)</f>
        <v>0</v>
      </c>
      <c r="S873" s="23" t="n">
        <f>IF(J873&gt;0,MAX(L873-J873,0),L873)</f>
        <v>0</v>
      </c>
    </row>
    <row r="874">
      <c r="A874" s="19" t="str">
        <v>英国区</v>
      </c>
      <c r="B874" s="19" t="str">
        <v>伯明翰19号仓</v>
      </c>
      <c r="C874" s="19" t="str">
        <v>入库组</v>
      </c>
      <c r="D874" s="21" t="n">
        <v>46127</v>
      </c>
      <c r="E874" s="19" t="str">
        <v>2026-04</v>
      </c>
      <c r="F874" s="19" t="str">
        <v>操作员</v>
      </c>
      <c r="G874" s="19" t="str">
        <v>英国区09:00-17:30 / UK 09:00-17:30</v>
      </c>
      <c r="H874" s="23" t="n">
        <v>3</v>
      </c>
      <c r="I874" s="23" t="n">
        <v>0</v>
      </c>
      <c r="J874" s="23" t="n">
        <f>H874+I874</f>
        <v>3</v>
      </c>
      <c r="K874" s="23" t="n">
        <v>3</v>
      </c>
      <c r="L874" s="23" t="n">
        <v>3</v>
      </c>
      <c r="M874" s="23" t="n">
        <f>MIN(K874,J874)</f>
        <v>3</v>
      </c>
      <c r="N874" s="23" t="n">
        <f>MIN(L874,J874)</f>
        <v>3</v>
      </c>
      <c r="O874" s="25" t="n">
        <f>IF(K874=0,0,MIN(1,J874/K874))</f>
        <v>1</v>
      </c>
      <c r="P874" s="23" t="n">
        <f>IF(J874&gt;0,MAX(K874-J874,0),0)</f>
        <v>0</v>
      </c>
      <c r="Q874" s="23" t="n">
        <f>IF(J874=0,K874,0)</f>
        <v>0</v>
      </c>
      <c r="R874" s="23" t="n">
        <f>MAX(J874-K874,0)</f>
        <v>0</v>
      </c>
      <c r="S874" s="23" t="n">
        <f>IF(J874&gt;0,MAX(L874-J874,0),L874)</f>
        <v>0</v>
      </c>
    </row>
    <row r="875">
      <c r="A875" s="19" t="str">
        <v>英国区</v>
      </c>
      <c r="B875" s="19" t="str">
        <v>伯明翰19号仓</v>
      </c>
      <c r="C875" s="19" t="str">
        <v>入库组</v>
      </c>
      <c r="D875" s="21" t="n">
        <v>46128</v>
      </c>
      <c r="E875" s="19" t="str">
        <v>2026-04</v>
      </c>
      <c r="F875" s="19" t="str">
        <v>操作员</v>
      </c>
      <c r="G875" s="19" t="str">
        <v>英国区07:00-15:30 / UK 07:00-15:30</v>
      </c>
      <c r="H875" s="23" t="n">
        <v>9</v>
      </c>
      <c r="I875" s="23" t="n">
        <v>0</v>
      </c>
      <c r="J875" s="23" t="n">
        <f>H875+I875</f>
        <v>9</v>
      </c>
      <c r="K875" s="23" t="n">
        <v>9</v>
      </c>
      <c r="L875" s="23" t="n">
        <v>9</v>
      </c>
      <c r="M875" s="23" t="n">
        <f>MIN(K875,J875)</f>
        <v>9</v>
      </c>
      <c r="N875" s="23" t="n">
        <f>MIN(L875,J875)</f>
        <v>9</v>
      </c>
      <c r="O875" s="25" t="n">
        <f>IF(K875=0,0,MIN(1,J875/K875))</f>
        <v>1</v>
      </c>
      <c r="P875" s="23" t="n">
        <f>IF(J875&gt;0,MAX(K875-J875,0),0)</f>
        <v>0</v>
      </c>
      <c r="Q875" s="23" t="n">
        <f>IF(J875=0,K875,0)</f>
        <v>0</v>
      </c>
      <c r="R875" s="23" t="n">
        <f>MAX(J875-K875,0)</f>
        <v>0</v>
      </c>
      <c r="S875" s="23" t="n">
        <f>IF(J875&gt;0,MAX(L875-J875,0),L875)</f>
        <v>0</v>
      </c>
    </row>
    <row r="876">
      <c r="A876" s="19" t="str">
        <v>英国区</v>
      </c>
      <c r="B876" s="19" t="str">
        <v>伯明翰19号仓</v>
      </c>
      <c r="C876" s="19" t="str">
        <v>入库组</v>
      </c>
      <c r="D876" s="21" t="n">
        <v>46129</v>
      </c>
      <c r="E876" s="19" t="str">
        <v>2026-04</v>
      </c>
      <c r="F876" s="19" t="str">
        <v>操作员</v>
      </c>
      <c r="G876" s="19" t="str">
        <v>英国区07:00-15:30 / UK 07:00-15:30</v>
      </c>
      <c r="H876" s="23" t="n">
        <v>4</v>
      </c>
      <c r="I876" s="23" t="n">
        <v>0</v>
      </c>
      <c r="J876" s="23" t="n">
        <f>H876+I876</f>
        <v>4</v>
      </c>
      <c r="K876" s="23" t="n">
        <v>4</v>
      </c>
      <c r="L876" s="23" t="n">
        <v>3</v>
      </c>
      <c r="M876" s="23" t="n">
        <f>MIN(K876,J876)</f>
        <v>4</v>
      </c>
      <c r="N876" s="23" t="n">
        <f>MIN(L876,J876)</f>
        <v>3</v>
      </c>
      <c r="O876" s="25" t="n">
        <f>IF(K876=0,0,MIN(1,J876/K876))</f>
        <v>1</v>
      </c>
      <c r="P876" s="23" t="n">
        <f>IF(J876&gt;0,MAX(K876-J876,0),0)</f>
        <v>0</v>
      </c>
      <c r="Q876" s="23" t="n">
        <f>IF(J876=0,K876,0)</f>
        <v>0</v>
      </c>
      <c r="R876" s="23" t="n">
        <f>MAX(J876-K876,0)</f>
        <v>0</v>
      </c>
      <c r="S876" s="23" t="n">
        <f>IF(J876&gt;0,MAX(L876-J876,0),L876)</f>
        <v>0</v>
      </c>
    </row>
    <row r="877">
      <c r="A877" s="19" t="str">
        <v>英国区</v>
      </c>
      <c r="B877" s="19" t="str">
        <v>伯明翰19号仓</v>
      </c>
      <c r="C877" s="19" t="str">
        <v>入库组</v>
      </c>
      <c r="D877" s="21" t="n">
        <v>46133</v>
      </c>
      <c r="E877" s="19" t="str">
        <v>2026-04</v>
      </c>
      <c r="F877" s="19" t="str">
        <v>操作员</v>
      </c>
      <c r="G877" s="19" t="str">
        <v>英国区07:00-15:30 / UK 07:00-15:30</v>
      </c>
      <c r="H877" s="23" t="n">
        <v>3</v>
      </c>
      <c r="I877" s="23" t="n">
        <v>0</v>
      </c>
      <c r="J877" s="23" t="n">
        <f>H877+I877</f>
        <v>3</v>
      </c>
      <c r="K877" s="23" t="n">
        <v>3</v>
      </c>
      <c r="L877" s="23" t="n">
        <v>3</v>
      </c>
      <c r="M877" s="23" t="n">
        <f>MIN(K877,J877)</f>
        <v>3</v>
      </c>
      <c r="N877" s="23" t="n">
        <f>MIN(L877,J877)</f>
        <v>3</v>
      </c>
      <c r="O877" s="25" t="n">
        <f>IF(K877=0,0,MIN(1,J877/K877))</f>
        <v>1</v>
      </c>
      <c r="P877" s="23" t="n">
        <f>IF(J877&gt;0,MAX(K877-J877,0),0)</f>
        <v>0</v>
      </c>
      <c r="Q877" s="23" t="n">
        <f>IF(J877=0,K877,0)</f>
        <v>0</v>
      </c>
      <c r="R877" s="23" t="n">
        <f>MAX(J877-K877,0)</f>
        <v>0</v>
      </c>
      <c r="S877" s="23" t="n">
        <f>IF(J877&gt;0,MAX(L877-J877,0),L877)</f>
        <v>0</v>
      </c>
    </row>
    <row r="878">
      <c r="A878" s="19" t="str">
        <v>英国区</v>
      </c>
      <c r="B878" s="19" t="str">
        <v>伯明翰19号仓</v>
      </c>
      <c r="C878" s="19" t="str">
        <v>入库组</v>
      </c>
      <c r="D878" s="21" t="n">
        <v>46135</v>
      </c>
      <c r="E878" s="19" t="str">
        <v>2026-04</v>
      </c>
      <c r="F878" s="19" t="str">
        <v>操作员</v>
      </c>
      <c r="G878" s="19" t="str">
        <v>英国区11:00-19:30 / UK 11:00-19:30</v>
      </c>
      <c r="H878" s="23" t="n">
        <v>5</v>
      </c>
      <c r="I878" s="23" t="n">
        <v>0</v>
      </c>
      <c r="J878" s="23" t="n">
        <f>H878+I878</f>
        <v>5</v>
      </c>
      <c r="K878" s="23" t="n">
        <v>5</v>
      </c>
      <c r="L878" s="23" t="n">
        <v>4</v>
      </c>
      <c r="M878" s="23" t="n">
        <f>MIN(K878,J878)</f>
        <v>5</v>
      </c>
      <c r="N878" s="23" t="n">
        <f>MIN(L878,J878)</f>
        <v>4</v>
      </c>
      <c r="O878" s="25" t="n">
        <f>IF(K878=0,0,MIN(1,J878/K878))</f>
        <v>1</v>
      </c>
      <c r="P878" s="23" t="n">
        <f>IF(J878&gt;0,MAX(K878-J878,0),0)</f>
        <v>0</v>
      </c>
      <c r="Q878" s="23" t="n">
        <f>IF(J878=0,K878,0)</f>
        <v>0</v>
      </c>
      <c r="R878" s="23" t="n">
        <f>MAX(J878-K878,0)</f>
        <v>0</v>
      </c>
      <c r="S878" s="23" t="n">
        <f>IF(J878&gt;0,MAX(L878-J878,0),L878)</f>
        <v>0</v>
      </c>
    </row>
    <row r="879">
      <c r="A879" s="19" t="str">
        <v>英国区</v>
      </c>
      <c r="B879" s="19" t="str">
        <v>伯明翰19号仓</v>
      </c>
      <c r="C879" s="19" t="str">
        <v>入库组</v>
      </c>
      <c r="D879" s="21" t="n">
        <v>46142</v>
      </c>
      <c r="E879" s="19" t="str">
        <v>2026-04</v>
      </c>
      <c r="F879" s="19" t="str">
        <v>操作员</v>
      </c>
      <c r="G879" s="19" t="str">
        <v>英国区07:00-15:30 / UK 07:00-15:30</v>
      </c>
      <c r="H879" s="23" t="n">
        <v>3</v>
      </c>
      <c r="I879" s="23" t="n">
        <v>0</v>
      </c>
      <c r="J879" s="23" t="n">
        <f>H879+I879</f>
        <v>3</v>
      </c>
      <c r="K879" s="23" t="n">
        <v>3</v>
      </c>
      <c r="L879" s="23" t="n">
        <v>3</v>
      </c>
      <c r="M879" s="23" t="n">
        <f>MIN(K879,J879)</f>
        <v>3</v>
      </c>
      <c r="N879" s="23" t="n">
        <f>MIN(L879,J879)</f>
        <v>3</v>
      </c>
      <c r="O879" s="25" t="n">
        <f>IF(K879=0,0,MIN(1,J879/K879))</f>
        <v>1</v>
      </c>
      <c r="P879" s="23" t="n">
        <f>IF(J879&gt;0,MAX(K879-J879,0),0)</f>
        <v>0</v>
      </c>
      <c r="Q879" s="23" t="n">
        <f>IF(J879=0,K879,0)</f>
        <v>0</v>
      </c>
      <c r="R879" s="23" t="n">
        <f>MAX(J879-K879,0)</f>
        <v>0</v>
      </c>
      <c r="S879" s="23" t="n">
        <f>IF(J879&gt;0,MAX(L879-J879,0),L879)</f>
        <v>0</v>
      </c>
    </row>
    <row r="880">
      <c r="A880" s="19" t="str">
        <v>英国区</v>
      </c>
      <c r="B880" s="19" t="str">
        <v>伯明翰19号仓</v>
      </c>
      <c r="C880" s="19" t="str">
        <v>入库组</v>
      </c>
      <c r="D880" s="21" t="n">
        <v>46147</v>
      </c>
      <c r="E880" s="19" t="str">
        <v>2026-05</v>
      </c>
      <c r="F880" s="19" t="str">
        <v>操作员</v>
      </c>
      <c r="G880" s="19" t="str">
        <v>英国区07:00-15:30 / UK 07:00-15:30</v>
      </c>
      <c r="H880" s="23" t="n">
        <v>2</v>
      </c>
      <c r="I880" s="23" t="n">
        <v>0</v>
      </c>
      <c r="J880" s="23" t="n">
        <f>H880+I880</f>
        <v>2</v>
      </c>
      <c r="K880" s="23" t="n">
        <v>2</v>
      </c>
      <c r="L880" s="23" t="n">
        <v>2</v>
      </c>
      <c r="M880" s="23" t="n">
        <f>MIN(K880,J880)</f>
        <v>2</v>
      </c>
      <c r="N880" s="23" t="n">
        <f>MIN(L880,J880)</f>
        <v>2</v>
      </c>
      <c r="O880" s="25" t="n">
        <f>IF(K880=0,0,MIN(1,J880/K880))</f>
        <v>1</v>
      </c>
      <c r="P880" s="23" t="n">
        <f>IF(J880&gt;0,MAX(K880-J880,0),0)</f>
        <v>0</v>
      </c>
      <c r="Q880" s="23" t="n">
        <f>IF(J880=0,K880,0)</f>
        <v>0</v>
      </c>
      <c r="R880" s="23" t="n">
        <f>MAX(J880-K880,0)</f>
        <v>0</v>
      </c>
      <c r="S880" s="23" t="n">
        <f>IF(J880&gt;0,MAX(L880-J880,0),L880)</f>
        <v>0</v>
      </c>
    </row>
    <row r="881">
      <c r="A881" s="19" t="str">
        <v>英国区</v>
      </c>
      <c r="B881" s="19" t="str">
        <v>伯明翰19号仓</v>
      </c>
      <c r="C881" s="19" t="str">
        <v>入库组</v>
      </c>
      <c r="D881" s="21" t="n">
        <v>46149</v>
      </c>
      <c r="E881" s="19" t="str">
        <v>2026-05</v>
      </c>
      <c r="F881" s="19" t="str">
        <v>操作员</v>
      </c>
      <c r="G881" s="19" t="str">
        <v>英国区07:00-15:30 / UK 07:00-15:30</v>
      </c>
      <c r="H881" s="23" t="n">
        <v>2</v>
      </c>
      <c r="I881" s="23" t="n">
        <v>0</v>
      </c>
      <c r="J881" s="23" t="n">
        <f>H881+I881</f>
        <v>2</v>
      </c>
      <c r="K881" s="23" t="n">
        <v>2</v>
      </c>
      <c r="L881" s="23" t="n">
        <v>2</v>
      </c>
      <c r="M881" s="23" t="n">
        <f>MIN(K881,J881)</f>
        <v>2</v>
      </c>
      <c r="N881" s="23" t="n">
        <f>MIN(L881,J881)</f>
        <v>2</v>
      </c>
      <c r="O881" s="25" t="n">
        <f>IF(K881=0,0,MIN(1,J881/K881))</f>
        <v>1</v>
      </c>
      <c r="P881" s="23" t="n">
        <f>IF(J881&gt;0,MAX(K881-J881,0),0)</f>
        <v>0</v>
      </c>
      <c r="Q881" s="23" t="n">
        <f>IF(J881=0,K881,0)</f>
        <v>0</v>
      </c>
      <c r="R881" s="23" t="n">
        <f>MAX(J881-K881,0)</f>
        <v>0</v>
      </c>
      <c r="S881" s="23" t="n">
        <f>IF(J881&gt;0,MAX(L881-J881,0),L881)</f>
        <v>0</v>
      </c>
    </row>
    <row r="882">
      <c r="A882" s="19" t="str">
        <v>英国区</v>
      </c>
      <c r="B882" s="19" t="str">
        <v>伯明翰19号仓</v>
      </c>
      <c r="C882" s="19" t="str">
        <v>入库组</v>
      </c>
      <c r="D882" s="21" t="n">
        <v>46160</v>
      </c>
      <c r="E882" s="19" t="str">
        <v>2026-05</v>
      </c>
      <c r="F882" s="19" t="str">
        <v>操作员</v>
      </c>
      <c r="G882" s="19" t="str">
        <v>英国区07:00-15:30 / UK 07:00-15:30</v>
      </c>
      <c r="H882" s="23" t="n">
        <v>4</v>
      </c>
      <c r="I882" s="23" t="n">
        <v>0</v>
      </c>
      <c r="J882" s="23" t="n">
        <f>H882+I882</f>
        <v>4</v>
      </c>
      <c r="K882" s="23" t="n">
        <v>4</v>
      </c>
      <c r="L882" s="23" t="n">
        <v>4</v>
      </c>
      <c r="M882" s="23" t="n">
        <f>MIN(K882,J882)</f>
        <v>4</v>
      </c>
      <c r="N882" s="23" t="n">
        <f>MIN(L882,J882)</f>
        <v>4</v>
      </c>
      <c r="O882" s="25" t="n">
        <f>IF(K882=0,0,MIN(1,J882/K882))</f>
        <v>1</v>
      </c>
      <c r="P882" s="23" t="n">
        <f>IF(J882&gt;0,MAX(K882-J882,0),0)</f>
        <v>0</v>
      </c>
      <c r="Q882" s="23" t="n">
        <f>IF(J882=0,K882,0)</f>
        <v>0</v>
      </c>
      <c r="R882" s="23" t="n">
        <f>MAX(J882-K882,0)</f>
        <v>0</v>
      </c>
      <c r="S882" s="23" t="n">
        <f>IF(J882&gt;0,MAX(L882-J882,0),L882)</f>
        <v>0</v>
      </c>
    </row>
    <row r="883">
      <c r="A883" s="19" t="str">
        <v>英国区</v>
      </c>
      <c r="B883" s="19" t="str">
        <v>伯明翰19号仓</v>
      </c>
      <c r="C883" s="19" t="str">
        <v>入库组</v>
      </c>
      <c r="D883" s="21" t="n">
        <v>46161</v>
      </c>
      <c r="E883" s="19" t="str">
        <v>2026-05</v>
      </c>
      <c r="F883" s="19" t="str">
        <v>操作员</v>
      </c>
      <c r="G883" s="19" t="str">
        <v>英国区07:00-15:30 / UK 07:00-15:30</v>
      </c>
      <c r="H883" s="23" t="n">
        <v>3</v>
      </c>
      <c r="I883" s="23" t="n">
        <v>0</v>
      </c>
      <c r="J883" s="23" t="n">
        <f>H883+I883</f>
        <v>3</v>
      </c>
      <c r="K883" s="23" t="n">
        <v>3</v>
      </c>
      <c r="L883" s="23" t="n">
        <v>3</v>
      </c>
      <c r="M883" s="23" t="n">
        <f>MIN(K883,J883)</f>
        <v>3</v>
      </c>
      <c r="N883" s="23" t="n">
        <f>MIN(L883,J883)</f>
        <v>3</v>
      </c>
      <c r="O883" s="25" t="n">
        <f>IF(K883=0,0,MIN(1,J883/K883))</f>
        <v>1</v>
      </c>
      <c r="P883" s="23" t="n">
        <f>IF(J883&gt;0,MAX(K883-J883,0),0)</f>
        <v>0</v>
      </c>
      <c r="Q883" s="23" t="n">
        <f>IF(J883=0,K883,0)</f>
        <v>0</v>
      </c>
      <c r="R883" s="23" t="n">
        <f>MAX(J883-K883,0)</f>
        <v>0</v>
      </c>
      <c r="S883" s="23" t="n">
        <f>IF(J883&gt;0,MAX(L883-J883,0),L883)</f>
        <v>0</v>
      </c>
    </row>
    <row r="884">
      <c r="A884" s="19" t="str">
        <v>英国区</v>
      </c>
      <c r="B884" s="19" t="str">
        <v>伯明翰19号仓</v>
      </c>
      <c r="C884" s="19" t="str">
        <v>入库组</v>
      </c>
      <c r="D884" s="21" t="n">
        <v>46162</v>
      </c>
      <c r="E884" s="19" t="str">
        <v>2026-05</v>
      </c>
      <c r="F884" s="19" t="str">
        <v>操作员</v>
      </c>
      <c r="G884" s="19" t="str">
        <v>英国区07:00-15:30 / UK 07:00-15:30</v>
      </c>
      <c r="H884" s="23" t="n">
        <v>6</v>
      </c>
      <c r="I884" s="23" t="n">
        <v>0</v>
      </c>
      <c r="J884" s="23" t="n">
        <f>H884+I884</f>
        <v>6</v>
      </c>
      <c r="K884" s="23" t="n">
        <v>6</v>
      </c>
      <c r="L884" s="23" t="n">
        <v>6</v>
      </c>
      <c r="M884" s="23" t="n">
        <f>MIN(K884,J884)</f>
        <v>6</v>
      </c>
      <c r="N884" s="23" t="n">
        <f>MIN(L884,J884)</f>
        <v>6</v>
      </c>
      <c r="O884" s="25" t="n">
        <f>IF(K884=0,0,MIN(1,J884/K884))</f>
        <v>1</v>
      </c>
      <c r="P884" s="23" t="n">
        <f>IF(J884&gt;0,MAX(K884-J884,0),0)</f>
        <v>0</v>
      </c>
      <c r="Q884" s="23" t="n">
        <f>IF(J884=0,K884,0)</f>
        <v>0</v>
      </c>
      <c r="R884" s="23" t="n">
        <f>MAX(J884-K884,0)</f>
        <v>0</v>
      </c>
      <c r="S884" s="23" t="n">
        <f>IF(J884&gt;0,MAX(L884-J884,0),L884)</f>
        <v>0</v>
      </c>
    </row>
    <row r="885">
      <c r="A885" s="19" t="str">
        <v>英国区</v>
      </c>
      <c r="B885" s="19" t="str">
        <v>伯明翰19号仓</v>
      </c>
      <c r="C885" s="19" t="str">
        <v>入库组</v>
      </c>
      <c r="D885" s="21" t="n">
        <v>46163</v>
      </c>
      <c r="E885" s="19" t="str">
        <v>2026-05</v>
      </c>
      <c r="F885" s="19" t="str">
        <v>操作员</v>
      </c>
      <c r="G885" s="19" t="str">
        <v>英国区07:00-15:30 / UK 07:00-15:30</v>
      </c>
      <c r="H885" s="23" t="n">
        <v>6</v>
      </c>
      <c r="I885" s="23" t="n">
        <v>0</v>
      </c>
      <c r="J885" s="23" t="n">
        <f>H885+I885</f>
        <v>6</v>
      </c>
      <c r="K885" s="23" t="n">
        <v>6</v>
      </c>
      <c r="L885" s="23" t="n">
        <v>6</v>
      </c>
      <c r="M885" s="23" t="n">
        <f>MIN(K885,J885)</f>
        <v>6</v>
      </c>
      <c r="N885" s="23" t="n">
        <f>MIN(L885,J885)</f>
        <v>6</v>
      </c>
      <c r="O885" s="25" t="n">
        <f>IF(K885=0,0,MIN(1,J885/K885))</f>
        <v>1</v>
      </c>
      <c r="P885" s="23" t="n">
        <f>IF(J885&gt;0,MAX(K885-J885,0),0)</f>
        <v>0</v>
      </c>
      <c r="Q885" s="23" t="n">
        <f>IF(J885=0,K885,0)</f>
        <v>0</v>
      </c>
      <c r="R885" s="23" t="n">
        <f>MAX(J885-K885,0)</f>
        <v>0</v>
      </c>
      <c r="S885" s="23" t="n">
        <f>IF(J885&gt;0,MAX(L885-J885,0),L885)</f>
        <v>0</v>
      </c>
    </row>
    <row r="886">
      <c r="A886" s="19" t="str">
        <v>英国区</v>
      </c>
      <c r="B886" s="19" t="str">
        <v>伯明翰19号仓</v>
      </c>
      <c r="C886" s="19" t="str">
        <v>入库组</v>
      </c>
      <c r="D886" s="21" t="n">
        <v>46164</v>
      </c>
      <c r="E886" s="19" t="str">
        <v>2026-05</v>
      </c>
      <c r="F886" s="19" t="str">
        <v>操作员</v>
      </c>
      <c r="G886" s="19" t="str">
        <v>英国区07:00-15:30 / UK 07:00-15:30</v>
      </c>
      <c r="H886" s="23" t="n">
        <v>5</v>
      </c>
      <c r="I886" s="23" t="n">
        <v>0</v>
      </c>
      <c r="J886" s="23" t="n">
        <f>H886+I886</f>
        <v>5</v>
      </c>
      <c r="K886" s="23" t="n">
        <v>5</v>
      </c>
      <c r="L886" s="23" t="n">
        <v>5</v>
      </c>
      <c r="M886" s="23" t="n">
        <f>MIN(K886,J886)</f>
        <v>5</v>
      </c>
      <c r="N886" s="23" t="n">
        <f>MIN(L886,J886)</f>
        <v>5</v>
      </c>
      <c r="O886" s="25" t="n">
        <f>IF(K886=0,0,MIN(1,J886/K886))</f>
        <v>1</v>
      </c>
      <c r="P886" s="23" t="n">
        <f>IF(J886&gt;0,MAX(K886-J886,0),0)</f>
        <v>0</v>
      </c>
      <c r="Q886" s="23" t="n">
        <f>IF(J886=0,K886,0)</f>
        <v>0</v>
      </c>
      <c r="R886" s="23" t="n">
        <f>MAX(J886-K886,0)</f>
        <v>0</v>
      </c>
      <c r="S886" s="23" t="n">
        <f>IF(J886&gt;0,MAX(L886-J886,0),L886)</f>
        <v>0</v>
      </c>
    </row>
    <row r="887">
      <c r="A887" s="19" t="str">
        <v>英国区</v>
      </c>
      <c r="B887" s="19" t="str">
        <v>伯明翰19号仓</v>
      </c>
      <c r="C887" s="19" t="str">
        <v>入库组</v>
      </c>
      <c r="D887" s="21" t="n">
        <v>46192</v>
      </c>
      <c r="E887" s="19" t="str">
        <v>2026-06</v>
      </c>
      <c r="F887" s="19" t="str">
        <v>操作员</v>
      </c>
      <c r="G887" s="19" t="str">
        <v>英国区07:00-15:30 / UK 07:00-15:30</v>
      </c>
      <c r="H887" s="23" t="n">
        <v>6</v>
      </c>
      <c r="I887" s="23" t="n">
        <v>0</v>
      </c>
      <c r="J887" s="23" t="n">
        <f>H887+I887</f>
        <v>6</v>
      </c>
      <c r="K887" s="23" t="n">
        <v>6</v>
      </c>
      <c r="L887" s="23" t="n">
        <v>6</v>
      </c>
      <c r="M887" s="23" t="n">
        <f>MIN(K887,J887)</f>
        <v>6</v>
      </c>
      <c r="N887" s="23" t="n">
        <f>MIN(L887,J887)</f>
        <v>6</v>
      </c>
      <c r="O887" s="25" t="n">
        <f>IF(K887=0,0,MIN(1,J887/K887))</f>
        <v>1</v>
      </c>
      <c r="P887" s="23" t="n">
        <f>IF(J887&gt;0,MAX(K887-J887,0),0)</f>
        <v>0</v>
      </c>
      <c r="Q887" s="23" t="n">
        <f>IF(J887=0,K887,0)</f>
        <v>0</v>
      </c>
      <c r="R887" s="23" t="n">
        <f>MAX(J887-K887,0)</f>
        <v>0</v>
      </c>
      <c r="S887" s="23" t="n">
        <f>IF(J887&gt;0,MAX(L887-J887,0),L887)</f>
        <v>0</v>
      </c>
    </row>
    <row r="888">
      <c r="A888" s="19" t="str">
        <v>英国区</v>
      </c>
      <c r="B888" s="19" t="str">
        <v>伯明翰19号仓</v>
      </c>
      <c r="C888" s="19" t="str">
        <v>入库组</v>
      </c>
      <c r="D888" s="21" t="n">
        <v>46203</v>
      </c>
      <c r="E888" s="19" t="str">
        <v>2026-06</v>
      </c>
      <c r="F888" s="19" t="str">
        <v>操作员</v>
      </c>
      <c r="G888" s="19" t="str">
        <v>英国区07:00-15:30 / UK 07:00-15:30</v>
      </c>
      <c r="H888" s="23" t="n">
        <v>3</v>
      </c>
      <c r="I888" s="23" t="n">
        <v>0</v>
      </c>
      <c r="J888" s="23" t="n">
        <f>H888+I888</f>
        <v>3</v>
      </c>
      <c r="K888" s="23" t="n">
        <v>3</v>
      </c>
      <c r="L888" s="23" t="n">
        <v>3</v>
      </c>
      <c r="M888" s="23" t="n">
        <f>MIN(K888,J888)</f>
        <v>3</v>
      </c>
      <c r="N888" s="23" t="n">
        <f>MIN(L888,J888)</f>
        <v>3</v>
      </c>
      <c r="O888" s="25" t="n">
        <f>IF(K888=0,0,MIN(1,J888/K888))</f>
        <v>1</v>
      </c>
      <c r="P888" s="23" t="n">
        <f>IF(J888&gt;0,MAX(K888-J888,0),0)</f>
        <v>0</v>
      </c>
      <c r="Q888" s="23" t="n">
        <f>IF(J888=0,K888,0)</f>
        <v>0</v>
      </c>
      <c r="R888" s="23" t="n">
        <f>MAX(J888-K888,0)</f>
        <v>0</v>
      </c>
      <c r="S888" s="23" t="n">
        <f>IF(J888&gt;0,MAX(L888-J888,0),L888)</f>
        <v>0</v>
      </c>
    </row>
    <row r="889">
      <c r="A889" s="19" t="str">
        <v>英国区</v>
      </c>
      <c r="B889" s="19" t="str">
        <v>伯明翰19号仓</v>
      </c>
      <c r="C889" s="19" t="str">
        <v>入库组</v>
      </c>
      <c r="D889" s="21" t="n">
        <v>46203</v>
      </c>
      <c r="E889" s="19" t="str">
        <v>2026-06</v>
      </c>
      <c r="F889" s="19" t="str">
        <v>操作员</v>
      </c>
      <c r="G889" s="19" t="str">
        <v>英国区09:00-17:30 / UK 09:00-17:30</v>
      </c>
      <c r="H889" s="23" t="n">
        <v>5</v>
      </c>
      <c r="I889" s="23" t="n">
        <v>0</v>
      </c>
      <c r="J889" s="23" t="n">
        <f>H889+I889</f>
        <v>5</v>
      </c>
      <c r="K889" s="23" t="n">
        <v>5</v>
      </c>
      <c r="L889" s="23" t="n">
        <v>5</v>
      </c>
      <c r="M889" s="23" t="n">
        <f>MIN(K889,J889)</f>
        <v>5</v>
      </c>
      <c r="N889" s="23" t="n">
        <f>MIN(L889,J889)</f>
        <v>5</v>
      </c>
      <c r="O889" s="25" t="n">
        <f>IF(K889=0,0,MIN(1,J889/K889))</f>
        <v>1</v>
      </c>
      <c r="P889" s="23" t="n">
        <f>IF(J889&gt;0,MAX(K889-J889,0),0)</f>
        <v>0</v>
      </c>
      <c r="Q889" s="23" t="n">
        <f>IF(J889=0,K889,0)</f>
        <v>0</v>
      </c>
      <c r="R889" s="23" t="n">
        <f>MAX(J889-K889,0)</f>
        <v>0</v>
      </c>
      <c r="S889" s="23" t="n">
        <f>IF(J889&gt;0,MAX(L889-J889,0),L889)</f>
        <v>0</v>
      </c>
    </row>
    <row r="890">
      <c r="A890" s="19" t="str">
        <v>英国区</v>
      </c>
      <c r="B890" s="19" t="str">
        <v>伯明翰19号仓</v>
      </c>
      <c r="C890" s="19" t="str">
        <v>包装组</v>
      </c>
      <c r="D890" s="21" t="n">
        <v>46168</v>
      </c>
      <c r="E890" s="19" t="str">
        <v>2026-05</v>
      </c>
      <c r="F890" s="19" t="str">
        <v>操作员</v>
      </c>
      <c r="G890" s="19" t="str">
        <v>英国区09:00-17:30 / UK 09:00-17:30</v>
      </c>
      <c r="H890" s="23" t="n">
        <v>1</v>
      </c>
      <c r="I890" s="23" t="n">
        <v>0</v>
      </c>
      <c r="J890" s="23" t="n">
        <f>H890+I890</f>
        <v>1</v>
      </c>
      <c r="K890" s="23" t="n">
        <v>0</v>
      </c>
      <c r="L890" s="23" t="n">
        <v>0</v>
      </c>
      <c r="M890" s="23" t="n">
        <f>MIN(K890,J890)</f>
        <v>0</v>
      </c>
      <c r="N890" s="23" t="n">
        <f>MIN(L890,J890)</f>
        <v>0</v>
      </c>
      <c r="O890" s="25" t="n">
        <f>IF(K890=0,0,MIN(1,J890/K890))</f>
        <v>0</v>
      </c>
      <c r="P890" s="23" t="n">
        <f>IF(J890&gt;0,MAX(K890-J890,0),0)</f>
        <v>0</v>
      </c>
      <c r="Q890" s="23" t="n">
        <f>IF(J890=0,K890,0)</f>
        <v>0</v>
      </c>
      <c r="R890" s="23" t="n">
        <f>MAX(J890-K890,0)</f>
        <v>1</v>
      </c>
      <c r="S890" s="23" t="n">
        <f>IF(J890&gt;0,MAX(L890-J890,0),L890)</f>
        <v>0</v>
      </c>
    </row>
    <row r="891">
      <c r="A891" s="19" t="str">
        <v>英国区</v>
      </c>
      <c r="B891" s="19" t="str">
        <v>伯明翰19号仓</v>
      </c>
      <c r="C891" s="19" t="str">
        <v>包装组</v>
      </c>
      <c r="D891" s="21" t="n">
        <v>46190</v>
      </c>
      <c r="E891" s="19" t="str">
        <v>2026-06</v>
      </c>
      <c r="F891" s="19" t="str">
        <v>操作员</v>
      </c>
      <c r="G891" s="19" t="str">
        <v>英国区07:00-15:30 / UK 07:00-15:30</v>
      </c>
      <c r="H891" s="23" t="n">
        <v>2</v>
      </c>
      <c r="I891" s="23" t="n">
        <v>0</v>
      </c>
      <c r="J891" s="23" t="n">
        <f>H891+I891</f>
        <v>2</v>
      </c>
      <c r="K891" s="23" t="n">
        <v>2</v>
      </c>
      <c r="L891" s="23" t="n">
        <v>2</v>
      </c>
      <c r="M891" s="23" t="n">
        <f>MIN(K891,J891)</f>
        <v>2</v>
      </c>
      <c r="N891" s="23" t="n">
        <f>MIN(L891,J891)</f>
        <v>2</v>
      </c>
      <c r="O891" s="25" t="n">
        <f>IF(K891=0,0,MIN(1,J891/K891))</f>
        <v>1</v>
      </c>
      <c r="P891" s="23" t="n">
        <f>IF(J891&gt;0,MAX(K891-J891,0),0)</f>
        <v>0</v>
      </c>
      <c r="Q891" s="23" t="n">
        <f>IF(J891=0,K891,0)</f>
        <v>0</v>
      </c>
      <c r="R891" s="23" t="n">
        <f>MAX(J891-K891,0)</f>
        <v>0</v>
      </c>
      <c r="S891" s="23" t="n">
        <f>IF(J891&gt;0,MAX(L891-J891,0),L891)</f>
        <v>0</v>
      </c>
    </row>
    <row r="892">
      <c r="A892" s="19" t="str">
        <v>英国区</v>
      </c>
      <c r="B892" s="19" t="str">
        <v>伯明翰19号仓</v>
      </c>
      <c r="C892" s="19" t="str">
        <v>售后组</v>
      </c>
      <c r="D892" s="21" t="n">
        <v>46182</v>
      </c>
      <c r="E892" s="19" t="str">
        <v>2026-06</v>
      </c>
      <c r="F892" s="19" t="str">
        <v>操作员</v>
      </c>
      <c r="G892" s="19" t="str">
        <v>英国区07:00-15:30 / UK 07:00-15:30</v>
      </c>
      <c r="H892" s="23" t="n">
        <v>2</v>
      </c>
      <c r="I892" s="23" t="n">
        <v>0</v>
      </c>
      <c r="J892" s="23" t="n">
        <f>H892+I892</f>
        <v>2</v>
      </c>
      <c r="K892" s="23" t="n">
        <v>2</v>
      </c>
      <c r="L892" s="23" t="n">
        <v>2</v>
      </c>
      <c r="M892" s="23" t="n">
        <f>MIN(K892,J892)</f>
        <v>2</v>
      </c>
      <c r="N892" s="23" t="n">
        <f>MIN(L892,J892)</f>
        <v>2</v>
      </c>
      <c r="O892" s="25" t="n">
        <f>IF(K892=0,0,MIN(1,J892/K892))</f>
        <v>1</v>
      </c>
      <c r="P892" s="23" t="n">
        <f>IF(J892&gt;0,MAX(K892-J892,0),0)</f>
        <v>0</v>
      </c>
      <c r="Q892" s="23" t="n">
        <f>IF(J892=0,K892,0)</f>
        <v>0</v>
      </c>
      <c r="R892" s="23" t="n">
        <f>MAX(J892-K892,0)</f>
        <v>0</v>
      </c>
      <c r="S892" s="23" t="n">
        <f>IF(J892&gt;0,MAX(L892-J892,0),L892)</f>
        <v>0</v>
      </c>
    </row>
    <row r="893">
      <c r="A893" s="19" t="str">
        <v>英国区</v>
      </c>
      <c r="B893" s="19" t="str">
        <v>伯明翰19号仓</v>
      </c>
      <c r="C893" s="19" t="str">
        <v>拣货组</v>
      </c>
      <c r="D893" s="21" t="n">
        <v>46141</v>
      </c>
      <c r="E893" s="19" t="str">
        <v>2026-04</v>
      </c>
      <c r="F893" s="19" t="str">
        <v>操作员</v>
      </c>
      <c r="G893" s="19" t="str">
        <v>英国区09:00-17:30 / UK 09:00-17:30</v>
      </c>
      <c r="H893" s="23" t="n">
        <v>8</v>
      </c>
      <c r="I893" s="23" t="n">
        <v>0</v>
      </c>
      <c r="J893" s="23" t="n">
        <f>H893+I893</f>
        <v>8</v>
      </c>
      <c r="K893" s="23" t="n">
        <v>8</v>
      </c>
      <c r="L893" s="23" t="n">
        <v>8</v>
      </c>
      <c r="M893" s="23" t="n">
        <f>MIN(K893,J893)</f>
        <v>8</v>
      </c>
      <c r="N893" s="23" t="n">
        <f>MIN(L893,J893)</f>
        <v>8</v>
      </c>
      <c r="O893" s="25" t="n">
        <f>IF(K893=0,0,MIN(1,J893/K893))</f>
        <v>1</v>
      </c>
      <c r="P893" s="23" t="n">
        <f>IF(J893&gt;0,MAX(K893-J893,0),0)</f>
        <v>0</v>
      </c>
      <c r="Q893" s="23" t="n">
        <f>IF(J893=0,K893,0)</f>
        <v>0</v>
      </c>
      <c r="R893" s="23" t="n">
        <f>MAX(J893-K893,0)</f>
        <v>0</v>
      </c>
      <c r="S893" s="23" t="n">
        <f>IF(J893&gt;0,MAX(L893-J893,0),L893)</f>
        <v>0</v>
      </c>
    </row>
    <row r="894">
      <c r="A894" s="19" t="str">
        <v>英国区</v>
      </c>
      <c r="B894" s="19" t="str">
        <v>伯明翰19号仓</v>
      </c>
      <c r="C894" s="19" t="str">
        <v>拣货组</v>
      </c>
      <c r="D894" s="21" t="n">
        <v>46177</v>
      </c>
      <c r="E894" s="19" t="str">
        <v>2026-06</v>
      </c>
      <c r="F894" s="19" t="str">
        <v>操作员</v>
      </c>
      <c r="G894" s="19" t="str">
        <v>英国区09:00-17:30 / UK 09:00-17:30</v>
      </c>
      <c r="H894" s="23" t="n">
        <v>1</v>
      </c>
      <c r="I894" s="23" t="n">
        <v>0</v>
      </c>
      <c r="J894" s="23" t="n">
        <f>H894+I894</f>
        <v>1</v>
      </c>
      <c r="K894" s="23" t="n">
        <v>1</v>
      </c>
      <c r="L894" s="23" t="n">
        <v>1</v>
      </c>
      <c r="M894" s="23" t="n">
        <f>MIN(K894,J894)</f>
        <v>1</v>
      </c>
      <c r="N894" s="23" t="n">
        <f>MIN(L894,J894)</f>
        <v>1</v>
      </c>
      <c r="O894" s="25" t="n">
        <f>IF(K894=0,0,MIN(1,J894/K894))</f>
        <v>1</v>
      </c>
      <c r="P894" s="23" t="n">
        <f>IF(J894&gt;0,MAX(K894-J894,0),0)</f>
        <v>0</v>
      </c>
      <c r="Q894" s="23" t="n">
        <f>IF(J894=0,K894,0)</f>
        <v>0</v>
      </c>
      <c r="R894" s="23" t="n">
        <f>MAX(J894-K894,0)</f>
        <v>0</v>
      </c>
      <c r="S894" s="23" t="n">
        <f>IF(J894&gt;0,MAX(L894-J894,0),L894)</f>
        <v>0</v>
      </c>
    </row>
    <row r="895">
      <c r="A895" s="19" t="str">
        <v>英国区</v>
      </c>
      <c r="B895" s="19" t="str">
        <v>伯明翰19号仓</v>
      </c>
      <c r="C895" s="19" t="str">
        <v>拣货组</v>
      </c>
      <c r="D895" s="21" t="n">
        <v>46182</v>
      </c>
      <c r="E895" s="19" t="str">
        <v>2026-06</v>
      </c>
      <c r="F895" s="19" t="str">
        <v>操作员</v>
      </c>
      <c r="G895" s="19" t="str">
        <v>英国区07:00-15:30 / UK 07:00-15:30</v>
      </c>
      <c r="H895" s="23" t="n">
        <v>3</v>
      </c>
      <c r="I895" s="23" t="n">
        <v>0</v>
      </c>
      <c r="J895" s="23" t="n">
        <f>H895+I895</f>
        <v>3</v>
      </c>
      <c r="K895" s="23" t="n">
        <v>3</v>
      </c>
      <c r="L895" s="23" t="n">
        <v>3</v>
      </c>
      <c r="M895" s="23" t="n">
        <f>MIN(K895,J895)</f>
        <v>3</v>
      </c>
      <c r="N895" s="23" t="n">
        <f>MIN(L895,J895)</f>
        <v>3</v>
      </c>
      <c r="O895" s="25" t="n">
        <f>IF(K895=0,0,MIN(1,J895/K895))</f>
        <v>1</v>
      </c>
      <c r="P895" s="23" t="n">
        <f>IF(J895&gt;0,MAX(K895-J895,0),0)</f>
        <v>0</v>
      </c>
      <c r="Q895" s="23" t="n">
        <f>IF(J895=0,K895,0)</f>
        <v>0</v>
      </c>
      <c r="R895" s="23" t="n">
        <f>MAX(J895-K895,0)</f>
        <v>0</v>
      </c>
      <c r="S895" s="23" t="n">
        <f>IF(J895&gt;0,MAX(L895-J895,0),L895)</f>
        <v>0</v>
      </c>
    </row>
    <row r="896">
      <c r="A896" s="19" t="str">
        <v>英国区</v>
      </c>
      <c r="B896" s="19" t="str">
        <v>伯明翰19号仓</v>
      </c>
      <c r="C896" s="19" t="str">
        <v>拣货组</v>
      </c>
      <c r="D896" s="21" t="n">
        <v>46183</v>
      </c>
      <c r="E896" s="19" t="str">
        <v>2026-06</v>
      </c>
      <c r="F896" s="19" t="str">
        <v>操作员</v>
      </c>
      <c r="G896" s="19" t="str">
        <v>英国区07:00-15:30 / UK 07:00-15:30</v>
      </c>
      <c r="H896" s="23" t="n">
        <v>3</v>
      </c>
      <c r="I896" s="23" t="n">
        <v>0</v>
      </c>
      <c r="J896" s="23" t="n">
        <f>H896+I896</f>
        <v>3</v>
      </c>
      <c r="K896" s="23" t="n">
        <v>3</v>
      </c>
      <c r="L896" s="23" t="n">
        <v>3</v>
      </c>
      <c r="M896" s="23" t="n">
        <f>MIN(K896,J896)</f>
        <v>3</v>
      </c>
      <c r="N896" s="23" t="n">
        <f>MIN(L896,J896)</f>
        <v>3</v>
      </c>
      <c r="O896" s="25" t="n">
        <f>IF(K896=0,0,MIN(1,J896/K896))</f>
        <v>1</v>
      </c>
      <c r="P896" s="23" t="n">
        <f>IF(J896&gt;0,MAX(K896-J896,0),0)</f>
        <v>0</v>
      </c>
      <c r="Q896" s="23" t="n">
        <f>IF(J896=0,K896,0)</f>
        <v>0</v>
      </c>
      <c r="R896" s="23" t="n">
        <f>MAX(J896-K896,0)</f>
        <v>0</v>
      </c>
      <c r="S896" s="23" t="n">
        <f>IF(J896&gt;0,MAX(L896-J896,0),L896)</f>
        <v>0</v>
      </c>
    </row>
    <row r="897">
      <c r="A897" s="19" t="str">
        <v>英国区</v>
      </c>
      <c r="B897" s="19" t="str">
        <v>伯明翰19号仓</v>
      </c>
      <c r="C897" s="19" t="str">
        <v>理货组</v>
      </c>
      <c r="D897" s="21" t="n">
        <v>46170</v>
      </c>
      <c r="E897" s="19" t="str">
        <v>2026-05</v>
      </c>
      <c r="F897" s="19" t="str">
        <v>操作员</v>
      </c>
      <c r="G897" s="19" t="str">
        <v>英国区09:00-17:30 / UK 09:00-17:30</v>
      </c>
      <c r="H897" s="23" t="n">
        <v>1</v>
      </c>
      <c r="I897" s="23" t="n">
        <v>0</v>
      </c>
      <c r="J897" s="23" t="n">
        <f>H897+I897</f>
        <v>1</v>
      </c>
      <c r="K897" s="23" t="n">
        <v>1</v>
      </c>
      <c r="L897" s="23" t="n">
        <v>1</v>
      </c>
      <c r="M897" s="23" t="n">
        <f>MIN(K897,J897)</f>
        <v>1</v>
      </c>
      <c r="N897" s="23" t="n">
        <f>MIN(L897,J897)</f>
        <v>1</v>
      </c>
      <c r="O897" s="25" t="n">
        <f>IF(K897=0,0,MIN(1,J897/K897))</f>
        <v>1</v>
      </c>
      <c r="P897" s="23" t="n">
        <f>IF(J897&gt;0,MAX(K897-J897,0),0)</f>
        <v>0</v>
      </c>
      <c r="Q897" s="23" t="n">
        <f>IF(J897=0,K897,0)</f>
        <v>0</v>
      </c>
      <c r="R897" s="23" t="n">
        <f>MAX(J897-K897,0)</f>
        <v>0</v>
      </c>
      <c r="S897" s="23" t="n">
        <f>IF(J897&gt;0,MAX(L897-J897,0),L897)</f>
        <v>0</v>
      </c>
    </row>
    <row r="898">
      <c r="A898" s="19" t="str">
        <v>英国区</v>
      </c>
      <c r="B898" s="19" t="str">
        <v>伯明翰20号仓</v>
      </c>
      <c r="C898" s="19" t="str">
        <v>TEMU业务组</v>
      </c>
      <c r="D898" s="21" t="n">
        <v>46134</v>
      </c>
      <c r="E898" s="19" t="str">
        <v>2026-04</v>
      </c>
      <c r="F898" s="19" t="str">
        <v>操作员</v>
      </c>
      <c r="G898" s="19" t="str">
        <v>英国灵活（6小时扣午休） / UK FLEX (6-HR LUNCH BREAK DEDUCTED)</v>
      </c>
      <c r="H898" s="23" t="n">
        <v>2</v>
      </c>
      <c r="I898" s="23" t="n">
        <v>0</v>
      </c>
      <c r="J898" s="23" t="n">
        <f>H898+I898</f>
        <v>2</v>
      </c>
      <c r="K898" s="23" t="n">
        <v>2</v>
      </c>
      <c r="L898" s="23" t="n">
        <v>2</v>
      </c>
      <c r="M898" s="23" t="n">
        <f>MIN(K898,J898)</f>
        <v>2</v>
      </c>
      <c r="N898" s="23" t="n">
        <f>MIN(L898,J898)</f>
        <v>2</v>
      </c>
      <c r="O898" s="25" t="n">
        <f>IF(K898=0,0,MIN(1,J898/K898))</f>
        <v>1</v>
      </c>
      <c r="P898" s="23" t="n">
        <f>IF(J898&gt;0,MAX(K898-J898,0),0)</f>
        <v>0</v>
      </c>
      <c r="Q898" s="23" t="n">
        <f>IF(J898=0,K898,0)</f>
        <v>0</v>
      </c>
      <c r="R898" s="23" t="n">
        <f>MAX(J898-K898,0)</f>
        <v>0</v>
      </c>
      <c r="S898" s="23" t="n">
        <f>IF(J898&gt;0,MAX(L898-J898,0),L898)</f>
        <v>0</v>
      </c>
    </row>
    <row r="899">
      <c r="A899" s="19" t="str">
        <v>英国区</v>
      </c>
      <c r="B899" s="19" t="str">
        <v>伯明翰20号仓</v>
      </c>
      <c r="C899" s="19" t="str">
        <v>TEMU业务组</v>
      </c>
      <c r="D899" s="21" t="n">
        <v>46155</v>
      </c>
      <c r="E899" s="19" t="str">
        <v>2026-05</v>
      </c>
      <c r="F899" s="19" t="str">
        <v>操作员</v>
      </c>
      <c r="G899" s="19" t="str">
        <v>英国灵活（6小时扣午休） / UK FLEX (6-HR LUNCH BREAK DEDUCTED)</v>
      </c>
      <c r="H899" s="23" t="n">
        <v>2</v>
      </c>
      <c r="I899" s="23" t="n">
        <v>0</v>
      </c>
      <c r="J899" s="23" t="n">
        <f>H899+I899</f>
        <v>2</v>
      </c>
      <c r="K899" s="23" t="n">
        <v>2</v>
      </c>
      <c r="L899" s="23" t="n">
        <v>0</v>
      </c>
      <c r="M899" s="23" t="n">
        <f>MIN(K899,J899)</f>
        <v>2</v>
      </c>
      <c r="N899" s="23" t="n">
        <f>MIN(L899,J899)</f>
        <v>0</v>
      </c>
      <c r="O899" s="25" t="n">
        <f>IF(K899=0,0,MIN(1,J899/K899))</f>
        <v>1</v>
      </c>
      <c r="P899" s="23" t="n">
        <f>IF(J899&gt;0,MAX(K899-J899,0),0)</f>
        <v>0</v>
      </c>
      <c r="Q899" s="23" t="n">
        <f>IF(J899=0,K899,0)</f>
        <v>0</v>
      </c>
      <c r="R899" s="23" t="n">
        <f>MAX(J899-K899,0)</f>
        <v>0</v>
      </c>
      <c r="S899" s="23" t="n">
        <f>IF(J899&gt;0,MAX(L899-J899,0),L899)</f>
        <v>0</v>
      </c>
    </row>
    <row r="900">
      <c r="A900" s="19" t="str">
        <v>英国区</v>
      </c>
      <c r="B900" s="19" t="str">
        <v>伯明翰20号仓</v>
      </c>
      <c r="C900" s="19" t="str">
        <v>TEMU业务组</v>
      </c>
      <c r="D900" s="21" t="n">
        <v>46169</v>
      </c>
      <c r="E900" s="19" t="str">
        <v>2026-05</v>
      </c>
      <c r="F900" s="19" t="str">
        <v>操作员</v>
      </c>
      <c r="G900" s="19" t="str">
        <v>英国灵活（6小时扣午休） / UK FLEX (6-HR LUNCH BREAK DEDUCTED)</v>
      </c>
      <c r="H900" s="23" t="n">
        <v>2</v>
      </c>
      <c r="I900" s="23" t="n">
        <v>0</v>
      </c>
      <c r="J900" s="23" t="n">
        <f>H900+I900</f>
        <v>2</v>
      </c>
      <c r="K900" s="23" t="n">
        <v>2</v>
      </c>
      <c r="L900" s="23" t="n">
        <v>2</v>
      </c>
      <c r="M900" s="23" t="n">
        <f>MIN(K900,J900)</f>
        <v>2</v>
      </c>
      <c r="N900" s="23" t="n">
        <f>MIN(L900,J900)</f>
        <v>2</v>
      </c>
      <c r="O900" s="25" t="n">
        <f>IF(K900=0,0,MIN(1,J900/K900))</f>
        <v>1</v>
      </c>
      <c r="P900" s="23" t="n">
        <f>IF(J900&gt;0,MAX(K900-J900,0),0)</f>
        <v>0</v>
      </c>
      <c r="Q900" s="23" t="n">
        <f>IF(J900=0,K900,0)</f>
        <v>0</v>
      </c>
      <c r="R900" s="23" t="n">
        <f>MAX(J900-K900,0)</f>
        <v>0</v>
      </c>
      <c r="S900" s="23" t="n">
        <f>IF(J900&gt;0,MAX(L900-J900,0),L900)</f>
        <v>0</v>
      </c>
    </row>
    <row r="901">
      <c r="A901" s="19" t="str">
        <v>英国区</v>
      </c>
      <c r="B901" s="19" t="str">
        <v>伯明翰20号仓</v>
      </c>
      <c r="C901" s="19" t="str">
        <v>TEMU业务组</v>
      </c>
      <c r="D901" s="21" t="n">
        <v>46197</v>
      </c>
      <c r="E901" s="19" t="str">
        <v>2026-06</v>
      </c>
      <c r="F901" s="19" t="str">
        <v>操作员</v>
      </c>
      <c r="G901" s="19" t="str">
        <v>英国灵活（6小时扣午休） / UK FLEX (6-HR LUNCH BREAK DEDUCTED)</v>
      </c>
      <c r="H901" s="23" t="n">
        <v>2</v>
      </c>
      <c r="I901" s="23" t="n">
        <v>0</v>
      </c>
      <c r="J901" s="23" t="n">
        <f>H901+I901</f>
        <v>2</v>
      </c>
      <c r="K901" s="23" t="n">
        <v>2</v>
      </c>
      <c r="L901" s="23" t="n">
        <v>2</v>
      </c>
      <c r="M901" s="23" t="n">
        <f>MIN(K901,J901)</f>
        <v>2</v>
      </c>
      <c r="N901" s="23" t="n">
        <f>MIN(L901,J901)</f>
        <v>2</v>
      </c>
      <c r="O901" s="25" t="n">
        <f>IF(K901=0,0,MIN(1,J901/K901))</f>
        <v>1</v>
      </c>
      <c r="P901" s="23" t="n">
        <f>IF(J901&gt;0,MAX(K901-J901,0),0)</f>
        <v>0</v>
      </c>
      <c r="Q901" s="23" t="n">
        <f>IF(J901=0,K901,0)</f>
        <v>0</v>
      </c>
      <c r="R901" s="23" t="n">
        <f>MAX(J901-K901,0)</f>
        <v>0</v>
      </c>
      <c r="S901" s="23" t="n">
        <f>IF(J901&gt;0,MAX(L901-J901,0),L901)</f>
        <v>0</v>
      </c>
    </row>
    <row r="902">
      <c r="A902" s="19" t="str">
        <v>英国区</v>
      </c>
      <c r="B902" s="19" t="str">
        <v>伯明翰23号仓</v>
      </c>
      <c r="C902" s="19" t="str">
        <v>入库组</v>
      </c>
      <c r="D902" s="21" t="n">
        <v>46113</v>
      </c>
      <c r="E902" s="19" t="str">
        <v>2026-04</v>
      </c>
      <c r="F902" s="19" t="str">
        <v>操作员</v>
      </c>
      <c r="G902" s="19" t="str">
        <v>英国区07:00-15:30 / UK 07:00-15:30</v>
      </c>
      <c r="H902" s="23" t="n">
        <v>4</v>
      </c>
      <c r="I902" s="23" t="n">
        <v>0</v>
      </c>
      <c r="J902" s="23" t="n">
        <f>H902+I902</f>
        <v>4</v>
      </c>
      <c r="K902" s="23" t="n">
        <v>4</v>
      </c>
      <c r="L902" s="23" t="n">
        <v>4</v>
      </c>
      <c r="M902" s="23" t="n">
        <f>MIN(K902,J902)</f>
        <v>4</v>
      </c>
      <c r="N902" s="23" t="n">
        <f>MIN(L902,J902)</f>
        <v>4</v>
      </c>
      <c r="O902" s="25" t="n">
        <f>IF(K902=0,0,MIN(1,J902/K902))</f>
        <v>1</v>
      </c>
      <c r="P902" s="23" t="n">
        <f>IF(J902&gt;0,MAX(K902-J902,0),0)</f>
        <v>0</v>
      </c>
      <c r="Q902" s="23" t="n">
        <f>IF(J902=0,K902,0)</f>
        <v>0</v>
      </c>
      <c r="R902" s="23" t="n">
        <f>MAX(J902-K902,0)</f>
        <v>0</v>
      </c>
      <c r="S902" s="23" t="n">
        <f>IF(J902&gt;0,MAX(L902-J902,0),L902)</f>
        <v>0</v>
      </c>
    </row>
    <row r="903">
      <c r="A903" s="19" t="str">
        <v>英国区</v>
      </c>
      <c r="B903" s="19" t="str">
        <v>伯明翰23号仓</v>
      </c>
      <c r="C903" s="19" t="str">
        <v>入库组</v>
      </c>
      <c r="D903" s="21" t="n">
        <v>46113</v>
      </c>
      <c r="E903" s="19" t="str">
        <v>2026-04</v>
      </c>
      <c r="F903" s="19" t="str">
        <v>操作员</v>
      </c>
      <c r="G903" s="19" t="str">
        <v>英国区09:00-17:30 / UK 09:00-17:30</v>
      </c>
      <c r="H903" s="23" t="n">
        <v>1</v>
      </c>
      <c r="I903" s="23" t="n">
        <v>0</v>
      </c>
      <c r="J903" s="23" t="n">
        <f>H903+I903</f>
        <v>1</v>
      </c>
      <c r="K903" s="23" t="n">
        <v>1</v>
      </c>
      <c r="L903" s="23" t="n">
        <v>1</v>
      </c>
      <c r="M903" s="23" t="n">
        <f>MIN(K903,J903)</f>
        <v>1</v>
      </c>
      <c r="N903" s="23" t="n">
        <f>MIN(L903,J903)</f>
        <v>1</v>
      </c>
      <c r="O903" s="25" t="n">
        <f>IF(K903=0,0,MIN(1,J903/K903))</f>
        <v>1</v>
      </c>
      <c r="P903" s="23" t="n">
        <f>IF(J903&gt;0,MAX(K903-J903,0),0)</f>
        <v>0</v>
      </c>
      <c r="Q903" s="23" t="n">
        <f>IF(J903=0,K903,0)</f>
        <v>0</v>
      </c>
      <c r="R903" s="23" t="n">
        <f>MAX(J903-K903,0)</f>
        <v>0</v>
      </c>
      <c r="S903" s="23" t="n">
        <f>IF(J903&gt;0,MAX(L903-J903,0),L903)</f>
        <v>0</v>
      </c>
    </row>
    <row r="904">
      <c r="A904" s="19" t="str">
        <v>英国区</v>
      </c>
      <c r="B904" s="19" t="str">
        <v>伯明翰23号仓</v>
      </c>
      <c r="C904" s="19" t="str">
        <v>入库组</v>
      </c>
      <c r="D904" s="21" t="n">
        <v>46114</v>
      </c>
      <c r="E904" s="19" t="str">
        <v>2026-04</v>
      </c>
      <c r="F904" s="19" t="str">
        <v>操作员</v>
      </c>
      <c r="G904" s="19" t="str">
        <v>英国区09:00-17:30 / UK 09:00-17:30</v>
      </c>
      <c r="H904" s="23" t="n">
        <v>6</v>
      </c>
      <c r="I904" s="23" t="n">
        <v>0</v>
      </c>
      <c r="J904" s="23" t="n">
        <f>H904+I904</f>
        <v>6</v>
      </c>
      <c r="K904" s="23" t="n">
        <v>6</v>
      </c>
      <c r="L904" s="23" t="n">
        <v>5</v>
      </c>
      <c r="M904" s="23" t="n">
        <f>MIN(K904,J904)</f>
        <v>6</v>
      </c>
      <c r="N904" s="23" t="n">
        <f>MIN(L904,J904)</f>
        <v>5</v>
      </c>
      <c r="O904" s="25" t="n">
        <f>IF(K904=0,0,MIN(1,J904/K904))</f>
        <v>1</v>
      </c>
      <c r="P904" s="23" t="n">
        <f>IF(J904&gt;0,MAX(K904-J904,0),0)</f>
        <v>0</v>
      </c>
      <c r="Q904" s="23" t="n">
        <f>IF(J904=0,K904,0)</f>
        <v>0</v>
      </c>
      <c r="R904" s="23" t="n">
        <f>MAX(J904-K904,0)</f>
        <v>0</v>
      </c>
      <c r="S904" s="23" t="n">
        <f>IF(J904&gt;0,MAX(L904-J904,0),L904)</f>
        <v>0</v>
      </c>
    </row>
    <row r="905">
      <c r="A905" s="19" t="str">
        <v>英国区</v>
      </c>
      <c r="B905" s="19" t="str">
        <v>伯明翰23号仓</v>
      </c>
      <c r="C905" s="19" t="str">
        <v>入库组</v>
      </c>
      <c r="D905" s="21" t="n">
        <v>46114</v>
      </c>
      <c r="E905" s="19" t="str">
        <v>2026-04</v>
      </c>
      <c r="F905" s="19" t="str">
        <v>操作员</v>
      </c>
      <c r="G905" s="19" t="str">
        <v>英国区11:00-19:30 / UK 11:00-19:30</v>
      </c>
      <c r="H905" s="23" t="n">
        <v>9</v>
      </c>
      <c r="I905" s="23" t="n">
        <v>0</v>
      </c>
      <c r="J905" s="23" t="n">
        <f>H905+I905</f>
        <v>9</v>
      </c>
      <c r="K905" s="23" t="n">
        <v>9</v>
      </c>
      <c r="L905" s="23" t="n">
        <v>9</v>
      </c>
      <c r="M905" s="23" t="n">
        <f>MIN(K905,J905)</f>
        <v>9</v>
      </c>
      <c r="N905" s="23" t="n">
        <f>MIN(L905,J905)</f>
        <v>9</v>
      </c>
      <c r="O905" s="25" t="n">
        <f>IF(K905=0,0,MIN(1,J905/K905))</f>
        <v>1</v>
      </c>
      <c r="P905" s="23" t="n">
        <f>IF(J905&gt;0,MAX(K905-J905,0),0)</f>
        <v>0</v>
      </c>
      <c r="Q905" s="23" t="n">
        <f>IF(J905=0,K905,0)</f>
        <v>0</v>
      </c>
      <c r="R905" s="23" t="n">
        <f>MAX(J905-K905,0)</f>
        <v>0</v>
      </c>
      <c r="S905" s="23" t="n">
        <f>IF(J905&gt;0,MAX(L905-J905,0),L905)</f>
        <v>0</v>
      </c>
    </row>
    <row r="906">
      <c r="A906" s="19" t="str">
        <v>英国区</v>
      </c>
      <c r="B906" s="19" t="str">
        <v>伯明翰23号仓</v>
      </c>
      <c r="C906" s="19" t="str">
        <v>入库组</v>
      </c>
      <c r="D906" s="21" t="n">
        <v>46116</v>
      </c>
      <c r="E906" s="19" t="str">
        <v>2026-04</v>
      </c>
      <c r="F906" s="19" t="str">
        <v>操作员</v>
      </c>
      <c r="G906" s="19" t="str">
        <v>英国区10:00-18:30 / UK 10:00-18:30</v>
      </c>
      <c r="H906" s="23" t="n">
        <v>1</v>
      </c>
      <c r="I906" s="23" t="n">
        <v>0</v>
      </c>
      <c r="J906" s="23" t="n">
        <f>H906+I906</f>
        <v>1</v>
      </c>
      <c r="K906" s="23" t="n">
        <v>1</v>
      </c>
      <c r="L906" s="23" t="n">
        <v>1</v>
      </c>
      <c r="M906" s="23" t="n">
        <f>MIN(K906,J906)</f>
        <v>1</v>
      </c>
      <c r="N906" s="23" t="n">
        <f>MIN(L906,J906)</f>
        <v>1</v>
      </c>
      <c r="O906" s="25" t="n">
        <f>IF(K906=0,0,MIN(1,J906/K906))</f>
        <v>1</v>
      </c>
      <c r="P906" s="23" t="n">
        <f>IF(J906&gt;0,MAX(K906-J906,0),0)</f>
        <v>0</v>
      </c>
      <c r="Q906" s="23" t="n">
        <f>IF(J906=0,K906,0)</f>
        <v>0</v>
      </c>
      <c r="R906" s="23" t="n">
        <f>MAX(J906-K906,0)</f>
        <v>0</v>
      </c>
      <c r="S906" s="23" t="n">
        <f>IF(J906&gt;0,MAX(L906-J906,0),L906)</f>
        <v>0</v>
      </c>
    </row>
    <row r="907">
      <c r="A907" s="19" t="str">
        <v>英国区</v>
      </c>
      <c r="B907" s="19" t="str">
        <v>伯明翰23号仓</v>
      </c>
      <c r="C907" s="19" t="str">
        <v>入库组</v>
      </c>
      <c r="D907" s="21" t="n">
        <v>46119</v>
      </c>
      <c r="E907" s="19" t="str">
        <v>2026-04</v>
      </c>
      <c r="F907" s="19" t="str">
        <v>操作员</v>
      </c>
      <c r="G907" s="19" t="str">
        <v>英国区07:00-15:30 / UK 07:00-15:30</v>
      </c>
      <c r="H907" s="23" t="n">
        <v>10</v>
      </c>
      <c r="I907" s="23" t="n">
        <v>0</v>
      </c>
      <c r="J907" s="23" t="n">
        <f>H907+I907</f>
        <v>10</v>
      </c>
      <c r="K907" s="23" t="n">
        <v>10</v>
      </c>
      <c r="L907" s="23" t="n">
        <v>10</v>
      </c>
      <c r="M907" s="23" t="n">
        <f>MIN(K907,J907)</f>
        <v>10</v>
      </c>
      <c r="N907" s="23" t="n">
        <f>MIN(L907,J907)</f>
        <v>10</v>
      </c>
      <c r="O907" s="25" t="n">
        <f>IF(K907=0,0,MIN(1,J907/K907))</f>
        <v>1</v>
      </c>
      <c r="P907" s="23" t="n">
        <f>IF(J907&gt;0,MAX(K907-J907,0),0)</f>
        <v>0</v>
      </c>
      <c r="Q907" s="23" t="n">
        <f>IF(J907=0,K907,0)</f>
        <v>0</v>
      </c>
      <c r="R907" s="23" t="n">
        <f>MAX(J907-K907,0)</f>
        <v>0</v>
      </c>
      <c r="S907" s="23" t="n">
        <f>IF(J907&gt;0,MAX(L907-J907,0),L907)</f>
        <v>0</v>
      </c>
    </row>
    <row r="908">
      <c r="A908" s="19" t="str">
        <v>英国区</v>
      </c>
      <c r="B908" s="19" t="str">
        <v>伯明翰23号仓</v>
      </c>
      <c r="C908" s="19" t="str">
        <v>入库组</v>
      </c>
      <c r="D908" s="21" t="n">
        <v>46119</v>
      </c>
      <c r="E908" s="19" t="str">
        <v>2026-04</v>
      </c>
      <c r="F908" s="19" t="str">
        <v>操作员</v>
      </c>
      <c r="G908" s="19" t="str">
        <v>英国区10:00-18:30 / UK 10:00-18:30</v>
      </c>
      <c r="H908" s="23" t="n">
        <v>2</v>
      </c>
      <c r="I908" s="23" t="n">
        <v>0</v>
      </c>
      <c r="J908" s="23" t="n">
        <f>H908+I908</f>
        <v>2</v>
      </c>
      <c r="K908" s="23" t="n">
        <v>2</v>
      </c>
      <c r="L908" s="23" t="n">
        <v>0</v>
      </c>
      <c r="M908" s="23" t="n">
        <f>MIN(K908,J908)</f>
        <v>2</v>
      </c>
      <c r="N908" s="23" t="n">
        <f>MIN(L908,J908)</f>
        <v>0</v>
      </c>
      <c r="O908" s="25" t="n">
        <f>IF(K908=0,0,MIN(1,J908/K908))</f>
        <v>1</v>
      </c>
      <c r="P908" s="23" t="n">
        <f>IF(J908&gt;0,MAX(K908-J908,0),0)</f>
        <v>0</v>
      </c>
      <c r="Q908" s="23" t="n">
        <f>IF(J908=0,K908,0)</f>
        <v>0</v>
      </c>
      <c r="R908" s="23" t="n">
        <f>MAX(J908-K908,0)</f>
        <v>0</v>
      </c>
      <c r="S908" s="23" t="n">
        <f>IF(J908&gt;0,MAX(L908-J908,0),L908)</f>
        <v>0</v>
      </c>
    </row>
    <row r="909">
      <c r="A909" s="19" t="str">
        <v>英国区</v>
      </c>
      <c r="B909" s="19" t="str">
        <v>伯明翰23号仓</v>
      </c>
      <c r="C909" s="19" t="str">
        <v>入库组</v>
      </c>
      <c r="D909" s="21" t="n">
        <v>46119</v>
      </c>
      <c r="E909" s="19" t="str">
        <v>2026-04</v>
      </c>
      <c r="F909" s="19" t="str">
        <v>操作员</v>
      </c>
      <c r="G909" s="19" t="str">
        <v>英国区11:00-19:30 / UK 11:00-19:30</v>
      </c>
      <c r="H909" s="23" t="n">
        <v>3</v>
      </c>
      <c r="I909" s="23" t="n">
        <v>0</v>
      </c>
      <c r="J909" s="23" t="n">
        <f>H909+I909</f>
        <v>3</v>
      </c>
      <c r="K909" s="23" t="n">
        <v>3</v>
      </c>
      <c r="L909" s="23" t="n">
        <v>3</v>
      </c>
      <c r="M909" s="23" t="n">
        <f>MIN(K909,J909)</f>
        <v>3</v>
      </c>
      <c r="N909" s="23" t="n">
        <f>MIN(L909,J909)</f>
        <v>3</v>
      </c>
      <c r="O909" s="25" t="n">
        <f>IF(K909=0,0,MIN(1,J909/K909))</f>
        <v>1</v>
      </c>
      <c r="P909" s="23" t="n">
        <f>IF(J909&gt;0,MAX(K909-J909,0),0)</f>
        <v>0</v>
      </c>
      <c r="Q909" s="23" t="n">
        <f>IF(J909=0,K909,0)</f>
        <v>0</v>
      </c>
      <c r="R909" s="23" t="n">
        <f>MAX(J909-K909,0)</f>
        <v>0</v>
      </c>
      <c r="S909" s="23" t="n">
        <f>IF(J909&gt;0,MAX(L909-J909,0),L909)</f>
        <v>0</v>
      </c>
    </row>
    <row r="910">
      <c r="A910" s="19" t="str">
        <v>英国区</v>
      </c>
      <c r="B910" s="19" t="str">
        <v>伯明翰23号仓</v>
      </c>
      <c r="C910" s="19" t="str">
        <v>入库组</v>
      </c>
      <c r="D910" s="21" t="n">
        <v>46120</v>
      </c>
      <c r="E910" s="19" t="str">
        <v>2026-04</v>
      </c>
      <c r="F910" s="19" t="str">
        <v>操作员</v>
      </c>
      <c r="G910" s="19" t="str">
        <v>英国区10:00-18:30 / UK 10:00-18:30</v>
      </c>
      <c r="H910" s="23" t="n">
        <v>4</v>
      </c>
      <c r="I910" s="23" t="n">
        <v>0</v>
      </c>
      <c r="J910" s="23" t="n">
        <f>H910+I910</f>
        <v>4</v>
      </c>
      <c r="K910" s="23" t="n">
        <v>4</v>
      </c>
      <c r="L910" s="23" t="n">
        <v>4</v>
      </c>
      <c r="M910" s="23" t="n">
        <f>MIN(K910,J910)</f>
        <v>4</v>
      </c>
      <c r="N910" s="23" t="n">
        <f>MIN(L910,J910)</f>
        <v>4</v>
      </c>
      <c r="O910" s="25" t="n">
        <f>IF(K910=0,0,MIN(1,J910/K910))</f>
        <v>1</v>
      </c>
      <c r="P910" s="23" t="n">
        <f>IF(J910&gt;0,MAX(K910-J910,0),0)</f>
        <v>0</v>
      </c>
      <c r="Q910" s="23" t="n">
        <f>IF(J910=0,K910,0)</f>
        <v>0</v>
      </c>
      <c r="R910" s="23" t="n">
        <f>MAX(J910-K910,0)</f>
        <v>0</v>
      </c>
      <c r="S910" s="23" t="n">
        <f>IF(J910&gt;0,MAX(L910-J910,0),L910)</f>
        <v>0</v>
      </c>
    </row>
    <row r="911">
      <c r="A911" s="19" t="str">
        <v>英国区</v>
      </c>
      <c r="B911" s="19" t="str">
        <v>伯明翰23号仓</v>
      </c>
      <c r="C911" s="19" t="str">
        <v>入库组</v>
      </c>
      <c r="D911" s="21" t="n">
        <v>46120</v>
      </c>
      <c r="E911" s="19" t="str">
        <v>2026-04</v>
      </c>
      <c r="F911" s="19" t="str">
        <v>操作员</v>
      </c>
      <c r="G911" s="19" t="str">
        <v>英国区11:00-19:30 / UK 11:00-19:30</v>
      </c>
      <c r="H911" s="23" t="n">
        <v>2</v>
      </c>
      <c r="I911" s="23" t="n">
        <v>0</v>
      </c>
      <c r="J911" s="23" t="n">
        <f>H911+I911</f>
        <v>2</v>
      </c>
      <c r="K911" s="23" t="n">
        <v>2</v>
      </c>
      <c r="L911" s="23" t="n">
        <v>2</v>
      </c>
      <c r="M911" s="23" t="n">
        <f>MIN(K911,J911)</f>
        <v>2</v>
      </c>
      <c r="N911" s="23" t="n">
        <f>MIN(L911,J911)</f>
        <v>2</v>
      </c>
      <c r="O911" s="25" t="n">
        <f>IF(K911=0,0,MIN(1,J911/K911))</f>
        <v>1</v>
      </c>
      <c r="P911" s="23" t="n">
        <f>IF(J911&gt;0,MAX(K911-J911,0),0)</f>
        <v>0</v>
      </c>
      <c r="Q911" s="23" t="n">
        <f>IF(J911=0,K911,0)</f>
        <v>0</v>
      </c>
      <c r="R911" s="23" t="n">
        <f>MAX(J911-K911,0)</f>
        <v>0</v>
      </c>
      <c r="S911" s="23" t="n">
        <f>IF(J911&gt;0,MAX(L911-J911,0),L911)</f>
        <v>0</v>
      </c>
    </row>
    <row r="912">
      <c r="A912" s="19" t="str">
        <v>英国区</v>
      </c>
      <c r="B912" s="19" t="str">
        <v>伯明翰23号仓</v>
      </c>
      <c r="C912" s="19" t="str">
        <v>入库组</v>
      </c>
      <c r="D912" s="21" t="n">
        <v>46122</v>
      </c>
      <c r="E912" s="19" t="str">
        <v>2026-04</v>
      </c>
      <c r="F912" s="19" t="str">
        <v>操作员</v>
      </c>
      <c r="G912" s="19" t="str">
        <v>英国区11:00-19:30 / UK 11:00-19:30</v>
      </c>
      <c r="H912" s="23" t="n">
        <v>3</v>
      </c>
      <c r="I912" s="23" t="n">
        <v>0</v>
      </c>
      <c r="J912" s="23" t="n">
        <f>H912+I912</f>
        <v>3</v>
      </c>
      <c r="K912" s="23" t="n">
        <v>3</v>
      </c>
      <c r="L912" s="23" t="n">
        <v>3</v>
      </c>
      <c r="M912" s="23" t="n">
        <f>MIN(K912,J912)</f>
        <v>3</v>
      </c>
      <c r="N912" s="23" t="n">
        <f>MIN(L912,J912)</f>
        <v>3</v>
      </c>
      <c r="O912" s="25" t="n">
        <f>IF(K912=0,0,MIN(1,J912/K912))</f>
        <v>1</v>
      </c>
      <c r="P912" s="23" t="n">
        <f>IF(J912&gt;0,MAX(K912-J912,0),0)</f>
        <v>0</v>
      </c>
      <c r="Q912" s="23" t="n">
        <f>IF(J912=0,K912,0)</f>
        <v>0</v>
      </c>
      <c r="R912" s="23" t="n">
        <f>MAX(J912-K912,0)</f>
        <v>0</v>
      </c>
      <c r="S912" s="23" t="n">
        <f>IF(J912&gt;0,MAX(L912-J912,0),L912)</f>
        <v>0</v>
      </c>
    </row>
    <row r="913">
      <c r="A913" s="19" t="str">
        <v>英国区</v>
      </c>
      <c r="B913" s="19" t="str">
        <v>伯明翰23号仓</v>
      </c>
      <c r="C913" s="19" t="str">
        <v>入库组</v>
      </c>
      <c r="D913" s="21" t="n">
        <v>46139</v>
      </c>
      <c r="E913" s="19" t="str">
        <v>2026-04</v>
      </c>
      <c r="F913" s="19" t="str">
        <v>操作员</v>
      </c>
      <c r="G913" s="19" t="str">
        <v>英国区09:00-17:30 / UK 09:00-17:30</v>
      </c>
      <c r="H913" s="23" t="n">
        <v>5</v>
      </c>
      <c r="I913" s="23" t="n">
        <v>0</v>
      </c>
      <c r="J913" s="23" t="n">
        <f>H913+I913</f>
        <v>5</v>
      </c>
      <c r="K913" s="23" t="n">
        <v>5</v>
      </c>
      <c r="L913" s="23" t="n">
        <v>5</v>
      </c>
      <c r="M913" s="23" t="n">
        <f>MIN(K913,J913)</f>
        <v>5</v>
      </c>
      <c r="N913" s="23" t="n">
        <f>MIN(L913,J913)</f>
        <v>5</v>
      </c>
      <c r="O913" s="25" t="n">
        <f>IF(K913=0,0,MIN(1,J913/K913))</f>
        <v>1</v>
      </c>
      <c r="P913" s="23" t="n">
        <f>IF(J913&gt;0,MAX(K913-J913,0),0)</f>
        <v>0</v>
      </c>
      <c r="Q913" s="23" t="n">
        <f>IF(J913=0,K913,0)</f>
        <v>0</v>
      </c>
      <c r="R913" s="23" t="n">
        <f>MAX(J913-K913,0)</f>
        <v>0</v>
      </c>
      <c r="S913" s="23" t="n">
        <f>IF(J913&gt;0,MAX(L913-J913,0),L913)</f>
        <v>0</v>
      </c>
    </row>
    <row r="914">
      <c r="A914" s="19" t="str">
        <v>英国区</v>
      </c>
      <c r="B914" s="19" t="str">
        <v>伯明翰23号仓</v>
      </c>
      <c r="C914" s="19" t="str">
        <v>入库组</v>
      </c>
      <c r="D914" s="21" t="n">
        <v>46141</v>
      </c>
      <c r="E914" s="19" t="str">
        <v>2026-04</v>
      </c>
      <c r="F914" s="19" t="str">
        <v>操作员</v>
      </c>
      <c r="G914" s="19" t="str">
        <v>英国区09:00-17:30 / UK 09:00-17:30</v>
      </c>
      <c r="H914" s="23" t="n">
        <v>5</v>
      </c>
      <c r="I914" s="23" t="n">
        <v>0</v>
      </c>
      <c r="J914" s="23" t="n">
        <f>H914+I914</f>
        <v>5</v>
      </c>
      <c r="K914" s="23" t="n">
        <v>5</v>
      </c>
      <c r="L914" s="23" t="n">
        <v>5</v>
      </c>
      <c r="M914" s="23" t="n">
        <f>MIN(K914,J914)</f>
        <v>5</v>
      </c>
      <c r="N914" s="23" t="n">
        <f>MIN(L914,J914)</f>
        <v>5</v>
      </c>
      <c r="O914" s="25" t="n">
        <f>IF(K914=0,0,MIN(1,J914/K914))</f>
        <v>1</v>
      </c>
      <c r="P914" s="23" t="n">
        <f>IF(J914&gt;0,MAX(K914-J914,0),0)</f>
        <v>0</v>
      </c>
      <c r="Q914" s="23" t="n">
        <f>IF(J914=0,K914,0)</f>
        <v>0</v>
      </c>
      <c r="R914" s="23" t="n">
        <f>MAX(J914-K914,0)</f>
        <v>0</v>
      </c>
      <c r="S914" s="23" t="n">
        <f>IF(J914&gt;0,MAX(L914-J914,0),L914)</f>
        <v>0</v>
      </c>
    </row>
    <row r="915">
      <c r="A915" s="19" t="str">
        <v>英国区</v>
      </c>
      <c r="B915" s="19" t="str">
        <v>伯明翰23号仓</v>
      </c>
      <c r="C915" s="19" t="str">
        <v>入库组</v>
      </c>
      <c r="D915" s="21" t="n">
        <v>46147</v>
      </c>
      <c r="E915" s="19" t="str">
        <v>2026-05</v>
      </c>
      <c r="F915" s="19" t="str">
        <v>操作员</v>
      </c>
      <c r="G915" s="19" t="str">
        <v>英国区07:00-15:30 / UK 07:00-15:30</v>
      </c>
      <c r="H915" s="23" t="n">
        <v>4</v>
      </c>
      <c r="I915" s="23" t="n">
        <v>0</v>
      </c>
      <c r="J915" s="23" t="n">
        <f>H915+I915</f>
        <v>4</v>
      </c>
      <c r="K915" s="23" t="n">
        <v>4</v>
      </c>
      <c r="L915" s="23" t="n">
        <v>3</v>
      </c>
      <c r="M915" s="23" t="n">
        <f>MIN(K915,J915)</f>
        <v>4</v>
      </c>
      <c r="N915" s="23" t="n">
        <f>MIN(L915,J915)</f>
        <v>3</v>
      </c>
      <c r="O915" s="25" t="n">
        <f>IF(K915=0,0,MIN(1,J915/K915))</f>
        <v>1</v>
      </c>
      <c r="P915" s="23" t="n">
        <f>IF(J915&gt;0,MAX(K915-J915,0),0)</f>
        <v>0</v>
      </c>
      <c r="Q915" s="23" t="n">
        <f>IF(J915=0,K915,0)</f>
        <v>0</v>
      </c>
      <c r="R915" s="23" t="n">
        <f>MAX(J915-K915,0)</f>
        <v>0</v>
      </c>
      <c r="S915" s="23" t="n">
        <f>IF(J915&gt;0,MAX(L915-J915,0),L915)</f>
        <v>0</v>
      </c>
    </row>
    <row r="916">
      <c r="A916" s="19" t="str">
        <v>英国区</v>
      </c>
      <c r="B916" s="19" t="str">
        <v>伯明翰23号仓</v>
      </c>
      <c r="C916" s="19" t="str">
        <v>入库组</v>
      </c>
      <c r="D916" s="21" t="n">
        <v>46147</v>
      </c>
      <c r="E916" s="19" t="str">
        <v>2026-05</v>
      </c>
      <c r="F916" s="19" t="str">
        <v>操作员</v>
      </c>
      <c r="G916" s="19" t="str">
        <v>英国区10:00-18:30 / UK 10:00-18:30</v>
      </c>
      <c r="H916" s="23" t="n">
        <v>3</v>
      </c>
      <c r="I916" s="23" t="n">
        <v>0</v>
      </c>
      <c r="J916" s="23" t="n">
        <f>H916+I916</f>
        <v>3</v>
      </c>
      <c r="K916" s="23" t="n">
        <v>3</v>
      </c>
      <c r="L916" s="23" t="n">
        <v>3</v>
      </c>
      <c r="M916" s="23" t="n">
        <f>MIN(K916,J916)</f>
        <v>3</v>
      </c>
      <c r="N916" s="23" t="n">
        <f>MIN(L916,J916)</f>
        <v>3</v>
      </c>
      <c r="O916" s="25" t="n">
        <f>IF(K916=0,0,MIN(1,J916/K916))</f>
        <v>1</v>
      </c>
      <c r="P916" s="23" t="n">
        <f>IF(J916&gt;0,MAX(K916-J916,0),0)</f>
        <v>0</v>
      </c>
      <c r="Q916" s="23" t="n">
        <f>IF(J916=0,K916,0)</f>
        <v>0</v>
      </c>
      <c r="R916" s="23" t="n">
        <f>MAX(J916-K916,0)</f>
        <v>0</v>
      </c>
      <c r="S916" s="23" t="n">
        <f>IF(J916&gt;0,MAX(L916-J916,0),L916)</f>
        <v>0</v>
      </c>
    </row>
    <row r="917">
      <c r="A917" s="19" t="str">
        <v>英国区</v>
      </c>
      <c r="B917" s="19" t="str">
        <v>伯明翰23号仓</v>
      </c>
      <c r="C917" s="19" t="str">
        <v>入库组</v>
      </c>
      <c r="D917" s="21" t="n">
        <v>46153</v>
      </c>
      <c r="E917" s="19" t="str">
        <v>2026-05</v>
      </c>
      <c r="F917" s="19" t="str">
        <v>操作员</v>
      </c>
      <c r="G917" s="19" t="str">
        <v>英国区10:00-18:30 / UK 10:00-18:30</v>
      </c>
      <c r="H917" s="23" t="n">
        <v>3</v>
      </c>
      <c r="I917" s="23" t="n">
        <v>0</v>
      </c>
      <c r="J917" s="23" t="n">
        <f>H917+I917</f>
        <v>3</v>
      </c>
      <c r="K917" s="23" t="n">
        <v>3</v>
      </c>
      <c r="L917" s="23" t="n">
        <v>3</v>
      </c>
      <c r="M917" s="23" t="n">
        <f>MIN(K917,J917)</f>
        <v>3</v>
      </c>
      <c r="N917" s="23" t="n">
        <f>MIN(L917,J917)</f>
        <v>3</v>
      </c>
      <c r="O917" s="25" t="n">
        <f>IF(K917=0,0,MIN(1,J917/K917))</f>
        <v>1</v>
      </c>
      <c r="P917" s="23" t="n">
        <f>IF(J917&gt;0,MAX(K917-J917,0),0)</f>
        <v>0</v>
      </c>
      <c r="Q917" s="23" t="n">
        <f>IF(J917=0,K917,0)</f>
        <v>0</v>
      </c>
      <c r="R917" s="23" t="n">
        <f>MAX(J917-K917,0)</f>
        <v>0</v>
      </c>
      <c r="S917" s="23" t="n">
        <f>IF(J917&gt;0,MAX(L917-J917,0),L917)</f>
        <v>0</v>
      </c>
    </row>
    <row r="918">
      <c r="A918" s="19" t="str">
        <v>英国区</v>
      </c>
      <c r="B918" s="19" t="str">
        <v>伯明翰23号仓</v>
      </c>
      <c r="C918" s="19" t="str">
        <v>入库组</v>
      </c>
      <c r="D918" s="21" t="n">
        <v>46154</v>
      </c>
      <c r="E918" s="19" t="str">
        <v>2026-05</v>
      </c>
      <c r="F918" s="19" t="str">
        <v>操作员</v>
      </c>
      <c r="G918" s="19" t="str">
        <v>英国区10:00-18:30 / UK 10:00-18:30</v>
      </c>
      <c r="H918" s="23" t="n">
        <v>3</v>
      </c>
      <c r="I918" s="23" t="n">
        <v>0</v>
      </c>
      <c r="J918" s="23" t="n">
        <f>H918+I918</f>
        <v>3</v>
      </c>
      <c r="K918" s="23" t="n">
        <v>3</v>
      </c>
      <c r="L918" s="23" t="n">
        <v>3</v>
      </c>
      <c r="M918" s="23" t="n">
        <f>MIN(K918,J918)</f>
        <v>3</v>
      </c>
      <c r="N918" s="23" t="n">
        <f>MIN(L918,J918)</f>
        <v>3</v>
      </c>
      <c r="O918" s="25" t="n">
        <f>IF(K918=0,0,MIN(1,J918/K918))</f>
        <v>1</v>
      </c>
      <c r="P918" s="23" t="n">
        <f>IF(J918&gt;0,MAX(K918-J918,0),0)</f>
        <v>0</v>
      </c>
      <c r="Q918" s="23" t="n">
        <f>IF(J918=0,K918,0)</f>
        <v>0</v>
      </c>
      <c r="R918" s="23" t="n">
        <f>MAX(J918-K918,0)</f>
        <v>0</v>
      </c>
      <c r="S918" s="23" t="n">
        <f>IF(J918&gt;0,MAX(L918-J918,0),L918)</f>
        <v>0</v>
      </c>
    </row>
    <row r="919">
      <c r="A919" s="19" t="str">
        <v>英国区</v>
      </c>
      <c r="B919" s="19" t="str">
        <v>伯明翰23号仓</v>
      </c>
      <c r="C919" s="19" t="str">
        <v>入库组</v>
      </c>
      <c r="D919" s="21" t="n">
        <v>46157</v>
      </c>
      <c r="E919" s="19" t="str">
        <v>2026-05</v>
      </c>
      <c r="F919" s="19" t="str">
        <v>操作员</v>
      </c>
      <c r="G919" s="19" t="str">
        <v>英国区07:00-15:30 / UK 07:00-15:30</v>
      </c>
      <c r="H919" s="23" t="n">
        <v>8</v>
      </c>
      <c r="I919" s="23" t="n">
        <v>0</v>
      </c>
      <c r="J919" s="23" t="n">
        <f>H919+I919</f>
        <v>8</v>
      </c>
      <c r="K919" s="23" t="n">
        <v>8</v>
      </c>
      <c r="L919" s="23" t="n">
        <v>7</v>
      </c>
      <c r="M919" s="23" t="n">
        <f>MIN(K919,J919)</f>
        <v>8</v>
      </c>
      <c r="N919" s="23" t="n">
        <f>MIN(L919,J919)</f>
        <v>7</v>
      </c>
      <c r="O919" s="25" t="n">
        <f>IF(K919=0,0,MIN(1,J919/K919))</f>
        <v>1</v>
      </c>
      <c r="P919" s="23" t="n">
        <f>IF(J919&gt;0,MAX(K919-J919,0),0)</f>
        <v>0</v>
      </c>
      <c r="Q919" s="23" t="n">
        <f>IF(J919=0,K919,0)</f>
        <v>0</v>
      </c>
      <c r="R919" s="23" t="n">
        <f>MAX(J919-K919,0)</f>
        <v>0</v>
      </c>
      <c r="S919" s="23" t="n">
        <f>IF(J919&gt;0,MAX(L919-J919,0),L919)</f>
        <v>0</v>
      </c>
    </row>
    <row r="920">
      <c r="A920" s="19" t="str">
        <v>英国区</v>
      </c>
      <c r="B920" s="19" t="str">
        <v>伯明翰23号仓</v>
      </c>
      <c r="C920" s="19" t="str">
        <v>入库组</v>
      </c>
      <c r="D920" s="21" t="n">
        <v>46162</v>
      </c>
      <c r="E920" s="19" t="str">
        <v>2026-05</v>
      </c>
      <c r="F920" s="19" t="str">
        <v>操作员</v>
      </c>
      <c r="G920" s="19" t="str">
        <v>英国区07:00-15:30 / UK 07:00-15:30</v>
      </c>
      <c r="H920" s="23" t="n">
        <v>4</v>
      </c>
      <c r="I920" s="23" t="n">
        <v>0</v>
      </c>
      <c r="J920" s="23" t="n">
        <f>H920+I920</f>
        <v>4</v>
      </c>
      <c r="K920" s="23" t="n">
        <v>4</v>
      </c>
      <c r="L920" s="23" t="n">
        <v>4</v>
      </c>
      <c r="M920" s="23" t="n">
        <f>MIN(K920,J920)</f>
        <v>4</v>
      </c>
      <c r="N920" s="23" t="n">
        <f>MIN(L920,J920)</f>
        <v>4</v>
      </c>
      <c r="O920" s="25" t="n">
        <f>IF(K920=0,0,MIN(1,J920/K920))</f>
        <v>1</v>
      </c>
      <c r="P920" s="23" t="n">
        <f>IF(J920&gt;0,MAX(K920-J920,0),0)</f>
        <v>0</v>
      </c>
      <c r="Q920" s="23" t="n">
        <f>IF(J920=0,K920,0)</f>
        <v>0</v>
      </c>
      <c r="R920" s="23" t="n">
        <f>MAX(J920-K920,0)</f>
        <v>0</v>
      </c>
      <c r="S920" s="23" t="n">
        <f>IF(J920&gt;0,MAX(L920-J920,0),L920)</f>
        <v>0</v>
      </c>
    </row>
    <row r="921">
      <c r="A921" s="19" t="str">
        <v>英国区</v>
      </c>
      <c r="B921" s="19" t="str">
        <v>伯明翰23号仓</v>
      </c>
      <c r="C921" s="19" t="str">
        <v>入库组</v>
      </c>
      <c r="D921" s="21" t="n">
        <v>46162</v>
      </c>
      <c r="E921" s="19" t="str">
        <v>2026-05</v>
      </c>
      <c r="F921" s="19" t="str">
        <v>操作员</v>
      </c>
      <c r="G921" s="19" t="str">
        <v>英国区10:00-18:30 / UK 10:00-18:30</v>
      </c>
      <c r="H921" s="23" t="n">
        <v>2</v>
      </c>
      <c r="I921" s="23" t="n">
        <v>0</v>
      </c>
      <c r="J921" s="23" t="n">
        <f>H921+I921</f>
        <v>2</v>
      </c>
      <c r="K921" s="23" t="n">
        <v>2</v>
      </c>
      <c r="L921" s="23" t="n">
        <v>2</v>
      </c>
      <c r="M921" s="23" t="n">
        <f>MIN(K921,J921)</f>
        <v>2</v>
      </c>
      <c r="N921" s="23" t="n">
        <f>MIN(L921,J921)</f>
        <v>2</v>
      </c>
      <c r="O921" s="25" t="n">
        <f>IF(K921=0,0,MIN(1,J921/K921))</f>
        <v>1</v>
      </c>
      <c r="P921" s="23" t="n">
        <f>IF(J921&gt;0,MAX(K921-J921,0),0)</f>
        <v>0</v>
      </c>
      <c r="Q921" s="23" t="n">
        <f>IF(J921=0,K921,0)</f>
        <v>0</v>
      </c>
      <c r="R921" s="23" t="n">
        <f>MAX(J921-K921,0)</f>
        <v>0</v>
      </c>
      <c r="S921" s="23" t="n">
        <f>IF(J921&gt;0,MAX(L921-J921,0),L921)</f>
        <v>0</v>
      </c>
    </row>
    <row r="922">
      <c r="A922" s="19" t="str">
        <v>英国区</v>
      </c>
      <c r="B922" s="19" t="str">
        <v>伯明翰23号仓</v>
      </c>
      <c r="C922" s="19" t="str">
        <v>入库组</v>
      </c>
      <c r="D922" s="21" t="n">
        <v>46163</v>
      </c>
      <c r="E922" s="19" t="str">
        <v>2026-05</v>
      </c>
      <c r="F922" s="19" t="str">
        <v>操作员</v>
      </c>
      <c r="G922" s="19" t="str">
        <v>英国区07:00-15:30 / UK 07:00-15:30</v>
      </c>
      <c r="H922" s="23" t="n">
        <v>8</v>
      </c>
      <c r="I922" s="23" t="n">
        <v>0</v>
      </c>
      <c r="J922" s="23" t="n">
        <f>H922+I922</f>
        <v>8</v>
      </c>
      <c r="K922" s="23" t="n">
        <v>8</v>
      </c>
      <c r="L922" s="23" t="n">
        <v>5</v>
      </c>
      <c r="M922" s="23" t="n">
        <f>MIN(K922,J922)</f>
        <v>8</v>
      </c>
      <c r="N922" s="23" t="n">
        <f>MIN(L922,J922)</f>
        <v>5</v>
      </c>
      <c r="O922" s="25" t="n">
        <f>IF(K922=0,0,MIN(1,J922/K922))</f>
        <v>1</v>
      </c>
      <c r="P922" s="23" t="n">
        <f>IF(J922&gt;0,MAX(K922-J922,0),0)</f>
        <v>0</v>
      </c>
      <c r="Q922" s="23" t="n">
        <f>IF(J922=0,K922,0)</f>
        <v>0</v>
      </c>
      <c r="R922" s="23" t="n">
        <f>MAX(J922-K922,0)</f>
        <v>0</v>
      </c>
      <c r="S922" s="23" t="n">
        <f>IF(J922&gt;0,MAX(L922-J922,0),L922)</f>
        <v>0</v>
      </c>
    </row>
    <row r="923">
      <c r="A923" s="19" t="str">
        <v>英国区</v>
      </c>
      <c r="B923" s="19" t="str">
        <v>伯明翰23号仓</v>
      </c>
      <c r="C923" s="19" t="str">
        <v>入库组</v>
      </c>
      <c r="D923" s="21" t="n">
        <v>46164</v>
      </c>
      <c r="E923" s="19" t="str">
        <v>2026-05</v>
      </c>
      <c r="F923" s="19" t="str">
        <v>操作员</v>
      </c>
      <c r="G923" s="19" t="str">
        <v>英国区07:00-15:30 / UK 07:00-15:30</v>
      </c>
      <c r="H923" s="23" t="n">
        <v>4</v>
      </c>
      <c r="I923" s="23" t="n">
        <v>0</v>
      </c>
      <c r="J923" s="23" t="n">
        <f>H923+I923</f>
        <v>4</v>
      </c>
      <c r="K923" s="23" t="n">
        <v>4</v>
      </c>
      <c r="L923" s="23" t="n">
        <v>4</v>
      </c>
      <c r="M923" s="23" t="n">
        <f>MIN(K923,J923)</f>
        <v>4</v>
      </c>
      <c r="N923" s="23" t="n">
        <f>MIN(L923,J923)</f>
        <v>4</v>
      </c>
      <c r="O923" s="25" t="n">
        <f>IF(K923=0,0,MIN(1,J923/K923))</f>
        <v>1</v>
      </c>
      <c r="P923" s="23" t="n">
        <f>IF(J923&gt;0,MAX(K923-J923,0),0)</f>
        <v>0</v>
      </c>
      <c r="Q923" s="23" t="n">
        <f>IF(J923=0,K923,0)</f>
        <v>0</v>
      </c>
      <c r="R923" s="23" t="n">
        <f>MAX(J923-K923,0)</f>
        <v>0</v>
      </c>
      <c r="S923" s="23" t="n">
        <f>IF(J923&gt;0,MAX(L923-J923,0),L923)</f>
        <v>0</v>
      </c>
    </row>
    <row r="924">
      <c r="A924" s="19" t="str">
        <v>英国区</v>
      </c>
      <c r="B924" s="19" t="str">
        <v>伯明翰23号仓</v>
      </c>
      <c r="C924" s="19" t="str">
        <v>入库组</v>
      </c>
      <c r="D924" s="21" t="n">
        <v>46168</v>
      </c>
      <c r="E924" s="19" t="str">
        <v>2026-05</v>
      </c>
      <c r="F924" s="19" t="str">
        <v>操作员</v>
      </c>
      <c r="G924" s="19" t="str">
        <v>英国区07:00-15:30 / UK 07:00-15:30</v>
      </c>
      <c r="H924" s="23" t="n">
        <v>6</v>
      </c>
      <c r="I924" s="23" t="n">
        <v>0</v>
      </c>
      <c r="J924" s="23" t="n">
        <f>H924+I924</f>
        <v>6</v>
      </c>
      <c r="K924" s="23" t="n">
        <v>6</v>
      </c>
      <c r="L924" s="23" t="n">
        <v>4</v>
      </c>
      <c r="M924" s="23" t="n">
        <f>MIN(K924,J924)</f>
        <v>6</v>
      </c>
      <c r="N924" s="23" t="n">
        <f>MIN(L924,J924)</f>
        <v>4</v>
      </c>
      <c r="O924" s="25" t="n">
        <f>IF(K924=0,0,MIN(1,J924/K924))</f>
        <v>1</v>
      </c>
      <c r="P924" s="23" t="n">
        <f>IF(J924&gt;0,MAX(K924-J924,0),0)</f>
        <v>0</v>
      </c>
      <c r="Q924" s="23" t="n">
        <f>IF(J924=0,K924,0)</f>
        <v>0</v>
      </c>
      <c r="R924" s="23" t="n">
        <f>MAX(J924-K924,0)</f>
        <v>0</v>
      </c>
      <c r="S924" s="23" t="n">
        <f>IF(J924&gt;0,MAX(L924-J924,0),L924)</f>
        <v>0</v>
      </c>
    </row>
    <row r="925">
      <c r="A925" s="19" t="str">
        <v>英国区</v>
      </c>
      <c r="B925" s="19" t="str">
        <v>伯明翰23号仓</v>
      </c>
      <c r="C925" s="19" t="str">
        <v>入库组</v>
      </c>
      <c r="D925" s="21" t="n">
        <v>46169</v>
      </c>
      <c r="E925" s="19" t="str">
        <v>2026-05</v>
      </c>
      <c r="F925" s="19" t="str">
        <v>操作员</v>
      </c>
      <c r="G925" s="19" t="str">
        <v>英国灵活（6小时扣午休） / UK FLEX (6-HR LUNCH BREAK DEDUCTED)</v>
      </c>
      <c r="H925" s="23" t="n">
        <v>2</v>
      </c>
      <c r="I925" s="23" t="n">
        <v>0</v>
      </c>
      <c r="J925" s="23" t="n">
        <f>H925+I925</f>
        <v>2</v>
      </c>
      <c r="K925" s="23" t="n">
        <v>2</v>
      </c>
      <c r="L925" s="23" t="n">
        <v>2</v>
      </c>
      <c r="M925" s="23" t="n">
        <f>MIN(K925,J925)</f>
        <v>2</v>
      </c>
      <c r="N925" s="23" t="n">
        <f>MIN(L925,J925)</f>
        <v>2</v>
      </c>
      <c r="O925" s="25" t="n">
        <f>IF(K925=0,0,MIN(1,J925/K925))</f>
        <v>1</v>
      </c>
      <c r="P925" s="23" t="n">
        <f>IF(J925&gt;0,MAX(K925-J925,0),0)</f>
        <v>0</v>
      </c>
      <c r="Q925" s="23" t="n">
        <f>IF(J925=0,K925,0)</f>
        <v>0</v>
      </c>
      <c r="R925" s="23" t="n">
        <f>MAX(J925-K925,0)</f>
        <v>0</v>
      </c>
      <c r="S925" s="23" t="n">
        <f>IF(J925&gt;0,MAX(L925-J925,0),L925)</f>
        <v>0</v>
      </c>
    </row>
    <row r="926">
      <c r="A926" s="19" t="str">
        <v>英国区</v>
      </c>
      <c r="B926" s="19" t="str">
        <v>伯明翰23号仓</v>
      </c>
      <c r="C926" s="19" t="str">
        <v>入库组</v>
      </c>
      <c r="D926" s="21" t="n">
        <v>46171</v>
      </c>
      <c r="E926" s="19" t="str">
        <v>2026-05</v>
      </c>
      <c r="F926" s="19" t="str">
        <v>操作员</v>
      </c>
      <c r="G926" s="19" t="str">
        <v>英国区07:00-15:30 / UK 07:00-15:30</v>
      </c>
      <c r="H926" s="23" t="n">
        <v>2</v>
      </c>
      <c r="I926" s="23" t="n">
        <v>0</v>
      </c>
      <c r="J926" s="23" t="n">
        <f>H926+I926</f>
        <v>2</v>
      </c>
      <c r="K926" s="23" t="n">
        <v>2</v>
      </c>
      <c r="L926" s="23" t="n">
        <v>2</v>
      </c>
      <c r="M926" s="23" t="n">
        <f>MIN(K926,J926)</f>
        <v>2</v>
      </c>
      <c r="N926" s="23" t="n">
        <f>MIN(L926,J926)</f>
        <v>2</v>
      </c>
      <c r="O926" s="25" t="n">
        <f>IF(K926=0,0,MIN(1,J926/K926))</f>
        <v>1</v>
      </c>
      <c r="P926" s="23" t="n">
        <f>IF(J926&gt;0,MAX(K926-J926,0),0)</f>
        <v>0</v>
      </c>
      <c r="Q926" s="23" t="n">
        <f>IF(J926=0,K926,0)</f>
        <v>0</v>
      </c>
      <c r="R926" s="23" t="n">
        <f>MAX(J926-K926,0)</f>
        <v>0</v>
      </c>
      <c r="S926" s="23" t="n">
        <f>IF(J926&gt;0,MAX(L926-J926,0),L926)</f>
        <v>0</v>
      </c>
    </row>
    <row r="927">
      <c r="A927" s="19" t="str">
        <v>英国区</v>
      </c>
      <c r="B927" s="19" t="str">
        <v>伯明翰23号仓</v>
      </c>
      <c r="C927" s="19" t="str">
        <v>入库组</v>
      </c>
      <c r="D927" s="21" t="n">
        <v>46174</v>
      </c>
      <c r="E927" s="19" t="str">
        <v>2026-06</v>
      </c>
      <c r="F927" s="19" t="str">
        <v>操作员</v>
      </c>
      <c r="G927" s="19" t="str">
        <v>英国区09:00-17:30 / UK 09:00-17:30</v>
      </c>
      <c r="H927" s="23" t="n">
        <v>1</v>
      </c>
      <c r="I927" s="23" t="n">
        <v>0</v>
      </c>
      <c r="J927" s="23" t="n">
        <f>H927+I927</f>
        <v>1</v>
      </c>
      <c r="K927" s="23" t="n">
        <v>1</v>
      </c>
      <c r="L927" s="23" t="n">
        <v>1</v>
      </c>
      <c r="M927" s="23" t="n">
        <f>MIN(K927,J927)</f>
        <v>1</v>
      </c>
      <c r="N927" s="23" t="n">
        <f>MIN(L927,J927)</f>
        <v>1</v>
      </c>
      <c r="O927" s="25" t="n">
        <f>IF(K927=0,0,MIN(1,J927/K927))</f>
        <v>1</v>
      </c>
      <c r="P927" s="23" t="n">
        <f>IF(J927&gt;0,MAX(K927-J927,0),0)</f>
        <v>0</v>
      </c>
      <c r="Q927" s="23" t="n">
        <f>IF(J927=0,K927,0)</f>
        <v>0</v>
      </c>
      <c r="R927" s="23" t="n">
        <f>MAX(J927-K927,0)</f>
        <v>0</v>
      </c>
      <c r="S927" s="23" t="n">
        <f>IF(J927&gt;0,MAX(L927-J927,0),L927)</f>
        <v>0</v>
      </c>
    </row>
    <row r="928">
      <c r="A928" s="19" t="str">
        <v>英国区</v>
      </c>
      <c r="B928" s="19" t="str">
        <v>伯明翰23号仓</v>
      </c>
      <c r="C928" s="19" t="str">
        <v>入库组</v>
      </c>
      <c r="D928" s="21" t="n">
        <v>46177</v>
      </c>
      <c r="E928" s="19" t="str">
        <v>2026-06</v>
      </c>
      <c r="F928" s="19" t="str">
        <v>操作员</v>
      </c>
      <c r="G928" s="19" t="str">
        <v>英国区15:00-00:30 / UK 15:00-00:30</v>
      </c>
      <c r="H928" s="23" t="n">
        <v>1</v>
      </c>
      <c r="I928" s="23" t="n">
        <v>0</v>
      </c>
      <c r="J928" s="23" t="n">
        <f>H928+I928</f>
        <v>1</v>
      </c>
      <c r="K928" s="23" t="n">
        <v>1</v>
      </c>
      <c r="L928" s="23" t="n">
        <v>1</v>
      </c>
      <c r="M928" s="23" t="n">
        <f>MIN(K928,J928)</f>
        <v>1</v>
      </c>
      <c r="N928" s="23" t="n">
        <f>MIN(L928,J928)</f>
        <v>1</v>
      </c>
      <c r="O928" s="25" t="n">
        <f>IF(K928=0,0,MIN(1,J928/K928))</f>
        <v>1</v>
      </c>
      <c r="P928" s="23" t="n">
        <f>IF(J928&gt;0,MAX(K928-J928,0),0)</f>
        <v>0</v>
      </c>
      <c r="Q928" s="23" t="n">
        <f>IF(J928=0,K928,0)</f>
        <v>0</v>
      </c>
      <c r="R928" s="23" t="n">
        <f>MAX(J928-K928,0)</f>
        <v>0</v>
      </c>
      <c r="S928" s="23" t="n">
        <f>IF(J928&gt;0,MAX(L928-J928,0),L928)</f>
        <v>0</v>
      </c>
    </row>
    <row r="929">
      <c r="A929" s="19" t="str">
        <v>英国区</v>
      </c>
      <c r="B929" s="19" t="str">
        <v>伯明翰23号仓</v>
      </c>
      <c r="C929" s="19" t="str">
        <v>入库组</v>
      </c>
      <c r="D929" s="21" t="n">
        <v>46178</v>
      </c>
      <c r="E929" s="19" t="str">
        <v>2026-06</v>
      </c>
      <c r="F929" s="19" t="str">
        <v>操作员</v>
      </c>
      <c r="G929" s="19" t="str">
        <v>英国区07:00-15:30 / UK 07:00-15:30</v>
      </c>
      <c r="H929" s="23" t="n">
        <v>4</v>
      </c>
      <c r="I929" s="23" t="n">
        <v>0</v>
      </c>
      <c r="J929" s="23" t="n">
        <f>H929+I929</f>
        <v>4</v>
      </c>
      <c r="K929" s="23" t="n">
        <v>4</v>
      </c>
      <c r="L929" s="23" t="n">
        <v>4</v>
      </c>
      <c r="M929" s="23" t="n">
        <f>MIN(K929,J929)</f>
        <v>4</v>
      </c>
      <c r="N929" s="23" t="n">
        <f>MIN(L929,J929)</f>
        <v>4</v>
      </c>
      <c r="O929" s="25" t="n">
        <f>IF(K929=0,0,MIN(1,J929/K929))</f>
        <v>1</v>
      </c>
      <c r="P929" s="23" t="n">
        <f>IF(J929&gt;0,MAX(K929-J929,0),0)</f>
        <v>0</v>
      </c>
      <c r="Q929" s="23" t="n">
        <f>IF(J929=0,K929,0)</f>
        <v>0</v>
      </c>
      <c r="R929" s="23" t="n">
        <f>MAX(J929-K929,0)</f>
        <v>0</v>
      </c>
      <c r="S929" s="23" t="n">
        <f>IF(J929&gt;0,MAX(L929-J929,0),L929)</f>
        <v>0</v>
      </c>
    </row>
    <row r="930">
      <c r="A930" s="19" t="str">
        <v>英国区</v>
      </c>
      <c r="B930" s="19" t="str">
        <v>伯明翰23号仓</v>
      </c>
      <c r="C930" s="19" t="str">
        <v>入库组</v>
      </c>
      <c r="D930" s="21" t="n">
        <v>46178</v>
      </c>
      <c r="E930" s="19" t="str">
        <v>2026-06</v>
      </c>
      <c r="F930" s="19" t="str">
        <v>操作员</v>
      </c>
      <c r="G930" s="19" t="str">
        <v>英国区10:00-18:30 / UK 10:00-18:30</v>
      </c>
      <c r="H930" s="23" t="n">
        <v>6</v>
      </c>
      <c r="I930" s="23" t="n">
        <v>0</v>
      </c>
      <c r="J930" s="23" t="n">
        <f>H930+I930</f>
        <v>6</v>
      </c>
      <c r="K930" s="23" t="n">
        <v>0</v>
      </c>
      <c r="L930" s="23" t="n">
        <v>0</v>
      </c>
      <c r="M930" s="23" t="n">
        <f>MIN(K930,J930)</f>
        <v>0</v>
      </c>
      <c r="N930" s="23" t="n">
        <f>MIN(L930,J930)</f>
        <v>0</v>
      </c>
      <c r="O930" s="25" t="n">
        <f>IF(K930=0,0,MIN(1,J930/K930))</f>
        <v>0</v>
      </c>
      <c r="P930" s="23" t="n">
        <f>IF(J930&gt;0,MAX(K930-J930,0),0)</f>
        <v>0</v>
      </c>
      <c r="Q930" s="23" t="n">
        <f>IF(J930=0,K930,0)</f>
        <v>0</v>
      </c>
      <c r="R930" s="23" t="n">
        <f>MAX(J930-K930,0)</f>
        <v>6</v>
      </c>
      <c r="S930" s="23" t="n">
        <f>IF(J930&gt;0,MAX(L930-J930,0),L930)</f>
        <v>0</v>
      </c>
    </row>
    <row r="931">
      <c r="A931" s="19" t="str">
        <v>英国区</v>
      </c>
      <c r="B931" s="19" t="str">
        <v>伯明翰23号仓</v>
      </c>
      <c r="C931" s="19" t="str">
        <v>入库组</v>
      </c>
      <c r="D931" s="21" t="n">
        <v>46182</v>
      </c>
      <c r="E931" s="19" t="str">
        <v>2026-06</v>
      </c>
      <c r="F931" s="19" t="str">
        <v>操作员</v>
      </c>
      <c r="G931" s="19" t="str">
        <v>英国区11:00-19:30 / UK 11:00-19:30</v>
      </c>
      <c r="H931" s="23" t="n">
        <v>6</v>
      </c>
      <c r="I931" s="23" t="n">
        <v>0</v>
      </c>
      <c r="J931" s="23" t="n">
        <f>H931+I931</f>
        <v>6</v>
      </c>
      <c r="K931" s="23" t="n">
        <v>9</v>
      </c>
      <c r="L931" s="23" t="n">
        <v>9</v>
      </c>
      <c r="M931" s="23" t="n">
        <f>MIN(K931,J931)</f>
        <v>6</v>
      </c>
      <c r="N931" s="23" t="n">
        <f>MIN(L931,J931)</f>
        <v>6</v>
      </c>
      <c r="O931" s="25" t="n">
        <f>IF(K931=0,0,MIN(1,J931/K931))</f>
        <v>0.6666666666666666</v>
      </c>
      <c r="P931" s="23" t="n">
        <f>IF(J931&gt;0,MAX(K931-J931,0),0)</f>
        <v>3</v>
      </c>
      <c r="Q931" s="23" t="n">
        <f>IF(J931=0,K931,0)</f>
        <v>0</v>
      </c>
      <c r="R931" s="23" t="n">
        <f>MAX(J931-K931,0)</f>
        <v>0</v>
      </c>
      <c r="S931" s="23" t="n">
        <f>IF(J931&gt;0,MAX(L931-J931,0),L931)</f>
        <v>3</v>
      </c>
    </row>
    <row r="932">
      <c r="A932" s="19" t="str">
        <v>英国区</v>
      </c>
      <c r="B932" s="19" t="str">
        <v>伯明翰23号仓</v>
      </c>
      <c r="C932" s="19" t="str">
        <v>入库组</v>
      </c>
      <c r="D932" s="21" t="n">
        <v>46185</v>
      </c>
      <c r="E932" s="19" t="str">
        <v>2026-06</v>
      </c>
      <c r="F932" s="19" t="str">
        <v>操作员</v>
      </c>
      <c r="G932" s="19" t="str">
        <v>英国区10:00-18:30 / UK 10:00-18:30</v>
      </c>
      <c r="H932" s="23" t="n">
        <v>3</v>
      </c>
      <c r="I932" s="23" t="n">
        <v>0</v>
      </c>
      <c r="J932" s="23" t="n">
        <f>H932+I932</f>
        <v>3</v>
      </c>
      <c r="K932" s="23" t="n">
        <v>3</v>
      </c>
      <c r="L932" s="23" t="n">
        <v>3</v>
      </c>
      <c r="M932" s="23" t="n">
        <f>MIN(K932,J932)</f>
        <v>3</v>
      </c>
      <c r="N932" s="23" t="n">
        <f>MIN(L932,J932)</f>
        <v>3</v>
      </c>
      <c r="O932" s="25" t="n">
        <f>IF(K932=0,0,MIN(1,J932/K932))</f>
        <v>1</v>
      </c>
      <c r="P932" s="23" t="n">
        <f>IF(J932&gt;0,MAX(K932-J932,0),0)</f>
        <v>0</v>
      </c>
      <c r="Q932" s="23" t="n">
        <f>IF(J932=0,K932,0)</f>
        <v>0</v>
      </c>
      <c r="R932" s="23" t="n">
        <f>MAX(J932-K932,0)</f>
        <v>0</v>
      </c>
      <c r="S932" s="23" t="n">
        <f>IF(J932&gt;0,MAX(L932-J932,0),L932)</f>
        <v>0</v>
      </c>
    </row>
    <row r="933">
      <c r="A933" s="19" t="str">
        <v>英国区</v>
      </c>
      <c r="B933" s="19" t="str">
        <v>伯明翰23号仓</v>
      </c>
      <c r="C933" s="19" t="str">
        <v>入库组</v>
      </c>
      <c r="D933" s="21" t="n">
        <v>46185</v>
      </c>
      <c r="E933" s="19" t="str">
        <v>2026-06</v>
      </c>
      <c r="F933" s="19" t="str">
        <v>操作员</v>
      </c>
      <c r="G933" s="19" t="str">
        <v>英国区11:00-19:30 / UK 11:00-19:30</v>
      </c>
      <c r="H933" s="23" t="n">
        <v>1</v>
      </c>
      <c r="I933" s="23" t="n">
        <v>0</v>
      </c>
      <c r="J933" s="23" t="n">
        <f>H933+I933</f>
        <v>1</v>
      </c>
      <c r="K933" s="23" t="n">
        <v>1</v>
      </c>
      <c r="L933" s="23" t="n">
        <v>1</v>
      </c>
      <c r="M933" s="23" t="n">
        <f>MIN(K933,J933)</f>
        <v>1</v>
      </c>
      <c r="N933" s="23" t="n">
        <f>MIN(L933,J933)</f>
        <v>1</v>
      </c>
      <c r="O933" s="25" t="n">
        <f>IF(K933=0,0,MIN(1,J933/K933))</f>
        <v>1</v>
      </c>
      <c r="P933" s="23" t="n">
        <f>IF(J933&gt;0,MAX(K933-J933,0),0)</f>
        <v>0</v>
      </c>
      <c r="Q933" s="23" t="n">
        <f>IF(J933=0,K933,0)</f>
        <v>0</v>
      </c>
      <c r="R933" s="23" t="n">
        <f>MAX(J933-K933,0)</f>
        <v>0</v>
      </c>
      <c r="S933" s="23" t="n">
        <f>IF(J933&gt;0,MAX(L933-J933,0),L933)</f>
        <v>0</v>
      </c>
    </row>
    <row r="934">
      <c r="A934" s="19" t="str">
        <v>英国区</v>
      </c>
      <c r="B934" s="19" t="str">
        <v>伯明翰23号仓</v>
      </c>
      <c r="C934" s="19" t="str">
        <v>入库组</v>
      </c>
      <c r="D934" s="21" t="n">
        <v>46188</v>
      </c>
      <c r="E934" s="19" t="str">
        <v>2026-06</v>
      </c>
      <c r="F934" s="19" t="str">
        <v>操作员</v>
      </c>
      <c r="G934" s="19" t="str">
        <v>英国区07:00-15:30 / UK 07:00-15:30</v>
      </c>
      <c r="H934" s="23" t="n">
        <v>5</v>
      </c>
      <c r="I934" s="23" t="n">
        <v>0</v>
      </c>
      <c r="J934" s="23" t="n">
        <f>H934+I934</f>
        <v>5</v>
      </c>
      <c r="K934" s="23" t="n">
        <v>5</v>
      </c>
      <c r="L934" s="23" t="n">
        <v>5</v>
      </c>
      <c r="M934" s="23" t="n">
        <f>MIN(K934,J934)</f>
        <v>5</v>
      </c>
      <c r="N934" s="23" t="n">
        <f>MIN(L934,J934)</f>
        <v>5</v>
      </c>
      <c r="O934" s="25" t="n">
        <f>IF(K934=0,0,MIN(1,J934/K934))</f>
        <v>1</v>
      </c>
      <c r="P934" s="23" t="n">
        <f>IF(J934&gt;0,MAX(K934-J934,0),0)</f>
        <v>0</v>
      </c>
      <c r="Q934" s="23" t="n">
        <f>IF(J934=0,K934,0)</f>
        <v>0</v>
      </c>
      <c r="R934" s="23" t="n">
        <f>MAX(J934-K934,0)</f>
        <v>0</v>
      </c>
      <c r="S934" s="23" t="n">
        <f>IF(J934&gt;0,MAX(L934-J934,0),L934)</f>
        <v>0</v>
      </c>
    </row>
    <row r="935">
      <c r="A935" s="19" t="str">
        <v>英国区</v>
      </c>
      <c r="B935" s="19" t="str">
        <v>伯明翰23号仓</v>
      </c>
      <c r="C935" s="19" t="str">
        <v>入库组</v>
      </c>
      <c r="D935" s="21" t="n">
        <v>46189</v>
      </c>
      <c r="E935" s="19" t="str">
        <v>2026-06</v>
      </c>
      <c r="F935" s="19" t="str">
        <v>操作员</v>
      </c>
      <c r="G935" s="19" t="str">
        <v>英国区07:00-15:30 / UK 07:00-15:30</v>
      </c>
      <c r="H935" s="23" t="n">
        <v>2</v>
      </c>
      <c r="I935" s="23" t="n">
        <v>0</v>
      </c>
      <c r="J935" s="23" t="n">
        <f>H935+I935</f>
        <v>2</v>
      </c>
      <c r="K935" s="23" t="n">
        <v>2</v>
      </c>
      <c r="L935" s="23" t="n">
        <v>0</v>
      </c>
      <c r="M935" s="23" t="n">
        <f>MIN(K935,J935)</f>
        <v>2</v>
      </c>
      <c r="N935" s="23" t="n">
        <f>MIN(L935,J935)</f>
        <v>0</v>
      </c>
      <c r="O935" s="25" t="n">
        <f>IF(K935=0,0,MIN(1,J935/K935))</f>
        <v>1</v>
      </c>
      <c r="P935" s="23" t="n">
        <f>IF(J935&gt;0,MAX(K935-J935,0),0)</f>
        <v>0</v>
      </c>
      <c r="Q935" s="23" t="n">
        <f>IF(J935=0,K935,0)</f>
        <v>0</v>
      </c>
      <c r="R935" s="23" t="n">
        <f>MAX(J935-K935,0)</f>
        <v>0</v>
      </c>
      <c r="S935" s="23" t="n">
        <f>IF(J935&gt;0,MAX(L935-J935,0),L935)</f>
        <v>0</v>
      </c>
    </row>
    <row r="936">
      <c r="A936" s="19" t="str">
        <v>英国区</v>
      </c>
      <c r="B936" s="19" t="str">
        <v>伯明翰23号仓</v>
      </c>
      <c r="C936" s="19" t="str">
        <v>包装组</v>
      </c>
      <c r="D936" s="21" t="n">
        <v>46116</v>
      </c>
      <c r="E936" s="19" t="str">
        <v>2026-04</v>
      </c>
      <c r="F936" s="19" t="str">
        <v>操作员</v>
      </c>
      <c r="G936" s="19" t="str">
        <v>英国区07:00-15:30 / UK 07:00-15:30</v>
      </c>
      <c r="H936" s="23" t="n">
        <v>1</v>
      </c>
      <c r="I936" s="23" t="n">
        <v>0</v>
      </c>
      <c r="J936" s="23" t="n">
        <f>H936+I936</f>
        <v>1</v>
      </c>
      <c r="K936" s="23" t="n">
        <v>1</v>
      </c>
      <c r="L936" s="23" t="n">
        <v>1</v>
      </c>
      <c r="M936" s="23" t="n">
        <f>MIN(K936,J936)</f>
        <v>1</v>
      </c>
      <c r="N936" s="23" t="n">
        <f>MIN(L936,J936)</f>
        <v>1</v>
      </c>
      <c r="O936" s="25" t="n">
        <f>IF(K936=0,0,MIN(1,J936/K936))</f>
        <v>1</v>
      </c>
      <c r="P936" s="23" t="n">
        <f>IF(J936&gt;0,MAX(K936-J936,0),0)</f>
        <v>0</v>
      </c>
      <c r="Q936" s="23" t="n">
        <f>IF(J936=0,K936,0)</f>
        <v>0</v>
      </c>
      <c r="R936" s="23" t="n">
        <f>MAX(J936-K936,0)</f>
        <v>0</v>
      </c>
      <c r="S936" s="23" t="n">
        <f>IF(J936&gt;0,MAX(L936-J936,0),L936)</f>
        <v>0</v>
      </c>
    </row>
    <row r="937">
      <c r="A937" s="19" t="str">
        <v>英国区</v>
      </c>
      <c r="B937" s="19" t="str">
        <v>伯明翰23号仓</v>
      </c>
      <c r="C937" s="19" t="str">
        <v>包装组</v>
      </c>
      <c r="D937" s="21" t="n">
        <v>46120</v>
      </c>
      <c r="E937" s="19" t="str">
        <v>2026-04</v>
      </c>
      <c r="F937" s="19" t="str">
        <v>操作员</v>
      </c>
      <c r="G937" s="19" t="str">
        <v>英国区10:00-18:30 / UK 10:00-18:30</v>
      </c>
      <c r="H937" s="23" t="n">
        <v>1</v>
      </c>
      <c r="I937" s="23" t="n">
        <v>0</v>
      </c>
      <c r="J937" s="23" t="n">
        <f>H937+I937</f>
        <v>1</v>
      </c>
      <c r="K937" s="23" t="n">
        <v>1</v>
      </c>
      <c r="L937" s="23" t="n">
        <v>1</v>
      </c>
      <c r="M937" s="23" t="n">
        <f>MIN(K937,J937)</f>
        <v>1</v>
      </c>
      <c r="N937" s="23" t="n">
        <f>MIN(L937,J937)</f>
        <v>1</v>
      </c>
      <c r="O937" s="25" t="n">
        <f>IF(K937=0,0,MIN(1,J937/K937))</f>
        <v>1</v>
      </c>
      <c r="P937" s="23" t="n">
        <f>IF(J937&gt;0,MAX(K937-J937,0),0)</f>
        <v>0</v>
      </c>
      <c r="Q937" s="23" t="n">
        <f>IF(J937=0,K937,0)</f>
        <v>0</v>
      </c>
      <c r="R937" s="23" t="n">
        <f>MAX(J937-K937,0)</f>
        <v>0</v>
      </c>
      <c r="S937" s="23" t="n">
        <f>IF(J937&gt;0,MAX(L937-J937,0),L937)</f>
        <v>0</v>
      </c>
    </row>
    <row r="938">
      <c r="A938" s="19" t="str">
        <v>英国区</v>
      </c>
      <c r="B938" s="19" t="str">
        <v>伯明翰23号仓</v>
      </c>
      <c r="C938" s="19" t="str">
        <v>包装组</v>
      </c>
      <c r="D938" s="21" t="n">
        <v>46136</v>
      </c>
      <c r="E938" s="19" t="str">
        <v>2026-04</v>
      </c>
      <c r="F938" s="19" t="str">
        <v>操作员</v>
      </c>
      <c r="G938" s="19" t="str">
        <v>英国区09:00-17:30 / UK 09:00-17:30</v>
      </c>
      <c r="H938" s="23" t="n">
        <v>1</v>
      </c>
      <c r="I938" s="23" t="n">
        <v>0</v>
      </c>
      <c r="J938" s="23" t="n">
        <f>H938+I938</f>
        <v>1</v>
      </c>
      <c r="K938" s="23" t="n">
        <v>1</v>
      </c>
      <c r="L938" s="23" t="n">
        <v>1</v>
      </c>
      <c r="M938" s="23" t="n">
        <f>MIN(K938,J938)</f>
        <v>1</v>
      </c>
      <c r="N938" s="23" t="n">
        <f>MIN(L938,J938)</f>
        <v>1</v>
      </c>
      <c r="O938" s="25" t="n">
        <f>IF(K938=0,0,MIN(1,J938/K938))</f>
        <v>1</v>
      </c>
      <c r="P938" s="23" t="n">
        <f>IF(J938&gt;0,MAX(K938-J938,0),0)</f>
        <v>0</v>
      </c>
      <c r="Q938" s="23" t="n">
        <f>IF(J938=0,K938,0)</f>
        <v>0</v>
      </c>
      <c r="R938" s="23" t="n">
        <f>MAX(J938-K938,0)</f>
        <v>0</v>
      </c>
      <c r="S938" s="23" t="n">
        <f>IF(J938&gt;0,MAX(L938-J938,0),L938)</f>
        <v>0</v>
      </c>
    </row>
    <row r="939">
      <c r="A939" s="19" t="str">
        <v>英国区</v>
      </c>
      <c r="B939" s="19" t="str">
        <v>伯明翰23号仓</v>
      </c>
      <c r="C939" s="19" t="str">
        <v>包装组</v>
      </c>
      <c r="D939" s="21" t="n">
        <v>46141</v>
      </c>
      <c r="E939" s="19" t="str">
        <v>2026-04</v>
      </c>
      <c r="F939" s="19" t="str">
        <v>操作员</v>
      </c>
      <c r="G939" s="19" t="str">
        <v>英国区09:00-17:30 / UK 09:00-17:30</v>
      </c>
      <c r="H939" s="23" t="n">
        <v>2</v>
      </c>
      <c r="I939" s="23" t="n">
        <v>0</v>
      </c>
      <c r="J939" s="23" t="n">
        <f>H939+I939</f>
        <v>2</v>
      </c>
      <c r="K939" s="23" t="n">
        <v>2</v>
      </c>
      <c r="L939" s="23" t="n">
        <v>2</v>
      </c>
      <c r="M939" s="23" t="n">
        <f>MIN(K939,J939)</f>
        <v>2</v>
      </c>
      <c r="N939" s="23" t="n">
        <f>MIN(L939,J939)</f>
        <v>2</v>
      </c>
      <c r="O939" s="25" t="n">
        <f>IF(K939=0,0,MIN(1,J939/K939))</f>
        <v>1</v>
      </c>
      <c r="P939" s="23" t="n">
        <f>IF(J939&gt;0,MAX(K939-J939,0),0)</f>
        <v>0</v>
      </c>
      <c r="Q939" s="23" t="n">
        <f>IF(J939=0,K939,0)</f>
        <v>0</v>
      </c>
      <c r="R939" s="23" t="n">
        <f>MAX(J939-K939,0)</f>
        <v>0</v>
      </c>
      <c r="S939" s="23" t="n">
        <f>IF(J939&gt;0,MAX(L939-J939,0),L939)</f>
        <v>0</v>
      </c>
    </row>
    <row r="940">
      <c r="A940" s="19" t="str">
        <v>英国区</v>
      </c>
      <c r="B940" s="19" t="str">
        <v>伯明翰23号仓</v>
      </c>
      <c r="C940" s="19" t="str">
        <v>包装组</v>
      </c>
      <c r="D940" s="21" t="n">
        <v>46141</v>
      </c>
      <c r="E940" s="19" t="str">
        <v>2026-04</v>
      </c>
      <c r="F940" s="19" t="str">
        <v>操作员</v>
      </c>
      <c r="G940" s="19" t="str">
        <v>英国区11:00-19:30 / UK 11:00-19:30</v>
      </c>
      <c r="H940" s="23" t="n">
        <v>1</v>
      </c>
      <c r="I940" s="23" t="n">
        <v>0</v>
      </c>
      <c r="J940" s="23" t="n">
        <f>H940+I940</f>
        <v>1</v>
      </c>
      <c r="K940" s="23" t="n">
        <v>1</v>
      </c>
      <c r="L940" s="23" t="n">
        <v>1</v>
      </c>
      <c r="M940" s="23" t="n">
        <f>MIN(K940,J940)</f>
        <v>1</v>
      </c>
      <c r="N940" s="23" t="n">
        <f>MIN(L940,J940)</f>
        <v>1</v>
      </c>
      <c r="O940" s="25" t="n">
        <f>IF(K940=0,0,MIN(1,J940/K940))</f>
        <v>1</v>
      </c>
      <c r="P940" s="23" t="n">
        <f>IF(J940&gt;0,MAX(K940-J940,0),0)</f>
        <v>0</v>
      </c>
      <c r="Q940" s="23" t="n">
        <f>IF(J940=0,K940,0)</f>
        <v>0</v>
      </c>
      <c r="R940" s="23" t="n">
        <f>MAX(J940-K940,0)</f>
        <v>0</v>
      </c>
      <c r="S940" s="23" t="n">
        <f>IF(J940&gt;0,MAX(L940-J940,0),L940)</f>
        <v>0</v>
      </c>
    </row>
    <row r="941">
      <c r="A941" s="19" t="str">
        <v>英国区</v>
      </c>
      <c r="B941" s="19" t="str">
        <v>伯明翰23号仓</v>
      </c>
      <c r="C941" s="19" t="str">
        <v>包装组</v>
      </c>
      <c r="D941" s="21" t="n">
        <v>46142</v>
      </c>
      <c r="E941" s="19" t="str">
        <v>2026-04</v>
      </c>
      <c r="F941" s="19" t="str">
        <v>操作员</v>
      </c>
      <c r="G941" s="19" t="str">
        <v>英国区11:00-19:30 / UK 11:00-19:30</v>
      </c>
      <c r="H941" s="23" t="n">
        <v>1</v>
      </c>
      <c r="I941" s="23" t="n">
        <v>0</v>
      </c>
      <c r="J941" s="23" t="n">
        <f>H941+I941</f>
        <v>1</v>
      </c>
      <c r="K941" s="23" t="n">
        <v>1</v>
      </c>
      <c r="L941" s="23" t="n">
        <v>1</v>
      </c>
      <c r="M941" s="23" t="n">
        <f>MIN(K941,J941)</f>
        <v>1</v>
      </c>
      <c r="N941" s="23" t="n">
        <f>MIN(L941,J941)</f>
        <v>1</v>
      </c>
      <c r="O941" s="25" t="n">
        <f>IF(K941=0,0,MIN(1,J941/K941))</f>
        <v>1</v>
      </c>
      <c r="P941" s="23" t="n">
        <f>IF(J941&gt;0,MAX(K941-J941,0),0)</f>
        <v>0</v>
      </c>
      <c r="Q941" s="23" t="n">
        <f>IF(J941=0,K941,0)</f>
        <v>0</v>
      </c>
      <c r="R941" s="23" t="n">
        <f>MAX(J941-K941,0)</f>
        <v>0</v>
      </c>
      <c r="S941" s="23" t="n">
        <f>IF(J941&gt;0,MAX(L941-J941,0),L941)</f>
        <v>0</v>
      </c>
    </row>
    <row r="942">
      <c r="A942" s="19" t="str">
        <v>英国区</v>
      </c>
      <c r="B942" s="19" t="str">
        <v>伯明翰23号仓</v>
      </c>
      <c r="C942" s="19" t="str">
        <v>包装组</v>
      </c>
      <c r="D942" s="21" t="n">
        <v>46143</v>
      </c>
      <c r="E942" s="19" t="str">
        <v>2026-05</v>
      </c>
      <c r="F942" s="19" t="str">
        <v>操作员</v>
      </c>
      <c r="G942" s="19" t="str">
        <v>英国区11:00-19:30 / UK 11:00-19:30</v>
      </c>
      <c r="H942" s="23" t="n">
        <v>1</v>
      </c>
      <c r="I942" s="23" t="n">
        <v>0</v>
      </c>
      <c r="J942" s="23" t="n">
        <f>H942+I942</f>
        <v>1</v>
      </c>
      <c r="K942" s="23" t="n">
        <v>1</v>
      </c>
      <c r="L942" s="23" t="n">
        <v>1</v>
      </c>
      <c r="M942" s="23" t="n">
        <f>MIN(K942,J942)</f>
        <v>1</v>
      </c>
      <c r="N942" s="23" t="n">
        <f>MIN(L942,J942)</f>
        <v>1</v>
      </c>
      <c r="O942" s="25" t="n">
        <f>IF(K942=0,0,MIN(1,J942/K942))</f>
        <v>1</v>
      </c>
      <c r="P942" s="23" t="n">
        <f>IF(J942&gt;0,MAX(K942-J942,0),0)</f>
        <v>0</v>
      </c>
      <c r="Q942" s="23" t="n">
        <f>IF(J942=0,K942,0)</f>
        <v>0</v>
      </c>
      <c r="R942" s="23" t="n">
        <f>MAX(J942-K942,0)</f>
        <v>0</v>
      </c>
      <c r="S942" s="23" t="n">
        <f>IF(J942&gt;0,MAX(L942-J942,0),L942)</f>
        <v>0</v>
      </c>
    </row>
    <row r="943">
      <c r="A943" s="19" t="str">
        <v>英国区</v>
      </c>
      <c r="B943" s="19" t="str">
        <v>伯明翰23号仓</v>
      </c>
      <c r="C943" s="19" t="str">
        <v>包装组</v>
      </c>
      <c r="D943" s="21" t="n">
        <v>46145</v>
      </c>
      <c r="E943" s="19" t="str">
        <v>2026-05</v>
      </c>
      <c r="F943" s="19" t="str">
        <v>操作员</v>
      </c>
      <c r="G943" s="19" t="str">
        <v>英国区10:00-18:30 / UK 10:00-18:30</v>
      </c>
      <c r="H943" s="23" t="n">
        <v>1</v>
      </c>
      <c r="I943" s="23" t="n">
        <v>0</v>
      </c>
      <c r="J943" s="23" t="n">
        <f>H943+I943</f>
        <v>1</v>
      </c>
      <c r="K943" s="23" t="n">
        <v>1</v>
      </c>
      <c r="L943" s="23" t="n">
        <v>1</v>
      </c>
      <c r="M943" s="23" t="n">
        <f>MIN(K943,J943)</f>
        <v>1</v>
      </c>
      <c r="N943" s="23" t="n">
        <f>MIN(L943,J943)</f>
        <v>1</v>
      </c>
      <c r="O943" s="25" t="n">
        <f>IF(K943=0,0,MIN(1,J943/K943))</f>
        <v>1</v>
      </c>
      <c r="P943" s="23" t="n">
        <f>IF(J943&gt;0,MAX(K943-J943,0),0)</f>
        <v>0</v>
      </c>
      <c r="Q943" s="23" t="n">
        <f>IF(J943=0,K943,0)</f>
        <v>0</v>
      </c>
      <c r="R943" s="23" t="n">
        <f>MAX(J943-K943,0)</f>
        <v>0</v>
      </c>
      <c r="S943" s="23" t="n">
        <f>IF(J943&gt;0,MAX(L943-J943,0),L943)</f>
        <v>0</v>
      </c>
    </row>
    <row r="944">
      <c r="A944" s="19" t="str">
        <v>英国区</v>
      </c>
      <c r="B944" s="19" t="str">
        <v>伯明翰23号仓</v>
      </c>
      <c r="C944" s="19" t="str">
        <v>包装组</v>
      </c>
      <c r="D944" s="21" t="n">
        <v>46148</v>
      </c>
      <c r="E944" s="19" t="str">
        <v>2026-05</v>
      </c>
      <c r="F944" s="19" t="str">
        <v>操作员</v>
      </c>
      <c r="G944" s="19" t="str">
        <v>英国区10:00-18:30 / UK 10:00-18:30</v>
      </c>
      <c r="H944" s="23" t="n">
        <v>2</v>
      </c>
      <c r="I944" s="23" t="n">
        <v>0</v>
      </c>
      <c r="J944" s="23" t="n">
        <f>H944+I944</f>
        <v>2</v>
      </c>
      <c r="K944" s="23" t="n">
        <v>2</v>
      </c>
      <c r="L944" s="23" t="n">
        <v>2</v>
      </c>
      <c r="M944" s="23" t="n">
        <f>MIN(K944,J944)</f>
        <v>2</v>
      </c>
      <c r="N944" s="23" t="n">
        <f>MIN(L944,J944)</f>
        <v>2</v>
      </c>
      <c r="O944" s="25" t="n">
        <f>IF(K944=0,0,MIN(1,J944/K944))</f>
        <v>1</v>
      </c>
      <c r="P944" s="23" t="n">
        <f>IF(J944&gt;0,MAX(K944-J944,0),0)</f>
        <v>0</v>
      </c>
      <c r="Q944" s="23" t="n">
        <f>IF(J944=0,K944,0)</f>
        <v>0</v>
      </c>
      <c r="R944" s="23" t="n">
        <f>MAX(J944-K944,0)</f>
        <v>0</v>
      </c>
      <c r="S944" s="23" t="n">
        <f>IF(J944&gt;0,MAX(L944-J944,0),L944)</f>
        <v>0</v>
      </c>
    </row>
    <row r="945">
      <c r="A945" s="19" t="str">
        <v>英国区</v>
      </c>
      <c r="B945" s="19" t="str">
        <v>伯明翰23号仓</v>
      </c>
      <c r="C945" s="19" t="str">
        <v>包装组</v>
      </c>
      <c r="D945" s="21" t="n">
        <v>46149</v>
      </c>
      <c r="E945" s="19" t="str">
        <v>2026-05</v>
      </c>
      <c r="F945" s="19" t="str">
        <v>操作员</v>
      </c>
      <c r="G945" s="19" t="str">
        <v>英国区10:00-18:30 / UK 10:00-18:30</v>
      </c>
      <c r="H945" s="23" t="n">
        <v>2</v>
      </c>
      <c r="I945" s="23" t="n">
        <v>0</v>
      </c>
      <c r="J945" s="23" t="n">
        <f>H945+I945</f>
        <v>2</v>
      </c>
      <c r="K945" s="23" t="n">
        <v>2</v>
      </c>
      <c r="L945" s="23" t="n">
        <v>0</v>
      </c>
      <c r="M945" s="23" t="n">
        <f>MIN(K945,J945)</f>
        <v>2</v>
      </c>
      <c r="N945" s="23" t="n">
        <f>MIN(L945,J945)</f>
        <v>0</v>
      </c>
      <c r="O945" s="25" t="n">
        <f>IF(K945=0,0,MIN(1,J945/K945))</f>
        <v>1</v>
      </c>
      <c r="P945" s="23" t="n">
        <f>IF(J945&gt;0,MAX(K945-J945,0),0)</f>
        <v>0</v>
      </c>
      <c r="Q945" s="23" t="n">
        <f>IF(J945=0,K945,0)</f>
        <v>0</v>
      </c>
      <c r="R945" s="23" t="n">
        <f>MAX(J945-K945,0)</f>
        <v>0</v>
      </c>
      <c r="S945" s="23" t="n">
        <f>IF(J945&gt;0,MAX(L945-J945,0),L945)</f>
        <v>0</v>
      </c>
    </row>
    <row r="946">
      <c r="A946" s="19" t="str">
        <v>英国区</v>
      </c>
      <c r="B946" s="19" t="str">
        <v>伯明翰23号仓</v>
      </c>
      <c r="C946" s="19" t="str">
        <v>包装组</v>
      </c>
      <c r="D946" s="21" t="n">
        <v>46150</v>
      </c>
      <c r="E946" s="19" t="str">
        <v>2026-05</v>
      </c>
      <c r="F946" s="19" t="str">
        <v>操作员</v>
      </c>
      <c r="G946" s="19" t="str">
        <v>英国区10:00-18:30 / UK 10:00-18:30</v>
      </c>
      <c r="H946" s="23" t="n">
        <v>2</v>
      </c>
      <c r="I946" s="23" t="n">
        <v>0</v>
      </c>
      <c r="J946" s="23" t="n">
        <f>H946+I946</f>
        <v>2</v>
      </c>
      <c r="K946" s="23" t="n">
        <v>2</v>
      </c>
      <c r="L946" s="23" t="n">
        <v>2</v>
      </c>
      <c r="M946" s="23" t="n">
        <f>MIN(K946,J946)</f>
        <v>2</v>
      </c>
      <c r="N946" s="23" t="n">
        <f>MIN(L946,J946)</f>
        <v>2</v>
      </c>
      <c r="O946" s="25" t="n">
        <f>IF(K946=0,0,MIN(1,J946/K946))</f>
        <v>1</v>
      </c>
      <c r="P946" s="23" t="n">
        <f>IF(J946&gt;0,MAX(K946-J946,0),0)</f>
        <v>0</v>
      </c>
      <c r="Q946" s="23" t="n">
        <f>IF(J946=0,K946,0)</f>
        <v>0</v>
      </c>
      <c r="R946" s="23" t="n">
        <f>MAX(J946-K946,0)</f>
        <v>0</v>
      </c>
      <c r="S946" s="23" t="n">
        <f>IF(J946&gt;0,MAX(L946-J946,0),L946)</f>
        <v>0</v>
      </c>
    </row>
    <row r="947">
      <c r="A947" s="19" t="str">
        <v>英国区</v>
      </c>
      <c r="B947" s="19" t="str">
        <v>伯明翰23号仓</v>
      </c>
      <c r="C947" s="19" t="str">
        <v>包装组</v>
      </c>
      <c r="D947" s="21" t="n">
        <v>46153</v>
      </c>
      <c r="E947" s="19" t="str">
        <v>2026-05</v>
      </c>
      <c r="F947" s="19" t="str">
        <v>操作员</v>
      </c>
      <c r="G947" s="19" t="str">
        <v>英国区11:00-19:30 / UK 11:00-19:30</v>
      </c>
      <c r="H947" s="23" t="n">
        <v>2</v>
      </c>
      <c r="I947" s="23" t="n">
        <v>0</v>
      </c>
      <c r="J947" s="23" t="n">
        <f>H947+I947</f>
        <v>2</v>
      </c>
      <c r="K947" s="23" t="n">
        <v>2</v>
      </c>
      <c r="L947" s="23" t="n">
        <v>2</v>
      </c>
      <c r="M947" s="23" t="n">
        <f>MIN(K947,J947)</f>
        <v>2</v>
      </c>
      <c r="N947" s="23" t="n">
        <f>MIN(L947,J947)</f>
        <v>2</v>
      </c>
      <c r="O947" s="25" t="n">
        <f>IF(K947=0,0,MIN(1,J947/K947))</f>
        <v>1</v>
      </c>
      <c r="P947" s="23" t="n">
        <f>IF(J947&gt;0,MAX(K947-J947,0),0)</f>
        <v>0</v>
      </c>
      <c r="Q947" s="23" t="n">
        <f>IF(J947=0,K947,0)</f>
        <v>0</v>
      </c>
      <c r="R947" s="23" t="n">
        <f>MAX(J947-K947,0)</f>
        <v>0</v>
      </c>
      <c r="S947" s="23" t="n">
        <f>IF(J947&gt;0,MAX(L947-J947,0),L947)</f>
        <v>0</v>
      </c>
    </row>
    <row r="948">
      <c r="A948" s="19" t="str">
        <v>英国区</v>
      </c>
      <c r="B948" s="19" t="str">
        <v>伯明翰23号仓</v>
      </c>
      <c r="C948" s="19" t="str">
        <v>包装组</v>
      </c>
      <c r="D948" s="21" t="n">
        <v>46154</v>
      </c>
      <c r="E948" s="19" t="str">
        <v>2026-05</v>
      </c>
      <c r="F948" s="19" t="str">
        <v>操作员</v>
      </c>
      <c r="G948" s="19" t="str">
        <v>英国区11:00-19:30 / UK 11:00-19:30</v>
      </c>
      <c r="H948" s="23" t="n">
        <v>1</v>
      </c>
      <c r="I948" s="23" t="n">
        <v>0</v>
      </c>
      <c r="J948" s="23" t="n">
        <f>H948+I948</f>
        <v>1</v>
      </c>
      <c r="K948" s="23" t="n">
        <v>1</v>
      </c>
      <c r="L948" s="23" t="n">
        <v>0</v>
      </c>
      <c r="M948" s="23" t="n">
        <f>MIN(K948,J948)</f>
        <v>1</v>
      </c>
      <c r="N948" s="23" t="n">
        <f>MIN(L948,J948)</f>
        <v>0</v>
      </c>
      <c r="O948" s="25" t="n">
        <f>IF(K948=0,0,MIN(1,J948/K948))</f>
        <v>1</v>
      </c>
      <c r="P948" s="23" t="n">
        <f>IF(J948&gt;0,MAX(K948-J948,0),0)</f>
        <v>0</v>
      </c>
      <c r="Q948" s="23" t="n">
        <f>IF(J948=0,K948,0)</f>
        <v>0</v>
      </c>
      <c r="R948" s="23" t="n">
        <f>MAX(J948-K948,0)</f>
        <v>0</v>
      </c>
      <c r="S948" s="23" t="n">
        <f>IF(J948&gt;0,MAX(L948-J948,0),L948)</f>
        <v>0</v>
      </c>
    </row>
    <row r="949">
      <c r="A949" s="19" t="str">
        <v>英国区</v>
      </c>
      <c r="B949" s="19" t="str">
        <v>伯明翰23号仓</v>
      </c>
      <c r="C949" s="19" t="str">
        <v>包装组</v>
      </c>
      <c r="D949" s="21" t="n">
        <v>46155</v>
      </c>
      <c r="E949" s="19" t="str">
        <v>2026-05</v>
      </c>
      <c r="F949" s="19" t="str">
        <v>操作员</v>
      </c>
      <c r="G949" s="19" t="str">
        <v>英国区10:00-18:30 / UK 10:00-18:30</v>
      </c>
      <c r="H949" s="23" t="n">
        <v>4</v>
      </c>
      <c r="I949" s="23" t="n">
        <v>0</v>
      </c>
      <c r="J949" s="23" t="n">
        <f>H949+I949</f>
        <v>4</v>
      </c>
      <c r="K949" s="23" t="n">
        <v>4</v>
      </c>
      <c r="L949" s="23" t="n">
        <v>4</v>
      </c>
      <c r="M949" s="23" t="n">
        <f>MIN(K949,J949)</f>
        <v>4</v>
      </c>
      <c r="N949" s="23" t="n">
        <f>MIN(L949,J949)</f>
        <v>4</v>
      </c>
      <c r="O949" s="25" t="n">
        <f>IF(K949=0,0,MIN(1,J949/K949))</f>
        <v>1</v>
      </c>
      <c r="P949" s="23" t="n">
        <f>IF(J949&gt;0,MAX(K949-J949,0),0)</f>
        <v>0</v>
      </c>
      <c r="Q949" s="23" t="n">
        <f>IF(J949=0,K949,0)</f>
        <v>0</v>
      </c>
      <c r="R949" s="23" t="n">
        <f>MAX(J949-K949,0)</f>
        <v>0</v>
      </c>
      <c r="S949" s="23" t="n">
        <f>IF(J949&gt;0,MAX(L949-J949,0),L949)</f>
        <v>0</v>
      </c>
    </row>
    <row r="950">
      <c r="A950" s="19" t="str">
        <v>英国区</v>
      </c>
      <c r="B950" s="19" t="str">
        <v>伯明翰23号仓</v>
      </c>
      <c r="C950" s="19" t="str">
        <v>包装组</v>
      </c>
      <c r="D950" s="21" t="n">
        <v>46156</v>
      </c>
      <c r="E950" s="19" t="str">
        <v>2026-05</v>
      </c>
      <c r="F950" s="19" t="str">
        <v>操作员</v>
      </c>
      <c r="G950" s="19" t="str">
        <v>英国区10:00-18:30 / UK 10:00-18:30</v>
      </c>
      <c r="H950" s="23" t="n">
        <v>4</v>
      </c>
      <c r="I950" s="23" t="n">
        <v>0</v>
      </c>
      <c r="J950" s="23" t="n">
        <f>H950+I950</f>
        <v>4</v>
      </c>
      <c r="K950" s="23" t="n">
        <v>4</v>
      </c>
      <c r="L950" s="23" t="n">
        <v>0</v>
      </c>
      <c r="M950" s="23" t="n">
        <f>MIN(K950,J950)</f>
        <v>4</v>
      </c>
      <c r="N950" s="23" t="n">
        <f>MIN(L950,J950)</f>
        <v>0</v>
      </c>
      <c r="O950" s="25" t="n">
        <f>IF(K950=0,0,MIN(1,J950/K950))</f>
        <v>1</v>
      </c>
      <c r="P950" s="23" t="n">
        <f>IF(J950&gt;0,MAX(K950-J950,0),0)</f>
        <v>0</v>
      </c>
      <c r="Q950" s="23" t="n">
        <f>IF(J950=0,K950,0)</f>
        <v>0</v>
      </c>
      <c r="R950" s="23" t="n">
        <f>MAX(J950-K950,0)</f>
        <v>0</v>
      </c>
      <c r="S950" s="23" t="n">
        <f>IF(J950&gt;0,MAX(L950-J950,0),L950)</f>
        <v>0</v>
      </c>
    </row>
    <row r="951">
      <c r="A951" s="19" t="str">
        <v>英国区</v>
      </c>
      <c r="B951" s="19" t="str">
        <v>伯明翰23号仓</v>
      </c>
      <c r="C951" s="19" t="str">
        <v>包装组</v>
      </c>
      <c r="D951" s="21" t="n">
        <v>46157</v>
      </c>
      <c r="E951" s="19" t="str">
        <v>2026-05</v>
      </c>
      <c r="F951" s="19" t="str">
        <v>操作员</v>
      </c>
      <c r="G951" s="19" t="str">
        <v>英国区10:00-18:30 / UK 10:00-18:30</v>
      </c>
      <c r="H951" s="23" t="n">
        <v>2</v>
      </c>
      <c r="I951" s="23" t="n">
        <v>0</v>
      </c>
      <c r="J951" s="23" t="n">
        <f>H951+I951</f>
        <v>2</v>
      </c>
      <c r="K951" s="23" t="n">
        <v>2</v>
      </c>
      <c r="L951" s="23" t="n">
        <v>2</v>
      </c>
      <c r="M951" s="23" t="n">
        <f>MIN(K951,J951)</f>
        <v>2</v>
      </c>
      <c r="N951" s="23" t="n">
        <f>MIN(L951,J951)</f>
        <v>2</v>
      </c>
      <c r="O951" s="25" t="n">
        <f>IF(K951=0,0,MIN(1,J951/K951))</f>
        <v>1</v>
      </c>
      <c r="P951" s="23" t="n">
        <f>IF(J951&gt;0,MAX(K951-J951,0),0)</f>
        <v>0</v>
      </c>
      <c r="Q951" s="23" t="n">
        <f>IF(J951=0,K951,0)</f>
        <v>0</v>
      </c>
      <c r="R951" s="23" t="n">
        <f>MAX(J951-K951,0)</f>
        <v>0</v>
      </c>
      <c r="S951" s="23" t="n">
        <f>IF(J951&gt;0,MAX(L951-J951,0),L951)</f>
        <v>0</v>
      </c>
    </row>
    <row r="952">
      <c r="A952" s="19" t="str">
        <v>英国区</v>
      </c>
      <c r="B952" s="19" t="str">
        <v>伯明翰23号仓</v>
      </c>
      <c r="C952" s="19" t="str">
        <v>包装组</v>
      </c>
      <c r="D952" s="21" t="n">
        <v>46162</v>
      </c>
      <c r="E952" s="19" t="str">
        <v>2026-05</v>
      </c>
      <c r="F952" s="19" t="str">
        <v>操作员</v>
      </c>
      <c r="G952" s="19" t="str">
        <v>英国区11:00-19:30 / UK 11:00-19:30</v>
      </c>
      <c r="H952" s="23" t="n">
        <v>2</v>
      </c>
      <c r="I952" s="23" t="n">
        <v>0</v>
      </c>
      <c r="J952" s="23" t="n">
        <f>H952+I952</f>
        <v>2</v>
      </c>
      <c r="K952" s="23" t="n">
        <v>2</v>
      </c>
      <c r="L952" s="23" t="n">
        <v>2</v>
      </c>
      <c r="M952" s="23" t="n">
        <f>MIN(K952,J952)</f>
        <v>2</v>
      </c>
      <c r="N952" s="23" t="n">
        <f>MIN(L952,J952)</f>
        <v>2</v>
      </c>
      <c r="O952" s="25" t="n">
        <f>IF(K952=0,0,MIN(1,J952/K952))</f>
        <v>1</v>
      </c>
      <c r="P952" s="23" t="n">
        <f>IF(J952&gt;0,MAX(K952-J952,0),0)</f>
        <v>0</v>
      </c>
      <c r="Q952" s="23" t="n">
        <f>IF(J952=0,K952,0)</f>
        <v>0</v>
      </c>
      <c r="R952" s="23" t="n">
        <f>MAX(J952-K952,0)</f>
        <v>0</v>
      </c>
      <c r="S952" s="23" t="n">
        <f>IF(J952&gt;0,MAX(L952-J952,0),L952)</f>
        <v>0</v>
      </c>
    </row>
    <row r="953">
      <c r="A953" s="19" t="str">
        <v>英国区</v>
      </c>
      <c r="B953" s="19" t="str">
        <v>伯明翰23号仓</v>
      </c>
      <c r="C953" s="19" t="str">
        <v>包装组</v>
      </c>
      <c r="D953" s="21" t="n">
        <v>46166</v>
      </c>
      <c r="E953" s="19" t="str">
        <v>2026-05</v>
      </c>
      <c r="F953" s="19" t="str">
        <v>操作员</v>
      </c>
      <c r="G953" s="19" t="str">
        <v>英国区10:00-18:30 / UK 10:00-18:30</v>
      </c>
      <c r="H953" s="23" t="n">
        <v>1</v>
      </c>
      <c r="I953" s="23" t="n">
        <v>0</v>
      </c>
      <c r="J953" s="23" t="n">
        <f>H953+I953</f>
        <v>1</v>
      </c>
      <c r="K953" s="23" t="n">
        <v>0</v>
      </c>
      <c r="L953" s="23" t="n">
        <v>0</v>
      </c>
      <c r="M953" s="23" t="n">
        <f>MIN(K953,J953)</f>
        <v>0</v>
      </c>
      <c r="N953" s="23" t="n">
        <f>MIN(L953,J953)</f>
        <v>0</v>
      </c>
      <c r="O953" s="25" t="n">
        <f>IF(K953=0,0,MIN(1,J953/K953))</f>
        <v>0</v>
      </c>
      <c r="P953" s="23" t="n">
        <f>IF(J953&gt;0,MAX(K953-J953,0),0)</f>
        <v>0</v>
      </c>
      <c r="Q953" s="23" t="n">
        <f>IF(J953=0,K953,0)</f>
        <v>0</v>
      </c>
      <c r="R953" s="23" t="n">
        <f>MAX(J953-K953,0)</f>
        <v>1</v>
      </c>
      <c r="S953" s="23" t="n">
        <f>IF(J953&gt;0,MAX(L953-J953,0),L953)</f>
        <v>0</v>
      </c>
    </row>
    <row r="954">
      <c r="A954" s="19" t="str">
        <v>英国区</v>
      </c>
      <c r="B954" s="19" t="str">
        <v>伯明翰23号仓</v>
      </c>
      <c r="C954" s="19" t="str">
        <v>包装组</v>
      </c>
      <c r="D954" s="21" t="n">
        <v>46168</v>
      </c>
      <c r="E954" s="19" t="str">
        <v>2026-05</v>
      </c>
      <c r="F954" s="19" t="str">
        <v>操作员</v>
      </c>
      <c r="G954" s="19" t="str">
        <v>英国区09:00-17:30 / UK 09:00-17:30</v>
      </c>
      <c r="H954" s="23" t="n">
        <v>6</v>
      </c>
      <c r="I954" s="23" t="n">
        <v>0</v>
      </c>
      <c r="J954" s="23" t="n">
        <f>H954+I954</f>
        <v>6</v>
      </c>
      <c r="K954" s="23" t="n">
        <v>6</v>
      </c>
      <c r="L954" s="23" t="n">
        <v>6</v>
      </c>
      <c r="M954" s="23" t="n">
        <f>MIN(K954,J954)</f>
        <v>6</v>
      </c>
      <c r="N954" s="23" t="n">
        <f>MIN(L954,J954)</f>
        <v>6</v>
      </c>
      <c r="O954" s="25" t="n">
        <f>IF(K954=0,0,MIN(1,J954/K954))</f>
        <v>1</v>
      </c>
      <c r="P954" s="23" t="n">
        <f>IF(J954&gt;0,MAX(K954-J954,0),0)</f>
        <v>0</v>
      </c>
      <c r="Q954" s="23" t="n">
        <f>IF(J954=0,K954,0)</f>
        <v>0</v>
      </c>
      <c r="R954" s="23" t="n">
        <f>MAX(J954-K954,0)</f>
        <v>0</v>
      </c>
      <c r="S954" s="23" t="n">
        <f>IF(J954&gt;0,MAX(L954-J954,0),L954)</f>
        <v>0</v>
      </c>
    </row>
    <row r="955">
      <c r="A955" s="19" t="str">
        <v>英国区</v>
      </c>
      <c r="B955" s="19" t="str">
        <v>伯明翰23号仓</v>
      </c>
      <c r="C955" s="19" t="str">
        <v>包装组</v>
      </c>
      <c r="D955" s="21" t="n">
        <v>46168</v>
      </c>
      <c r="E955" s="19" t="str">
        <v>2026-05</v>
      </c>
      <c r="F955" s="19" t="str">
        <v>操作员</v>
      </c>
      <c r="G955" s="19" t="str">
        <v>英国区11:00-19:30 / UK 11:00-19:30</v>
      </c>
      <c r="H955" s="23" t="n">
        <v>4</v>
      </c>
      <c r="I955" s="23" t="n">
        <v>0</v>
      </c>
      <c r="J955" s="23" t="n">
        <f>H955+I955</f>
        <v>4</v>
      </c>
      <c r="K955" s="23" t="n">
        <v>4</v>
      </c>
      <c r="L955" s="23" t="n">
        <v>4</v>
      </c>
      <c r="M955" s="23" t="n">
        <f>MIN(K955,J955)</f>
        <v>4</v>
      </c>
      <c r="N955" s="23" t="n">
        <f>MIN(L955,J955)</f>
        <v>4</v>
      </c>
      <c r="O955" s="25" t="n">
        <f>IF(K955=0,0,MIN(1,J955/K955))</f>
        <v>1</v>
      </c>
      <c r="P955" s="23" t="n">
        <f>IF(J955&gt;0,MAX(K955-J955,0),0)</f>
        <v>0</v>
      </c>
      <c r="Q955" s="23" t="n">
        <f>IF(J955=0,K955,0)</f>
        <v>0</v>
      </c>
      <c r="R955" s="23" t="n">
        <f>MAX(J955-K955,0)</f>
        <v>0</v>
      </c>
      <c r="S955" s="23" t="n">
        <f>IF(J955&gt;0,MAX(L955-J955,0),L955)</f>
        <v>0</v>
      </c>
    </row>
    <row r="956">
      <c r="A956" s="19" t="str">
        <v>英国区</v>
      </c>
      <c r="B956" s="19" t="str">
        <v>伯明翰23号仓</v>
      </c>
      <c r="C956" s="19" t="str">
        <v>包装组</v>
      </c>
      <c r="D956" s="21" t="n">
        <v>46169</v>
      </c>
      <c r="E956" s="19" t="str">
        <v>2026-05</v>
      </c>
      <c r="F956" s="19" t="str">
        <v>操作员</v>
      </c>
      <c r="G956" s="19" t="str">
        <v>英国区10:00-18:30 / UK 10:00-18:30</v>
      </c>
      <c r="H956" s="23" t="n">
        <v>3</v>
      </c>
      <c r="I956" s="23" t="n">
        <v>0</v>
      </c>
      <c r="J956" s="23" t="n">
        <f>H956+I956</f>
        <v>3</v>
      </c>
      <c r="K956" s="23" t="n">
        <v>3</v>
      </c>
      <c r="L956" s="23" t="n">
        <v>3</v>
      </c>
      <c r="M956" s="23" t="n">
        <f>MIN(K956,J956)</f>
        <v>3</v>
      </c>
      <c r="N956" s="23" t="n">
        <f>MIN(L956,J956)</f>
        <v>3</v>
      </c>
      <c r="O956" s="25" t="n">
        <f>IF(K956=0,0,MIN(1,J956/K956))</f>
        <v>1</v>
      </c>
      <c r="P956" s="23" t="n">
        <f>IF(J956&gt;0,MAX(K956-J956,0),0)</f>
        <v>0</v>
      </c>
      <c r="Q956" s="23" t="n">
        <f>IF(J956=0,K956,0)</f>
        <v>0</v>
      </c>
      <c r="R956" s="23" t="n">
        <f>MAX(J956-K956,0)</f>
        <v>0</v>
      </c>
      <c r="S956" s="23" t="n">
        <f>IF(J956&gt;0,MAX(L956-J956,0),L956)</f>
        <v>0</v>
      </c>
    </row>
    <row r="957">
      <c r="A957" s="19" t="str">
        <v>英国区</v>
      </c>
      <c r="B957" s="19" t="str">
        <v>伯明翰23号仓</v>
      </c>
      <c r="C957" s="19" t="str">
        <v>包装组</v>
      </c>
      <c r="D957" s="21" t="n">
        <v>46170</v>
      </c>
      <c r="E957" s="19" t="str">
        <v>2026-05</v>
      </c>
      <c r="F957" s="19" t="str">
        <v>操作员</v>
      </c>
      <c r="G957" s="19" t="str">
        <v>英国区09:00-17:30 / UK 09:00-17:30</v>
      </c>
      <c r="H957" s="23" t="n">
        <v>11</v>
      </c>
      <c r="I957" s="23" t="n">
        <v>0</v>
      </c>
      <c r="J957" s="23" t="n">
        <f>H957+I957</f>
        <v>11</v>
      </c>
      <c r="K957" s="23" t="n">
        <v>11</v>
      </c>
      <c r="L957" s="23" t="n">
        <v>11</v>
      </c>
      <c r="M957" s="23" t="n">
        <f>MIN(K957,J957)</f>
        <v>11</v>
      </c>
      <c r="N957" s="23" t="n">
        <f>MIN(L957,J957)</f>
        <v>11</v>
      </c>
      <c r="O957" s="25" t="n">
        <f>IF(K957=0,0,MIN(1,J957/K957))</f>
        <v>1</v>
      </c>
      <c r="P957" s="23" t="n">
        <f>IF(J957&gt;0,MAX(K957-J957,0),0)</f>
        <v>0</v>
      </c>
      <c r="Q957" s="23" t="n">
        <f>IF(J957=0,K957,0)</f>
        <v>0</v>
      </c>
      <c r="R957" s="23" t="n">
        <f>MAX(J957-K957,0)</f>
        <v>0</v>
      </c>
      <c r="S957" s="23" t="n">
        <f>IF(J957&gt;0,MAX(L957-J957,0),L957)</f>
        <v>0</v>
      </c>
    </row>
    <row r="958">
      <c r="A958" s="19" t="str">
        <v>英国区</v>
      </c>
      <c r="B958" s="19" t="str">
        <v>伯明翰23号仓</v>
      </c>
      <c r="C958" s="19" t="str">
        <v>包装组</v>
      </c>
      <c r="D958" s="21" t="n">
        <v>46170</v>
      </c>
      <c r="E958" s="19" t="str">
        <v>2026-05</v>
      </c>
      <c r="F958" s="19" t="str">
        <v>操作员</v>
      </c>
      <c r="G958" s="19" t="str">
        <v>英国区11:00-19:30 / UK 11:00-19:30</v>
      </c>
      <c r="H958" s="23" t="n">
        <v>3</v>
      </c>
      <c r="I958" s="23" t="n">
        <v>0</v>
      </c>
      <c r="J958" s="23" t="n">
        <f>H958+I958</f>
        <v>3</v>
      </c>
      <c r="K958" s="23" t="n">
        <v>3</v>
      </c>
      <c r="L958" s="23" t="n">
        <v>0</v>
      </c>
      <c r="M958" s="23" t="n">
        <f>MIN(K958,J958)</f>
        <v>3</v>
      </c>
      <c r="N958" s="23" t="n">
        <f>MIN(L958,J958)</f>
        <v>0</v>
      </c>
      <c r="O958" s="25" t="n">
        <f>IF(K958=0,0,MIN(1,J958/K958))</f>
        <v>1</v>
      </c>
      <c r="P958" s="23" t="n">
        <f>IF(J958&gt;0,MAX(K958-J958,0),0)</f>
        <v>0</v>
      </c>
      <c r="Q958" s="23" t="n">
        <f>IF(J958=0,K958,0)</f>
        <v>0</v>
      </c>
      <c r="R958" s="23" t="n">
        <f>MAX(J958-K958,0)</f>
        <v>0</v>
      </c>
      <c r="S958" s="23" t="n">
        <f>IF(J958&gt;0,MAX(L958-J958,0),L958)</f>
        <v>0</v>
      </c>
    </row>
    <row r="959">
      <c r="A959" s="19" t="str">
        <v>英国区</v>
      </c>
      <c r="B959" s="19" t="str">
        <v>伯明翰23号仓</v>
      </c>
      <c r="C959" s="19" t="str">
        <v>包装组</v>
      </c>
      <c r="D959" s="21" t="n">
        <v>46170</v>
      </c>
      <c r="E959" s="19" t="str">
        <v>2026-05</v>
      </c>
      <c r="F959" s="19" t="str">
        <v>操作员</v>
      </c>
      <c r="G959" s="19" t="str">
        <v>英国区15:00-00:30 / UK 15:00-00:30</v>
      </c>
      <c r="H959" s="23" t="n">
        <v>1</v>
      </c>
      <c r="I959" s="23" t="n">
        <v>0</v>
      </c>
      <c r="J959" s="23" t="n">
        <f>H959+I959</f>
        <v>1</v>
      </c>
      <c r="K959" s="23" t="n">
        <v>1</v>
      </c>
      <c r="L959" s="23" t="n">
        <v>0</v>
      </c>
      <c r="M959" s="23" t="n">
        <f>MIN(K959,J959)</f>
        <v>1</v>
      </c>
      <c r="N959" s="23" t="n">
        <f>MIN(L959,J959)</f>
        <v>0</v>
      </c>
      <c r="O959" s="25" t="n">
        <f>IF(K959=0,0,MIN(1,J959/K959))</f>
        <v>1</v>
      </c>
      <c r="P959" s="23" t="n">
        <f>IF(J959&gt;0,MAX(K959-J959,0),0)</f>
        <v>0</v>
      </c>
      <c r="Q959" s="23" t="n">
        <f>IF(J959=0,K959,0)</f>
        <v>0</v>
      </c>
      <c r="R959" s="23" t="n">
        <f>MAX(J959-K959,0)</f>
        <v>0</v>
      </c>
      <c r="S959" s="23" t="n">
        <f>IF(J959&gt;0,MAX(L959-J959,0),L959)</f>
        <v>0</v>
      </c>
    </row>
    <row r="960">
      <c r="A960" s="19" t="str">
        <v>英国区</v>
      </c>
      <c r="B960" s="19" t="str">
        <v>伯明翰23号仓</v>
      </c>
      <c r="C960" s="19" t="str">
        <v>包装组</v>
      </c>
      <c r="D960" s="21" t="n">
        <v>46174</v>
      </c>
      <c r="E960" s="19" t="str">
        <v>2026-06</v>
      </c>
      <c r="F960" s="19" t="str">
        <v>操作员</v>
      </c>
      <c r="G960" s="19" t="str">
        <v>英国区09:00-17:30 / UK 09:00-17:30</v>
      </c>
      <c r="H960" s="23" t="n">
        <v>13</v>
      </c>
      <c r="I960" s="23" t="n">
        <v>0</v>
      </c>
      <c r="J960" s="23" t="n">
        <f>H960+I960</f>
        <v>13</v>
      </c>
      <c r="K960" s="23" t="n">
        <v>20</v>
      </c>
      <c r="L960" s="23" t="n">
        <v>5</v>
      </c>
      <c r="M960" s="23" t="n">
        <f>MIN(K960,J960)</f>
        <v>13</v>
      </c>
      <c r="N960" s="23" t="n">
        <f>MIN(L960,J960)</f>
        <v>5</v>
      </c>
      <c r="O960" s="25" t="n">
        <f>IF(K960=0,0,MIN(1,J960/K960))</f>
        <v>0.65</v>
      </c>
      <c r="P960" s="23" t="n">
        <f>IF(J960&gt;0,MAX(K960-J960,0),0)</f>
        <v>7</v>
      </c>
      <c r="Q960" s="23" t="n">
        <f>IF(J960=0,K960,0)</f>
        <v>0</v>
      </c>
      <c r="R960" s="23" t="n">
        <f>MAX(J960-K960,0)</f>
        <v>0</v>
      </c>
      <c r="S960" s="23" t="n">
        <f>IF(J960&gt;0,MAX(L960-J960,0),L960)</f>
        <v>0</v>
      </c>
    </row>
    <row r="961">
      <c r="A961" s="19" t="str">
        <v>英国区</v>
      </c>
      <c r="B961" s="19" t="str">
        <v>伯明翰23号仓</v>
      </c>
      <c r="C961" s="19" t="str">
        <v>包装组</v>
      </c>
      <c r="D961" s="21" t="n">
        <v>46174</v>
      </c>
      <c r="E961" s="19" t="str">
        <v>2026-06</v>
      </c>
      <c r="F961" s="19" t="str">
        <v>操作员</v>
      </c>
      <c r="G961" s="19" t="str">
        <v>英国区15:00-00:30 / UK 15:00-00:30</v>
      </c>
      <c r="H961" s="23" t="n">
        <v>18</v>
      </c>
      <c r="I961" s="23" t="n">
        <v>0</v>
      </c>
      <c r="J961" s="23" t="n">
        <f>H961+I961</f>
        <v>18</v>
      </c>
      <c r="K961" s="23" t="n">
        <v>20</v>
      </c>
      <c r="L961" s="23" t="n">
        <v>16</v>
      </c>
      <c r="M961" s="23" t="n">
        <f>MIN(K961,J961)</f>
        <v>18</v>
      </c>
      <c r="N961" s="23" t="n">
        <f>MIN(L961,J961)</f>
        <v>16</v>
      </c>
      <c r="O961" s="25" t="n">
        <f>IF(K961=0,0,MIN(1,J961/K961))</f>
        <v>0.9</v>
      </c>
      <c r="P961" s="23" t="n">
        <f>IF(J961&gt;0,MAX(K961-J961,0),0)</f>
        <v>2</v>
      </c>
      <c r="Q961" s="23" t="n">
        <f>IF(J961=0,K961,0)</f>
        <v>0</v>
      </c>
      <c r="R961" s="23" t="n">
        <f>MAX(J961-K961,0)</f>
        <v>0</v>
      </c>
      <c r="S961" s="23" t="n">
        <f>IF(J961&gt;0,MAX(L961-J961,0),L961)</f>
        <v>0</v>
      </c>
    </row>
    <row r="962">
      <c r="A962" s="19" t="str">
        <v>英国区</v>
      </c>
      <c r="B962" s="19" t="str">
        <v>伯明翰23号仓</v>
      </c>
      <c r="C962" s="19" t="str">
        <v>包装组</v>
      </c>
      <c r="D962" s="21" t="n">
        <v>46174</v>
      </c>
      <c r="E962" s="19" t="str">
        <v>2026-06</v>
      </c>
      <c r="F962" s="19" t="str">
        <v>操作员</v>
      </c>
      <c r="G962" s="19" t="str">
        <v>英国区22:00-06:30 / UK 22:00-06:30</v>
      </c>
      <c r="H962" s="23" t="n">
        <v>10</v>
      </c>
      <c r="I962" s="23" t="n">
        <v>0</v>
      </c>
      <c r="J962" s="23" t="n">
        <f>H962+I962</f>
        <v>10</v>
      </c>
      <c r="K962" s="23" t="n">
        <v>20</v>
      </c>
      <c r="L962" s="23" t="n">
        <v>16</v>
      </c>
      <c r="M962" s="23" t="n">
        <f>MIN(K962,J962)</f>
        <v>10</v>
      </c>
      <c r="N962" s="23" t="n">
        <f>MIN(L962,J962)</f>
        <v>10</v>
      </c>
      <c r="O962" s="25" t="n">
        <f>IF(K962=0,0,MIN(1,J962/K962))</f>
        <v>0.5</v>
      </c>
      <c r="P962" s="23" t="n">
        <f>IF(J962&gt;0,MAX(K962-J962,0),0)</f>
        <v>10</v>
      </c>
      <c r="Q962" s="23" t="n">
        <f>IF(J962=0,K962,0)</f>
        <v>0</v>
      </c>
      <c r="R962" s="23" t="n">
        <f>MAX(J962-K962,0)</f>
        <v>0</v>
      </c>
      <c r="S962" s="23" t="n">
        <f>IF(J962&gt;0,MAX(L962-J962,0),L962)</f>
        <v>6</v>
      </c>
    </row>
    <row r="963">
      <c r="A963" s="19" t="str">
        <v>英国区</v>
      </c>
      <c r="B963" s="19" t="str">
        <v>伯明翰23号仓</v>
      </c>
      <c r="C963" s="19" t="str">
        <v>包装组</v>
      </c>
      <c r="D963" s="21" t="n">
        <v>46175</v>
      </c>
      <c r="E963" s="19" t="str">
        <v>2026-06</v>
      </c>
      <c r="F963" s="19" t="str">
        <v>操作员</v>
      </c>
      <c r="G963" s="19" t="str">
        <v>英国区09:00-17:30 / UK 09:00-17:30</v>
      </c>
      <c r="H963" s="23" t="n">
        <v>10</v>
      </c>
      <c r="I963" s="23" t="n">
        <v>0</v>
      </c>
      <c r="J963" s="23" t="n">
        <f>H963+I963</f>
        <v>10</v>
      </c>
      <c r="K963" s="23" t="n">
        <v>20</v>
      </c>
      <c r="L963" s="23" t="n">
        <v>18</v>
      </c>
      <c r="M963" s="23" t="n">
        <f>MIN(K963,J963)</f>
        <v>10</v>
      </c>
      <c r="N963" s="23" t="n">
        <f>MIN(L963,J963)</f>
        <v>10</v>
      </c>
      <c r="O963" s="25" t="n">
        <f>IF(K963=0,0,MIN(1,J963/K963))</f>
        <v>0.5</v>
      </c>
      <c r="P963" s="23" t="n">
        <f>IF(J963&gt;0,MAX(K963-J963,0),0)</f>
        <v>10</v>
      </c>
      <c r="Q963" s="23" t="n">
        <f>IF(J963=0,K963,0)</f>
        <v>0</v>
      </c>
      <c r="R963" s="23" t="n">
        <f>MAX(J963-K963,0)</f>
        <v>0</v>
      </c>
      <c r="S963" s="23" t="n">
        <f>IF(J963&gt;0,MAX(L963-J963,0),L963)</f>
        <v>8</v>
      </c>
    </row>
    <row r="964">
      <c r="A964" s="19" t="str">
        <v>英国区</v>
      </c>
      <c r="B964" s="19" t="str">
        <v>伯明翰23号仓</v>
      </c>
      <c r="C964" s="19" t="str">
        <v>包装组</v>
      </c>
      <c r="D964" s="21" t="n">
        <v>46175</v>
      </c>
      <c r="E964" s="19" t="str">
        <v>2026-06</v>
      </c>
      <c r="F964" s="19" t="str">
        <v>操作员</v>
      </c>
      <c r="G964" s="19" t="str">
        <v>英国区15:00-00:30 / UK 15:00-00:30</v>
      </c>
      <c r="H964" s="23" t="n">
        <v>10</v>
      </c>
      <c r="I964" s="23" t="n">
        <v>0</v>
      </c>
      <c r="J964" s="23" t="n">
        <f>H964+I964</f>
        <v>10</v>
      </c>
      <c r="K964" s="23" t="n">
        <v>20</v>
      </c>
      <c r="L964" s="23" t="n">
        <v>18</v>
      </c>
      <c r="M964" s="23" t="n">
        <f>MIN(K964,J964)</f>
        <v>10</v>
      </c>
      <c r="N964" s="23" t="n">
        <f>MIN(L964,J964)</f>
        <v>10</v>
      </c>
      <c r="O964" s="25" t="n">
        <f>IF(K964=0,0,MIN(1,J964/K964))</f>
        <v>0.5</v>
      </c>
      <c r="P964" s="23" t="n">
        <f>IF(J964&gt;0,MAX(K964-J964,0),0)</f>
        <v>10</v>
      </c>
      <c r="Q964" s="23" t="n">
        <f>IF(J964=0,K964,0)</f>
        <v>0</v>
      </c>
      <c r="R964" s="23" t="n">
        <f>MAX(J964-K964,0)</f>
        <v>0</v>
      </c>
      <c r="S964" s="23" t="n">
        <f>IF(J964&gt;0,MAX(L964-J964,0),L964)</f>
        <v>8</v>
      </c>
    </row>
    <row r="965">
      <c r="A965" s="19" t="str">
        <v>英国区</v>
      </c>
      <c r="B965" s="19" t="str">
        <v>伯明翰23号仓</v>
      </c>
      <c r="C965" s="19" t="str">
        <v>包装组</v>
      </c>
      <c r="D965" s="21" t="n">
        <v>46175</v>
      </c>
      <c r="E965" s="19" t="str">
        <v>2026-06</v>
      </c>
      <c r="F965" s="19" t="str">
        <v>操作员</v>
      </c>
      <c r="G965" s="19" t="str">
        <v>英国区22:00-06:30 / UK 22:00-06:30</v>
      </c>
      <c r="H965" s="23" t="n">
        <v>10</v>
      </c>
      <c r="I965" s="23" t="n">
        <v>0</v>
      </c>
      <c r="J965" s="23" t="n">
        <f>H965+I965</f>
        <v>10</v>
      </c>
      <c r="K965" s="23" t="n">
        <v>20</v>
      </c>
      <c r="L965" s="23" t="n">
        <v>20</v>
      </c>
      <c r="M965" s="23" t="n">
        <f>MIN(K965,J965)</f>
        <v>10</v>
      </c>
      <c r="N965" s="23" t="n">
        <f>MIN(L965,J965)</f>
        <v>10</v>
      </c>
      <c r="O965" s="25" t="n">
        <f>IF(K965=0,0,MIN(1,J965/K965))</f>
        <v>0.5</v>
      </c>
      <c r="P965" s="23" t="n">
        <f>IF(J965&gt;0,MAX(K965-J965,0),0)</f>
        <v>10</v>
      </c>
      <c r="Q965" s="23" t="n">
        <f>IF(J965=0,K965,0)</f>
        <v>0</v>
      </c>
      <c r="R965" s="23" t="n">
        <f>MAX(J965-K965,0)</f>
        <v>0</v>
      </c>
      <c r="S965" s="23" t="n">
        <f>IF(J965&gt;0,MAX(L965-J965,0),L965)</f>
        <v>10</v>
      </c>
    </row>
    <row r="966">
      <c r="A966" s="19" t="str">
        <v>英国区</v>
      </c>
      <c r="B966" s="19" t="str">
        <v>伯明翰23号仓</v>
      </c>
      <c r="C966" s="19" t="str">
        <v>包装组</v>
      </c>
      <c r="D966" s="21" t="n">
        <v>46176</v>
      </c>
      <c r="E966" s="19" t="str">
        <v>2026-06</v>
      </c>
      <c r="F966" s="19" t="str">
        <v>操作员</v>
      </c>
      <c r="G966" s="19" t="str">
        <v>英国区09:00-17:30 / UK 09:00-17:30</v>
      </c>
      <c r="H966" s="23" t="n">
        <v>10</v>
      </c>
      <c r="I966" s="23" t="n">
        <v>0</v>
      </c>
      <c r="J966" s="23" t="n">
        <f>H966+I966</f>
        <v>10</v>
      </c>
      <c r="K966" s="23" t="n">
        <v>10</v>
      </c>
      <c r="L966" s="23" t="n">
        <v>10</v>
      </c>
      <c r="M966" s="23" t="n">
        <f>MIN(K966,J966)</f>
        <v>10</v>
      </c>
      <c r="N966" s="23" t="n">
        <f>MIN(L966,J966)</f>
        <v>10</v>
      </c>
      <c r="O966" s="25" t="n">
        <f>IF(K966=0,0,MIN(1,J966/K966))</f>
        <v>1</v>
      </c>
      <c r="P966" s="23" t="n">
        <f>IF(J966&gt;0,MAX(K966-J966,0),0)</f>
        <v>0</v>
      </c>
      <c r="Q966" s="23" t="n">
        <f>IF(J966=0,K966,0)</f>
        <v>0</v>
      </c>
      <c r="R966" s="23" t="n">
        <f>MAX(J966-K966,0)</f>
        <v>0</v>
      </c>
      <c r="S966" s="23" t="n">
        <f>IF(J966&gt;0,MAX(L966-J966,0),L966)</f>
        <v>0</v>
      </c>
    </row>
    <row r="967">
      <c r="A967" s="19" t="str">
        <v>英国区</v>
      </c>
      <c r="B967" s="19" t="str">
        <v>伯明翰23号仓</v>
      </c>
      <c r="C967" s="19" t="str">
        <v>包装组</v>
      </c>
      <c r="D967" s="21" t="n">
        <v>46176</v>
      </c>
      <c r="E967" s="19" t="str">
        <v>2026-06</v>
      </c>
      <c r="F967" s="19" t="str">
        <v>操作员</v>
      </c>
      <c r="G967" s="19" t="str">
        <v>英国区15:00-00:30 / UK 15:00-00:30</v>
      </c>
      <c r="H967" s="23" t="n">
        <v>10</v>
      </c>
      <c r="I967" s="23" t="n">
        <v>0</v>
      </c>
      <c r="J967" s="23" t="n">
        <f>H967+I967</f>
        <v>10</v>
      </c>
      <c r="K967" s="23" t="n">
        <v>10</v>
      </c>
      <c r="L967" s="23" t="n">
        <v>10</v>
      </c>
      <c r="M967" s="23" t="n">
        <f>MIN(K967,J967)</f>
        <v>10</v>
      </c>
      <c r="N967" s="23" t="n">
        <f>MIN(L967,J967)</f>
        <v>10</v>
      </c>
      <c r="O967" s="25" t="n">
        <f>IF(K967=0,0,MIN(1,J967/K967))</f>
        <v>1</v>
      </c>
      <c r="P967" s="23" t="n">
        <f>IF(J967&gt;0,MAX(K967-J967,0),0)</f>
        <v>0</v>
      </c>
      <c r="Q967" s="23" t="n">
        <f>IF(J967=0,K967,0)</f>
        <v>0</v>
      </c>
      <c r="R967" s="23" t="n">
        <f>MAX(J967-K967,0)</f>
        <v>0</v>
      </c>
      <c r="S967" s="23" t="n">
        <f>IF(J967&gt;0,MAX(L967-J967,0),L967)</f>
        <v>0</v>
      </c>
    </row>
    <row r="968">
      <c r="A968" s="19" t="str">
        <v>英国区</v>
      </c>
      <c r="B968" s="19" t="str">
        <v>伯明翰23号仓</v>
      </c>
      <c r="C968" s="19" t="str">
        <v>包装组</v>
      </c>
      <c r="D968" s="21" t="n">
        <v>46176</v>
      </c>
      <c r="E968" s="19" t="str">
        <v>2026-06</v>
      </c>
      <c r="F968" s="19" t="str">
        <v>操作员</v>
      </c>
      <c r="G968" s="19" t="str">
        <v>英国区22:00-06:30 / UK 22:00-06:30</v>
      </c>
      <c r="H968" s="23" t="n">
        <v>10</v>
      </c>
      <c r="I968" s="23" t="n">
        <v>0</v>
      </c>
      <c r="J968" s="23" t="n">
        <f>H968+I968</f>
        <v>10</v>
      </c>
      <c r="K968" s="23" t="n">
        <v>10</v>
      </c>
      <c r="L968" s="23" t="n">
        <v>10</v>
      </c>
      <c r="M968" s="23" t="n">
        <f>MIN(K968,J968)</f>
        <v>10</v>
      </c>
      <c r="N968" s="23" t="n">
        <f>MIN(L968,J968)</f>
        <v>10</v>
      </c>
      <c r="O968" s="25" t="n">
        <f>IF(K968=0,0,MIN(1,J968/K968))</f>
        <v>1</v>
      </c>
      <c r="P968" s="23" t="n">
        <f>IF(J968&gt;0,MAX(K968-J968,0),0)</f>
        <v>0</v>
      </c>
      <c r="Q968" s="23" t="n">
        <f>IF(J968=0,K968,0)</f>
        <v>0</v>
      </c>
      <c r="R968" s="23" t="n">
        <f>MAX(J968-K968,0)</f>
        <v>0</v>
      </c>
      <c r="S968" s="23" t="n">
        <f>IF(J968&gt;0,MAX(L968-J968,0),L968)</f>
        <v>0</v>
      </c>
    </row>
    <row r="969">
      <c r="A969" s="19" t="str">
        <v>英国区</v>
      </c>
      <c r="B969" s="19" t="str">
        <v>伯明翰23号仓</v>
      </c>
      <c r="C969" s="19" t="str">
        <v>包装组</v>
      </c>
      <c r="D969" s="21" t="n">
        <v>46177</v>
      </c>
      <c r="E969" s="19" t="str">
        <v>2026-06</v>
      </c>
      <c r="F969" s="19" t="str">
        <v>操作员</v>
      </c>
      <c r="G969" s="19" t="str">
        <v>英国区09:00-17:30 / UK 09:00-17:30</v>
      </c>
      <c r="H969" s="23" t="n">
        <v>10</v>
      </c>
      <c r="I969" s="23" t="n">
        <v>0</v>
      </c>
      <c r="J969" s="23" t="n">
        <f>H969+I969</f>
        <v>10</v>
      </c>
      <c r="K969" s="23" t="n">
        <v>10</v>
      </c>
      <c r="L969" s="23" t="n">
        <v>8</v>
      </c>
      <c r="M969" s="23" t="n">
        <f>MIN(K969,J969)</f>
        <v>10</v>
      </c>
      <c r="N969" s="23" t="n">
        <f>MIN(L969,J969)</f>
        <v>8</v>
      </c>
      <c r="O969" s="25" t="n">
        <f>IF(K969=0,0,MIN(1,J969/K969))</f>
        <v>1</v>
      </c>
      <c r="P969" s="23" t="n">
        <f>IF(J969&gt;0,MAX(K969-J969,0),0)</f>
        <v>0</v>
      </c>
      <c r="Q969" s="23" t="n">
        <f>IF(J969=0,K969,0)</f>
        <v>0</v>
      </c>
      <c r="R969" s="23" t="n">
        <f>MAX(J969-K969,0)</f>
        <v>0</v>
      </c>
      <c r="S969" s="23" t="n">
        <f>IF(J969&gt;0,MAX(L969-J969,0),L969)</f>
        <v>0</v>
      </c>
    </row>
    <row r="970">
      <c r="A970" s="19" t="str">
        <v>英国区</v>
      </c>
      <c r="B970" s="19" t="str">
        <v>伯明翰23号仓</v>
      </c>
      <c r="C970" s="19" t="str">
        <v>包装组</v>
      </c>
      <c r="D970" s="21" t="n">
        <v>46177</v>
      </c>
      <c r="E970" s="19" t="str">
        <v>2026-06</v>
      </c>
      <c r="F970" s="19" t="str">
        <v>操作员</v>
      </c>
      <c r="G970" s="19" t="str">
        <v>英国区15:00-00:30 / UK 15:00-00:30</v>
      </c>
      <c r="H970" s="23" t="n">
        <v>13</v>
      </c>
      <c r="I970" s="23" t="n">
        <v>0</v>
      </c>
      <c r="J970" s="23" t="n">
        <f>H970+I970</f>
        <v>13</v>
      </c>
      <c r="K970" s="23" t="n">
        <v>13</v>
      </c>
      <c r="L970" s="23" t="n">
        <v>11</v>
      </c>
      <c r="M970" s="23" t="n">
        <f>MIN(K970,J970)</f>
        <v>13</v>
      </c>
      <c r="N970" s="23" t="n">
        <f>MIN(L970,J970)</f>
        <v>11</v>
      </c>
      <c r="O970" s="25" t="n">
        <f>IF(K970=0,0,MIN(1,J970/K970))</f>
        <v>1</v>
      </c>
      <c r="P970" s="23" t="n">
        <f>IF(J970&gt;0,MAX(K970-J970,0),0)</f>
        <v>0</v>
      </c>
      <c r="Q970" s="23" t="n">
        <f>IF(J970=0,K970,0)</f>
        <v>0</v>
      </c>
      <c r="R970" s="23" t="n">
        <f>MAX(J970-K970,0)</f>
        <v>0</v>
      </c>
      <c r="S970" s="23" t="n">
        <f>IF(J970&gt;0,MAX(L970-J970,0),L970)</f>
        <v>0</v>
      </c>
    </row>
    <row r="971">
      <c r="A971" s="19" t="str">
        <v>英国区</v>
      </c>
      <c r="B971" s="19" t="str">
        <v>伯明翰23号仓</v>
      </c>
      <c r="C971" s="19" t="str">
        <v>包装组</v>
      </c>
      <c r="D971" s="21" t="n">
        <v>46177</v>
      </c>
      <c r="E971" s="19" t="str">
        <v>2026-06</v>
      </c>
      <c r="F971" s="19" t="str">
        <v>操作员</v>
      </c>
      <c r="G971" s="19" t="str">
        <v>英国区22:00-06:30 / UK 22:00-06:30</v>
      </c>
      <c r="H971" s="23" t="n">
        <v>10</v>
      </c>
      <c r="I971" s="23" t="n">
        <v>0</v>
      </c>
      <c r="J971" s="23" t="n">
        <f>H971+I971</f>
        <v>10</v>
      </c>
      <c r="K971" s="23" t="n">
        <v>10</v>
      </c>
      <c r="L971" s="23" t="n">
        <v>10</v>
      </c>
      <c r="M971" s="23" t="n">
        <f>MIN(K971,J971)</f>
        <v>10</v>
      </c>
      <c r="N971" s="23" t="n">
        <f>MIN(L971,J971)</f>
        <v>10</v>
      </c>
      <c r="O971" s="25" t="n">
        <f>IF(K971=0,0,MIN(1,J971/K971))</f>
        <v>1</v>
      </c>
      <c r="P971" s="23" t="n">
        <f>IF(J971&gt;0,MAX(K971-J971,0),0)</f>
        <v>0</v>
      </c>
      <c r="Q971" s="23" t="n">
        <f>IF(J971=0,K971,0)</f>
        <v>0</v>
      </c>
      <c r="R971" s="23" t="n">
        <f>MAX(J971-K971,0)</f>
        <v>0</v>
      </c>
      <c r="S971" s="23" t="n">
        <f>IF(J971&gt;0,MAX(L971-J971,0),L971)</f>
        <v>0</v>
      </c>
    </row>
    <row r="972">
      <c r="A972" s="19" t="str">
        <v>英国区</v>
      </c>
      <c r="B972" s="19" t="str">
        <v>伯明翰23号仓</v>
      </c>
      <c r="C972" s="19" t="str">
        <v>包装组</v>
      </c>
      <c r="D972" s="21" t="n">
        <v>46178</v>
      </c>
      <c r="E972" s="19" t="str">
        <v>2026-06</v>
      </c>
      <c r="F972" s="19" t="str">
        <v>操作员</v>
      </c>
      <c r="G972" s="19" t="str">
        <v>英国区09:00-17:30 / UK 09:00-17:30</v>
      </c>
      <c r="H972" s="23" t="n">
        <v>10</v>
      </c>
      <c r="I972" s="23" t="n">
        <v>0</v>
      </c>
      <c r="J972" s="23" t="n">
        <f>H972+I972</f>
        <v>10</v>
      </c>
      <c r="K972" s="23" t="n">
        <v>10</v>
      </c>
      <c r="L972" s="23" t="n">
        <v>10</v>
      </c>
      <c r="M972" s="23" t="n">
        <f>MIN(K972,J972)</f>
        <v>10</v>
      </c>
      <c r="N972" s="23" t="n">
        <f>MIN(L972,J972)</f>
        <v>10</v>
      </c>
      <c r="O972" s="25" t="n">
        <f>IF(K972=0,0,MIN(1,J972/K972))</f>
        <v>1</v>
      </c>
      <c r="P972" s="23" t="n">
        <f>IF(J972&gt;0,MAX(K972-J972,0),0)</f>
        <v>0</v>
      </c>
      <c r="Q972" s="23" t="n">
        <f>IF(J972=0,K972,0)</f>
        <v>0</v>
      </c>
      <c r="R972" s="23" t="n">
        <f>MAX(J972-K972,0)</f>
        <v>0</v>
      </c>
      <c r="S972" s="23" t="n">
        <f>IF(J972&gt;0,MAX(L972-J972,0),L972)</f>
        <v>0</v>
      </c>
    </row>
    <row r="973">
      <c r="A973" s="19" t="str">
        <v>英国区</v>
      </c>
      <c r="B973" s="19" t="str">
        <v>伯明翰23号仓</v>
      </c>
      <c r="C973" s="19" t="str">
        <v>包装组</v>
      </c>
      <c r="D973" s="21" t="n">
        <v>46178</v>
      </c>
      <c r="E973" s="19" t="str">
        <v>2026-06</v>
      </c>
      <c r="F973" s="19" t="str">
        <v>操作员</v>
      </c>
      <c r="G973" s="19" t="str">
        <v>英国区15:00-00:30 / UK 15:00-00:30</v>
      </c>
      <c r="H973" s="23" t="n">
        <v>10</v>
      </c>
      <c r="I973" s="23" t="n">
        <v>0</v>
      </c>
      <c r="J973" s="23" t="n">
        <f>H973+I973</f>
        <v>10</v>
      </c>
      <c r="K973" s="23" t="n">
        <v>10</v>
      </c>
      <c r="L973" s="23" t="n">
        <v>9</v>
      </c>
      <c r="M973" s="23" t="n">
        <f>MIN(K973,J973)</f>
        <v>10</v>
      </c>
      <c r="N973" s="23" t="n">
        <f>MIN(L973,J973)</f>
        <v>9</v>
      </c>
      <c r="O973" s="25" t="n">
        <f>IF(K973=0,0,MIN(1,J973/K973))</f>
        <v>1</v>
      </c>
      <c r="P973" s="23" t="n">
        <f>IF(J973&gt;0,MAX(K973-J973,0),0)</f>
        <v>0</v>
      </c>
      <c r="Q973" s="23" t="n">
        <f>IF(J973=0,K973,0)</f>
        <v>0</v>
      </c>
      <c r="R973" s="23" t="n">
        <f>MAX(J973-K973,0)</f>
        <v>0</v>
      </c>
      <c r="S973" s="23" t="n">
        <f>IF(J973&gt;0,MAX(L973-J973,0),L973)</f>
        <v>0</v>
      </c>
    </row>
    <row r="974">
      <c r="A974" s="19" t="str">
        <v>英国区</v>
      </c>
      <c r="B974" s="19" t="str">
        <v>伯明翰23号仓</v>
      </c>
      <c r="C974" s="19" t="str">
        <v>包装组</v>
      </c>
      <c r="D974" s="21" t="n">
        <v>46178</v>
      </c>
      <c r="E974" s="19" t="str">
        <v>2026-06</v>
      </c>
      <c r="F974" s="19" t="str">
        <v>操作员</v>
      </c>
      <c r="G974" s="19" t="str">
        <v>英国区22:00-06:30 / UK 22:00-06:30</v>
      </c>
      <c r="H974" s="23" t="n">
        <v>10</v>
      </c>
      <c r="I974" s="23" t="n">
        <v>0</v>
      </c>
      <c r="J974" s="23" t="n">
        <f>H974+I974</f>
        <v>10</v>
      </c>
      <c r="K974" s="23" t="n">
        <v>10</v>
      </c>
      <c r="L974" s="23" t="n">
        <v>9</v>
      </c>
      <c r="M974" s="23" t="n">
        <f>MIN(K974,J974)</f>
        <v>10</v>
      </c>
      <c r="N974" s="23" t="n">
        <f>MIN(L974,J974)</f>
        <v>9</v>
      </c>
      <c r="O974" s="25" t="n">
        <f>IF(K974=0,0,MIN(1,J974/K974))</f>
        <v>1</v>
      </c>
      <c r="P974" s="23" t="n">
        <f>IF(J974&gt;0,MAX(K974-J974,0),0)</f>
        <v>0</v>
      </c>
      <c r="Q974" s="23" t="n">
        <f>IF(J974=0,K974,0)</f>
        <v>0</v>
      </c>
      <c r="R974" s="23" t="n">
        <f>MAX(J974-K974,0)</f>
        <v>0</v>
      </c>
      <c r="S974" s="23" t="n">
        <f>IF(J974&gt;0,MAX(L974-J974,0),L974)</f>
        <v>0</v>
      </c>
    </row>
    <row r="975">
      <c r="A975" s="19" t="str">
        <v>英国区</v>
      </c>
      <c r="B975" s="19" t="str">
        <v>伯明翰23号仓</v>
      </c>
      <c r="C975" s="19" t="str">
        <v>包装组</v>
      </c>
      <c r="D975" s="21" t="n">
        <v>46181</v>
      </c>
      <c r="E975" s="19" t="str">
        <v>2026-06</v>
      </c>
      <c r="F975" s="19" t="str">
        <v>操作员</v>
      </c>
      <c r="G975" s="19" t="str">
        <v>英国区10:00-18:30 / UK 10:00-18:30</v>
      </c>
      <c r="H975" s="23" t="n">
        <v>3</v>
      </c>
      <c r="I975" s="23" t="n">
        <v>0</v>
      </c>
      <c r="J975" s="23" t="n">
        <f>H975+I975</f>
        <v>3</v>
      </c>
      <c r="K975" s="23" t="n">
        <v>3</v>
      </c>
      <c r="L975" s="23" t="n">
        <v>3</v>
      </c>
      <c r="M975" s="23" t="n">
        <f>MIN(K975,J975)</f>
        <v>3</v>
      </c>
      <c r="N975" s="23" t="n">
        <f>MIN(L975,J975)</f>
        <v>3</v>
      </c>
      <c r="O975" s="25" t="n">
        <f>IF(K975=0,0,MIN(1,J975/K975))</f>
        <v>1</v>
      </c>
      <c r="P975" s="23" t="n">
        <f>IF(J975&gt;0,MAX(K975-J975,0),0)</f>
        <v>0</v>
      </c>
      <c r="Q975" s="23" t="n">
        <f>IF(J975=0,K975,0)</f>
        <v>0</v>
      </c>
      <c r="R975" s="23" t="n">
        <f>MAX(J975-K975,0)</f>
        <v>0</v>
      </c>
      <c r="S975" s="23" t="n">
        <f>IF(J975&gt;0,MAX(L975-J975,0),L975)</f>
        <v>0</v>
      </c>
    </row>
    <row r="976">
      <c r="A976" s="19" t="str">
        <v>英国区</v>
      </c>
      <c r="B976" s="19" t="str">
        <v>伯明翰23号仓</v>
      </c>
      <c r="C976" s="19" t="str">
        <v>包装组</v>
      </c>
      <c r="D976" s="21" t="n">
        <v>46182</v>
      </c>
      <c r="E976" s="19" t="str">
        <v>2026-06</v>
      </c>
      <c r="F976" s="19" t="str">
        <v>操作员</v>
      </c>
      <c r="G976" s="19" t="str">
        <v>英国区08:00-16:30 / UK 08:00-16:30</v>
      </c>
      <c r="H976" s="23" t="n">
        <v>5</v>
      </c>
      <c r="I976" s="23" t="n">
        <v>0</v>
      </c>
      <c r="J976" s="23" t="n">
        <f>H976+I976</f>
        <v>5</v>
      </c>
      <c r="K976" s="23" t="n">
        <v>7</v>
      </c>
      <c r="L976" s="23" t="n">
        <v>7</v>
      </c>
      <c r="M976" s="23" t="n">
        <f>MIN(K976,J976)</f>
        <v>5</v>
      </c>
      <c r="N976" s="23" t="n">
        <f>MIN(L976,J976)</f>
        <v>5</v>
      </c>
      <c r="O976" s="25" t="n">
        <f>IF(K976=0,0,MIN(1,J976/K976))</f>
        <v>0.7142857142857143</v>
      </c>
      <c r="P976" s="23" t="n">
        <f>IF(J976&gt;0,MAX(K976-J976,0),0)</f>
        <v>2</v>
      </c>
      <c r="Q976" s="23" t="n">
        <f>IF(J976=0,K976,0)</f>
        <v>0</v>
      </c>
      <c r="R976" s="23" t="n">
        <f>MAX(J976-K976,0)</f>
        <v>0</v>
      </c>
      <c r="S976" s="23" t="n">
        <f>IF(J976&gt;0,MAX(L976-J976,0),L976)</f>
        <v>2</v>
      </c>
    </row>
    <row r="977">
      <c r="A977" s="19" t="str">
        <v>英国区</v>
      </c>
      <c r="B977" s="19" t="str">
        <v>伯明翰23号仓</v>
      </c>
      <c r="C977" s="19" t="str">
        <v>包装组</v>
      </c>
      <c r="D977" s="21" t="n">
        <v>46182</v>
      </c>
      <c r="E977" s="19" t="str">
        <v>2026-06</v>
      </c>
      <c r="F977" s="19" t="str">
        <v>操作员</v>
      </c>
      <c r="G977" s="19" t="str">
        <v>英国区09:00-17:30 / UK 09:00-17:30</v>
      </c>
      <c r="H977" s="23" t="n">
        <v>2</v>
      </c>
      <c r="I977" s="23" t="n">
        <v>0</v>
      </c>
      <c r="J977" s="23" t="n">
        <f>H977+I977</f>
        <v>2</v>
      </c>
      <c r="K977" s="23" t="n">
        <v>3</v>
      </c>
      <c r="L977" s="23" t="n">
        <v>3</v>
      </c>
      <c r="M977" s="23" t="n">
        <f>MIN(K977,J977)</f>
        <v>2</v>
      </c>
      <c r="N977" s="23" t="n">
        <f>MIN(L977,J977)</f>
        <v>2</v>
      </c>
      <c r="O977" s="25" t="n">
        <f>IF(K977=0,0,MIN(1,J977/K977))</f>
        <v>0.6666666666666666</v>
      </c>
      <c r="P977" s="23" t="n">
        <f>IF(J977&gt;0,MAX(K977-J977,0),0)</f>
        <v>1</v>
      </c>
      <c r="Q977" s="23" t="n">
        <f>IF(J977=0,K977,0)</f>
        <v>0</v>
      </c>
      <c r="R977" s="23" t="n">
        <f>MAX(J977-K977,0)</f>
        <v>0</v>
      </c>
      <c r="S977" s="23" t="n">
        <f>IF(J977&gt;0,MAX(L977-J977,0),L977)</f>
        <v>1</v>
      </c>
    </row>
    <row r="978">
      <c r="A978" s="19" t="str">
        <v>英国区</v>
      </c>
      <c r="B978" s="19" t="str">
        <v>伯明翰23号仓</v>
      </c>
      <c r="C978" s="19" t="str">
        <v>包装组</v>
      </c>
      <c r="D978" s="21" t="n">
        <v>46182</v>
      </c>
      <c r="E978" s="19" t="str">
        <v>2026-06</v>
      </c>
      <c r="F978" s="19" t="str">
        <v>操作员</v>
      </c>
      <c r="G978" s="19" t="str">
        <v>英国区10:00-18:30 / UK 10:00-18:30</v>
      </c>
      <c r="H978" s="23" t="n">
        <v>4</v>
      </c>
      <c r="I978" s="23" t="n">
        <v>0</v>
      </c>
      <c r="J978" s="23" t="n">
        <f>H978+I978</f>
        <v>4</v>
      </c>
      <c r="K978" s="23" t="n">
        <v>6</v>
      </c>
      <c r="L978" s="23" t="n">
        <v>6</v>
      </c>
      <c r="M978" s="23" t="n">
        <f>MIN(K978,J978)</f>
        <v>4</v>
      </c>
      <c r="N978" s="23" t="n">
        <f>MIN(L978,J978)</f>
        <v>4</v>
      </c>
      <c r="O978" s="25" t="n">
        <f>IF(K978=0,0,MIN(1,J978/K978))</f>
        <v>0.6666666666666666</v>
      </c>
      <c r="P978" s="23" t="n">
        <f>IF(J978&gt;0,MAX(K978-J978,0),0)</f>
        <v>2</v>
      </c>
      <c r="Q978" s="23" t="n">
        <f>IF(J978=0,K978,0)</f>
        <v>0</v>
      </c>
      <c r="R978" s="23" t="n">
        <f>MAX(J978-K978,0)</f>
        <v>0</v>
      </c>
      <c r="S978" s="23" t="n">
        <f>IF(J978&gt;0,MAX(L978-J978,0),L978)</f>
        <v>2</v>
      </c>
    </row>
    <row r="979">
      <c r="A979" s="19" t="str">
        <v>英国区</v>
      </c>
      <c r="B979" s="19" t="str">
        <v>伯明翰23号仓</v>
      </c>
      <c r="C979" s="19" t="str">
        <v>包装组</v>
      </c>
      <c r="D979" s="21" t="n">
        <v>46182</v>
      </c>
      <c r="E979" s="19" t="str">
        <v>2026-06</v>
      </c>
      <c r="F979" s="19" t="str">
        <v>操作员</v>
      </c>
      <c r="G979" s="19" t="str">
        <v>英国区11:00-19:30 / UK 11:00-19:30</v>
      </c>
      <c r="H979" s="23" t="n">
        <v>1</v>
      </c>
      <c r="I979" s="23" t="n">
        <v>0</v>
      </c>
      <c r="J979" s="23" t="n">
        <f>H979+I979</f>
        <v>1</v>
      </c>
      <c r="K979" s="23" t="n">
        <v>2</v>
      </c>
      <c r="L979" s="23" t="n">
        <v>2</v>
      </c>
      <c r="M979" s="23" t="n">
        <f>MIN(K979,J979)</f>
        <v>1</v>
      </c>
      <c r="N979" s="23" t="n">
        <f>MIN(L979,J979)</f>
        <v>1</v>
      </c>
      <c r="O979" s="25" t="n">
        <f>IF(K979=0,0,MIN(1,J979/K979))</f>
        <v>0.5</v>
      </c>
      <c r="P979" s="23" t="n">
        <f>IF(J979&gt;0,MAX(K979-J979,0),0)</f>
        <v>1</v>
      </c>
      <c r="Q979" s="23" t="n">
        <f>IF(J979=0,K979,0)</f>
        <v>0</v>
      </c>
      <c r="R979" s="23" t="n">
        <f>MAX(J979-K979,0)</f>
        <v>0</v>
      </c>
      <c r="S979" s="23" t="n">
        <f>IF(J979&gt;0,MAX(L979-J979,0),L979)</f>
        <v>1</v>
      </c>
    </row>
    <row r="980">
      <c r="A980" s="19" t="str">
        <v>英国区</v>
      </c>
      <c r="B980" s="19" t="str">
        <v>伯明翰23号仓</v>
      </c>
      <c r="C980" s="19" t="str">
        <v>包装组</v>
      </c>
      <c r="D980" s="21" t="n">
        <v>46182</v>
      </c>
      <c r="E980" s="19" t="str">
        <v>2026-06</v>
      </c>
      <c r="F980" s="19" t="str">
        <v>操作员</v>
      </c>
      <c r="G980" s="19" t="str">
        <v>英国区15:00-00:30 / UK 15:00-00:30</v>
      </c>
      <c r="H980" s="23" t="n">
        <v>5</v>
      </c>
      <c r="I980" s="23" t="n">
        <v>0</v>
      </c>
      <c r="J980" s="23" t="n">
        <f>H980+I980</f>
        <v>5</v>
      </c>
      <c r="K980" s="23" t="n">
        <v>7</v>
      </c>
      <c r="L980" s="23" t="n">
        <v>7</v>
      </c>
      <c r="M980" s="23" t="n">
        <f>MIN(K980,J980)</f>
        <v>5</v>
      </c>
      <c r="N980" s="23" t="n">
        <f>MIN(L980,J980)</f>
        <v>5</v>
      </c>
      <c r="O980" s="25" t="n">
        <f>IF(K980=0,0,MIN(1,J980/K980))</f>
        <v>0.7142857142857143</v>
      </c>
      <c r="P980" s="23" t="n">
        <f>IF(J980&gt;0,MAX(K980-J980,0),0)</f>
        <v>2</v>
      </c>
      <c r="Q980" s="23" t="n">
        <f>IF(J980=0,K980,0)</f>
        <v>0</v>
      </c>
      <c r="R980" s="23" t="n">
        <f>MAX(J980-K980,0)</f>
        <v>0</v>
      </c>
      <c r="S980" s="23" t="n">
        <f>IF(J980&gt;0,MAX(L980-J980,0),L980)</f>
        <v>2</v>
      </c>
    </row>
    <row r="981">
      <c r="A981" s="19" t="str">
        <v>英国区</v>
      </c>
      <c r="B981" s="19" t="str">
        <v>伯明翰23号仓</v>
      </c>
      <c r="C981" s="19" t="str">
        <v>包装组</v>
      </c>
      <c r="D981" s="21" t="n">
        <v>46183</v>
      </c>
      <c r="E981" s="19" t="str">
        <v>2026-06</v>
      </c>
      <c r="F981" s="19" t="str">
        <v>操作员</v>
      </c>
      <c r="G981" s="19" t="str">
        <v>英国区09:00-17:30 / UK 09:00-17:30</v>
      </c>
      <c r="H981" s="23" t="n">
        <v>2</v>
      </c>
      <c r="I981" s="23" t="n">
        <v>0</v>
      </c>
      <c r="J981" s="23" t="n">
        <f>H981+I981</f>
        <v>2</v>
      </c>
      <c r="K981" s="23" t="n">
        <v>2</v>
      </c>
      <c r="L981" s="23" t="n">
        <v>2</v>
      </c>
      <c r="M981" s="23" t="n">
        <f>MIN(K981,J981)</f>
        <v>2</v>
      </c>
      <c r="N981" s="23" t="n">
        <f>MIN(L981,J981)</f>
        <v>2</v>
      </c>
      <c r="O981" s="25" t="n">
        <f>IF(K981=0,0,MIN(1,J981/K981))</f>
        <v>1</v>
      </c>
      <c r="P981" s="23" t="n">
        <f>IF(J981&gt;0,MAX(K981-J981,0),0)</f>
        <v>0</v>
      </c>
      <c r="Q981" s="23" t="n">
        <f>IF(J981=0,K981,0)</f>
        <v>0</v>
      </c>
      <c r="R981" s="23" t="n">
        <f>MAX(J981-K981,0)</f>
        <v>0</v>
      </c>
      <c r="S981" s="23" t="n">
        <f>IF(J981&gt;0,MAX(L981-J981,0),L981)</f>
        <v>0</v>
      </c>
    </row>
    <row r="982">
      <c r="A982" s="19" t="str">
        <v>英国区</v>
      </c>
      <c r="B982" s="19" t="str">
        <v>伯明翰23号仓</v>
      </c>
      <c r="C982" s="19" t="str">
        <v>包装组</v>
      </c>
      <c r="D982" s="21" t="n">
        <v>46183</v>
      </c>
      <c r="E982" s="19" t="str">
        <v>2026-06</v>
      </c>
      <c r="F982" s="19" t="str">
        <v>操作员</v>
      </c>
      <c r="G982" s="19" t="str">
        <v>英国区11:00-19:30 / UK 11:00-19:30</v>
      </c>
      <c r="H982" s="23" t="n">
        <v>1</v>
      </c>
      <c r="I982" s="23" t="n">
        <v>0</v>
      </c>
      <c r="J982" s="23" t="n">
        <f>H982+I982</f>
        <v>1</v>
      </c>
      <c r="K982" s="23" t="n">
        <v>1</v>
      </c>
      <c r="L982" s="23" t="n">
        <v>0</v>
      </c>
      <c r="M982" s="23" t="n">
        <f>MIN(K982,J982)</f>
        <v>1</v>
      </c>
      <c r="N982" s="23" t="n">
        <f>MIN(L982,J982)</f>
        <v>0</v>
      </c>
      <c r="O982" s="25" t="n">
        <f>IF(K982=0,0,MIN(1,J982/K982))</f>
        <v>1</v>
      </c>
      <c r="P982" s="23" t="n">
        <f>IF(J982&gt;0,MAX(K982-J982,0),0)</f>
        <v>0</v>
      </c>
      <c r="Q982" s="23" t="n">
        <f>IF(J982=0,K982,0)</f>
        <v>0</v>
      </c>
      <c r="R982" s="23" t="n">
        <f>MAX(J982-K982,0)</f>
        <v>0</v>
      </c>
      <c r="S982" s="23" t="n">
        <f>IF(J982&gt;0,MAX(L982-J982,0),L982)</f>
        <v>0</v>
      </c>
    </row>
    <row r="983">
      <c r="A983" s="19" t="str">
        <v>英国区</v>
      </c>
      <c r="B983" s="19" t="str">
        <v>伯明翰23号仓</v>
      </c>
      <c r="C983" s="19" t="str">
        <v>包装组</v>
      </c>
      <c r="D983" s="21" t="n">
        <v>46184</v>
      </c>
      <c r="E983" s="19" t="str">
        <v>2026-06</v>
      </c>
      <c r="F983" s="19" t="str">
        <v>操作员</v>
      </c>
      <c r="G983" s="19" t="str">
        <v>英国区09:00-17:30 / UK 09:00-17:30</v>
      </c>
      <c r="H983" s="23" t="n">
        <v>2</v>
      </c>
      <c r="I983" s="23" t="n">
        <v>0</v>
      </c>
      <c r="J983" s="23" t="n">
        <f>H983+I983</f>
        <v>2</v>
      </c>
      <c r="K983" s="23" t="n">
        <v>2</v>
      </c>
      <c r="L983" s="23" t="n">
        <v>2</v>
      </c>
      <c r="M983" s="23" t="n">
        <f>MIN(K983,J983)</f>
        <v>2</v>
      </c>
      <c r="N983" s="23" t="n">
        <f>MIN(L983,J983)</f>
        <v>2</v>
      </c>
      <c r="O983" s="25" t="n">
        <f>IF(K983=0,0,MIN(1,J983/K983))</f>
        <v>1</v>
      </c>
      <c r="P983" s="23" t="n">
        <f>IF(J983&gt;0,MAX(K983-J983,0),0)</f>
        <v>0</v>
      </c>
      <c r="Q983" s="23" t="n">
        <f>IF(J983=0,K983,0)</f>
        <v>0</v>
      </c>
      <c r="R983" s="23" t="n">
        <f>MAX(J983-K983,0)</f>
        <v>0</v>
      </c>
      <c r="S983" s="23" t="n">
        <f>IF(J983&gt;0,MAX(L983-J983,0),L983)</f>
        <v>0</v>
      </c>
    </row>
    <row r="984">
      <c r="A984" s="19" t="str">
        <v>英国区</v>
      </c>
      <c r="B984" s="19" t="str">
        <v>伯明翰23号仓</v>
      </c>
      <c r="C984" s="19" t="str">
        <v>包装组</v>
      </c>
      <c r="D984" s="21" t="n">
        <v>46184</v>
      </c>
      <c r="E984" s="19" t="str">
        <v>2026-06</v>
      </c>
      <c r="F984" s="19" t="str">
        <v>操作员</v>
      </c>
      <c r="G984" s="19" t="str">
        <v>英国区11:00-19:30 / UK 11:00-19:30</v>
      </c>
      <c r="H984" s="23" t="n">
        <v>1</v>
      </c>
      <c r="I984" s="23" t="n">
        <v>0</v>
      </c>
      <c r="J984" s="23" t="n">
        <f>H984+I984</f>
        <v>1</v>
      </c>
      <c r="K984" s="23" t="n">
        <v>1</v>
      </c>
      <c r="L984" s="23" t="n">
        <v>1</v>
      </c>
      <c r="M984" s="23" t="n">
        <f>MIN(K984,J984)</f>
        <v>1</v>
      </c>
      <c r="N984" s="23" t="n">
        <f>MIN(L984,J984)</f>
        <v>1</v>
      </c>
      <c r="O984" s="25" t="n">
        <f>IF(K984=0,0,MIN(1,J984/K984))</f>
        <v>1</v>
      </c>
      <c r="P984" s="23" t="n">
        <f>IF(J984&gt;0,MAX(K984-J984,0),0)</f>
        <v>0</v>
      </c>
      <c r="Q984" s="23" t="n">
        <f>IF(J984=0,K984,0)</f>
        <v>0</v>
      </c>
      <c r="R984" s="23" t="n">
        <f>MAX(J984-K984,0)</f>
        <v>0</v>
      </c>
      <c r="S984" s="23" t="n">
        <f>IF(J984&gt;0,MAX(L984-J984,0),L984)</f>
        <v>0</v>
      </c>
    </row>
    <row r="985">
      <c r="A985" s="19" t="str">
        <v>英国区</v>
      </c>
      <c r="B985" s="19" t="str">
        <v>伯明翰23号仓</v>
      </c>
      <c r="C985" s="19" t="str">
        <v>包装组</v>
      </c>
      <c r="D985" s="21" t="n">
        <v>46185</v>
      </c>
      <c r="E985" s="19" t="str">
        <v>2026-06</v>
      </c>
      <c r="F985" s="19" t="str">
        <v>操作员</v>
      </c>
      <c r="G985" s="19" t="str">
        <v>英国区09:00-17:30 / UK 09:00-17:30</v>
      </c>
      <c r="H985" s="23" t="n">
        <v>8</v>
      </c>
      <c r="I985" s="23" t="n">
        <v>0</v>
      </c>
      <c r="J985" s="23" t="n">
        <f>H985+I985</f>
        <v>8</v>
      </c>
      <c r="K985" s="23" t="n">
        <v>8</v>
      </c>
      <c r="L985" s="23" t="n">
        <v>8</v>
      </c>
      <c r="M985" s="23" t="n">
        <f>MIN(K985,J985)</f>
        <v>8</v>
      </c>
      <c r="N985" s="23" t="n">
        <f>MIN(L985,J985)</f>
        <v>8</v>
      </c>
      <c r="O985" s="25" t="n">
        <f>IF(K985=0,0,MIN(1,J985/K985))</f>
        <v>1</v>
      </c>
      <c r="P985" s="23" t="n">
        <f>IF(J985&gt;0,MAX(K985-J985,0),0)</f>
        <v>0</v>
      </c>
      <c r="Q985" s="23" t="n">
        <f>IF(J985=0,K985,0)</f>
        <v>0</v>
      </c>
      <c r="R985" s="23" t="n">
        <f>MAX(J985-K985,0)</f>
        <v>0</v>
      </c>
      <c r="S985" s="23" t="n">
        <f>IF(J985&gt;0,MAX(L985-J985,0),L985)</f>
        <v>0</v>
      </c>
    </row>
    <row r="986">
      <c r="A986" s="19" t="str">
        <v>英国区</v>
      </c>
      <c r="B986" s="19" t="str">
        <v>伯明翰23号仓</v>
      </c>
      <c r="C986" s="19" t="str">
        <v>包装组</v>
      </c>
      <c r="D986" s="21" t="n">
        <v>46185</v>
      </c>
      <c r="E986" s="19" t="str">
        <v>2026-06</v>
      </c>
      <c r="F986" s="19" t="str">
        <v>操作员</v>
      </c>
      <c r="G986" s="19" t="str">
        <v>英国区10:00-18:30 / UK 10:00-18:30</v>
      </c>
      <c r="H986" s="23" t="n">
        <v>2</v>
      </c>
      <c r="I986" s="23" t="n">
        <v>0</v>
      </c>
      <c r="J986" s="23" t="n">
        <f>H986+I986</f>
        <v>2</v>
      </c>
      <c r="K986" s="23" t="n">
        <v>2</v>
      </c>
      <c r="L986" s="23" t="n">
        <v>2</v>
      </c>
      <c r="M986" s="23" t="n">
        <f>MIN(K986,J986)</f>
        <v>2</v>
      </c>
      <c r="N986" s="23" t="n">
        <f>MIN(L986,J986)</f>
        <v>2</v>
      </c>
      <c r="O986" s="25" t="n">
        <f>IF(K986=0,0,MIN(1,J986/K986))</f>
        <v>1</v>
      </c>
      <c r="P986" s="23" t="n">
        <f>IF(J986&gt;0,MAX(K986-J986,0),0)</f>
        <v>0</v>
      </c>
      <c r="Q986" s="23" t="n">
        <f>IF(J986=0,K986,0)</f>
        <v>0</v>
      </c>
      <c r="R986" s="23" t="n">
        <f>MAX(J986-K986,0)</f>
        <v>0</v>
      </c>
      <c r="S986" s="23" t="n">
        <f>IF(J986&gt;0,MAX(L986-J986,0),L986)</f>
        <v>0</v>
      </c>
    </row>
    <row r="987">
      <c r="A987" s="19" t="str">
        <v>英国区</v>
      </c>
      <c r="B987" s="19" t="str">
        <v>伯明翰23号仓</v>
      </c>
      <c r="C987" s="19" t="str">
        <v>包装组</v>
      </c>
      <c r="D987" s="21" t="n">
        <v>46185</v>
      </c>
      <c r="E987" s="19" t="str">
        <v>2026-06</v>
      </c>
      <c r="F987" s="19" t="str">
        <v>操作员</v>
      </c>
      <c r="G987" s="19" t="str">
        <v>英国区11:00-19:30 / UK 11:00-19:30</v>
      </c>
      <c r="H987" s="23" t="n">
        <v>1</v>
      </c>
      <c r="I987" s="23" t="n">
        <v>0</v>
      </c>
      <c r="J987" s="23" t="n">
        <f>H987+I987</f>
        <v>1</v>
      </c>
      <c r="K987" s="23" t="n">
        <v>1</v>
      </c>
      <c r="L987" s="23" t="n">
        <v>1</v>
      </c>
      <c r="M987" s="23" t="n">
        <f>MIN(K987,J987)</f>
        <v>1</v>
      </c>
      <c r="N987" s="23" t="n">
        <f>MIN(L987,J987)</f>
        <v>1</v>
      </c>
      <c r="O987" s="25" t="n">
        <f>IF(K987=0,0,MIN(1,J987/K987))</f>
        <v>1</v>
      </c>
      <c r="P987" s="23" t="n">
        <f>IF(J987&gt;0,MAX(K987-J987,0),0)</f>
        <v>0</v>
      </c>
      <c r="Q987" s="23" t="n">
        <f>IF(J987=0,K987,0)</f>
        <v>0</v>
      </c>
      <c r="R987" s="23" t="n">
        <f>MAX(J987-K987,0)</f>
        <v>0</v>
      </c>
      <c r="S987" s="23" t="n">
        <f>IF(J987&gt;0,MAX(L987-J987,0),L987)</f>
        <v>0</v>
      </c>
    </row>
    <row r="988">
      <c r="A988" s="19" t="str">
        <v>英国区</v>
      </c>
      <c r="B988" s="19" t="str">
        <v>伯明翰23号仓</v>
      </c>
      <c r="C988" s="19" t="str">
        <v>包装组</v>
      </c>
      <c r="D988" s="21" t="n">
        <v>46185</v>
      </c>
      <c r="E988" s="19" t="str">
        <v>2026-06</v>
      </c>
      <c r="F988" s="19" t="str">
        <v>操作员</v>
      </c>
      <c r="G988" s="19" t="str">
        <v>英国区15:00-00:30 / UK 15:00-00:30</v>
      </c>
      <c r="H988" s="23" t="n">
        <v>6</v>
      </c>
      <c r="I988" s="23" t="n">
        <v>0</v>
      </c>
      <c r="J988" s="23" t="n">
        <f>H988+I988</f>
        <v>6</v>
      </c>
      <c r="K988" s="23" t="n">
        <v>6</v>
      </c>
      <c r="L988" s="23" t="n">
        <v>5</v>
      </c>
      <c r="M988" s="23" t="n">
        <f>MIN(K988,J988)</f>
        <v>6</v>
      </c>
      <c r="N988" s="23" t="n">
        <f>MIN(L988,J988)</f>
        <v>5</v>
      </c>
      <c r="O988" s="25" t="n">
        <f>IF(K988=0,0,MIN(1,J988/K988))</f>
        <v>1</v>
      </c>
      <c r="P988" s="23" t="n">
        <f>IF(J988&gt;0,MAX(K988-J988,0),0)</f>
        <v>0</v>
      </c>
      <c r="Q988" s="23" t="n">
        <f>IF(J988=0,K988,0)</f>
        <v>0</v>
      </c>
      <c r="R988" s="23" t="n">
        <f>MAX(J988-K988,0)</f>
        <v>0</v>
      </c>
      <c r="S988" s="23" t="n">
        <f>IF(J988&gt;0,MAX(L988-J988,0),L988)</f>
        <v>0</v>
      </c>
    </row>
    <row r="989">
      <c r="A989" s="19" t="str">
        <v>英国区</v>
      </c>
      <c r="B989" s="19" t="str">
        <v>伯明翰23号仓</v>
      </c>
      <c r="C989" s="19" t="str">
        <v>包装组</v>
      </c>
      <c r="D989" s="21" t="n">
        <v>46188</v>
      </c>
      <c r="E989" s="19" t="str">
        <v>2026-06</v>
      </c>
      <c r="F989" s="19" t="str">
        <v>操作员</v>
      </c>
      <c r="G989" s="19" t="str">
        <v>英国区11:00-19:30 / UK 11:00-19:30</v>
      </c>
      <c r="H989" s="23" t="n">
        <v>2</v>
      </c>
      <c r="I989" s="23" t="n">
        <v>0</v>
      </c>
      <c r="J989" s="23" t="n">
        <f>H989+I989</f>
        <v>2</v>
      </c>
      <c r="K989" s="23" t="n">
        <v>2</v>
      </c>
      <c r="L989" s="23" t="n">
        <v>2</v>
      </c>
      <c r="M989" s="23" t="n">
        <f>MIN(K989,J989)</f>
        <v>2</v>
      </c>
      <c r="N989" s="23" t="n">
        <f>MIN(L989,J989)</f>
        <v>2</v>
      </c>
      <c r="O989" s="25" t="n">
        <f>IF(K989=0,0,MIN(1,J989/K989))</f>
        <v>1</v>
      </c>
      <c r="P989" s="23" t="n">
        <f>IF(J989&gt;0,MAX(K989-J989,0),0)</f>
        <v>0</v>
      </c>
      <c r="Q989" s="23" t="n">
        <f>IF(J989=0,K989,0)</f>
        <v>0</v>
      </c>
      <c r="R989" s="23" t="n">
        <f>MAX(J989-K989,0)</f>
        <v>0</v>
      </c>
      <c r="S989" s="23" t="n">
        <f>IF(J989&gt;0,MAX(L989-J989,0),L989)</f>
        <v>0</v>
      </c>
    </row>
    <row r="990">
      <c r="A990" s="19" t="str">
        <v>英国区</v>
      </c>
      <c r="B990" s="19" t="str">
        <v>伯明翰23号仓</v>
      </c>
      <c r="C990" s="19" t="str">
        <v>包装组</v>
      </c>
      <c r="D990" s="21" t="n">
        <v>46189</v>
      </c>
      <c r="E990" s="19" t="str">
        <v>2026-06</v>
      </c>
      <c r="F990" s="19" t="str">
        <v>操作员</v>
      </c>
      <c r="G990" s="19" t="str">
        <v>英国区09:00-17:30 / UK 09:00-17:30</v>
      </c>
      <c r="H990" s="23" t="n">
        <v>2</v>
      </c>
      <c r="I990" s="23" t="n">
        <v>0</v>
      </c>
      <c r="J990" s="23" t="n">
        <f>H990+I990</f>
        <v>2</v>
      </c>
      <c r="K990" s="23" t="n">
        <v>2</v>
      </c>
      <c r="L990" s="23" t="n">
        <v>0</v>
      </c>
      <c r="M990" s="23" t="n">
        <f>MIN(K990,J990)</f>
        <v>2</v>
      </c>
      <c r="N990" s="23" t="n">
        <f>MIN(L990,J990)</f>
        <v>0</v>
      </c>
      <c r="O990" s="25" t="n">
        <f>IF(K990=0,0,MIN(1,J990/K990))</f>
        <v>1</v>
      </c>
      <c r="P990" s="23" t="n">
        <f>IF(J990&gt;0,MAX(K990-J990,0),0)</f>
        <v>0</v>
      </c>
      <c r="Q990" s="23" t="n">
        <f>IF(J990=0,K990,0)</f>
        <v>0</v>
      </c>
      <c r="R990" s="23" t="n">
        <f>MAX(J990-K990,0)</f>
        <v>0</v>
      </c>
      <c r="S990" s="23" t="n">
        <f>IF(J990&gt;0,MAX(L990-J990,0),L990)</f>
        <v>0</v>
      </c>
    </row>
    <row r="991">
      <c r="A991" s="19" t="str">
        <v>英国区</v>
      </c>
      <c r="B991" s="19" t="str">
        <v>伯明翰23号仓</v>
      </c>
      <c r="C991" s="19" t="str">
        <v>包装组</v>
      </c>
      <c r="D991" s="21" t="n">
        <v>46189</v>
      </c>
      <c r="E991" s="19" t="str">
        <v>2026-06</v>
      </c>
      <c r="F991" s="19" t="str">
        <v>操作员</v>
      </c>
      <c r="G991" s="19" t="str">
        <v>英国区10:00-18:30 / UK 10:00-18:30</v>
      </c>
      <c r="H991" s="23" t="n">
        <v>5</v>
      </c>
      <c r="I991" s="23" t="n">
        <v>0</v>
      </c>
      <c r="J991" s="23" t="n">
        <f>H991+I991</f>
        <v>5</v>
      </c>
      <c r="K991" s="23" t="n">
        <v>5</v>
      </c>
      <c r="L991" s="23" t="n">
        <v>0</v>
      </c>
      <c r="M991" s="23" t="n">
        <f>MIN(K991,J991)</f>
        <v>5</v>
      </c>
      <c r="N991" s="23" t="n">
        <f>MIN(L991,J991)</f>
        <v>0</v>
      </c>
      <c r="O991" s="25" t="n">
        <f>IF(K991=0,0,MIN(1,J991/K991))</f>
        <v>1</v>
      </c>
      <c r="P991" s="23" t="n">
        <f>IF(J991&gt;0,MAX(K991-J991,0),0)</f>
        <v>0</v>
      </c>
      <c r="Q991" s="23" t="n">
        <f>IF(J991=0,K991,0)</f>
        <v>0</v>
      </c>
      <c r="R991" s="23" t="n">
        <f>MAX(J991-K991,0)</f>
        <v>0</v>
      </c>
      <c r="S991" s="23" t="n">
        <f>IF(J991&gt;0,MAX(L991-J991,0),L991)</f>
        <v>0</v>
      </c>
    </row>
    <row r="992">
      <c r="A992" s="19" t="str">
        <v>英国区</v>
      </c>
      <c r="B992" s="19" t="str">
        <v>伯明翰23号仓</v>
      </c>
      <c r="C992" s="19" t="str">
        <v>包装组</v>
      </c>
      <c r="D992" s="21" t="n">
        <v>46189</v>
      </c>
      <c r="E992" s="19" t="str">
        <v>2026-06</v>
      </c>
      <c r="F992" s="19" t="str">
        <v>操作员</v>
      </c>
      <c r="G992" s="19" t="str">
        <v>英国区11:00-19:30 / UK 11:00-19:30</v>
      </c>
      <c r="H992" s="23" t="n">
        <v>7</v>
      </c>
      <c r="I992" s="23" t="n">
        <v>0</v>
      </c>
      <c r="J992" s="23" t="n">
        <f>H992+I992</f>
        <v>7</v>
      </c>
      <c r="K992" s="23" t="n">
        <v>7</v>
      </c>
      <c r="L992" s="23" t="n">
        <v>0</v>
      </c>
      <c r="M992" s="23" t="n">
        <f>MIN(K992,J992)</f>
        <v>7</v>
      </c>
      <c r="N992" s="23" t="n">
        <f>MIN(L992,J992)</f>
        <v>0</v>
      </c>
      <c r="O992" s="25" t="n">
        <f>IF(K992=0,0,MIN(1,J992/K992))</f>
        <v>1</v>
      </c>
      <c r="P992" s="23" t="n">
        <f>IF(J992&gt;0,MAX(K992-J992,0),0)</f>
        <v>0</v>
      </c>
      <c r="Q992" s="23" t="n">
        <f>IF(J992=0,K992,0)</f>
        <v>0</v>
      </c>
      <c r="R992" s="23" t="n">
        <f>MAX(J992-K992,0)</f>
        <v>0</v>
      </c>
      <c r="S992" s="23" t="n">
        <f>IF(J992&gt;0,MAX(L992-J992,0),L992)</f>
        <v>0</v>
      </c>
    </row>
    <row r="993">
      <c r="A993" s="19" t="str">
        <v>英国区</v>
      </c>
      <c r="B993" s="19" t="str">
        <v>伯明翰23号仓</v>
      </c>
      <c r="C993" s="19" t="str">
        <v>包装组</v>
      </c>
      <c r="D993" s="21" t="n">
        <v>46189</v>
      </c>
      <c r="E993" s="19" t="str">
        <v>2026-06</v>
      </c>
      <c r="F993" s="19" t="str">
        <v>操作员</v>
      </c>
      <c r="G993" s="19" t="str">
        <v>英国区22:00-06:30 / UK 22:00-06:30</v>
      </c>
      <c r="H993" s="23" t="n">
        <v>2</v>
      </c>
      <c r="I993" s="23" t="n">
        <v>0</v>
      </c>
      <c r="J993" s="23" t="n">
        <f>H993+I993</f>
        <v>2</v>
      </c>
      <c r="K993" s="23" t="n">
        <v>2</v>
      </c>
      <c r="L993" s="23" t="n">
        <v>2</v>
      </c>
      <c r="M993" s="23" t="n">
        <f>MIN(K993,J993)</f>
        <v>2</v>
      </c>
      <c r="N993" s="23" t="n">
        <f>MIN(L993,J993)</f>
        <v>2</v>
      </c>
      <c r="O993" s="25" t="n">
        <f>IF(K993=0,0,MIN(1,J993/K993))</f>
        <v>1</v>
      </c>
      <c r="P993" s="23" t="n">
        <f>IF(J993&gt;0,MAX(K993-J993,0),0)</f>
        <v>0</v>
      </c>
      <c r="Q993" s="23" t="n">
        <f>IF(J993=0,K993,0)</f>
        <v>0</v>
      </c>
      <c r="R993" s="23" t="n">
        <f>MAX(J993-K993,0)</f>
        <v>0</v>
      </c>
      <c r="S993" s="23" t="n">
        <f>IF(J993&gt;0,MAX(L993-J993,0),L993)</f>
        <v>0</v>
      </c>
    </row>
    <row r="994">
      <c r="A994" s="19" t="str">
        <v>英国区</v>
      </c>
      <c r="B994" s="19" t="str">
        <v>伯明翰23号仓</v>
      </c>
      <c r="C994" s="19" t="str">
        <v>包装组</v>
      </c>
      <c r="D994" s="21" t="n">
        <v>46196</v>
      </c>
      <c r="E994" s="19" t="str">
        <v>2026-06</v>
      </c>
      <c r="F994" s="19" t="str">
        <v>操作员</v>
      </c>
      <c r="G994" s="19" t="str">
        <v>英国区11:00-19:30 / UK 11:00-19:30</v>
      </c>
      <c r="H994" s="23" t="n">
        <v>1</v>
      </c>
      <c r="I994" s="23" t="n">
        <v>0</v>
      </c>
      <c r="J994" s="23" t="n">
        <f>H994+I994</f>
        <v>1</v>
      </c>
      <c r="K994" s="23" t="n">
        <v>1</v>
      </c>
      <c r="L994" s="23" t="n">
        <v>1</v>
      </c>
      <c r="M994" s="23" t="n">
        <f>MIN(K994,J994)</f>
        <v>1</v>
      </c>
      <c r="N994" s="23" t="n">
        <f>MIN(L994,J994)</f>
        <v>1</v>
      </c>
      <c r="O994" s="25" t="n">
        <f>IF(K994=0,0,MIN(1,J994/K994))</f>
        <v>1</v>
      </c>
      <c r="P994" s="23" t="n">
        <f>IF(J994&gt;0,MAX(K994-J994,0),0)</f>
        <v>0</v>
      </c>
      <c r="Q994" s="23" t="n">
        <f>IF(J994=0,K994,0)</f>
        <v>0</v>
      </c>
      <c r="R994" s="23" t="n">
        <f>MAX(J994-K994,0)</f>
        <v>0</v>
      </c>
      <c r="S994" s="23" t="n">
        <f>IF(J994&gt;0,MAX(L994-J994,0),L994)</f>
        <v>0</v>
      </c>
    </row>
    <row r="995">
      <c r="A995" s="19" t="str">
        <v>英国区</v>
      </c>
      <c r="B995" s="19" t="str">
        <v>伯明翰23号仓</v>
      </c>
      <c r="C995" s="19" t="str">
        <v>包装组</v>
      </c>
      <c r="D995" s="21" t="n">
        <v>46197</v>
      </c>
      <c r="E995" s="19" t="str">
        <v>2026-06</v>
      </c>
      <c r="F995" s="19" t="str">
        <v>操作员</v>
      </c>
      <c r="G995" s="19" t="str">
        <v>英国区09:00-17:30 / UK 09:00-17:30</v>
      </c>
      <c r="H995" s="23" t="n">
        <v>1</v>
      </c>
      <c r="I995" s="23" t="n">
        <v>0</v>
      </c>
      <c r="J995" s="23" t="n">
        <f>H995+I995</f>
        <v>1</v>
      </c>
      <c r="K995" s="23" t="n">
        <v>1</v>
      </c>
      <c r="L995" s="23" t="n">
        <v>1</v>
      </c>
      <c r="M995" s="23" t="n">
        <f>MIN(K995,J995)</f>
        <v>1</v>
      </c>
      <c r="N995" s="23" t="n">
        <f>MIN(L995,J995)</f>
        <v>1</v>
      </c>
      <c r="O995" s="25" t="n">
        <f>IF(K995=0,0,MIN(1,J995/K995))</f>
        <v>1</v>
      </c>
      <c r="P995" s="23" t="n">
        <f>IF(J995&gt;0,MAX(K995-J995,0),0)</f>
        <v>0</v>
      </c>
      <c r="Q995" s="23" t="n">
        <f>IF(J995=0,K995,0)</f>
        <v>0</v>
      </c>
      <c r="R995" s="23" t="n">
        <f>MAX(J995-K995,0)</f>
        <v>0</v>
      </c>
      <c r="S995" s="23" t="n">
        <f>IF(J995&gt;0,MAX(L995-J995,0),L995)</f>
        <v>0</v>
      </c>
    </row>
    <row r="996">
      <c r="A996" s="19" t="str">
        <v>英国区</v>
      </c>
      <c r="B996" s="19" t="str">
        <v>伯明翰23号仓</v>
      </c>
      <c r="C996" s="19" t="str">
        <v>包装组</v>
      </c>
      <c r="D996" s="21" t="n">
        <v>46202</v>
      </c>
      <c r="E996" s="19" t="str">
        <v>2026-06</v>
      </c>
      <c r="F996" s="19" t="str">
        <v>操作员</v>
      </c>
      <c r="G996" s="19" t="str">
        <v>英国区10:00-18:30 / UK 10:00-18:30</v>
      </c>
      <c r="H996" s="23" t="n">
        <v>3</v>
      </c>
      <c r="I996" s="23" t="n">
        <v>0</v>
      </c>
      <c r="J996" s="23" t="n">
        <f>H996+I996</f>
        <v>3</v>
      </c>
      <c r="K996" s="23" t="n">
        <v>3</v>
      </c>
      <c r="L996" s="23" t="n">
        <v>3</v>
      </c>
      <c r="M996" s="23" t="n">
        <f>MIN(K996,J996)</f>
        <v>3</v>
      </c>
      <c r="N996" s="23" t="n">
        <f>MIN(L996,J996)</f>
        <v>3</v>
      </c>
      <c r="O996" s="25" t="n">
        <f>IF(K996=0,0,MIN(1,J996/K996))</f>
        <v>1</v>
      </c>
      <c r="P996" s="23" t="n">
        <f>IF(J996&gt;0,MAX(K996-J996,0),0)</f>
        <v>0</v>
      </c>
      <c r="Q996" s="23" t="n">
        <f>IF(J996=0,K996,0)</f>
        <v>0</v>
      </c>
      <c r="R996" s="23" t="n">
        <f>MAX(J996-K996,0)</f>
        <v>0</v>
      </c>
      <c r="S996" s="23" t="n">
        <f>IF(J996&gt;0,MAX(L996-J996,0),L996)</f>
        <v>0</v>
      </c>
    </row>
    <row r="997">
      <c r="A997" s="19" t="str">
        <v>英国区</v>
      </c>
      <c r="B997" s="19" t="str">
        <v>伯明翰23号仓</v>
      </c>
      <c r="C997" s="19" t="str">
        <v>售后组</v>
      </c>
      <c r="D997" s="21" t="n">
        <v>46113</v>
      </c>
      <c r="E997" s="19" t="str">
        <v>2026-04</v>
      </c>
      <c r="F997" s="19" t="str">
        <v>售后处理员</v>
      </c>
      <c r="G997" s="19" t="str">
        <v>英国区09:00-17:30 / UK 09:00-17:30</v>
      </c>
      <c r="H997" s="23" t="n">
        <v>1</v>
      </c>
      <c r="I997" s="23" t="n">
        <v>0</v>
      </c>
      <c r="J997" s="23" t="n">
        <f>H997+I997</f>
        <v>1</v>
      </c>
      <c r="K997" s="23" t="n">
        <v>1</v>
      </c>
      <c r="L997" s="23" t="n">
        <v>1</v>
      </c>
      <c r="M997" s="23" t="n">
        <f>MIN(K997,J997)</f>
        <v>1</v>
      </c>
      <c r="N997" s="23" t="n">
        <f>MIN(L997,J997)</f>
        <v>1</v>
      </c>
      <c r="O997" s="25" t="n">
        <f>IF(K997=0,0,MIN(1,J997/K997))</f>
        <v>1</v>
      </c>
      <c r="P997" s="23" t="n">
        <f>IF(J997&gt;0,MAX(K997-J997,0),0)</f>
        <v>0</v>
      </c>
      <c r="Q997" s="23" t="n">
        <f>IF(J997=0,K997,0)</f>
        <v>0</v>
      </c>
      <c r="R997" s="23" t="n">
        <f>MAX(J997-K997,0)</f>
        <v>0</v>
      </c>
      <c r="S997" s="23" t="n">
        <f>IF(J997&gt;0,MAX(L997-J997,0),L997)</f>
        <v>0</v>
      </c>
    </row>
    <row r="998">
      <c r="A998" s="19" t="str">
        <v>英国区</v>
      </c>
      <c r="B998" s="19" t="str">
        <v>伯明翰23号仓</v>
      </c>
      <c r="C998" s="19" t="str">
        <v>售后组</v>
      </c>
      <c r="D998" s="21" t="n">
        <v>46156</v>
      </c>
      <c r="E998" s="19" t="str">
        <v>2026-05</v>
      </c>
      <c r="F998" s="19" t="str">
        <v>操作员</v>
      </c>
      <c r="G998" s="19" t="str">
        <v>英国区08:00-16:30 / UK 08:00-16:30</v>
      </c>
      <c r="H998" s="23" t="n">
        <v>2</v>
      </c>
      <c r="I998" s="23" t="n">
        <v>0</v>
      </c>
      <c r="J998" s="23" t="n">
        <f>H998+I998</f>
        <v>2</v>
      </c>
      <c r="K998" s="23" t="n">
        <v>2</v>
      </c>
      <c r="L998" s="23" t="n">
        <v>2</v>
      </c>
      <c r="M998" s="23" t="n">
        <f>MIN(K998,J998)</f>
        <v>2</v>
      </c>
      <c r="N998" s="23" t="n">
        <f>MIN(L998,J998)</f>
        <v>2</v>
      </c>
      <c r="O998" s="25" t="n">
        <f>IF(K998=0,0,MIN(1,J998/K998))</f>
        <v>1</v>
      </c>
      <c r="P998" s="23" t="n">
        <f>IF(J998&gt;0,MAX(K998-J998,0),0)</f>
        <v>0</v>
      </c>
      <c r="Q998" s="23" t="n">
        <f>IF(J998=0,K998,0)</f>
        <v>0</v>
      </c>
      <c r="R998" s="23" t="n">
        <f>MAX(J998-K998,0)</f>
        <v>0</v>
      </c>
      <c r="S998" s="23" t="n">
        <f>IF(J998&gt;0,MAX(L998-J998,0),L998)</f>
        <v>0</v>
      </c>
    </row>
    <row r="999">
      <c r="A999" s="19" t="str">
        <v>英国区</v>
      </c>
      <c r="B999" s="19" t="str">
        <v>伯明翰23号仓</v>
      </c>
      <c r="C999" s="19" t="str">
        <v>售后组</v>
      </c>
      <c r="D999" s="21" t="n">
        <v>46181</v>
      </c>
      <c r="E999" s="19" t="str">
        <v>2026-06</v>
      </c>
      <c r="F999" s="19" t="str">
        <v>操作员</v>
      </c>
      <c r="G999" s="19" t="str">
        <v>英国区10:00-18:30 / UK 10:00-18:30</v>
      </c>
      <c r="H999" s="23" t="n">
        <v>1</v>
      </c>
      <c r="I999" s="23" t="n">
        <v>0</v>
      </c>
      <c r="J999" s="23" t="n">
        <f>H999+I999</f>
        <v>1</v>
      </c>
      <c r="K999" s="23" t="n">
        <v>1</v>
      </c>
      <c r="L999" s="23" t="n">
        <v>1</v>
      </c>
      <c r="M999" s="23" t="n">
        <f>MIN(K999,J999)</f>
        <v>1</v>
      </c>
      <c r="N999" s="23" t="n">
        <f>MIN(L999,J999)</f>
        <v>1</v>
      </c>
      <c r="O999" s="25" t="n">
        <f>IF(K999=0,0,MIN(1,J999/K999))</f>
        <v>1</v>
      </c>
      <c r="P999" s="23" t="n">
        <f>IF(J999&gt;0,MAX(K999-J999,0),0)</f>
        <v>0</v>
      </c>
      <c r="Q999" s="23" t="n">
        <f>IF(J999=0,K999,0)</f>
        <v>0</v>
      </c>
      <c r="R999" s="23" t="n">
        <f>MAX(J999-K999,0)</f>
        <v>0</v>
      </c>
      <c r="S999" s="23" t="n">
        <f>IF(J999&gt;0,MAX(L999-J999,0),L999)</f>
        <v>0</v>
      </c>
    </row>
    <row r="1000">
      <c r="A1000" s="19" t="str">
        <v>英国区</v>
      </c>
      <c r="B1000" s="19" t="str">
        <v>伯明翰23号仓</v>
      </c>
      <c r="C1000" s="19" t="str">
        <v>售后组</v>
      </c>
      <c r="D1000" s="21" t="n">
        <v>46184</v>
      </c>
      <c r="E1000" s="19" t="str">
        <v>2026-06</v>
      </c>
      <c r="F1000" s="19" t="str">
        <v>操作员</v>
      </c>
      <c r="G1000" s="19" t="str">
        <v>英国区08:00-16:30 / UK 08:00-16:30</v>
      </c>
      <c r="H1000" s="23" t="n">
        <v>2</v>
      </c>
      <c r="I1000" s="23" t="n">
        <v>0</v>
      </c>
      <c r="J1000" s="23" t="n">
        <f>H1000+I1000</f>
        <v>2</v>
      </c>
      <c r="K1000" s="23" t="n">
        <v>2</v>
      </c>
      <c r="L1000" s="23" t="n">
        <v>2</v>
      </c>
      <c r="M1000" s="23" t="n">
        <f>MIN(K1000,J1000)</f>
        <v>2</v>
      </c>
      <c r="N1000" s="23" t="n">
        <f>MIN(L1000,J1000)</f>
        <v>2</v>
      </c>
      <c r="O1000" s="25" t="n">
        <f>IF(K1000=0,0,MIN(1,J1000/K1000))</f>
        <v>1</v>
      </c>
      <c r="P1000" s="23" t="n">
        <f>IF(J1000&gt;0,MAX(K1000-J1000,0),0)</f>
        <v>0</v>
      </c>
      <c r="Q1000" s="23" t="n">
        <f>IF(J1000=0,K1000,0)</f>
        <v>0</v>
      </c>
      <c r="R1000" s="23" t="n">
        <f>MAX(J1000-K1000,0)</f>
        <v>0</v>
      </c>
      <c r="S1000" s="23" t="n">
        <f>IF(J1000&gt;0,MAX(L1000-J1000,0),L1000)</f>
        <v>0</v>
      </c>
    </row>
    <row r="1001">
      <c r="A1001" s="19" t="str">
        <v>英国区</v>
      </c>
      <c r="B1001" s="19" t="str">
        <v>伯明翰23号仓</v>
      </c>
      <c r="C1001" s="19" t="str">
        <v>售后组</v>
      </c>
      <c r="D1001" s="21" t="n">
        <v>46185</v>
      </c>
      <c r="E1001" s="19" t="str">
        <v>2026-06</v>
      </c>
      <c r="F1001" s="19" t="str">
        <v>操作员</v>
      </c>
      <c r="G1001" s="19" t="str">
        <v>英国区08:00-16:30 / UK 08:00-16:30</v>
      </c>
      <c r="H1001" s="23" t="n">
        <v>1</v>
      </c>
      <c r="I1001" s="23" t="n">
        <v>0</v>
      </c>
      <c r="J1001" s="23" t="n">
        <f>H1001+I1001</f>
        <v>1</v>
      </c>
      <c r="K1001" s="23" t="n">
        <v>1</v>
      </c>
      <c r="L1001" s="23" t="n">
        <v>1</v>
      </c>
      <c r="M1001" s="23" t="n">
        <f>MIN(K1001,J1001)</f>
        <v>1</v>
      </c>
      <c r="N1001" s="23" t="n">
        <f>MIN(L1001,J1001)</f>
        <v>1</v>
      </c>
      <c r="O1001" s="25" t="n">
        <f>IF(K1001=0,0,MIN(1,J1001/K1001))</f>
        <v>1</v>
      </c>
      <c r="P1001" s="23" t="n">
        <f>IF(J1001&gt;0,MAX(K1001-J1001,0),0)</f>
        <v>0</v>
      </c>
      <c r="Q1001" s="23" t="n">
        <f>IF(J1001=0,K1001,0)</f>
        <v>0</v>
      </c>
      <c r="R1001" s="23" t="n">
        <f>MAX(J1001-K1001,0)</f>
        <v>0</v>
      </c>
      <c r="S1001" s="23" t="n">
        <f>IF(J1001&gt;0,MAX(L1001-J1001,0),L1001)</f>
        <v>0</v>
      </c>
    </row>
    <row r="1002">
      <c r="A1002" s="19" t="str">
        <v>英国区</v>
      </c>
      <c r="B1002" s="19" t="str">
        <v>伯明翰23号仓</v>
      </c>
      <c r="C1002" s="19" t="str">
        <v>售后组</v>
      </c>
      <c r="D1002" s="21" t="n">
        <v>46189</v>
      </c>
      <c r="E1002" s="19" t="str">
        <v>2026-06</v>
      </c>
      <c r="F1002" s="19" t="str">
        <v>操作员</v>
      </c>
      <c r="G1002" s="19" t="str">
        <v>英国区09:00-17:30 / UK 09:00-17:30</v>
      </c>
      <c r="H1002" s="23" t="n">
        <v>1</v>
      </c>
      <c r="I1002" s="23" t="n">
        <v>0</v>
      </c>
      <c r="J1002" s="23" t="n">
        <f>H1002+I1002</f>
        <v>1</v>
      </c>
      <c r="K1002" s="23" t="n">
        <v>1</v>
      </c>
      <c r="L1002" s="23" t="n">
        <v>0</v>
      </c>
      <c r="M1002" s="23" t="n">
        <f>MIN(K1002,J1002)</f>
        <v>1</v>
      </c>
      <c r="N1002" s="23" t="n">
        <f>MIN(L1002,J1002)</f>
        <v>0</v>
      </c>
      <c r="O1002" s="25" t="n">
        <f>IF(K1002=0,0,MIN(1,J1002/K1002))</f>
        <v>1</v>
      </c>
      <c r="P1002" s="23" t="n">
        <f>IF(J1002&gt;0,MAX(K1002-J1002,0),0)</f>
        <v>0</v>
      </c>
      <c r="Q1002" s="23" t="n">
        <f>IF(J1002=0,K1002,0)</f>
        <v>0</v>
      </c>
      <c r="R1002" s="23" t="n">
        <f>MAX(J1002-K1002,0)</f>
        <v>0</v>
      </c>
      <c r="S1002" s="23" t="n">
        <f>IF(J1002&gt;0,MAX(L1002-J1002,0),L1002)</f>
        <v>0</v>
      </c>
    </row>
    <row r="1003">
      <c r="A1003" s="19" t="str">
        <v>英国区</v>
      </c>
      <c r="B1003" s="19" t="str">
        <v>伯明翰23号仓</v>
      </c>
      <c r="C1003" s="19" t="str">
        <v>售后组</v>
      </c>
      <c r="D1003" s="21" t="n">
        <v>46192</v>
      </c>
      <c r="E1003" s="19" t="str">
        <v>2026-06</v>
      </c>
      <c r="F1003" s="19" t="str">
        <v>操作员</v>
      </c>
      <c r="G1003" s="19" t="str">
        <v>英国区09:00-17:30 / UK 09:00-17:30</v>
      </c>
      <c r="H1003" s="23" t="n">
        <v>1</v>
      </c>
      <c r="I1003" s="23" t="n">
        <v>0</v>
      </c>
      <c r="J1003" s="23" t="n">
        <f>H1003+I1003</f>
        <v>1</v>
      </c>
      <c r="K1003" s="23" t="n">
        <v>1</v>
      </c>
      <c r="L1003" s="23" t="n">
        <v>1</v>
      </c>
      <c r="M1003" s="23" t="n">
        <f>MIN(K1003,J1003)</f>
        <v>1</v>
      </c>
      <c r="N1003" s="23" t="n">
        <f>MIN(L1003,J1003)</f>
        <v>1</v>
      </c>
      <c r="O1003" s="25" t="n">
        <f>IF(K1003=0,0,MIN(1,J1003/K1003))</f>
        <v>1</v>
      </c>
      <c r="P1003" s="23" t="n">
        <f>IF(J1003&gt;0,MAX(K1003-J1003,0),0)</f>
        <v>0</v>
      </c>
      <c r="Q1003" s="23" t="n">
        <f>IF(J1003=0,K1003,0)</f>
        <v>0</v>
      </c>
      <c r="R1003" s="23" t="n">
        <f>MAX(J1003-K1003,0)</f>
        <v>0</v>
      </c>
      <c r="S1003" s="23" t="n">
        <f>IF(J1003&gt;0,MAX(L1003-J1003,0),L1003)</f>
        <v>0</v>
      </c>
    </row>
    <row r="1004">
      <c r="A1004" s="19" t="str">
        <v>英国区</v>
      </c>
      <c r="B1004" s="19" t="str">
        <v>伯明翰23号仓</v>
      </c>
      <c r="C1004" s="19" t="str">
        <v>售后组</v>
      </c>
      <c r="D1004" s="21" t="n">
        <v>46196</v>
      </c>
      <c r="E1004" s="19" t="str">
        <v>2026-06</v>
      </c>
      <c r="F1004" s="19" t="str">
        <v>操作员</v>
      </c>
      <c r="G1004" s="19" t="str">
        <v>英国区09:00-17:30 / UK 09:00-17:30</v>
      </c>
      <c r="H1004" s="23" t="n">
        <v>1</v>
      </c>
      <c r="I1004" s="23" t="n">
        <v>0</v>
      </c>
      <c r="J1004" s="23" t="n">
        <f>H1004+I1004</f>
        <v>1</v>
      </c>
      <c r="K1004" s="23" t="n">
        <v>1</v>
      </c>
      <c r="L1004" s="23" t="n">
        <v>1</v>
      </c>
      <c r="M1004" s="23" t="n">
        <f>MIN(K1004,J1004)</f>
        <v>1</v>
      </c>
      <c r="N1004" s="23" t="n">
        <f>MIN(L1004,J1004)</f>
        <v>1</v>
      </c>
      <c r="O1004" s="25" t="n">
        <f>IF(K1004=0,0,MIN(1,J1004/K1004))</f>
        <v>1</v>
      </c>
      <c r="P1004" s="23" t="n">
        <f>IF(J1004&gt;0,MAX(K1004-J1004,0),0)</f>
        <v>0</v>
      </c>
      <c r="Q1004" s="23" t="n">
        <f>IF(J1004=0,K1004,0)</f>
        <v>0</v>
      </c>
      <c r="R1004" s="23" t="n">
        <f>MAX(J1004-K1004,0)</f>
        <v>0</v>
      </c>
      <c r="S1004" s="23" t="n">
        <f>IF(J1004&gt;0,MAX(L1004-J1004,0),L1004)</f>
        <v>0</v>
      </c>
    </row>
    <row r="1005">
      <c r="A1005" s="19" t="str">
        <v>英国区</v>
      </c>
      <c r="B1005" s="19" t="str">
        <v>伯明翰23号仓</v>
      </c>
      <c r="C1005" s="19" t="str">
        <v>售后组</v>
      </c>
      <c r="D1005" s="21" t="n">
        <v>46197</v>
      </c>
      <c r="E1005" s="19" t="str">
        <v>2026-06</v>
      </c>
      <c r="F1005" s="19" t="str">
        <v>操作员</v>
      </c>
      <c r="G1005" s="19" t="str">
        <v>英国区09:00-17:30 / UK 09:00-17:30</v>
      </c>
      <c r="H1005" s="23" t="n">
        <v>2</v>
      </c>
      <c r="I1005" s="23" t="n">
        <v>0</v>
      </c>
      <c r="J1005" s="23" t="n">
        <f>H1005+I1005</f>
        <v>2</v>
      </c>
      <c r="K1005" s="23" t="n">
        <v>2</v>
      </c>
      <c r="L1005" s="23" t="n">
        <v>2</v>
      </c>
      <c r="M1005" s="23" t="n">
        <f>MIN(K1005,J1005)</f>
        <v>2</v>
      </c>
      <c r="N1005" s="23" t="n">
        <f>MIN(L1005,J1005)</f>
        <v>2</v>
      </c>
      <c r="O1005" s="25" t="n">
        <f>IF(K1005=0,0,MIN(1,J1005/K1005))</f>
        <v>1</v>
      </c>
      <c r="P1005" s="23" t="n">
        <f>IF(J1005&gt;0,MAX(K1005-J1005,0),0)</f>
        <v>0</v>
      </c>
      <c r="Q1005" s="23" t="n">
        <f>IF(J1005=0,K1005,0)</f>
        <v>0</v>
      </c>
      <c r="R1005" s="23" t="n">
        <f>MAX(J1005-K1005,0)</f>
        <v>0</v>
      </c>
      <c r="S1005" s="23" t="n">
        <f>IF(J1005&gt;0,MAX(L1005-J1005,0),L1005)</f>
        <v>0</v>
      </c>
    </row>
    <row r="1006">
      <c r="A1006" s="19" t="str">
        <v>英国区</v>
      </c>
      <c r="B1006" s="19" t="str">
        <v>伯明翰23号仓</v>
      </c>
      <c r="C1006" s="19" t="str">
        <v>售后组</v>
      </c>
      <c r="D1006" s="21" t="n">
        <v>46202</v>
      </c>
      <c r="E1006" s="19" t="str">
        <v>2026-06</v>
      </c>
      <c r="F1006" s="19" t="str">
        <v>操作员</v>
      </c>
      <c r="G1006" s="19" t="str">
        <v>英国区08:00-16:30 / UK 08:00-16:30</v>
      </c>
      <c r="H1006" s="23" t="n">
        <v>1</v>
      </c>
      <c r="I1006" s="23" t="n">
        <v>0</v>
      </c>
      <c r="J1006" s="23" t="n">
        <f>H1006+I1006</f>
        <v>1</v>
      </c>
      <c r="K1006" s="23" t="n">
        <v>1</v>
      </c>
      <c r="L1006" s="23" t="n">
        <v>1</v>
      </c>
      <c r="M1006" s="23" t="n">
        <f>MIN(K1006,J1006)</f>
        <v>1</v>
      </c>
      <c r="N1006" s="23" t="n">
        <f>MIN(L1006,J1006)</f>
        <v>1</v>
      </c>
      <c r="O1006" s="25" t="n">
        <f>IF(K1006=0,0,MIN(1,J1006/K1006))</f>
        <v>1</v>
      </c>
      <c r="P1006" s="23" t="n">
        <f>IF(J1006&gt;0,MAX(K1006-J1006,0),0)</f>
        <v>0</v>
      </c>
      <c r="Q1006" s="23" t="n">
        <f>IF(J1006=0,K1006,0)</f>
        <v>0</v>
      </c>
      <c r="R1006" s="23" t="n">
        <f>MAX(J1006-K1006,0)</f>
        <v>0</v>
      </c>
      <c r="S1006" s="23" t="n">
        <f>IF(J1006&gt;0,MAX(L1006-J1006,0),L1006)</f>
        <v>0</v>
      </c>
    </row>
    <row r="1007">
      <c r="A1007" s="19" t="str">
        <v>英国区</v>
      </c>
      <c r="B1007" s="19" t="str">
        <v>伯明翰23号仓</v>
      </c>
      <c r="C1007" s="19" t="str">
        <v>拣货组</v>
      </c>
      <c r="D1007" s="21" t="n">
        <v>46133</v>
      </c>
      <c r="E1007" s="19" t="str">
        <v>2026-04</v>
      </c>
      <c r="F1007" s="19" t="str">
        <v>操作员</v>
      </c>
      <c r="G1007" s="19" t="str">
        <v>英国区10:00-18:30 / UK 10:00-18:30</v>
      </c>
      <c r="H1007" s="23" t="n">
        <v>1</v>
      </c>
      <c r="I1007" s="23" t="n">
        <v>0</v>
      </c>
      <c r="J1007" s="23" t="n">
        <f>H1007+I1007</f>
        <v>1</v>
      </c>
      <c r="K1007" s="23" t="n">
        <v>1</v>
      </c>
      <c r="L1007" s="23" t="n">
        <v>1</v>
      </c>
      <c r="M1007" s="23" t="n">
        <f>MIN(K1007,J1007)</f>
        <v>1</v>
      </c>
      <c r="N1007" s="23" t="n">
        <f>MIN(L1007,J1007)</f>
        <v>1</v>
      </c>
      <c r="O1007" s="25" t="n">
        <f>IF(K1007=0,0,MIN(1,J1007/K1007))</f>
        <v>1</v>
      </c>
      <c r="P1007" s="23" t="n">
        <f>IF(J1007&gt;0,MAX(K1007-J1007,0),0)</f>
        <v>0</v>
      </c>
      <c r="Q1007" s="23" t="n">
        <f>IF(J1007=0,K1007,0)</f>
        <v>0</v>
      </c>
      <c r="R1007" s="23" t="n">
        <f>MAX(J1007-K1007,0)</f>
        <v>0</v>
      </c>
      <c r="S1007" s="23" t="n">
        <f>IF(J1007&gt;0,MAX(L1007-J1007,0),L1007)</f>
        <v>0</v>
      </c>
    </row>
    <row r="1008">
      <c r="A1008" s="19" t="str">
        <v>英国区</v>
      </c>
      <c r="B1008" s="19" t="str">
        <v>伯明翰23号仓</v>
      </c>
      <c r="C1008" s="19" t="str">
        <v>拣货组</v>
      </c>
      <c r="D1008" s="21" t="n">
        <v>46134</v>
      </c>
      <c r="E1008" s="19" t="str">
        <v>2026-04</v>
      </c>
      <c r="F1008" s="19" t="str">
        <v>操作员</v>
      </c>
      <c r="G1008" s="19" t="str">
        <v>英国区10:00-18:30 / UK 10:00-18:30</v>
      </c>
      <c r="H1008" s="23" t="n">
        <v>2</v>
      </c>
      <c r="I1008" s="23" t="n">
        <v>0</v>
      </c>
      <c r="J1008" s="23" t="n">
        <f>H1008+I1008</f>
        <v>2</v>
      </c>
      <c r="K1008" s="23" t="n">
        <v>2</v>
      </c>
      <c r="L1008" s="23" t="n">
        <v>2</v>
      </c>
      <c r="M1008" s="23" t="n">
        <f>MIN(K1008,J1008)</f>
        <v>2</v>
      </c>
      <c r="N1008" s="23" t="n">
        <f>MIN(L1008,J1008)</f>
        <v>2</v>
      </c>
      <c r="O1008" s="25" t="n">
        <f>IF(K1008=0,0,MIN(1,J1008/K1008))</f>
        <v>1</v>
      </c>
      <c r="P1008" s="23" t="n">
        <f>IF(J1008&gt;0,MAX(K1008-J1008,0),0)</f>
        <v>0</v>
      </c>
      <c r="Q1008" s="23" t="n">
        <f>IF(J1008=0,K1008,0)</f>
        <v>0</v>
      </c>
      <c r="R1008" s="23" t="n">
        <f>MAX(J1008-K1008,0)</f>
        <v>0</v>
      </c>
      <c r="S1008" s="23" t="n">
        <f>IF(J1008&gt;0,MAX(L1008-J1008,0),L1008)</f>
        <v>0</v>
      </c>
    </row>
    <row r="1009">
      <c r="A1009" s="19" t="str">
        <v>英国区</v>
      </c>
      <c r="B1009" s="19" t="str">
        <v>伯明翰23号仓</v>
      </c>
      <c r="C1009" s="19" t="str">
        <v>拣货组</v>
      </c>
      <c r="D1009" s="21" t="n">
        <v>46135</v>
      </c>
      <c r="E1009" s="19" t="str">
        <v>2026-04</v>
      </c>
      <c r="F1009" s="19" t="str">
        <v>操作员</v>
      </c>
      <c r="G1009" s="19" t="str">
        <v>英国区10:00-18:30 / UK 10:00-18:30</v>
      </c>
      <c r="H1009" s="23" t="n">
        <v>2</v>
      </c>
      <c r="I1009" s="23" t="n">
        <v>0</v>
      </c>
      <c r="J1009" s="23" t="n">
        <f>H1009+I1009</f>
        <v>2</v>
      </c>
      <c r="K1009" s="23" t="n">
        <v>2</v>
      </c>
      <c r="L1009" s="23" t="n">
        <v>2</v>
      </c>
      <c r="M1009" s="23" t="n">
        <f>MIN(K1009,J1009)</f>
        <v>2</v>
      </c>
      <c r="N1009" s="23" t="n">
        <f>MIN(L1009,J1009)</f>
        <v>2</v>
      </c>
      <c r="O1009" s="25" t="n">
        <f>IF(K1009=0,0,MIN(1,J1009/K1009))</f>
        <v>1</v>
      </c>
      <c r="P1009" s="23" t="n">
        <f>IF(J1009&gt;0,MAX(K1009-J1009,0),0)</f>
        <v>0</v>
      </c>
      <c r="Q1009" s="23" t="n">
        <f>IF(J1009=0,K1009,0)</f>
        <v>0</v>
      </c>
      <c r="R1009" s="23" t="n">
        <f>MAX(J1009-K1009,0)</f>
        <v>0</v>
      </c>
      <c r="S1009" s="23" t="n">
        <f>IF(J1009&gt;0,MAX(L1009-J1009,0),L1009)</f>
        <v>0</v>
      </c>
    </row>
    <row r="1010">
      <c r="A1010" s="19" t="str">
        <v>英国区</v>
      </c>
      <c r="B1010" s="19" t="str">
        <v>伯明翰23号仓</v>
      </c>
      <c r="C1010" s="19" t="str">
        <v>拣货组</v>
      </c>
      <c r="D1010" s="21" t="n">
        <v>46188</v>
      </c>
      <c r="E1010" s="19" t="str">
        <v>2026-06</v>
      </c>
      <c r="F1010" s="19" t="str">
        <v>操作员</v>
      </c>
      <c r="G1010" s="19" t="str">
        <v>英国区11:00-19:30 / UK 11:00-19:30</v>
      </c>
      <c r="H1010" s="23" t="n">
        <v>1</v>
      </c>
      <c r="I1010" s="23" t="n">
        <v>0</v>
      </c>
      <c r="J1010" s="23" t="n">
        <f>H1010+I1010</f>
        <v>1</v>
      </c>
      <c r="K1010" s="23" t="n">
        <v>1</v>
      </c>
      <c r="L1010" s="23" t="n">
        <v>1</v>
      </c>
      <c r="M1010" s="23" t="n">
        <f>MIN(K1010,J1010)</f>
        <v>1</v>
      </c>
      <c r="N1010" s="23" t="n">
        <f>MIN(L1010,J1010)</f>
        <v>1</v>
      </c>
      <c r="O1010" s="25" t="n">
        <f>IF(K1010=0,0,MIN(1,J1010/K1010))</f>
        <v>1</v>
      </c>
      <c r="P1010" s="23" t="n">
        <f>IF(J1010&gt;0,MAX(K1010-J1010,0),0)</f>
        <v>0</v>
      </c>
      <c r="Q1010" s="23" t="n">
        <f>IF(J1010=0,K1010,0)</f>
        <v>0</v>
      </c>
      <c r="R1010" s="23" t="n">
        <f>MAX(J1010-K1010,0)</f>
        <v>0</v>
      </c>
      <c r="S1010" s="23" t="n">
        <f>IF(J1010&gt;0,MAX(L1010-J1010,0),L1010)</f>
        <v>0</v>
      </c>
    </row>
    <row r="1011">
      <c r="A1011" s="19" t="str">
        <v>英国区</v>
      </c>
      <c r="B1011" s="19" t="str">
        <v>伯明翰23号仓</v>
      </c>
      <c r="C1011" s="19" t="str">
        <v>拣货组</v>
      </c>
      <c r="D1011" s="21" t="n">
        <v>46189</v>
      </c>
      <c r="E1011" s="19" t="str">
        <v>2026-06</v>
      </c>
      <c r="F1011" s="19" t="str">
        <v>操作员</v>
      </c>
      <c r="G1011" s="19" t="str">
        <v>英国区07:00-15:30 / UK 07:00-15:30</v>
      </c>
      <c r="H1011" s="23" t="n">
        <v>1</v>
      </c>
      <c r="I1011" s="23" t="n">
        <v>0</v>
      </c>
      <c r="J1011" s="23" t="n">
        <f>H1011+I1011</f>
        <v>1</v>
      </c>
      <c r="K1011" s="23" t="n">
        <v>1</v>
      </c>
      <c r="L1011" s="23" t="n">
        <v>0</v>
      </c>
      <c r="M1011" s="23" t="n">
        <f>MIN(K1011,J1011)</f>
        <v>1</v>
      </c>
      <c r="N1011" s="23" t="n">
        <f>MIN(L1011,J1011)</f>
        <v>0</v>
      </c>
      <c r="O1011" s="25" t="n">
        <f>IF(K1011=0,0,MIN(1,J1011/K1011))</f>
        <v>1</v>
      </c>
      <c r="P1011" s="23" t="n">
        <f>IF(J1011&gt;0,MAX(K1011-J1011,0),0)</f>
        <v>0</v>
      </c>
      <c r="Q1011" s="23" t="n">
        <f>IF(J1011=0,K1011,0)</f>
        <v>0</v>
      </c>
      <c r="R1011" s="23" t="n">
        <f>MAX(J1011-K1011,0)</f>
        <v>0</v>
      </c>
      <c r="S1011" s="23" t="n">
        <f>IF(J1011&gt;0,MAX(L1011-J1011,0),L1011)</f>
        <v>0</v>
      </c>
    </row>
    <row r="1012">
      <c r="A1012" s="19" t="str">
        <v>英国区</v>
      </c>
      <c r="B1012" s="19" t="str">
        <v>伯明翰23号仓</v>
      </c>
      <c r="C1012" s="19" t="str">
        <v>拣货组</v>
      </c>
      <c r="D1012" s="21" t="n">
        <v>46190</v>
      </c>
      <c r="E1012" s="19" t="str">
        <v>2026-06</v>
      </c>
      <c r="F1012" s="19" t="str">
        <v>操作员</v>
      </c>
      <c r="G1012" s="19" t="str">
        <v>英国区08:00-16:30 / UK 08:00-16:30</v>
      </c>
      <c r="H1012" s="23" t="n">
        <v>5</v>
      </c>
      <c r="I1012" s="23" t="n">
        <v>0</v>
      </c>
      <c r="J1012" s="23" t="n">
        <f>H1012+I1012</f>
        <v>5</v>
      </c>
      <c r="K1012" s="23" t="n">
        <v>5</v>
      </c>
      <c r="L1012" s="23" t="n">
        <v>5</v>
      </c>
      <c r="M1012" s="23" t="n">
        <f>MIN(K1012,J1012)</f>
        <v>5</v>
      </c>
      <c r="N1012" s="23" t="n">
        <f>MIN(L1012,J1012)</f>
        <v>5</v>
      </c>
      <c r="O1012" s="25" t="n">
        <f>IF(K1012=0,0,MIN(1,J1012/K1012))</f>
        <v>1</v>
      </c>
      <c r="P1012" s="23" t="n">
        <f>IF(J1012&gt;0,MAX(K1012-J1012,0),0)</f>
        <v>0</v>
      </c>
      <c r="Q1012" s="23" t="n">
        <f>IF(J1012=0,K1012,0)</f>
        <v>0</v>
      </c>
      <c r="R1012" s="23" t="n">
        <f>MAX(J1012-K1012,0)</f>
        <v>0</v>
      </c>
      <c r="S1012" s="23" t="n">
        <f>IF(J1012&gt;0,MAX(L1012-J1012,0),L1012)</f>
        <v>0</v>
      </c>
    </row>
    <row r="1013">
      <c r="A1013" s="19" t="str">
        <v>英国区</v>
      </c>
      <c r="B1013" s="19" t="str">
        <v>伯明翰23号仓</v>
      </c>
      <c r="C1013" s="19" t="str">
        <v>拣货组</v>
      </c>
      <c r="D1013" s="21" t="n">
        <v>46190</v>
      </c>
      <c r="E1013" s="19" t="str">
        <v>2026-06</v>
      </c>
      <c r="F1013" s="19" t="str">
        <v>操作员</v>
      </c>
      <c r="G1013" s="19" t="str">
        <v>英国区09:00-17:30 / UK 09:00-17:30</v>
      </c>
      <c r="H1013" s="23" t="n">
        <v>2</v>
      </c>
      <c r="I1013" s="23" t="n">
        <v>0</v>
      </c>
      <c r="J1013" s="23" t="n">
        <f>H1013+I1013</f>
        <v>2</v>
      </c>
      <c r="K1013" s="23" t="n">
        <v>2</v>
      </c>
      <c r="L1013" s="23" t="n">
        <v>2</v>
      </c>
      <c r="M1013" s="23" t="n">
        <f>MIN(K1013,J1013)</f>
        <v>2</v>
      </c>
      <c r="N1013" s="23" t="n">
        <f>MIN(L1013,J1013)</f>
        <v>2</v>
      </c>
      <c r="O1013" s="25" t="n">
        <f>IF(K1013=0,0,MIN(1,J1013/K1013))</f>
        <v>1</v>
      </c>
      <c r="P1013" s="23" t="n">
        <f>IF(J1013&gt;0,MAX(K1013-J1013,0),0)</f>
        <v>0</v>
      </c>
      <c r="Q1013" s="23" t="n">
        <f>IF(J1013=0,K1013,0)</f>
        <v>0</v>
      </c>
      <c r="R1013" s="23" t="n">
        <f>MAX(J1013-K1013,0)</f>
        <v>0</v>
      </c>
      <c r="S1013" s="23" t="n">
        <f>IF(J1013&gt;0,MAX(L1013-J1013,0),L1013)</f>
        <v>0</v>
      </c>
    </row>
    <row r="1014">
      <c r="A1014" s="19" t="str">
        <v>英国区</v>
      </c>
      <c r="B1014" s="19" t="str">
        <v>伯明翰23号仓</v>
      </c>
      <c r="C1014" s="19" t="str">
        <v>拣货组</v>
      </c>
      <c r="D1014" s="21" t="n">
        <v>46190</v>
      </c>
      <c r="E1014" s="19" t="str">
        <v>2026-06</v>
      </c>
      <c r="F1014" s="19" t="str">
        <v>操作员</v>
      </c>
      <c r="G1014" s="19" t="str">
        <v>英国区10:00-18:30 / UK 10:00-18:30</v>
      </c>
      <c r="H1014" s="23" t="n">
        <v>1</v>
      </c>
      <c r="I1014" s="23" t="n">
        <v>0</v>
      </c>
      <c r="J1014" s="23" t="n">
        <f>H1014+I1014</f>
        <v>1</v>
      </c>
      <c r="K1014" s="23" t="n">
        <v>1</v>
      </c>
      <c r="L1014" s="23" t="n">
        <v>1</v>
      </c>
      <c r="M1014" s="23" t="n">
        <f>MIN(K1014,J1014)</f>
        <v>1</v>
      </c>
      <c r="N1014" s="23" t="n">
        <f>MIN(L1014,J1014)</f>
        <v>1</v>
      </c>
      <c r="O1014" s="25" t="n">
        <f>IF(K1014=0,0,MIN(1,J1014/K1014))</f>
        <v>1</v>
      </c>
      <c r="P1014" s="23" t="n">
        <f>IF(J1014&gt;0,MAX(K1014-J1014,0),0)</f>
        <v>0</v>
      </c>
      <c r="Q1014" s="23" t="n">
        <f>IF(J1014=0,K1014,0)</f>
        <v>0</v>
      </c>
      <c r="R1014" s="23" t="n">
        <f>MAX(J1014-K1014,0)</f>
        <v>0</v>
      </c>
      <c r="S1014" s="23" t="n">
        <f>IF(J1014&gt;0,MAX(L1014-J1014,0),L1014)</f>
        <v>0</v>
      </c>
    </row>
    <row r="1015">
      <c r="A1015" s="19" t="str">
        <v>英国区</v>
      </c>
      <c r="B1015" s="19" t="str">
        <v>伯明翰23号仓</v>
      </c>
      <c r="C1015" s="19" t="str">
        <v>拣货组</v>
      </c>
      <c r="D1015" s="21" t="n">
        <v>46190</v>
      </c>
      <c r="E1015" s="19" t="str">
        <v>2026-06</v>
      </c>
      <c r="F1015" s="19" t="str">
        <v>操作员</v>
      </c>
      <c r="G1015" s="19" t="str">
        <v>英国区15:00-00:30 / UK 15:00-00:30</v>
      </c>
      <c r="H1015" s="23" t="n">
        <v>2</v>
      </c>
      <c r="I1015" s="23" t="n">
        <v>0</v>
      </c>
      <c r="J1015" s="23" t="n">
        <f>H1015+I1015</f>
        <v>2</v>
      </c>
      <c r="K1015" s="23" t="n">
        <v>2</v>
      </c>
      <c r="L1015" s="23" t="n">
        <v>2</v>
      </c>
      <c r="M1015" s="23" t="n">
        <f>MIN(K1015,J1015)</f>
        <v>2</v>
      </c>
      <c r="N1015" s="23" t="n">
        <f>MIN(L1015,J1015)</f>
        <v>2</v>
      </c>
      <c r="O1015" s="25" t="n">
        <f>IF(K1015=0,0,MIN(1,J1015/K1015))</f>
        <v>1</v>
      </c>
      <c r="P1015" s="23" t="n">
        <f>IF(J1015&gt;0,MAX(K1015-J1015,0),0)</f>
        <v>0</v>
      </c>
      <c r="Q1015" s="23" t="n">
        <f>IF(J1015=0,K1015,0)</f>
        <v>0</v>
      </c>
      <c r="R1015" s="23" t="n">
        <f>MAX(J1015-K1015,0)</f>
        <v>0</v>
      </c>
      <c r="S1015" s="23" t="n">
        <f>IF(J1015&gt;0,MAX(L1015-J1015,0),L1015)</f>
        <v>0</v>
      </c>
    </row>
    <row r="1016">
      <c r="A1016" s="19" t="str">
        <v>英国区</v>
      </c>
      <c r="B1016" s="19" t="str">
        <v>伯明翰23号仓</v>
      </c>
      <c r="C1016" s="19" t="str">
        <v>拣货组</v>
      </c>
      <c r="D1016" s="21" t="n">
        <v>46190</v>
      </c>
      <c r="E1016" s="19" t="str">
        <v>2026-06</v>
      </c>
      <c r="F1016" s="19" t="str">
        <v>操作员</v>
      </c>
      <c r="G1016" s="19" t="str">
        <v>英国区22:00-06:30 / UK 22:00-06:30</v>
      </c>
      <c r="H1016" s="23" t="n">
        <v>2</v>
      </c>
      <c r="I1016" s="23" t="n">
        <v>0</v>
      </c>
      <c r="J1016" s="23" t="n">
        <f>H1016+I1016</f>
        <v>2</v>
      </c>
      <c r="K1016" s="23" t="n">
        <v>2</v>
      </c>
      <c r="L1016" s="23" t="n">
        <v>2</v>
      </c>
      <c r="M1016" s="23" t="n">
        <f>MIN(K1016,J1016)</f>
        <v>2</v>
      </c>
      <c r="N1016" s="23" t="n">
        <f>MIN(L1016,J1016)</f>
        <v>2</v>
      </c>
      <c r="O1016" s="25" t="n">
        <f>IF(K1016=0,0,MIN(1,J1016/K1016))</f>
        <v>1</v>
      </c>
      <c r="P1016" s="23" t="n">
        <f>IF(J1016&gt;0,MAX(K1016-J1016,0),0)</f>
        <v>0</v>
      </c>
      <c r="Q1016" s="23" t="n">
        <f>IF(J1016=0,K1016,0)</f>
        <v>0</v>
      </c>
      <c r="R1016" s="23" t="n">
        <f>MAX(J1016-K1016,0)</f>
        <v>0</v>
      </c>
      <c r="S1016" s="23" t="n">
        <f>IF(J1016&gt;0,MAX(L1016-J1016,0),L1016)</f>
        <v>0</v>
      </c>
    </row>
    <row r="1017">
      <c r="A1017" s="19" t="str">
        <v>英国区</v>
      </c>
      <c r="B1017" s="19" t="str">
        <v>伯明翰23号仓</v>
      </c>
      <c r="C1017" s="19" t="str">
        <v>拣货组</v>
      </c>
      <c r="D1017" s="21" t="n">
        <v>46196</v>
      </c>
      <c r="E1017" s="19" t="str">
        <v>2026-06</v>
      </c>
      <c r="F1017" s="19" t="str">
        <v>操作员</v>
      </c>
      <c r="G1017" s="19" t="str">
        <v>英国区09:00-17:30 / UK 09:00-17:30</v>
      </c>
      <c r="H1017" s="23" t="n">
        <v>2</v>
      </c>
      <c r="I1017" s="23" t="n">
        <v>0</v>
      </c>
      <c r="J1017" s="23" t="n">
        <f>H1017+I1017</f>
        <v>2</v>
      </c>
      <c r="K1017" s="23" t="n">
        <v>2</v>
      </c>
      <c r="L1017" s="23" t="n">
        <v>2</v>
      </c>
      <c r="M1017" s="23" t="n">
        <f>MIN(K1017,J1017)</f>
        <v>2</v>
      </c>
      <c r="N1017" s="23" t="n">
        <f>MIN(L1017,J1017)</f>
        <v>2</v>
      </c>
      <c r="O1017" s="25" t="n">
        <f>IF(K1017=0,0,MIN(1,J1017/K1017))</f>
        <v>1</v>
      </c>
      <c r="P1017" s="23" t="n">
        <f>IF(J1017&gt;0,MAX(K1017-J1017,0),0)</f>
        <v>0</v>
      </c>
      <c r="Q1017" s="23" t="n">
        <f>IF(J1017=0,K1017,0)</f>
        <v>0</v>
      </c>
      <c r="R1017" s="23" t="n">
        <f>MAX(J1017-K1017,0)</f>
        <v>0</v>
      </c>
      <c r="S1017" s="23" t="n">
        <f>IF(J1017&gt;0,MAX(L1017-J1017,0),L1017)</f>
        <v>0</v>
      </c>
    </row>
    <row r="1018">
      <c r="A1018" s="19" t="str">
        <v>英国区</v>
      </c>
      <c r="B1018" s="19" t="str">
        <v>伯明翰23号仓</v>
      </c>
      <c r="C1018" s="19" t="str">
        <v>拣货组</v>
      </c>
      <c r="D1018" s="21" t="n">
        <v>46197</v>
      </c>
      <c r="E1018" s="19" t="str">
        <v>2026-06</v>
      </c>
      <c r="F1018" s="19" t="str">
        <v>操作员</v>
      </c>
      <c r="G1018" s="19" t="str">
        <v>英国区09:00-17:30 / UK 09:00-17:30</v>
      </c>
      <c r="H1018" s="23" t="n">
        <v>8</v>
      </c>
      <c r="I1018" s="23" t="n">
        <v>0</v>
      </c>
      <c r="J1018" s="23" t="n">
        <f>H1018+I1018</f>
        <v>8</v>
      </c>
      <c r="K1018" s="23" t="n">
        <v>8</v>
      </c>
      <c r="L1018" s="23" t="n">
        <v>8</v>
      </c>
      <c r="M1018" s="23" t="n">
        <f>MIN(K1018,J1018)</f>
        <v>8</v>
      </c>
      <c r="N1018" s="23" t="n">
        <f>MIN(L1018,J1018)</f>
        <v>8</v>
      </c>
      <c r="O1018" s="25" t="n">
        <f>IF(K1018=0,0,MIN(1,J1018/K1018))</f>
        <v>1</v>
      </c>
      <c r="P1018" s="23" t="n">
        <f>IF(J1018&gt;0,MAX(K1018-J1018,0),0)</f>
        <v>0</v>
      </c>
      <c r="Q1018" s="23" t="n">
        <f>IF(J1018=0,K1018,0)</f>
        <v>0</v>
      </c>
      <c r="R1018" s="23" t="n">
        <f>MAX(J1018-K1018,0)</f>
        <v>0</v>
      </c>
      <c r="S1018" s="23" t="n">
        <f>IF(J1018&gt;0,MAX(L1018-J1018,0),L1018)</f>
        <v>0</v>
      </c>
    </row>
    <row r="1019">
      <c r="A1019" s="19" t="str">
        <v>英国区</v>
      </c>
      <c r="B1019" s="19" t="str">
        <v>伯明翰23号仓</v>
      </c>
      <c r="C1019" s="19" t="str">
        <v>拣货组</v>
      </c>
      <c r="D1019" s="21" t="n">
        <v>46202</v>
      </c>
      <c r="E1019" s="19" t="str">
        <v>2026-06</v>
      </c>
      <c r="F1019" s="19" t="str">
        <v>操作员</v>
      </c>
      <c r="G1019" s="19" t="str">
        <v>英国区10:00-18:30 / UK 10:00-18:30</v>
      </c>
      <c r="H1019" s="23" t="n">
        <v>2</v>
      </c>
      <c r="I1019" s="23" t="n">
        <v>0</v>
      </c>
      <c r="J1019" s="23" t="n">
        <f>H1019+I1019</f>
        <v>2</v>
      </c>
      <c r="K1019" s="23" t="n">
        <v>2</v>
      </c>
      <c r="L1019" s="23" t="n">
        <v>2</v>
      </c>
      <c r="M1019" s="23" t="n">
        <f>MIN(K1019,J1019)</f>
        <v>2</v>
      </c>
      <c r="N1019" s="23" t="n">
        <f>MIN(L1019,J1019)</f>
        <v>2</v>
      </c>
      <c r="O1019" s="25" t="n">
        <f>IF(K1019=0,0,MIN(1,J1019/K1019))</f>
        <v>1</v>
      </c>
      <c r="P1019" s="23" t="n">
        <f>IF(J1019&gt;0,MAX(K1019-J1019,0),0)</f>
        <v>0</v>
      </c>
      <c r="Q1019" s="23" t="n">
        <f>IF(J1019=0,K1019,0)</f>
        <v>0</v>
      </c>
      <c r="R1019" s="23" t="n">
        <f>MAX(J1019-K1019,0)</f>
        <v>0</v>
      </c>
      <c r="S1019" s="23" t="n">
        <f>IF(J1019&gt;0,MAX(L1019-J1019,0),L1019)</f>
        <v>0</v>
      </c>
    </row>
    <row r="1020">
      <c r="A1020" s="19" t="str">
        <v>英国区</v>
      </c>
      <c r="B1020" s="19" t="str">
        <v>伯明翰23号仓</v>
      </c>
      <c r="C1020" s="19" t="str">
        <v>理货组</v>
      </c>
      <c r="D1020" s="21" t="n">
        <v>46114</v>
      </c>
      <c r="E1020" s="19" t="str">
        <v>2026-04</v>
      </c>
      <c r="F1020" s="19" t="str">
        <v>保洁员</v>
      </c>
      <c r="G1020" s="19" t="str">
        <v>英国区11:00-19:30 / UK 11:00-19:30</v>
      </c>
      <c r="H1020" s="23" t="n">
        <v>1</v>
      </c>
      <c r="I1020" s="23" t="n">
        <v>0</v>
      </c>
      <c r="J1020" s="23" t="n">
        <f>H1020+I1020</f>
        <v>1</v>
      </c>
      <c r="K1020" s="23" t="n">
        <v>1</v>
      </c>
      <c r="L1020" s="23" t="n">
        <v>1</v>
      </c>
      <c r="M1020" s="23" t="n">
        <f>MIN(K1020,J1020)</f>
        <v>1</v>
      </c>
      <c r="N1020" s="23" t="n">
        <f>MIN(L1020,J1020)</f>
        <v>1</v>
      </c>
      <c r="O1020" s="25" t="n">
        <f>IF(K1020=0,0,MIN(1,J1020/K1020))</f>
        <v>1</v>
      </c>
      <c r="P1020" s="23" t="n">
        <f>IF(J1020&gt;0,MAX(K1020-J1020,0),0)</f>
        <v>0</v>
      </c>
      <c r="Q1020" s="23" t="n">
        <f>IF(J1020=0,K1020,0)</f>
        <v>0</v>
      </c>
      <c r="R1020" s="23" t="n">
        <f>MAX(J1020-K1020,0)</f>
        <v>0</v>
      </c>
      <c r="S1020" s="23" t="n">
        <f>IF(J1020&gt;0,MAX(L1020-J1020,0),L1020)</f>
        <v>0</v>
      </c>
    </row>
    <row r="1021">
      <c r="A1021" s="19" t="str">
        <v>英国区</v>
      </c>
      <c r="B1021" s="19" t="str">
        <v>伯明翰23号仓</v>
      </c>
      <c r="C1021" s="19" t="str">
        <v>理货组</v>
      </c>
      <c r="D1021" s="21" t="n">
        <v>46177</v>
      </c>
      <c r="E1021" s="19" t="str">
        <v>2026-06</v>
      </c>
      <c r="F1021" s="19" t="str">
        <v>操作员</v>
      </c>
      <c r="G1021" s="19" t="str">
        <v>英国区15:00-00:30 / UK 15:00-00:30</v>
      </c>
      <c r="H1021" s="23" t="n">
        <v>2</v>
      </c>
      <c r="I1021" s="23" t="n">
        <v>0</v>
      </c>
      <c r="J1021" s="23" t="n">
        <f>H1021+I1021</f>
        <v>2</v>
      </c>
      <c r="K1021" s="23" t="n">
        <v>2</v>
      </c>
      <c r="L1021" s="23" t="n">
        <v>2</v>
      </c>
      <c r="M1021" s="23" t="n">
        <f>MIN(K1021,J1021)</f>
        <v>2</v>
      </c>
      <c r="N1021" s="23" t="n">
        <f>MIN(L1021,J1021)</f>
        <v>2</v>
      </c>
      <c r="O1021" s="25" t="n">
        <f>IF(K1021=0,0,MIN(1,J1021/K1021))</f>
        <v>1</v>
      </c>
      <c r="P1021" s="23" t="n">
        <f>IF(J1021&gt;0,MAX(K1021-J1021,0),0)</f>
        <v>0</v>
      </c>
      <c r="Q1021" s="23" t="n">
        <f>IF(J1021=0,K1021,0)</f>
        <v>0</v>
      </c>
      <c r="R1021" s="23" t="n">
        <f>MAX(J1021-K1021,0)</f>
        <v>0</v>
      </c>
      <c r="S1021" s="23" t="n">
        <f>IF(J1021&gt;0,MAX(L1021-J1021,0),L1021)</f>
        <v>0</v>
      </c>
    </row>
    <row r="1022">
      <c r="A1022" s="19" t="str">
        <v>英国区</v>
      </c>
      <c r="B1022" s="19" t="str">
        <v>伯明翰25号仓</v>
      </c>
      <c r="C1022" s="19" t="str">
        <v>入库组</v>
      </c>
      <c r="D1022" s="21" t="n">
        <v>46119</v>
      </c>
      <c r="E1022" s="19" t="str">
        <v>2026-04</v>
      </c>
      <c r="F1022" s="19" t="str">
        <v>操作员</v>
      </c>
      <c r="G1022" s="19" t="str">
        <v>英国区10:00-18:30 / UK 10:00-18:30</v>
      </c>
      <c r="H1022" s="23" t="n">
        <v>3</v>
      </c>
      <c r="I1022" s="23" t="n">
        <v>0</v>
      </c>
      <c r="J1022" s="23" t="n">
        <f>H1022+I1022</f>
        <v>3</v>
      </c>
      <c r="K1022" s="23" t="n">
        <v>3</v>
      </c>
      <c r="L1022" s="23" t="n">
        <v>2</v>
      </c>
      <c r="M1022" s="23" t="n">
        <f>MIN(K1022,J1022)</f>
        <v>3</v>
      </c>
      <c r="N1022" s="23" t="n">
        <f>MIN(L1022,J1022)</f>
        <v>2</v>
      </c>
      <c r="O1022" s="25" t="n">
        <f>IF(K1022=0,0,MIN(1,J1022/K1022))</f>
        <v>1</v>
      </c>
      <c r="P1022" s="23" t="n">
        <f>IF(J1022&gt;0,MAX(K1022-J1022,0),0)</f>
        <v>0</v>
      </c>
      <c r="Q1022" s="23" t="n">
        <f>IF(J1022=0,K1022,0)</f>
        <v>0</v>
      </c>
      <c r="R1022" s="23" t="n">
        <f>MAX(J1022-K1022,0)</f>
        <v>0</v>
      </c>
      <c r="S1022" s="23" t="n">
        <f>IF(J1022&gt;0,MAX(L1022-J1022,0),L1022)</f>
        <v>0</v>
      </c>
    </row>
    <row r="1023">
      <c r="A1023" s="19" t="str">
        <v>英国区</v>
      </c>
      <c r="B1023" s="19" t="str">
        <v>伯明翰25号仓</v>
      </c>
      <c r="C1023" s="19" t="str">
        <v>入库组</v>
      </c>
      <c r="D1023" s="21" t="n">
        <v>46120</v>
      </c>
      <c r="E1023" s="19" t="str">
        <v>2026-04</v>
      </c>
      <c r="F1023" s="19" t="str">
        <v>操作员</v>
      </c>
      <c r="G1023" s="19" t="str">
        <v>英国区10:00-18:30 / UK 10:00-18:30</v>
      </c>
      <c r="H1023" s="23" t="n">
        <v>3</v>
      </c>
      <c r="I1023" s="23" t="n">
        <v>0</v>
      </c>
      <c r="J1023" s="23" t="n">
        <f>H1023+I1023</f>
        <v>3</v>
      </c>
      <c r="K1023" s="23" t="n">
        <v>3</v>
      </c>
      <c r="L1023" s="23" t="n">
        <v>3</v>
      </c>
      <c r="M1023" s="23" t="n">
        <f>MIN(K1023,J1023)</f>
        <v>3</v>
      </c>
      <c r="N1023" s="23" t="n">
        <f>MIN(L1023,J1023)</f>
        <v>3</v>
      </c>
      <c r="O1023" s="25" t="n">
        <f>IF(K1023=0,0,MIN(1,J1023/K1023))</f>
        <v>1</v>
      </c>
      <c r="P1023" s="23" t="n">
        <f>IF(J1023&gt;0,MAX(K1023-J1023,0),0)</f>
        <v>0</v>
      </c>
      <c r="Q1023" s="23" t="n">
        <f>IF(J1023=0,K1023,0)</f>
        <v>0</v>
      </c>
      <c r="R1023" s="23" t="n">
        <f>MAX(J1023-K1023,0)</f>
        <v>0</v>
      </c>
      <c r="S1023" s="23" t="n">
        <f>IF(J1023&gt;0,MAX(L1023-J1023,0),L1023)</f>
        <v>0</v>
      </c>
    </row>
    <row r="1024">
      <c r="A1024" s="19" t="str">
        <v>英国区</v>
      </c>
      <c r="B1024" s="19" t="str">
        <v>伯明翰25号仓</v>
      </c>
      <c r="C1024" s="19" t="str">
        <v>入库组</v>
      </c>
      <c r="D1024" s="21" t="n">
        <v>46121</v>
      </c>
      <c r="E1024" s="19" t="str">
        <v>2026-04</v>
      </c>
      <c r="F1024" s="19" t="str">
        <v>操作员</v>
      </c>
      <c r="G1024" s="19" t="str">
        <v>英国区10:00-18:30 / UK 10:00-18:30</v>
      </c>
      <c r="H1024" s="23" t="n">
        <v>3</v>
      </c>
      <c r="I1024" s="23" t="n">
        <v>0</v>
      </c>
      <c r="J1024" s="23" t="n">
        <f>H1024+I1024</f>
        <v>3</v>
      </c>
      <c r="K1024" s="23" t="n">
        <v>3</v>
      </c>
      <c r="L1024" s="23" t="n">
        <v>3</v>
      </c>
      <c r="M1024" s="23" t="n">
        <f>MIN(K1024,J1024)</f>
        <v>3</v>
      </c>
      <c r="N1024" s="23" t="n">
        <f>MIN(L1024,J1024)</f>
        <v>3</v>
      </c>
      <c r="O1024" s="25" t="n">
        <f>IF(K1024=0,0,MIN(1,J1024/K1024))</f>
        <v>1</v>
      </c>
      <c r="P1024" s="23" t="n">
        <f>IF(J1024&gt;0,MAX(K1024-J1024,0),0)</f>
        <v>0</v>
      </c>
      <c r="Q1024" s="23" t="n">
        <f>IF(J1024=0,K1024,0)</f>
        <v>0</v>
      </c>
      <c r="R1024" s="23" t="n">
        <f>MAX(J1024-K1024,0)</f>
        <v>0</v>
      </c>
      <c r="S1024" s="23" t="n">
        <f>IF(J1024&gt;0,MAX(L1024-J1024,0),L1024)</f>
        <v>0</v>
      </c>
    </row>
    <row r="1025">
      <c r="A1025" s="19" t="str">
        <v>英国区</v>
      </c>
      <c r="B1025" s="19" t="str">
        <v>伯明翰25号仓</v>
      </c>
      <c r="C1025" s="19" t="str">
        <v>入库组</v>
      </c>
      <c r="D1025" s="21" t="n">
        <v>46133</v>
      </c>
      <c r="E1025" s="19" t="str">
        <v>2026-04</v>
      </c>
      <c r="F1025" s="19" t="str">
        <v>操作员</v>
      </c>
      <c r="G1025" s="19" t="str">
        <v>英国区08:00-16:30 / UK 08:00-16:30</v>
      </c>
      <c r="H1025" s="23" t="n">
        <v>3</v>
      </c>
      <c r="I1025" s="23" t="n">
        <v>0</v>
      </c>
      <c r="J1025" s="23" t="n">
        <f>H1025+I1025</f>
        <v>3</v>
      </c>
      <c r="K1025" s="23" t="n">
        <v>3</v>
      </c>
      <c r="L1025" s="23" t="n">
        <v>3</v>
      </c>
      <c r="M1025" s="23" t="n">
        <f>MIN(K1025,J1025)</f>
        <v>3</v>
      </c>
      <c r="N1025" s="23" t="n">
        <f>MIN(L1025,J1025)</f>
        <v>3</v>
      </c>
      <c r="O1025" s="25" t="n">
        <f>IF(K1025=0,0,MIN(1,J1025/K1025))</f>
        <v>1</v>
      </c>
      <c r="P1025" s="23" t="n">
        <f>IF(J1025&gt;0,MAX(K1025-J1025,0),0)</f>
        <v>0</v>
      </c>
      <c r="Q1025" s="23" t="n">
        <f>IF(J1025=0,K1025,0)</f>
        <v>0</v>
      </c>
      <c r="R1025" s="23" t="n">
        <f>MAX(J1025-K1025,0)</f>
        <v>0</v>
      </c>
      <c r="S1025" s="23" t="n">
        <f>IF(J1025&gt;0,MAX(L1025-J1025,0),L1025)</f>
        <v>0</v>
      </c>
    </row>
    <row r="1026">
      <c r="A1026" s="19" t="str">
        <v>英国区</v>
      </c>
      <c r="B1026" s="19" t="str">
        <v>伯明翰25号仓</v>
      </c>
      <c r="C1026" s="19" t="str">
        <v>入库组</v>
      </c>
      <c r="D1026" s="21" t="n">
        <v>46134</v>
      </c>
      <c r="E1026" s="19" t="str">
        <v>2026-04</v>
      </c>
      <c r="F1026" s="19" t="str">
        <v>操作员</v>
      </c>
      <c r="G1026" s="19" t="str">
        <v>英国区08:00-16:30 / UK 08:00-16:30</v>
      </c>
      <c r="H1026" s="23" t="n">
        <v>6</v>
      </c>
      <c r="I1026" s="23" t="n">
        <v>0</v>
      </c>
      <c r="J1026" s="23" t="n">
        <f>H1026+I1026</f>
        <v>6</v>
      </c>
      <c r="K1026" s="23" t="n">
        <v>6</v>
      </c>
      <c r="L1026" s="23" t="n">
        <v>6</v>
      </c>
      <c r="M1026" s="23" t="n">
        <f>MIN(K1026,J1026)</f>
        <v>6</v>
      </c>
      <c r="N1026" s="23" t="n">
        <f>MIN(L1026,J1026)</f>
        <v>6</v>
      </c>
      <c r="O1026" s="25" t="n">
        <f>IF(K1026=0,0,MIN(1,J1026/K1026))</f>
        <v>1</v>
      </c>
      <c r="P1026" s="23" t="n">
        <f>IF(J1026&gt;0,MAX(K1026-J1026,0),0)</f>
        <v>0</v>
      </c>
      <c r="Q1026" s="23" t="n">
        <f>IF(J1026=0,K1026,0)</f>
        <v>0</v>
      </c>
      <c r="R1026" s="23" t="n">
        <f>MAX(J1026-K1026,0)</f>
        <v>0</v>
      </c>
      <c r="S1026" s="23" t="n">
        <f>IF(J1026&gt;0,MAX(L1026-J1026,0),L1026)</f>
        <v>0</v>
      </c>
    </row>
    <row r="1027">
      <c r="A1027" s="19" t="str">
        <v>英国区</v>
      </c>
      <c r="B1027" s="19" t="str">
        <v>伯明翰25号仓</v>
      </c>
      <c r="C1027" s="19" t="str">
        <v>入库组</v>
      </c>
      <c r="D1027" s="21" t="n">
        <v>46135</v>
      </c>
      <c r="E1027" s="19" t="str">
        <v>2026-04</v>
      </c>
      <c r="F1027" s="19" t="str">
        <v>操作员</v>
      </c>
      <c r="G1027" s="19" t="str">
        <v>英国区08:00-16:30 / UK 08:00-16:30</v>
      </c>
      <c r="H1027" s="23" t="n">
        <v>6</v>
      </c>
      <c r="I1027" s="23" t="n">
        <v>0</v>
      </c>
      <c r="J1027" s="23" t="n">
        <f>H1027+I1027</f>
        <v>6</v>
      </c>
      <c r="K1027" s="23" t="n">
        <v>3</v>
      </c>
      <c r="L1027" s="23" t="n">
        <v>3</v>
      </c>
      <c r="M1027" s="23" t="n">
        <f>MIN(K1027,J1027)</f>
        <v>3</v>
      </c>
      <c r="N1027" s="23" t="n">
        <f>MIN(L1027,J1027)</f>
        <v>3</v>
      </c>
      <c r="O1027" s="25" t="n">
        <f>IF(K1027=0,0,MIN(1,J1027/K1027))</f>
        <v>1</v>
      </c>
      <c r="P1027" s="23" t="n">
        <f>IF(J1027&gt;0,MAX(K1027-J1027,0),0)</f>
        <v>0</v>
      </c>
      <c r="Q1027" s="23" t="n">
        <f>IF(J1027=0,K1027,0)</f>
        <v>0</v>
      </c>
      <c r="R1027" s="23" t="n">
        <f>MAX(J1027-K1027,0)</f>
        <v>3</v>
      </c>
      <c r="S1027" s="23" t="n">
        <f>IF(J1027&gt;0,MAX(L1027-J1027,0),L1027)</f>
        <v>0</v>
      </c>
    </row>
    <row r="1028">
      <c r="A1028" s="19" t="str">
        <v>英国区</v>
      </c>
      <c r="B1028" s="19" t="str">
        <v>伯明翰25号仓</v>
      </c>
      <c r="C1028" s="19" t="str">
        <v>入库组</v>
      </c>
      <c r="D1028" s="21" t="n">
        <v>46160</v>
      </c>
      <c r="E1028" s="19" t="str">
        <v>2026-05</v>
      </c>
      <c r="F1028" s="19" t="str">
        <v>操作员</v>
      </c>
      <c r="G1028" s="19" t="str">
        <v>英国区10:00-18:30 / UK 10:00-18:30</v>
      </c>
      <c r="H1028" s="23" t="n">
        <v>2</v>
      </c>
      <c r="I1028" s="23" t="n">
        <v>0</v>
      </c>
      <c r="J1028" s="23" t="n">
        <f>H1028+I1028</f>
        <v>2</v>
      </c>
      <c r="K1028" s="23" t="n">
        <v>2</v>
      </c>
      <c r="L1028" s="23" t="n">
        <v>2</v>
      </c>
      <c r="M1028" s="23" t="n">
        <f>MIN(K1028,J1028)</f>
        <v>2</v>
      </c>
      <c r="N1028" s="23" t="n">
        <f>MIN(L1028,J1028)</f>
        <v>2</v>
      </c>
      <c r="O1028" s="25" t="n">
        <f>IF(K1028=0,0,MIN(1,J1028/K1028))</f>
        <v>1</v>
      </c>
      <c r="P1028" s="23" t="n">
        <f>IF(J1028&gt;0,MAX(K1028-J1028,0),0)</f>
        <v>0</v>
      </c>
      <c r="Q1028" s="23" t="n">
        <f>IF(J1028=0,K1028,0)</f>
        <v>0</v>
      </c>
      <c r="R1028" s="23" t="n">
        <f>MAX(J1028-K1028,0)</f>
        <v>0</v>
      </c>
      <c r="S1028" s="23" t="n">
        <f>IF(J1028&gt;0,MAX(L1028-J1028,0),L1028)</f>
        <v>0</v>
      </c>
    </row>
    <row r="1029">
      <c r="A1029" s="19" t="str">
        <v>英国区</v>
      </c>
      <c r="B1029" s="19" t="str">
        <v>伯明翰25号仓</v>
      </c>
      <c r="C1029" s="19" t="str">
        <v>入库组</v>
      </c>
      <c r="D1029" s="21" t="n">
        <v>46161</v>
      </c>
      <c r="E1029" s="19" t="str">
        <v>2026-05</v>
      </c>
      <c r="F1029" s="19" t="str">
        <v>操作员</v>
      </c>
      <c r="G1029" s="19" t="str">
        <v>英国区10:00-18:30 / UK 10:00-18:30</v>
      </c>
      <c r="H1029" s="23" t="n">
        <v>2</v>
      </c>
      <c r="I1029" s="23" t="n">
        <v>0</v>
      </c>
      <c r="J1029" s="23" t="n">
        <f>H1029+I1029</f>
        <v>2</v>
      </c>
      <c r="K1029" s="23" t="n">
        <v>2</v>
      </c>
      <c r="L1029" s="23" t="n">
        <v>2</v>
      </c>
      <c r="M1029" s="23" t="n">
        <f>MIN(K1029,J1029)</f>
        <v>2</v>
      </c>
      <c r="N1029" s="23" t="n">
        <f>MIN(L1029,J1029)</f>
        <v>2</v>
      </c>
      <c r="O1029" s="25" t="n">
        <f>IF(K1029=0,0,MIN(1,J1029/K1029))</f>
        <v>1</v>
      </c>
      <c r="P1029" s="23" t="n">
        <f>IF(J1029&gt;0,MAX(K1029-J1029,0),0)</f>
        <v>0</v>
      </c>
      <c r="Q1029" s="23" t="n">
        <f>IF(J1029=0,K1029,0)</f>
        <v>0</v>
      </c>
      <c r="R1029" s="23" t="n">
        <f>MAX(J1029-K1029,0)</f>
        <v>0</v>
      </c>
      <c r="S1029" s="23" t="n">
        <f>IF(J1029&gt;0,MAX(L1029-J1029,0),L1029)</f>
        <v>0</v>
      </c>
    </row>
    <row r="1030">
      <c r="A1030" s="19" t="str">
        <v>英国区</v>
      </c>
      <c r="B1030" s="19" t="str">
        <v>伯明翰25号仓</v>
      </c>
      <c r="C1030" s="19" t="str">
        <v>入库组</v>
      </c>
      <c r="D1030" s="21" t="n">
        <v>46162</v>
      </c>
      <c r="E1030" s="19" t="str">
        <v>2026-05</v>
      </c>
      <c r="F1030" s="19" t="str">
        <v>操作员</v>
      </c>
      <c r="G1030" s="19" t="str">
        <v>英国区10:00-18:30 / UK 10:00-18:30</v>
      </c>
      <c r="H1030" s="23" t="n">
        <v>2</v>
      </c>
      <c r="I1030" s="23" t="n">
        <v>0</v>
      </c>
      <c r="J1030" s="23" t="n">
        <f>H1030+I1030</f>
        <v>2</v>
      </c>
      <c r="K1030" s="23" t="n">
        <v>2</v>
      </c>
      <c r="L1030" s="23" t="n">
        <v>1</v>
      </c>
      <c r="M1030" s="23" t="n">
        <f>MIN(K1030,J1030)</f>
        <v>2</v>
      </c>
      <c r="N1030" s="23" t="n">
        <f>MIN(L1030,J1030)</f>
        <v>1</v>
      </c>
      <c r="O1030" s="25" t="n">
        <f>IF(K1030=0,0,MIN(1,J1030/K1030))</f>
        <v>1</v>
      </c>
      <c r="P1030" s="23" t="n">
        <f>IF(J1030&gt;0,MAX(K1030-J1030,0),0)</f>
        <v>0</v>
      </c>
      <c r="Q1030" s="23" t="n">
        <f>IF(J1030=0,K1030,0)</f>
        <v>0</v>
      </c>
      <c r="R1030" s="23" t="n">
        <f>MAX(J1030-K1030,0)</f>
        <v>0</v>
      </c>
      <c r="S1030" s="23" t="n">
        <f>IF(J1030&gt;0,MAX(L1030-J1030,0),L1030)</f>
        <v>0</v>
      </c>
    </row>
    <row r="1031">
      <c r="A1031" s="19" t="str">
        <v>英国区</v>
      </c>
      <c r="B1031" s="19" t="str">
        <v>伯明翰25号仓</v>
      </c>
      <c r="C1031" s="19" t="str">
        <v>入库组</v>
      </c>
      <c r="D1031" s="21" t="n">
        <v>46163</v>
      </c>
      <c r="E1031" s="19" t="str">
        <v>2026-05</v>
      </c>
      <c r="F1031" s="19" t="str">
        <v>操作员</v>
      </c>
      <c r="G1031" s="19" t="str">
        <v>英国区09:00-17:30 / UK 09:00-17:30</v>
      </c>
      <c r="H1031" s="23" t="n">
        <v>2</v>
      </c>
      <c r="I1031" s="23" t="n">
        <v>0</v>
      </c>
      <c r="J1031" s="23" t="n">
        <f>H1031+I1031</f>
        <v>2</v>
      </c>
      <c r="K1031" s="23" t="n">
        <v>2</v>
      </c>
      <c r="L1031" s="23" t="n">
        <v>2</v>
      </c>
      <c r="M1031" s="23" t="n">
        <f>MIN(K1031,J1031)</f>
        <v>2</v>
      </c>
      <c r="N1031" s="23" t="n">
        <f>MIN(L1031,J1031)</f>
        <v>2</v>
      </c>
      <c r="O1031" s="25" t="n">
        <f>IF(K1031=0,0,MIN(1,J1031/K1031))</f>
        <v>1</v>
      </c>
      <c r="P1031" s="23" t="n">
        <f>IF(J1031&gt;0,MAX(K1031-J1031,0),0)</f>
        <v>0</v>
      </c>
      <c r="Q1031" s="23" t="n">
        <f>IF(J1031=0,K1031,0)</f>
        <v>0</v>
      </c>
      <c r="R1031" s="23" t="n">
        <f>MAX(J1031-K1031,0)</f>
        <v>0</v>
      </c>
      <c r="S1031" s="23" t="n">
        <f>IF(J1031&gt;0,MAX(L1031-J1031,0),L1031)</f>
        <v>0</v>
      </c>
    </row>
    <row r="1032">
      <c r="A1032" s="19" t="str">
        <v>英国区</v>
      </c>
      <c r="B1032" s="19" t="str">
        <v>伯明翰25号仓</v>
      </c>
      <c r="C1032" s="19" t="str">
        <v>入库组</v>
      </c>
      <c r="D1032" s="21" t="n">
        <v>46163</v>
      </c>
      <c r="E1032" s="19" t="str">
        <v>2026-05</v>
      </c>
      <c r="F1032" s="19" t="str">
        <v>操作员</v>
      </c>
      <c r="G1032" s="19" t="str">
        <v>英国区10:00-18:30 / UK 10:00-18:30</v>
      </c>
      <c r="H1032" s="23" t="n">
        <v>2</v>
      </c>
      <c r="I1032" s="23" t="n">
        <v>0</v>
      </c>
      <c r="J1032" s="23" t="n">
        <f>H1032+I1032</f>
        <v>2</v>
      </c>
      <c r="K1032" s="23" t="n">
        <v>2</v>
      </c>
      <c r="L1032" s="23" t="n">
        <v>2</v>
      </c>
      <c r="M1032" s="23" t="n">
        <f>MIN(K1032,J1032)</f>
        <v>2</v>
      </c>
      <c r="N1032" s="23" t="n">
        <f>MIN(L1032,J1032)</f>
        <v>2</v>
      </c>
      <c r="O1032" s="25" t="n">
        <f>IF(K1032=0,0,MIN(1,J1032/K1032))</f>
        <v>1</v>
      </c>
      <c r="P1032" s="23" t="n">
        <f>IF(J1032&gt;0,MAX(K1032-J1032,0),0)</f>
        <v>0</v>
      </c>
      <c r="Q1032" s="23" t="n">
        <f>IF(J1032=0,K1032,0)</f>
        <v>0</v>
      </c>
      <c r="R1032" s="23" t="n">
        <f>MAX(J1032-K1032,0)</f>
        <v>0</v>
      </c>
      <c r="S1032" s="23" t="n">
        <f>IF(J1032&gt;0,MAX(L1032-J1032,0),L1032)</f>
        <v>0</v>
      </c>
    </row>
    <row r="1033">
      <c r="A1033" s="19" t="str">
        <v>英国区</v>
      </c>
      <c r="B1033" s="19" t="str">
        <v>伯明翰25号仓</v>
      </c>
      <c r="C1033" s="19" t="str">
        <v>入库组</v>
      </c>
      <c r="D1033" s="21" t="n">
        <v>46174</v>
      </c>
      <c r="E1033" s="19" t="str">
        <v>2026-06</v>
      </c>
      <c r="F1033" s="19" t="str">
        <v>操作员</v>
      </c>
      <c r="G1033" s="19" t="str">
        <v>英国区08:00-16:30 / UK 08:00-16:30</v>
      </c>
      <c r="H1033" s="23" t="n">
        <v>4</v>
      </c>
      <c r="I1033" s="23" t="n">
        <v>0</v>
      </c>
      <c r="J1033" s="23" t="n">
        <f>H1033+I1033</f>
        <v>4</v>
      </c>
      <c r="K1033" s="23" t="n">
        <v>4</v>
      </c>
      <c r="L1033" s="23" t="n">
        <v>4</v>
      </c>
      <c r="M1033" s="23" t="n">
        <f>MIN(K1033,J1033)</f>
        <v>4</v>
      </c>
      <c r="N1033" s="23" t="n">
        <f>MIN(L1033,J1033)</f>
        <v>4</v>
      </c>
      <c r="O1033" s="25" t="n">
        <f>IF(K1033=0,0,MIN(1,J1033/K1033))</f>
        <v>1</v>
      </c>
      <c r="P1033" s="23" t="n">
        <f>IF(J1033&gt;0,MAX(K1033-J1033,0),0)</f>
        <v>0</v>
      </c>
      <c r="Q1033" s="23" t="n">
        <f>IF(J1033=0,K1033,0)</f>
        <v>0</v>
      </c>
      <c r="R1033" s="23" t="n">
        <f>MAX(J1033-K1033,0)</f>
        <v>0</v>
      </c>
      <c r="S1033" s="23" t="n">
        <f>IF(J1033&gt;0,MAX(L1033-J1033,0),L1033)</f>
        <v>0</v>
      </c>
    </row>
    <row r="1034">
      <c r="A1034" s="19" t="str">
        <v>英国区</v>
      </c>
      <c r="B1034" s="19" t="str">
        <v>伯明翰25号仓</v>
      </c>
      <c r="C1034" s="19" t="str">
        <v>入库组</v>
      </c>
      <c r="D1034" s="21" t="n">
        <v>46175</v>
      </c>
      <c r="E1034" s="19" t="str">
        <v>2026-06</v>
      </c>
      <c r="F1034" s="19" t="str">
        <v>操作员</v>
      </c>
      <c r="G1034" s="19" t="str">
        <v>英国区08:00-16:30 / UK 08:00-16:30</v>
      </c>
      <c r="H1034" s="23" t="n">
        <v>5</v>
      </c>
      <c r="I1034" s="23" t="n">
        <v>0</v>
      </c>
      <c r="J1034" s="23" t="n">
        <f>H1034+I1034</f>
        <v>5</v>
      </c>
      <c r="K1034" s="23" t="n">
        <v>5</v>
      </c>
      <c r="L1034" s="23" t="n">
        <v>5</v>
      </c>
      <c r="M1034" s="23" t="n">
        <f>MIN(K1034,J1034)</f>
        <v>5</v>
      </c>
      <c r="N1034" s="23" t="n">
        <f>MIN(L1034,J1034)</f>
        <v>5</v>
      </c>
      <c r="O1034" s="25" t="n">
        <f>IF(K1034=0,0,MIN(1,J1034/K1034))</f>
        <v>1</v>
      </c>
      <c r="P1034" s="23" t="n">
        <f>IF(J1034&gt;0,MAX(K1034-J1034,0),0)</f>
        <v>0</v>
      </c>
      <c r="Q1034" s="23" t="n">
        <f>IF(J1034=0,K1034,0)</f>
        <v>0</v>
      </c>
      <c r="R1034" s="23" t="n">
        <f>MAX(J1034-K1034,0)</f>
        <v>0</v>
      </c>
      <c r="S1034" s="23" t="n">
        <f>IF(J1034&gt;0,MAX(L1034-J1034,0),L1034)</f>
        <v>0</v>
      </c>
    </row>
    <row r="1035">
      <c r="A1035" s="19" t="str">
        <v>英国区</v>
      </c>
      <c r="B1035" s="19" t="str">
        <v>伯明翰25号仓</v>
      </c>
      <c r="C1035" s="19" t="str">
        <v>入库组</v>
      </c>
      <c r="D1035" s="21" t="n">
        <v>46176</v>
      </c>
      <c r="E1035" s="19" t="str">
        <v>2026-06</v>
      </c>
      <c r="F1035" s="19" t="str">
        <v>叉车司机</v>
      </c>
      <c r="G1035" s="19" t="str">
        <v>英国区10:00-18:30 / UK 10:00-18:30</v>
      </c>
      <c r="H1035" s="23" t="n">
        <v>3</v>
      </c>
      <c r="I1035" s="23" t="n">
        <v>0</v>
      </c>
      <c r="J1035" s="23" t="n">
        <f>H1035+I1035</f>
        <v>3</v>
      </c>
      <c r="K1035" s="23" t="n">
        <v>3</v>
      </c>
      <c r="L1035" s="23" t="n">
        <v>3</v>
      </c>
      <c r="M1035" s="23" t="n">
        <f>MIN(K1035,J1035)</f>
        <v>3</v>
      </c>
      <c r="N1035" s="23" t="n">
        <f>MIN(L1035,J1035)</f>
        <v>3</v>
      </c>
      <c r="O1035" s="25" t="n">
        <f>IF(K1035=0,0,MIN(1,J1035/K1035))</f>
        <v>1</v>
      </c>
      <c r="P1035" s="23" t="n">
        <f>IF(J1035&gt;0,MAX(K1035-J1035,0),0)</f>
        <v>0</v>
      </c>
      <c r="Q1035" s="23" t="n">
        <f>IF(J1035=0,K1035,0)</f>
        <v>0</v>
      </c>
      <c r="R1035" s="23" t="n">
        <f>MAX(J1035-K1035,0)</f>
        <v>0</v>
      </c>
      <c r="S1035" s="23" t="n">
        <f>IF(J1035&gt;0,MAX(L1035-J1035,0),L1035)</f>
        <v>0</v>
      </c>
    </row>
    <row r="1036">
      <c r="A1036" s="19" t="str">
        <v>英国区</v>
      </c>
      <c r="B1036" s="19" t="str">
        <v>伯明翰25号仓</v>
      </c>
      <c r="C1036" s="19" t="str">
        <v>入库组</v>
      </c>
      <c r="D1036" s="21" t="n">
        <v>46177</v>
      </c>
      <c r="E1036" s="19" t="str">
        <v>2026-06</v>
      </c>
      <c r="F1036" s="19" t="str">
        <v>叉车司机</v>
      </c>
      <c r="G1036" s="19" t="str">
        <v>英国区10:00-18:30 / UK 10:00-18:30</v>
      </c>
      <c r="H1036" s="23" t="n">
        <v>4</v>
      </c>
      <c r="I1036" s="23" t="n">
        <v>0</v>
      </c>
      <c r="J1036" s="23" t="n">
        <f>H1036+I1036</f>
        <v>4</v>
      </c>
      <c r="K1036" s="23" t="n">
        <v>4</v>
      </c>
      <c r="L1036" s="23" t="n">
        <v>2</v>
      </c>
      <c r="M1036" s="23" t="n">
        <f>MIN(K1036,J1036)</f>
        <v>4</v>
      </c>
      <c r="N1036" s="23" t="n">
        <f>MIN(L1036,J1036)</f>
        <v>2</v>
      </c>
      <c r="O1036" s="25" t="n">
        <f>IF(K1036=0,0,MIN(1,J1036/K1036))</f>
        <v>1</v>
      </c>
      <c r="P1036" s="23" t="n">
        <f>IF(J1036&gt;0,MAX(K1036-J1036,0),0)</f>
        <v>0</v>
      </c>
      <c r="Q1036" s="23" t="n">
        <f>IF(J1036=0,K1036,0)</f>
        <v>0</v>
      </c>
      <c r="R1036" s="23" t="n">
        <f>MAX(J1036-K1036,0)</f>
        <v>0</v>
      </c>
      <c r="S1036" s="23" t="n">
        <f>IF(J1036&gt;0,MAX(L1036-J1036,0),L1036)</f>
        <v>0</v>
      </c>
    </row>
    <row r="1037">
      <c r="A1037" s="19" t="str">
        <v>英国区</v>
      </c>
      <c r="B1037" s="19" t="str">
        <v>伯明翰25号仓</v>
      </c>
      <c r="C1037" s="19" t="str">
        <v>入库组</v>
      </c>
      <c r="D1037" s="21" t="n">
        <v>46178</v>
      </c>
      <c r="E1037" s="19" t="str">
        <v>2026-06</v>
      </c>
      <c r="F1037" s="19" t="str">
        <v>操作员</v>
      </c>
      <c r="G1037" s="19" t="str">
        <v>英国区08:00-16:30 / UK 08:00-16:30</v>
      </c>
      <c r="H1037" s="23" t="n">
        <v>3</v>
      </c>
      <c r="I1037" s="23" t="n">
        <v>0</v>
      </c>
      <c r="J1037" s="23" t="n">
        <f>H1037+I1037</f>
        <v>3</v>
      </c>
      <c r="K1037" s="23" t="n">
        <v>3</v>
      </c>
      <c r="L1037" s="23" t="n">
        <v>3</v>
      </c>
      <c r="M1037" s="23" t="n">
        <f>MIN(K1037,J1037)</f>
        <v>3</v>
      </c>
      <c r="N1037" s="23" t="n">
        <f>MIN(L1037,J1037)</f>
        <v>3</v>
      </c>
      <c r="O1037" s="25" t="n">
        <f>IF(K1037=0,0,MIN(1,J1037/K1037))</f>
        <v>1</v>
      </c>
      <c r="P1037" s="23" t="n">
        <f>IF(J1037&gt;0,MAX(K1037-J1037,0),0)</f>
        <v>0</v>
      </c>
      <c r="Q1037" s="23" t="n">
        <f>IF(J1037=0,K1037,0)</f>
        <v>0</v>
      </c>
      <c r="R1037" s="23" t="n">
        <f>MAX(J1037-K1037,0)</f>
        <v>0</v>
      </c>
      <c r="S1037" s="23" t="n">
        <f>IF(J1037&gt;0,MAX(L1037-J1037,0),L1037)</f>
        <v>0</v>
      </c>
    </row>
    <row r="1038">
      <c r="A1038" s="19" t="str">
        <v>英国区</v>
      </c>
      <c r="B1038" s="19" t="str">
        <v>伯明翰25号仓</v>
      </c>
      <c r="C1038" s="19" t="str">
        <v>入库组</v>
      </c>
      <c r="D1038" s="21" t="n">
        <v>46203</v>
      </c>
      <c r="E1038" s="19" t="str">
        <v>2026-06</v>
      </c>
      <c r="F1038" s="19" t="str">
        <v>叉车司机</v>
      </c>
      <c r="G1038" s="19" t="str">
        <v>英国区07:00-15:30 / UK 07:00-15:30</v>
      </c>
      <c r="H1038" s="23" t="n">
        <v>5</v>
      </c>
      <c r="I1038" s="23" t="n">
        <v>0</v>
      </c>
      <c r="J1038" s="23" t="n">
        <f>H1038+I1038</f>
        <v>5</v>
      </c>
      <c r="K1038" s="23" t="n">
        <v>5</v>
      </c>
      <c r="L1038" s="23" t="n">
        <v>1</v>
      </c>
      <c r="M1038" s="23" t="n">
        <f>MIN(K1038,J1038)</f>
        <v>5</v>
      </c>
      <c r="N1038" s="23" t="n">
        <f>MIN(L1038,J1038)</f>
        <v>1</v>
      </c>
      <c r="O1038" s="25" t="n">
        <f>IF(K1038=0,0,MIN(1,J1038/K1038))</f>
        <v>1</v>
      </c>
      <c r="P1038" s="23" t="n">
        <f>IF(J1038&gt;0,MAX(K1038-J1038,0),0)</f>
        <v>0</v>
      </c>
      <c r="Q1038" s="23" t="n">
        <f>IF(J1038=0,K1038,0)</f>
        <v>0</v>
      </c>
      <c r="R1038" s="23" t="n">
        <f>MAX(J1038-K1038,0)</f>
        <v>0</v>
      </c>
      <c r="S1038" s="23" t="n">
        <f>IF(J1038&gt;0,MAX(L1038-J1038,0),L1038)</f>
        <v>0</v>
      </c>
    </row>
    <row r="1039">
      <c r="A1039" s="19" t="str">
        <v>英国区</v>
      </c>
      <c r="B1039" s="19" t="str">
        <v>伯明翰25号仓</v>
      </c>
      <c r="C1039" s="19" t="str">
        <v>入库组</v>
      </c>
      <c r="D1039" s="21" t="n">
        <v>46203</v>
      </c>
      <c r="E1039" s="19" t="str">
        <v>2026-06</v>
      </c>
      <c r="F1039" s="19" t="str">
        <v>操作员</v>
      </c>
      <c r="G1039" s="19" t="str">
        <v>英国灵活（跨天） / UK FLEX (CROSS-DAY)</v>
      </c>
      <c r="H1039" s="23" t="n">
        <v>1</v>
      </c>
      <c r="I1039" s="23" t="n">
        <v>0</v>
      </c>
      <c r="J1039" s="23" t="n">
        <f>H1039+I1039</f>
        <v>1</v>
      </c>
      <c r="K1039" s="23" t="n">
        <v>1</v>
      </c>
      <c r="L1039" s="23" t="n">
        <v>1</v>
      </c>
      <c r="M1039" s="23" t="n">
        <f>MIN(K1039,J1039)</f>
        <v>1</v>
      </c>
      <c r="N1039" s="23" t="n">
        <f>MIN(L1039,J1039)</f>
        <v>1</v>
      </c>
      <c r="O1039" s="25" t="n">
        <f>IF(K1039=0,0,MIN(1,J1039/K1039))</f>
        <v>1</v>
      </c>
      <c r="P1039" s="23" t="n">
        <f>IF(J1039&gt;0,MAX(K1039-J1039,0),0)</f>
        <v>0</v>
      </c>
      <c r="Q1039" s="23" t="n">
        <f>IF(J1039=0,K1039,0)</f>
        <v>0</v>
      </c>
      <c r="R1039" s="23" t="n">
        <f>MAX(J1039-K1039,0)</f>
        <v>0</v>
      </c>
      <c r="S1039" s="23" t="n">
        <f>IF(J1039&gt;0,MAX(L1039-J1039,0),L1039)</f>
        <v>0</v>
      </c>
    </row>
    <row r="1040">
      <c r="A1040" s="19" t="str">
        <v>英国区</v>
      </c>
      <c r="B1040" s="19" t="str">
        <v>伯明翰25号仓</v>
      </c>
      <c r="C1040" s="19" t="str">
        <v>包装组</v>
      </c>
      <c r="D1040" s="21" t="n">
        <v>46126</v>
      </c>
      <c r="E1040" s="19" t="str">
        <v>2026-04</v>
      </c>
      <c r="F1040" s="19" t="str">
        <v>操作员</v>
      </c>
      <c r="G1040" s="19" t="str">
        <v>英国区10:00-18:30 / UK 10:00-18:30</v>
      </c>
      <c r="H1040" s="23" t="n">
        <v>1</v>
      </c>
      <c r="I1040" s="23" t="n">
        <v>0</v>
      </c>
      <c r="J1040" s="23" t="n">
        <f>H1040+I1040</f>
        <v>1</v>
      </c>
      <c r="K1040" s="23" t="n">
        <v>1</v>
      </c>
      <c r="L1040" s="23" t="n">
        <v>1</v>
      </c>
      <c r="M1040" s="23" t="n">
        <f>MIN(K1040,J1040)</f>
        <v>1</v>
      </c>
      <c r="N1040" s="23" t="n">
        <f>MIN(L1040,J1040)</f>
        <v>1</v>
      </c>
      <c r="O1040" s="25" t="n">
        <f>IF(K1040=0,0,MIN(1,J1040/K1040))</f>
        <v>1</v>
      </c>
      <c r="P1040" s="23" t="n">
        <f>IF(J1040&gt;0,MAX(K1040-J1040,0),0)</f>
        <v>0</v>
      </c>
      <c r="Q1040" s="23" t="n">
        <f>IF(J1040=0,K1040,0)</f>
        <v>0</v>
      </c>
      <c r="R1040" s="23" t="n">
        <f>MAX(J1040-K1040,0)</f>
        <v>0</v>
      </c>
      <c r="S1040" s="23" t="n">
        <f>IF(J1040&gt;0,MAX(L1040-J1040,0),L1040)</f>
        <v>0</v>
      </c>
    </row>
    <row r="1041">
      <c r="A1041" s="19" t="str">
        <v>英国区</v>
      </c>
      <c r="B1041" s="19" t="str">
        <v>伯明翰25号仓</v>
      </c>
      <c r="C1041" s="19" t="str">
        <v>包装组</v>
      </c>
      <c r="D1041" s="21" t="n">
        <v>46129</v>
      </c>
      <c r="E1041" s="19" t="str">
        <v>2026-04</v>
      </c>
      <c r="F1041" s="19" t="str">
        <v>操作员</v>
      </c>
      <c r="G1041" s="19" t="str">
        <v>英国区10:00-18:30 / UK 10:00-18:30</v>
      </c>
      <c r="H1041" s="23" t="n">
        <v>1</v>
      </c>
      <c r="I1041" s="23" t="n">
        <v>0</v>
      </c>
      <c r="J1041" s="23" t="n">
        <f>H1041+I1041</f>
        <v>1</v>
      </c>
      <c r="K1041" s="23" t="n">
        <v>1</v>
      </c>
      <c r="L1041" s="23" t="n">
        <v>1</v>
      </c>
      <c r="M1041" s="23" t="n">
        <f>MIN(K1041,J1041)</f>
        <v>1</v>
      </c>
      <c r="N1041" s="23" t="n">
        <f>MIN(L1041,J1041)</f>
        <v>1</v>
      </c>
      <c r="O1041" s="25" t="n">
        <f>IF(K1041=0,0,MIN(1,J1041/K1041))</f>
        <v>1</v>
      </c>
      <c r="P1041" s="23" t="n">
        <f>IF(J1041&gt;0,MAX(K1041-J1041,0),0)</f>
        <v>0</v>
      </c>
      <c r="Q1041" s="23" t="n">
        <f>IF(J1041=0,K1041,0)</f>
        <v>0</v>
      </c>
      <c r="R1041" s="23" t="n">
        <f>MAX(J1041-K1041,0)</f>
        <v>0</v>
      </c>
      <c r="S1041" s="23" t="n">
        <f>IF(J1041&gt;0,MAX(L1041-J1041,0),L1041)</f>
        <v>0</v>
      </c>
    </row>
    <row r="1042">
      <c r="A1042" s="19" t="str">
        <v>英国区</v>
      </c>
      <c r="B1042" s="19" t="str">
        <v>伯明翰25号仓</v>
      </c>
      <c r="C1042" s="19" t="str">
        <v>包装组</v>
      </c>
      <c r="D1042" s="21" t="n">
        <v>46133</v>
      </c>
      <c r="E1042" s="19" t="str">
        <v>2026-04</v>
      </c>
      <c r="F1042" s="19" t="str">
        <v>操作员</v>
      </c>
      <c r="G1042" s="19" t="str">
        <v>英国区11:00-19:30 / UK 11:00-19:30</v>
      </c>
      <c r="H1042" s="23" t="n">
        <v>3</v>
      </c>
      <c r="I1042" s="23" t="n">
        <v>0</v>
      </c>
      <c r="J1042" s="23" t="n">
        <f>H1042+I1042</f>
        <v>3</v>
      </c>
      <c r="K1042" s="23" t="n">
        <v>3</v>
      </c>
      <c r="L1042" s="23" t="n">
        <v>3</v>
      </c>
      <c r="M1042" s="23" t="n">
        <f>MIN(K1042,J1042)</f>
        <v>3</v>
      </c>
      <c r="N1042" s="23" t="n">
        <f>MIN(L1042,J1042)</f>
        <v>3</v>
      </c>
      <c r="O1042" s="25" t="n">
        <f>IF(K1042=0,0,MIN(1,J1042/K1042))</f>
        <v>1</v>
      </c>
      <c r="P1042" s="23" t="n">
        <f>IF(J1042&gt;0,MAX(K1042-J1042,0),0)</f>
        <v>0</v>
      </c>
      <c r="Q1042" s="23" t="n">
        <f>IF(J1042=0,K1042,0)</f>
        <v>0</v>
      </c>
      <c r="R1042" s="23" t="n">
        <f>MAX(J1042-K1042,0)</f>
        <v>0</v>
      </c>
      <c r="S1042" s="23" t="n">
        <f>IF(J1042&gt;0,MAX(L1042-J1042,0),L1042)</f>
        <v>0</v>
      </c>
    </row>
    <row r="1043">
      <c r="A1043" s="19" t="str">
        <v>英国区</v>
      </c>
      <c r="B1043" s="19" t="str">
        <v>伯明翰25号仓</v>
      </c>
      <c r="C1043" s="19" t="str">
        <v>包装组</v>
      </c>
      <c r="D1043" s="21" t="n">
        <v>46134</v>
      </c>
      <c r="E1043" s="19" t="str">
        <v>2026-04</v>
      </c>
      <c r="F1043" s="19" t="str">
        <v>操作员</v>
      </c>
      <c r="G1043" s="19" t="str">
        <v>英国区10:00-18:30 / UK 10:00-18:30</v>
      </c>
      <c r="H1043" s="23" t="n">
        <v>5</v>
      </c>
      <c r="I1043" s="23" t="n">
        <v>0</v>
      </c>
      <c r="J1043" s="23" t="n">
        <f>H1043+I1043</f>
        <v>5</v>
      </c>
      <c r="K1043" s="23" t="n">
        <v>5</v>
      </c>
      <c r="L1043" s="23" t="n">
        <v>4</v>
      </c>
      <c r="M1043" s="23" t="n">
        <f>MIN(K1043,J1043)</f>
        <v>5</v>
      </c>
      <c r="N1043" s="23" t="n">
        <f>MIN(L1043,J1043)</f>
        <v>4</v>
      </c>
      <c r="O1043" s="25" t="n">
        <f>IF(K1043=0,0,MIN(1,J1043/K1043))</f>
        <v>1</v>
      </c>
      <c r="P1043" s="23" t="n">
        <f>IF(J1043&gt;0,MAX(K1043-J1043,0),0)</f>
        <v>0</v>
      </c>
      <c r="Q1043" s="23" t="n">
        <f>IF(J1043=0,K1043,0)</f>
        <v>0</v>
      </c>
      <c r="R1043" s="23" t="n">
        <f>MAX(J1043-K1043,0)</f>
        <v>0</v>
      </c>
      <c r="S1043" s="23" t="n">
        <f>IF(J1043&gt;0,MAX(L1043-J1043,0),L1043)</f>
        <v>0</v>
      </c>
    </row>
    <row r="1044">
      <c r="A1044" s="19" t="str">
        <v>英国区</v>
      </c>
      <c r="B1044" s="19" t="str">
        <v>伯明翰25号仓</v>
      </c>
      <c r="C1044" s="19" t="str">
        <v>包装组</v>
      </c>
      <c r="D1044" s="21" t="n">
        <v>46134</v>
      </c>
      <c r="E1044" s="19" t="str">
        <v>2026-04</v>
      </c>
      <c r="F1044" s="19" t="str">
        <v>操作员</v>
      </c>
      <c r="G1044" s="19" t="str">
        <v>英国区11:00-19:30 / UK 11:00-19:30</v>
      </c>
      <c r="H1044" s="23" t="n">
        <v>3</v>
      </c>
      <c r="I1044" s="23" t="n">
        <v>0</v>
      </c>
      <c r="J1044" s="23" t="n">
        <f>H1044+I1044</f>
        <v>3</v>
      </c>
      <c r="K1044" s="23" t="n">
        <v>3</v>
      </c>
      <c r="L1044" s="23" t="n">
        <v>3</v>
      </c>
      <c r="M1044" s="23" t="n">
        <f>MIN(K1044,J1044)</f>
        <v>3</v>
      </c>
      <c r="N1044" s="23" t="n">
        <f>MIN(L1044,J1044)</f>
        <v>3</v>
      </c>
      <c r="O1044" s="25" t="n">
        <f>IF(K1044=0,0,MIN(1,J1044/K1044))</f>
        <v>1</v>
      </c>
      <c r="P1044" s="23" t="n">
        <f>IF(J1044&gt;0,MAX(K1044-J1044,0),0)</f>
        <v>0</v>
      </c>
      <c r="Q1044" s="23" t="n">
        <f>IF(J1044=0,K1044,0)</f>
        <v>0</v>
      </c>
      <c r="R1044" s="23" t="n">
        <f>MAX(J1044-K1044,0)</f>
        <v>0</v>
      </c>
      <c r="S1044" s="23" t="n">
        <f>IF(J1044&gt;0,MAX(L1044-J1044,0),L1044)</f>
        <v>0</v>
      </c>
    </row>
    <row r="1045">
      <c r="A1045" s="19" t="str">
        <v>英国区</v>
      </c>
      <c r="B1045" s="19" t="str">
        <v>伯明翰25号仓</v>
      </c>
      <c r="C1045" s="19" t="str">
        <v>包装组</v>
      </c>
      <c r="D1045" s="21" t="n">
        <v>46135</v>
      </c>
      <c r="E1045" s="19" t="str">
        <v>2026-04</v>
      </c>
      <c r="F1045" s="19" t="str">
        <v>操作员</v>
      </c>
      <c r="G1045" s="19" t="str">
        <v>英国区10:00-18:30 / UK 10:00-18:30</v>
      </c>
      <c r="H1045" s="23" t="n">
        <v>5</v>
      </c>
      <c r="I1045" s="23" t="n">
        <v>0</v>
      </c>
      <c r="J1045" s="23" t="n">
        <f>H1045+I1045</f>
        <v>5</v>
      </c>
      <c r="K1045" s="23" t="n">
        <v>5</v>
      </c>
      <c r="L1045" s="23" t="n">
        <v>5</v>
      </c>
      <c r="M1045" s="23" t="n">
        <f>MIN(K1045,J1045)</f>
        <v>5</v>
      </c>
      <c r="N1045" s="23" t="n">
        <f>MIN(L1045,J1045)</f>
        <v>5</v>
      </c>
      <c r="O1045" s="25" t="n">
        <f>IF(K1045=0,0,MIN(1,J1045/K1045))</f>
        <v>1</v>
      </c>
      <c r="P1045" s="23" t="n">
        <f>IF(J1045&gt;0,MAX(K1045-J1045,0),0)</f>
        <v>0</v>
      </c>
      <c r="Q1045" s="23" t="n">
        <f>IF(J1045=0,K1045,0)</f>
        <v>0</v>
      </c>
      <c r="R1045" s="23" t="n">
        <f>MAX(J1045-K1045,0)</f>
        <v>0</v>
      </c>
      <c r="S1045" s="23" t="n">
        <f>IF(J1045&gt;0,MAX(L1045-J1045,0),L1045)</f>
        <v>0</v>
      </c>
    </row>
    <row r="1046">
      <c r="A1046" s="19" t="str">
        <v>英国区</v>
      </c>
      <c r="B1046" s="19" t="str">
        <v>伯明翰25号仓</v>
      </c>
      <c r="C1046" s="19" t="str">
        <v>包装组</v>
      </c>
      <c r="D1046" s="21" t="n">
        <v>46135</v>
      </c>
      <c r="E1046" s="19" t="str">
        <v>2026-04</v>
      </c>
      <c r="F1046" s="19" t="str">
        <v>操作员</v>
      </c>
      <c r="G1046" s="19" t="str">
        <v>英国区11:00-19:30 / UK 11:00-19:30</v>
      </c>
      <c r="H1046" s="23" t="n">
        <v>3</v>
      </c>
      <c r="I1046" s="23" t="n">
        <v>0</v>
      </c>
      <c r="J1046" s="23" t="n">
        <f>H1046+I1046</f>
        <v>3</v>
      </c>
      <c r="K1046" s="23" t="n">
        <v>3</v>
      </c>
      <c r="L1046" s="23" t="n">
        <v>3</v>
      </c>
      <c r="M1046" s="23" t="n">
        <f>MIN(K1046,J1046)</f>
        <v>3</v>
      </c>
      <c r="N1046" s="23" t="n">
        <f>MIN(L1046,J1046)</f>
        <v>3</v>
      </c>
      <c r="O1046" s="25" t="n">
        <f>IF(K1046=0,0,MIN(1,J1046/K1046))</f>
        <v>1</v>
      </c>
      <c r="P1046" s="23" t="n">
        <f>IF(J1046&gt;0,MAX(K1046-J1046,0),0)</f>
        <v>0</v>
      </c>
      <c r="Q1046" s="23" t="n">
        <f>IF(J1046=0,K1046,0)</f>
        <v>0</v>
      </c>
      <c r="R1046" s="23" t="n">
        <f>MAX(J1046-K1046,0)</f>
        <v>0</v>
      </c>
      <c r="S1046" s="23" t="n">
        <f>IF(J1046&gt;0,MAX(L1046-J1046,0),L1046)</f>
        <v>0</v>
      </c>
    </row>
    <row r="1047">
      <c r="A1047" s="19" t="str">
        <v>英国区</v>
      </c>
      <c r="B1047" s="19" t="str">
        <v>伯明翰25号仓</v>
      </c>
      <c r="C1047" s="19" t="str">
        <v>包装组</v>
      </c>
      <c r="D1047" s="21" t="n">
        <v>46136</v>
      </c>
      <c r="E1047" s="19" t="str">
        <v>2026-04</v>
      </c>
      <c r="F1047" s="19" t="str">
        <v>操作员</v>
      </c>
      <c r="G1047" s="19" t="str">
        <v>英国区10:00-18:30 / UK 10:00-18:30</v>
      </c>
      <c r="H1047" s="23" t="n">
        <v>5</v>
      </c>
      <c r="I1047" s="23" t="n">
        <v>0</v>
      </c>
      <c r="J1047" s="23" t="n">
        <f>H1047+I1047</f>
        <v>5</v>
      </c>
      <c r="K1047" s="23" t="n">
        <v>5</v>
      </c>
      <c r="L1047" s="23" t="n">
        <v>5</v>
      </c>
      <c r="M1047" s="23" t="n">
        <f>MIN(K1047,J1047)</f>
        <v>5</v>
      </c>
      <c r="N1047" s="23" t="n">
        <f>MIN(L1047,J1047)</f>
        <v>5</v>
      </c>
      <c r="O1047" s="25" t="n">
        <f>IF(K1047=0,0,MIN(1,J1047/K1047))</f>
        <v>1</v>
      </c>
      <c r="P1047" s="23" t="n">
        <f>IF(J1047&gt;0,MAX(K1047-J1047,0),0)</f>
        <v>0</v>
      </c>
      <c r="Q1047" s="23" t="n">
        <f>IF(J1047=0,K1047,0)</f>
        <v>0</v>
      </c>
      <c r="R1047" s="23" t="n">
        <f>MAX(J1047-K1047,0)</f>
        <v>0</v>
      </c>
      <c r="S1047" s="23" t="n">
        <f>IF(J1047&gt;0,MAX(L1047-J1047,0),L1047)</f>
        <v>0</v>
      </c>
    </row>
    <row r="1048">
      <c r="A1048" s="19" t="str">
        <v>英国区</v>
      </c>
      <c r="B1048" s="19" t="str">
        <v>伯明翰25号仓</v>
      </c>
      <c r="C1048" s="19" t="str">
        <v>包装组</v>
      </c>
      <c r="D1048" s="21" t="n">
        <v>46136</v>
      </c>
      <c r="E1048" s="19" t="str">
        <v>2026-04</v>
      </c>
      <c r="F1048" s="19" t="str">
        <v>操作员</v>
      </c>
      <c r="G1048" s="19" t="str">
        <v>英国区11:00-19:30 / UK 11:00-19:30</v>
      </c>
      <c r="H1048" s="23" t="n">
        <v>3</v>
      </c>
      <c r="I1048" s="23" t="n">
        <v>0</v>
      </c>
      <c r="J1048" s="23" t="n">
        <f>H1048+I1048</f>
        <v>3</v>
      </c>
      <c r="K1048" s="23" t="n">
        <v>3</v>
      </c>
      <c r="L1048" s="23" t="n">
        <v>3</v>
      </c>
      <c r="M1048" s="23" t="n">
        <f>MIN(K1048,J1048)</f>
        <v>3</v>
      </c>
      <c r="N1048" s="23" t="n">
        <f>MIN(L1048,J1048)</f>
        <v>3</v>
      </c>
      <c r="O1048" s="25" t="n">
        <f>IF(K1048=0,0,MIN(1,J1048/K1048))</f>
        <v>1</v>
      </c>
      <c r="P1048" s="23" t="n">
        <f>IF(J1048&gt;0,MAX(K1048-J1048,0),0)</f>
        <v>0</v>
      </c>
      <c r="Q1048" s="23" t="n">
        <f>IF(J1048=0,K1048,0)</f>
        <v>0</v>
      </c>
      <c r="R1048" s="23" t="n">
        <f>MAX(J1048-K1048,0)</f>
        <v>0</v>
      </c>
      <c r="S1048" s="23" t="n">
        <f>IF(J1048&gt;0,MAX(L1048-J1048,0),L1048)</f>
        <v>0</v>
      </c>
    </row>
    <row r="1049">
      <c r="A1049" s="19" t="str">
        <v>英国区</v>
      </c>
      <c r="B1049" s="19" t="str">
        <v>伯明翰25号仓</v>
      </c>
      <c r="C1049" s="19" t="str">
        <v>包装组</v>
      </c>
      <c r="D1049" s="21" t="n">
        <v>46148</v>
      </c>
      <c r="E1049" s="19" t="str">
        <v>2026-05</v>
      </c>
      <c r="F1049" s="19" t="str">
        <v>操作员</v>
      </c>
      <c r="G1049" s="19" t="str">
        <v>英国区11:00-19:30 / UK 11:00-19:30</v>
      </c>
      <c r="H1049" s="23" t="n">
        <v>1</v>
      </c>
      <c r="I1049" s="23" t="n">
        <v>0</v>
      </c>
      <c r="J1049" s="23" t="n">
        <f>H1049+I1049</f>
        <v>1</v>
      </c>
      <c r="K1049" s="23" t="n">
        <v>1</v>
      </c>
      <c r="L1049" s="23" t="n">
        <v>1</v>
      </c>
      <c r="M1049" s="23" t="n">
        <f>MIN(K1049,J1049)</f>
        <v>1</v>
      </c>
      <c r="N1049" s="23" t="n">
        <f>MIN(L1049,J1049)</f>
        <v>1</v>
      </c>
      <c r="O1049" s="25" t="n">
        <f>IF(K1049=0,0,MIN(1,J1049/K1049))</f>
        <v>1</v>
      </c>
      <c r="P1049" s="23" t="n">
        <f>IF(J1049&gt;0,MAX(K1049-J1049,0),0)</f>
        <v>0</v>
      </c>
      <c r="Q1049" s="23" t="n">
        <f>IF(J1049=0,K1049,0)</f>
        <v>0</v>
      </c>
      <c r="R1049" s="23" t="n">
        <f>MAX(J1049-K1049,0)</f>
        <v>0</v>
      </c>
      <c r="S1049" s="23" t="n">
        <f>IF(J1049&gt;0,MAX(L1049-J1049,0),L1049)</f>
        <v>0</v>
      </c>
    </row>
    <row r="1050">
      <c r="A1050" s="19" t="str">
        <v>英国区</v>
      </c>
      <c r="B1050" s="19" t="str">
        <v>伯明翰25号仓</v>
      </c>
      <c r="C1050" s="19" t="str">
        <v>包装组</v>
      </c>
      <c r="D1050" s="21" t="n">
        <v>46161</v>
      </c>
      <c r="E1050" s="19" t="str">
        <v>2026-05</v>
      </c>
      <c r="F1050" s="19" t="str">
        <v>操作员</v>
      </c>
      <c r="G1050" s="19" t="str">
        <v>英国区11:00-19:30 / UK 11:00-19:30</v>
      </c>
      <c r="H1050" s="23" t="n">
        <v>3</v>
      </c>
      <c r="I1050" s="23" t="n">
        <v>0</v>
      </c>
      <c r="J1050" s="23" t="n">
        <f>H1050+I1050</f>
        <v>3</v>
      </c>
      <c r="K1050" s="23" t="n">
        <v>3</v>
      </c>
      <c r="L1050" s="23" t="n">
        <v>3</v>
      </c>
      <c r="M1050" s="23" t="n">
        <f>MIN(K1050,J1050)</f>
        <v>3</v>
      </c>
      <c r="N1050" s="23" t="n">
        <f>MIN(L1050,J1050)</f>
        <v>3</v>
      </c>
      <c r="O1050" s="25" t="n">
        <f>IF(K1050=0,0,MIN(1,J1050/K1050))</f>
        <v>1</v>
      </c>
      <c r="P1050" s="23" t="n">
        <f>IF(J1050&gt;0,MAX(K1050-J1050,0),0)</f>
        <v>0</v>
      </c>
      <c r="Q1050" s="23" t="n">
        <f>IF(J1050=0,K1050,0)</f>
        <v>0</v>
      </c>
      <c r="R1050" s="23" t="n">
        <f>MAX(J1050-K1050,0)</f>
        <v>0</v>
      </c>
      <c r="S1050" s="23" t="n">
        <f>IF(J1050&gt;0,MAX(L1050-J1050,0),L1050)</f>
        <v>0</v>
      </c>
    </row>
    <row r="1051">
      <c r="A1051" s="19" t="str">
        <v>英国区</v>
      </c>
      <c r="B1051" s="19" t="str">
        <v>伯明翰25号仓</v>
      </c>
      <c r="C1051" s="19" t="str">
        <v>包装组</v>
      </c>
      <c r="D1051" s="21" t="n">
        <v>46163</v>
      </c>
      <c r="E1051" s="19" t="str">
        <v>2026-05</v>
      </c>
      <c r="F1051" s="19" t="str">
        <v>操作员</v>
      </c>
      <c r="G1051" s="19" t="str">
        <v>英国区11:00-19:30 / UK 11:00-19:30</v>
      </c>
      <c r="H1051" s="23" t="n">
        <v>3</v>
      </c>
      <c r="I1051" s="23" t="n">
        <v>0</v>
      </c>
      <c r="J1051" s="23" t="n">
        <f>H1051+I1051</f>
        <v>3</v>
      </c>
      <c r="K1051" s="23" t="n">
        <v>3</v>
      </c>
      <c r="L1051" s="23" t="n">
        <v>3</v>
      </c>
      <c r="M1051" s="23" t="n">
        <f>MIN(K1051,J1051)</f>
        <v>3</v>
      </c>
      <c r="N1051" s="23" t="n">
        <f>MIN(L1051,J1051)</f>
        <v>3</v>
      </c>
      <c r="O1051" s="25" t="n">
        <f>IF(K1051=0,0,MIN(1,J1051/K1051))</f>
        <v>1</v>
      </c>
      <c r="P1051" s="23" t="n">
        <f>IF(J1051&gt;0,MAX(K1051-J1051,0),0)</f>
        <v>0</v>
      </c>
      <c r="Q1051" s="23" t="n">
        <f>IF(J1051=0,K1051,0)</f>
        <v>0</v>
      </c>
      <c r="R1051" s="23" t="n">
        <f>MAX(J1051-K1051,0)</f>
        <v>0</v>
      </c>
      <c r="S1051" s="23" t="n">
        <f>IF(J1051&gt;0,MAX(L1051-J1051,0),L1051)</f>
        <v>0</v>
      </c>
    </row>
    <row r="1052">
      <c r="A1052" s="19" t="str">
        <v>英国区</v>
      </c>
      <c r="B1052" s="19" t="str">
        <v>伯明翰25号仓</v>
      </c>
      <c r="C1052" s="19" t="str">
        <v>包装组</v>
      </c>
      <c r="D1052" s="21" t="n">
        <v>46164</v>
      </c>
      <c r="E1052" s="19" t="str">
        <v>2026-05</v>
      </c>
      <c r="F1052" s="19" t="str">
        <v>操作员</v>
      </c>
      <c r="G1052" s="19" t="str">
        <v>英国区11:00-19:30 / UK 11:00-19:30</v>
      </c>
      <c r="H1052" s="23" t="n">
        <v>1</v>
      </c>
      <c r="I1052" s="23" t="n">
        <v>0</v>
      </c>
      <c r="J1052" s="23" t="n">
        <f>H1052+I1052</f>
        <v>1</v>
      </c>
      <c r="K1052" s="23" t="n">
        <v>1</v>
      </c>
      <c r="L1052" s="23" t="n">
        <v>0</v>
      </c>
      <c r="M1052" s="23" t="n">
        <f>MIN(K1052,J1052)</f>
        <v>1</v>
      </c>
      <c r="N1052" s="23" t="n">
        <f>MIN(L1052,J1052)</f>
        <v>0</v>
      </c>
      <c r="O1052" s="25" t="n">
        <f>IF(K1052=0,0,MIN(1,J1052/K1052))</f>
        <v>1</v>
      </c>
      <c r="P1052" s="23" t="n">
        <f>IF(J1052&gt;0,MAX(K1052-J1052,0),0)</f>
        <v>0</v>
      </c>
      <c r="Q1052" s="23" t="n">
        <f>IF(J1052=0,K1052,0)</f>
        <v>0</v>
      </c>
      <c r="R1052" s="23" t="n">
        <f>MAX(J1052-K1052,0)</f>
        <v>0</v>
      </c>
      <c r="S1052" s="23" t="n">
        <f>IF(J1052&gt;0,MAX(L1052-J1052,0),L1052)</f>
        <v>0</v>
      </c>
    </row>
    <row r="1053">
      <c r="A1053" s="19" t="str">
        <v>英国区</v>
      </c>
      <c r="B1053" s="19" t="str">
        <v>伯明翰25号仓</v>
      </c>
      <c r="C1053" s="19" t="str">
        <v>包装组</v>
      </c>
      <c r="D1053" s="21" t="n">
        <v>46169</v>
      </c>
      <c r="E1053" s="19" t="str">
        <v>2026-05</v>
      </c>
      <c r="F1053" s="19" t="str">
        <v>操作员</v>
      </c>
      <c r="G1053" s="19" t="str">
        <v>英国区11:00-19:30 / UK 11:00-19:30</v>
      </c>
      <c r="H1053" s="23" t="n">
        <v>3</v>
      </c>
      <c r="I1053" s="23" t="n">
        <v>0</v>
      </c>
      <c r="J1053" s="23" t="n">
        <f>H1053+I1053</f>
        <v>3</v>
      </c>
      <c r="K1053" s="23" t="n">
        <v>3</v>
      </c>
      <c r="L1053" s="23" t="n">
        <v>3</v>
      </c>
      <c r="M1053" s="23" t="n">
        <f>MIN(K1053,J1053)</f>
        <v>3</v>
      </c>
      <c r="N1053" s="23" t="n">
        <f>MIN(L1053,J1053)</f>
        <v>3</v>
      </c>
      <c r="O1053" s="25" t="n">
        <f>IF(K1053=0,0,MIN(1,J1053/K1053))</f>
        <v>1</v>
      </c>
      <c r="P1053" s="23" t="n">
        <f>IF(J1053&gt;0,MAX(K1053-J1053,0),0)</f>
        <v>0</v>
      </c>
      <c r="Q1053" s="23" t="n">
        <f>IF(J1053=0,K1053,0)</f>
        <v>0</v>
      </c>
      <c r="R1053" s="23" t="n">
        <f>MAX(J1053-K1053,0)</f>
        <v>0</v>
      </c>
      <c r="S1053" s="23" t="n">
        <f>IF(J1053&gt;0,MAX(L1053-J1053,0),L1053)</f>
        <v>0</v>
      </c>
    </row>
    <row r="1054">
      <c r="A1054" s="19" t="str">
        <v>英国区</v>
      </c>
      <c r="B1054" s="19" t="str">
        <v>伯明翰25号仓</v>
      </c>
      <c r="C1054" s="19" t="str">
        <v>包装组</v>
      </c>
      <c r="D1054" s="21" t="n">
        <v>46170</v>
      </c>
      <c r="E1054" s="19" t="str">
        <v>2026-05</v>
      </c>
      <c r="F1054" s="19" t="str">
        <v>操作员</v>
      </c>
      <c r="G1054" s="19" t="str">
        <v>英国区11:00-19:30 / UK 11:00-19:30</v>
      </c>
      <c r="H1054" s="23" t="n">
        <v>3</v>
      </c>
      <c r="I1054" s="23" t="n">
        <v>0</v>
      </c>
      <c r="J1054" s="23" t="n">
        <f>H1054+I1054</f>
        <v>3</v>
      </c>
      <c r="K1054" s="23" t="n">
        <v>3</v>
      </c>
      <c r="L1054" s="23" t="n">
        <v>3</v>
      </c>
      <c r="M1054" s="23" t="n">
        <f>MIN(K1054,J1054)</f>
        <v>3</v>
      </c>
      <c r="N1054" s="23" t="n">
        <f>MIN(L1054,J1054)</f>
        <v>3</v>
      </c>
      <c r="O1054" s="25" t="n">
        <f>IF(K1054=0,0,MIN(1,J1054/K1054))</f>
        <v>1</v>
      </c>
      <c r="P1054" s="23" t="n">
        <f>IF(J1054&gt;0,MAX(K1054-J1054,0),0)</f>
        <v>0</v>
      </c>
      <c r="Q1054" s="23" t="n">
        <f>IF(J1054=0,K1054,0)</f>
        <v>0</v>
      </c>
      <c r="R1054" s="23" t="n">
        <f>MAX(J1054-K1054,0)</f>
        <v>0</v>
      </c>
      <c r="S1054" s="23" t="n">
        <f>IF(J1054&gt;0,MAX(L1054-J1054,0),L1054)</f>
        <v>0</v>
      </c>
    </row>
    <row r="1055">
      <c r="A1055" s="19" t="str">
        <v>英国区</v>
      </c>
      <c r="B1055" s="19" t="str">
        <v>伯明翰25号仓</v>
      </c>
      <c r="C1055" s="19" t="str">
        <v>包装组</v>
      </c>
      <c r="D1055" s="21" t="n">
        <v>46171</v>
      </c>
      <c r="E1055" s="19" t="str">
        <v>2026-05</v>
      </c>
      <c r="F1055" s="19" t="str">
        <v>操作员</v>
      </c>
      <c r="G1055" s="19" t="str">
        <v>英国区07:00-15:30 / UK 07:00-15:30</v>
      </c>
      <c r="H1055" s="23" t="n">
        <v>5</v>
      </c>
      <c r="I1055" s="23" t="n">
        <v>0</v>
      </c>
      <c r="J1055" s="23" t="n">
        <f>H1055+I1055</f>
        <v>5</v>
      </c>
      <c r="K1055" s="23" t="n">
        <v>5</v>
      </c>
      <c r="L1055" s="23" t="n">
        <v>5</v>
      </c>
      <c r="M1055" s="23" t="n">
        <f>MIN(K1055,J1055)</f>
        <v>5</v>
      </c>
      <c r="N1055" s="23" t="n">
        <f>MIN(L1055,J1055)</f>
        <v>5</v>
      </c>
      <c r="O1055" s="25" t="n">
        <f>IF(K1055=0,0,MIN(1,J1055/K1055))</f>
        <v>1</v>
      </c>
      <c r="P1055" s="23" t="n">
        <f>IF(J1055&gt;0,MAX(K1055-J1055,0),0)</f>
        <v>0</v>
      </c>
      <c r="Q1055" s="23" t="n">
        <f>IF(J1055=0,K1055,0)</f>
        <v>0</v>
      </c>
      <c r="R1055" s="23" t="n">
        <f>MAX(J1055-K1055,0)</f>
        <v>0</v>
      </c>
      <c r="S1055" s="23" t="n">
        <f>IF(J1055&gt;0,MAX(L1055-J1055,0),L1055)</f>
        <v>0</v>
      </c>
    </row>
    <row r="1056">
      <c r="A1056" s="19" t="str">
        <v>英国区</v>
      </c>
      <c r="B1056" s="19" t="str">
        <v>伯明翰25号仓</v>
      </c>
      <c r="C1056" s="19" t="str">
        <v>包装组</v>
      </c>
      <c r="D1056" s="21" t="n">
        <v>46172</v>
      </c>
      <c r="E1056" s="19" t="str">
        <v>2026-05</v>
      </c>
      <c r="F1056" s="19" t="str">
        <v>操作员</v>
      </c>
      <c r="G1056" s="19" t="str">
        <v>英国区10:00-18:30 / UK 10:00-18:30</v>
      </c>
      <c r="H1056" s="23" t="n">
        <v>3</v>
      </c>
      <c r="I1056" s="23" t="n">
        <v>0</v>
      </c>
      <c r="J1056" s="23" t="n">
        <f>H1056+I1056</f>
        <v>3</v>
      </c>
      <c r="K1056" s="23" t="n">
        <v>3</v>
      </c>
      <c r="L1056" s="23" t="n">
        <v>1</v>
      </c>
      <c r="M1056" s="23" t="n">
        <f>MIN(K1056,J1056)</f>
        <v>3</v>
      </c>
      <c r="N1056" s="23" t="n">
        <f>MIN(L1056,J1056)</f>
        <v>1</v>
      </c>
      <c r="O1056" s="25" t="n">
        <f>IF(K1056=0,0,MIN(1,J1056/K1056))</f>
        <v>1</v>
      </c>
      <c r="P1056" s="23" t="n">
        <f>IF(J1056&gt;0,MAX(K1056-J1056,0),0)</f>
        <v>0</v>
      </c>
      <c r="Q1056" s="23" t="n">
        <f>IF(J1056=0,K1056,0)</f>
        <v>0</v>
      </c>
      <c r="R1056" s="23" t="n">
        <f>MAX(J1056-K1056,0)</f>
        <v>0</v>
      </c>
      <c r="S1056" s="23" t="n">
        <f>IF(J1056&gt;0,MAX(L1056-J1056,0),L1056)</f>
        <v>0</v>
      </c>
    </row>
    <row r="1057">
      <c r="A1057" s="19" t="str">
        <v>英国区</v>
      </c>
      <c r="B1057" s="19" t="str">
        <v>伯明翰25号仓</v>
      </c>
      <c r="C1057" s="19" t="str">
        <v>包装组</v>
      </c>
      <c r="D1057" s="21" t="n">
        <v>46177</v>
      </c>
      <c r="E1057" s="19" t="str">
        <v>2026-06</v>
      </c>
      <c r="F1057" s="19" t="str">
        <v>操作员</v>
      </c>
      <c r="G1057" s="19" t="str">
        <v>英国区11:00-19:30 / UK 11:00-19:30</v>
      </c>
      <c r="H1057" s="23" t="n">
        <v>2</v>
      </c>
      <c r="I1057" s="23" t="n">
        <v>0</v>
      </c>
      <c r="J1057" s="23" t="n">
        <f>H1057+I1057</f>
        <v>2</v>
      </c>
      <c r="K1057" s="23" t="n">
        <v>2</v>
      </c>
      <c r="L1057" s="23" t="n">
        <v>2</v>
      </c>
      <c r="M1057" s="23" t="n">
        <f>MIN(K1057,J1057)</f>
        <v>2</v>
      </c>
      <c r="N1057" s="23" t="n">
        <f>MIN(L1057,J1057)</f>
        <v>2</v>
      </c>
      <c r="O1057" s="25" t="n">
        <f>IF(K1057=0,0,MIN(1,J1057/K1057))</f>
        <v>1</v>
      </c>
      <c r="P1057" s="23" t="n">
        <f>IF(J1057&gt;0,MAX(K1057-J1057,0),0)</f>
        <v>0</v>
      </c>
      <c r="Q1057" s="23" t="n">
        <f>IF(J1057=0,K1057,0)</f>
        <v>0</v>
      </c>
      <c r="R1057" s="23" t="n">
        <f>MAX(J1057-K1057,0)</f>
        <v>0</v>
      </c>
      <c r="S1057" s="23" t="n">
        <f>IF(J1057&gt;0,MAX(L1057-J1057,0),L1057)</f>
        <v>0</v>
      </c>
    </row>
    <row r="1058">
      <c r="A1058" s="19" t="str">
        <v>英国区</v>
      </c>
      <c r="B1058" s="19" t="str">
        <v>伯明翰25号仓</v>
      </c>
      <c r="C1058" s="19" t="str">
        <v>包装组</v>
      </c>
      <c r="D1058" s="21" t="n">
        <v>46203</v>
      </c>
      <c r="E1058" s="19" t="str">
        <v>2026-06</v>
      </c>
      <c r="F1058" s="19" t="str">
        <v>操作员</v>
      </c>
      <c r="G1058" s="19" t="str">
        <v>英国区11:00-19:30 / UK 11:00-19:30</v>
      </c>
      <c r="H1058" s="23" t="n">
        <v>2</v>
      </c>
      <c r="I1058" s="23" t="n">
        <v>0</v>
      </c>
      <c r="J1058" s="23" t="n">
        <f>H1058+I1058</f>
        <v>2</v>
      </c>
      <c r="K1058" s="23" t="n">
        <v>2</v>
      </c>
      <c r="L1058" s="23" t="n">
        <v>2</v>
      </c>
      <c r="M1058" s="23" t="n">
        <f>MIN(K1058,J1058)</f>
        <v>2</v>
      </c>
      <c r="N1058" s="23" t="n">
        <f>MIN(L1058,J1058)</f>
        <v>2</v>
      </c>
      <c r="O1058" s="25" t="n">
        <f>IF(K1058=0,0,MIN(1,J1058/K1058))</f>
        <v>1</v>
      </c>
      <c r="P1058" s="23" t="n">
        <f>IF(J1058&gt;0,MAX(K1058-J1058,0),0)</f>
        <v>0</v>
      </c>
      <c r="Q1058" s="23" t="n">
        <f>IF(J1058=0,K1058,0)</f>
        <v>0</v>
      </c>
      <c r="R1058" s="23" t="n">
        <f>MAX(J1058-K1058,0)</f>
        <v>0</v>
      </c>
      <c r="S1058" s="23" t="n">
        <f>IF(J1058&gt;0,MAX(L1058-J1058,0),L1058)</f>
        <v>0</v>
      </c>
    </row>
    <row r="1059">
      <c r="A1059" s="19" t="str">
        <v>英国区</v>
      </c>
      <c r="B1059" s="19" t="str">
        <v>伯明翰25号仓</v>
      </c>
      <c r="C1059" s="19" t="str">
        <v>拣货组</v>
      </c>
      <c r="D1059" s="21" t="n">
        <v>46128</v>
      </c>
      <c r="E1059" s="19" t="str">
        <v>2026-04</v>
      </c>
      <c r="F1059" s="19" t="str">
        <v>操作员</v>
      </c>
      <c r="G1059" s="19" t="str">
        <v>英国区11:00-19:30 / UK 11:00-19:30</v>
      </c>
      <c r="H1059" s="23" t="n">
        <v>1</v>
      </c>
      <c r="I1059" s="23" t="n">
        <v>0</v>
      </c>
      <c r="J1059" s="23" t="n">
        <f>H1059+I1059</f>
        <v>1</v>
      </c>
      <c r="K1059" s="23" t="n">
        <v>1</v>
      </c>
      <c r="L1059" s="23" t="n">
        <v>1</v>
      </c>
      <c r="M1059" s="23" t="n">
        <f>MIN(K1059,J1059)</f>
        <v>1</v>
      </c>
      <c r="N1059" s="23" t="n">
        <f>MIN(L1059,J1059)</f>
        <v>1</v>
      </c>
      <c r="O1059" s="25" t="n">
        <f>IF(K1059=0,0,MIN(1,J1059/K1059))</f>
        <v>1</v>
      </c>
      <c r="P1059" s="23" t="n">
        <f>IF(J1059&gt;0,MAX(K1059-J1059,0),0)</f>
        <v>0</v>
      </c>
      <c r="Q1059" s="23" t="n">
        <f>IF(J1059=0,K1059,0)</f>
        <v>0</v>
      </c>
      <c r="R1059" s="23" t="n">
        <f>MAX(J1059-K1059,0)</f>
        <v>0</v>
      </c>
      <c r="S1059" s="23" t="n">
        <f>IF(J1059&gt;0,MAX(L1059-J1059,0),L1059)</f>
        <v>0</v>
      </c>
    </row>
    <row r="1060">
      <c r="A1060" s="19" t="str">
        <v>英国区</v>
      </c>
      <c r="B1060" s="19" t="str">
        <v>伯明翰25号仓</v>
      </c>
      <c r="C1060" s="19" t="str">
        <v>拣货组</v>
      </c>
      <c r="D1060" s="21" t="n">
        <v>46140</v>
      </c>
      <c r="E1060" s="19" t="str">
        <v>2026-04</v>
      </c>
      <c r="F1060" s="19" t="str">
        <v>操作员</v>
      </c>
      <c r="G1060" s="19" t="str">
        <v>英国区05:00-13:30 / UK 05:00-13:30</v>
      </c>
      <c r="H1060" s="23" t="n">
        <v>1</v>
      </c>
      <c r="I1060" s="23" t="n">
        <v>0</v>
      </c>
      <c r="J1060" s="23" t="n">
        <f>H1060+I1060</f>
        <v>1</v>
      </c>
      <c r="K1060" s="23" t="n">
        <v>1</v>
      </c>
      <c r="L1060" s="23" t="n">
        <v>0</v>
      </c>
      <c r="M1060" s="23" t="n">
        <f>MIN(K1060,J1060)</f>
        <v>1</v>
      </c>
      <c r="N1060" s="23" t="n">
        <f>MIN(L1060,J1060)</f>
        <v>0</v>
      </c>
      <c r="O1060" s="25" t="n">
        <f>IF(K1060=0,0,MIN(1,J1060/K1060))</f>
        <v>1</v>
      </c>
      <c r="P1060" s="23" t="n">
        <f>IF(J1060&gt;0,MAX(K1060-J1060,0),0)</f>
        <v>0</v>
      </c>
      <c r="Q1060" s="23" t="n">
        <f>IF(J1060=0,K1060,0)</f>
        <v>0</v>
      </c>
      <c r="R1060" s="23" t="n">
        <f>MAX(J1060-K1060,0)</f>
        <v>0</v>
      </c>
      <c r="S1060" s="23" t="n">
        <f>IF(J1060&gt;0,MAX(L1060-J1060,0),L1060)</f>
        <v>0</v>
      </c>
    </row>
    <row r="1061">
      <c r="A1061" s="19" t="str">
        <v>英国区</v>
      </c>
      <c r="B1061" s="19" t="str">
        <v>伯明翰25号仓</v>
      </c>
      <c r="C1061" s="19" t="str">
        <v>拣货组</v>
      </c>
      <c r="D1061" s="21" t="n">
        <v>46140</v>
      </c>
      <c r="E1061" s="19" t="str">
        <v>2026-04</v>
      </c>
      <c r="F1061" s="19" t="str">
        <v>操作员</v>
      </c>
      <c r="G1061" s="19" t="str">
        <v>英国区10:00-18:30 / UK 10:00-18:30</v>
      </c>
      <c r="H1061" s="23" t="n">
        <v>3</v>
      </c>
      <c r="I1061" s="23" t="n">
        <v>0</v>
      </c>
      <c r="J1061" s="23" t="n">
        <f>H1061+I1061</f>
        <v>3</v>
      </c>
      <c r="K1061" s="23" t="n">
        <v>3</v>
      </c>
      <c r="L1061" s="23" t="n">
        <v>3</v>
      </c>
      <c r="M1061" s="23" t="n">
        <f>MIN(K1061,J1061)</f>
        <v>3</v>
      </c>
      <c r="N1061" s="23" t="n">
        <f>MIN(L1061,J1061)</f>
        <v>3</v>
      </c>
      <c r="O1061" s="25" t="n">
        <f>IF(K1061=0,0,MIN(1,J1061/K1061))</f>
        <v>1</v>
      </c>
      <c r="P1061" s="23" t="n">
        <f>IF(J1061&gt;0,MAX(K1061-J1061,0),0)</f>
        <v>0</v>
      </c>
      <c r="Q1061" s="23" t="n">
        <f>IF(J1061=0,K1061,0)</f>
        <v>0</v>
      </c>
      <c r="R1061" s="23" t="n">
        <f>MAX(J1061-K1061,0)</f>
        <v>0</v>
      </c>
      <c r="S1061" s="23" t="n">
        <f>IF(J1061&gt;0,MAX(L1061-J1061,0),L1061)</f>
        <v>0</v>
      </c>
    </row>
    <row r="1062">
      <c r="A1062" s="19" t="str">
        <v>英国区</v>
      </c>
      <c r="B1062" s="19" t="str">
        <v>伯明翰25号仓</v>
      </c>
      <c r="C1062" s="19" t="str">
        <v>拣货组</v>
      </c>
      <c r="D1062" s="21" t="n">
        <v>46141</v>
      </c>
      <c r="E1062" s="19" t="str">
        <v>2026-04</v>
      </c>
      <c r="F1062" s="19" t="str">
        <v>操作员</v>
      </c>
      <c r="G1062" s="19" t="str">
        <v>英国区10:00-18:30 / UK 10:00-18:30</v>
      </c>
      <c r="H1062" s="23" t="n">
        <v>3</v>
      </c>
      <c r="I1062" s="23" t="n">
        <v>0</v>
      </c>
      <c r="J1062" s="23" t="n">
        <f>H1062+I1062</f>
        <v>3</v>
      </c>
      <c r="K1062" s="23" t="n">
        <v>3</v>
      </c>
      <c r="L1062" s="23" t="n">
        <v>3</v>
      </c>
      <c r="M1062" s="23" t="n">
        <f>MIN(K1062,J1062)</f>
        <v>3</v>
      </c>
      <c r="N1062" s="23" t="n">
        <f>MIN(L1062,J1062)</f>
        <v>3</v>
      </c>
      <c r="O1062" s="25" t="n">
        <f>IF(K1062=0,0,MIN(1,J1062/K1062))</f>
        <v>1</v>
      </c>
      <c r="P1062" s="23" t="n">
        <f>IF(J1062&gt;0,MAX(K1062-J1062,0),0)</f>
        <v>0</v>
      </c>
      <c r="Q1062" s="23" t="n">
        <f>IF(J1062=0,K1062,0)</f>
        <v>0</v>
      </c>
      <c r="R1062" s="23" t="n">
        <f>MAX(J1062-K1062,0)</f>
        <v>0</v>
      </c>
      <c r="S1062" s="23" t="n">
        <f>IF(J1062&gt;0,MAX(L1062-J1062,0),L1062)</f>
        <v>0</v>
      </c>
    </row>
    <row r="1063">
      <c r="A1063" s="19" t="str">
        <v>英国区</v>
      </c>
      <c r="B1063" s="19" t="str">
        <v>伯明翰25号仓</v>
      </c>
      <c r="C1063" s="19" t="str">
        <v>拣货组</v>
      </c>
      <c r="D1063" s="21" t="n">
        <v>46142</v>
      </c>
      <c r="E1063" s="19" t="str">
        <v>2026-04</v>
      </c>
      <c r="F1063" s="19" t="str">
        <v>操作员</v>
      </c>
      <c r="G1063" s="19" t="str">
        <v>英国区10:00-18:30 / UK 10:00-18:30</v>
      </c>
      <c r="H1063" s="23" t="n">
        <v>3</v>
      </c>
      <c r="I1063" s="23" t="n">
        <v>0</v>
      </c>
      <c r="J1063" s="23" t="n">
        <f>H1063+I1063</f>
        <v>3</v>
      </c>
      <c r="K1063" s="23" t="n">
        <v>3</v>
      </c>
      <c r="L1063" s="23" t="n">
        <v>3</v>
      </c>
      <c r="M1063" s="23" t="n">
        <f>MIN(K1063,J1063)</f>
        <v>3</v>
      </c>
      <c r="N1063" s="23" t="n">
        <f>MIN(L1063,J1063)</f>
        <v>3</v>
      </c>
      <c r="O1063" s="25" t="n">
        <f>IF(K1063=0,0,MIN(1,J1063/K1063))</f>
        <v>1</v>
      </c>
      <c r="P1063" s="23" t="n">
        <f>IF(J1063&gt;0,MAX(K1063-J1063,0),0)</f>
        <v>0</v>
      </c>
      <c r="Q1063" s="23" t="n">
        <f>IF(J1063=0,K1063,0)</f>
        <v>0</v>
      </c>
      <c r="R1063" s="23" t="n">
        <f>MAX(J1063-K1063,0)</f>
        <v>0</v>
      </c>
      <c r="S1063" s="23" t="n">
        <f>IF(J1063&gt;0,MAX(L1063-J1063,0),L1063)</f>
        <v>0</v>
      </c>
    </row>
    <row r="1064">
      <c r="A1064" s="19" t="str">
        <v>英国区</v>
      </c>
      <c r="B1064" s="19" t="str">
        <v>伯明翰25号仓</v>
      </c>
      <c r="C1064" s="19" t="str">
        <v>拣货组</v>
      </c>
      <c r="D1064" s="21" t="n">
        <v>46143</v>
      </c>
      <c r="E1064" s="19" t="str">
        <v>2026-05</v>
      </c>
      <c r="F1064" s="19" t="str">
        <v>操作员</v>
      </c>
      <c r="G1064" s="19" t="str">
        <v>英国区10:00-18:30 / UK 10:00-18:30</v>
      </c>
      <c r="H1064" s="23" t="n">
        <v>3</v>
      </c>
      <c r="I1064" s="23" t="n">
        <v>0</v>
      </c>
      <c r="J1064" s="23" t="n">
        <f>H1064+I1064</f>
        <v>3</v>
      </c>
      <c r="K1064" s="23" t="n">
        <v>3</v>
      </c>
      <c r="L1064" s="23" t="n">
        <v>3</v>
      </c>
      <c r="M1064" s="23" t="n">
        <f>MIN(K1064,J1064)</f>
        <v>3</v>
      </c>
      <c r="N1064" s="23" t="n">
        <f>MIN(L1064,J1064)</f>
        <v>3</v>
      </c>
      <c r="O1064" s="25" t="n">
        <f>IF(K1064=0,0,MIN(1,J1064/K1064))</f>
        <v>1</v>
      </c>
      <c r="P1064" s="23" t="n">
        <f>IF(J1064&gt;0,MAX(K1064-J1064,0),0)</f>
        <v>0</v>
      </c>
      <c r="Q1064" s="23" t="n">
        <f>IF(J1064=0,K1064,0)</f>
        <v>0</v>
      </c>
      <c r="R1064" s="23" t="n">
        <f>MAX(J1064-K1064,0)</f>
        <v>0</v>
      </c>
      <c r="S1064" s="23" t="n">
        <f>IF(J1064&gt;0,MAX(L1064-J1064,0),L1064)</f>
        <v>0</v>
      </c>
    </row>
    <row r="1065">
      <c r="A1065" s="19" t="str">
        <v>英国区</v>
      </c>
      <c r="B1065" s="19" t="str">
        <v>伯明翰25号仓</v>
      </c>
      <c r="C1065" s="19" t="str">
        <v>拣货组</v>
      </c>
      <c r="D1065" s="21" t="n">
        <v>46148</v>
      </c>
      <c r="E1065" s="19" t="str">
        <v>2026-05</v>
      </c>
      <c r="F1065" s="19" t="str">
        <v>操作员</v>
      </c>
      <c r="G1065" s="19" t="str">
        <v>英国区10:00-18:30 / UK 10:00-18:30</v>
      </c>
      <c r="H1065" s="23" t="n">
        <v>3</v>
      </c>
      <c r="I1065" s="23" t="n">
        <v>0</v>
      </c>
      <c r="J1065" s="23" t="n">
        <f>H1065+I1065</f>
        <v>3</v>
      </c>
      <c r="K1065" s="23" t="n">
        <v>3</v>
      </c>
      <c r="L1065" s="23" t="n">
        <v>3</v>
      </c>
      <c r="M1065" s="23" t="n">
        <f>MIN(K1065,J1065)</f>
        <v>3</v>
      </c>
      <c r="N1065" s="23" t="n">
        <f>MIN(L1065,J1065)</f>
        <v>3</v>
      </c>
      <c r="O1065" s="25" t="n">
        <f>IF(K1065=0,0,MIN(1,J1065/K1065))</f>
        <v>1</v>
      </c>
      <c r="P1065" s="23" t="n">
        <f>IF(J1065&gt;0,MAX(K1065-J1065,0),0)</f>
        <v>0</v>
      </c>
      <c r="Q1065" s="23" t="n">
        <f>IF(J1065=0,K1065,0)</f>
        <v>0</v>
      </c>
      <c r="R1065" s="23" t="n">
        <f>MAX(J1065-K1065,0)</f>
        <v>0</v>
      </c>
      <c r="S1065" s="23" t="n">
        <f>IF(J1065&gt;0,MAX(L1065-J1065,0),L1065)</f>
        <v>0</v>
      </c>
    </row>
    <row r="1066">
      <c r="A1066" s="19" t="str">
        <v>英国区</v>
      </c>
      <c r="B1066" s="19" t="str">
        <v>伯明翰25号仓</v>
      </c>
      <c r="C1066" s="19" t="str">
        <v>拣货组</v>
      </c>
      <c r="D1066" s="21" t="n">
        <v>46149</v>
      </c>
      <c r="E1066" s="19" t="str">
        <v>2026-05</v>
      </c>
      <c r="F1066" s="19" t="str">
        <v>操作员</v>
      </c>
      <c r="G1066" s="19" t="str">
        <v>英国区10:00-18:30 / UK 10:00-18:30</v>
      </c>
      <c r="H1066" s="23" t="n">
        <v>3</v>
      </c>
      <c r="I1066" s="23" t="n">
        <v>0</v>
      </c>
      <c r="J1066" s="23" t="n">
        <f>H1066+I1066</f>
        <v>3</v>
      </c>
      <c r="K1066" s="23" t="n">
        <v>3</v>
      </c>
      <c r="L1066" s="23" t="n">
        <v>3</v>
      </c>
      <c r="M1066" s="23" t="n">
        <f>MIN(K1066,J1066)</f>
        <v>3</v>
      </c>
      <c r="N1066" s="23" t="n">
        <f>MIN(L1066,J1066)</f>
        <v>3</v>
      </c>
      <c r="O1066" s="25" t="n">
        <f>IF(K1066=0,0,MIN(1,J1066/K1066))</f>
        <v>1</v>
      </c>
      <c r="P1066" s="23" t="n">
        <f>IF(J1066&gt;0,MAX(K1066-J1066,0),0)</f>
        <v>0</v>
      </c>
      <c r="Q1066" s="23" t="n">
        <f>IF(J1066=0,K1066,0)</f>
        <v>0</v>
      </c>
      <c r="R1066" s="23" t="n">
        <f>MAX(J1066-K1066,0)</f>
        <v>0</v>
      </c>
      <c r="S1066" s="23" t="n">
        <f>IF(J1066&gt;0,MAX(L1066-J1066,0),L1066)</f>
        <v>0</v>
      </c>
    </row>
    <row r="1067">
      <c r="A1067" s="19" t="str">
        <v>英国区</v>
      </c>
      <c r="B1067" s="19" t="str">
        <v>伯明翰25号仓</v>
      </c>
      <c r="C1067" s="19" t="str">
        <v>拣货组</v>
      </c>
      <c r="D1067" s="21" t="n">
        <v>46150</v>
      </c>
      <c r="E1067" s="19" t="str">
        <v>2026-05</v>
      </c>
      <c r="F1067" s="19" t="str">
        <v>操作员</v>
      </c>
      <c r="G1067" s="19" t="str">
        <v>英国区10:00-18:30 / UK 10:00-18:30</v>
      </c>
      <c r="H1067" s="23" t="n">
        <v>3</v>
      </c>
      <c r="I1067" s="23" t="n">
        <v>0</v>
      </c>
      <c r="J1067" s="23" t="n">
        <f>H1067+I1067</f>
        <v>3</v>
      </c>
      <c r="K1067" s="23" t="n">
        <v>3</v>
      </c>
      <c r="L1067" s="23" t="n">
        <v>3</v>
      </c>
      <c r="M1067" s="23" t="n">
        <f>MIN(K1067,J1067)</f>
        <v>3</v>
      </c>
      <c r="N1067" s="23" t="n">
        <f>MIN(L1067,J1067)</f>
        <v>3</v>
      </c>
      <c r="O1067" s="25" t="n">
        <f>IF(K1067=0,0,MIN(1,J1067/K1067))</f>
        <v>1</v>
      </c>
      <c r="P1067" s="23" t="n">
        <f>IF(J1067&gt;0,MAX(K1067-J1067,0),0)</f>
        <v>0</v>
      </c>
      <c r="Q1067" s="23" t="n">
        <f>IF(J1067=0,K1067,0)</f>
        <v>0</v>
      </c>
      <c r="R1067" s="23" t="n">
        <f>MAX(J1067-K1067,0)</f>
        <v>0</v>
      </c>
      <c r="S1067" s="23" t="n">
        <f>IF(J1067&gt;0,MAX(L1067-J1067,0),L1067)</f>
        <v>0</v>
      </c>
    </row>
    <row r="1068">
      <c r="A1068" s="19" t="str">
        <v>英国区</v>
      </c>
      <c r="B1068" s="19" t="str">
        <v>伯明翰25号仓</v>
      </c>
      <c r="C1068" s="19" t="str">
        <v>拣货组</v>
      </c>
      <c r="D1068" s="21" t="n">
        <v>46154</v>
      </c>
      <c r="E1068" s="19" t="str">
        <v>2026-05</v>
      </c>
      <c r="F1068" s="19" t="str">
        <v>操作员</v>
      </c>
      <c r="G1068" s="19" t="str">
        <v>英国区11:00-19:30 / UK 11:00-19:30</v>
      </c>
      <c r="H1068" s="23" t="n">
        <v>3</v>
      </c>
      <c r="I1068" s="23" t="n">
        <v>0</v>
      </c>
      <c r="J1068" s="23" t="n">
        <f>H1068+I1068</f>
        <v>3</v>
      </c>
      <c r="K1068" s="23" t="n">
        <v>3</v>
      </c>
      <c r="L1068" s="23" t="n">
        <v>3</v>
      </c>
      <c r="M1068" s="23" t="n">
        <f>MIN(K1068,J1068)</f>
        <v>3</v>
      </c>
      <c r="N1068" s="23" t="n">
        <f>MIN(L1068,J1068)</f>
        <v>3</v>
      </c>
      <c r="O1068" s="25" t="n">
        <f>IF(K1068=0,0,MIN(1,J1068/K1068))</f>
        <v>1</v>
      </c>
      <c r="P1068" s="23" t="n">
        <f>IF(J1068&gt;0,MAX(K1068-J1068,0),0)</f>
        <v>0</v>
      </c>
      <c r="Q1068" s="23" t="n">
        <f>IF(J1068=0,K1068,0)</f>
        <v>0</v>
      </c>
      <c r="R1068" s="23" t="n">
        <f>MAX(J1068-K1068,0)</f>
        <v>0</v>
      </c>
      <c r="S1068" s="23" t="n">
        <f>IF(J1068&gt;0,MAX(L1068-J1068,0),L1068)</f>
        <v>0</v>
      </c>
    </row>
    <row r="1069">
      <c r="A1069" s="19" t="str">
        <v>英国区</v>
      </c>
      <c r="B1069" s="19" t="str">
        <v>伯明翰25号仓</v>
      </c>
      <c r="C1069" s="19" t="str">
        <v>拣货组</v>
      </c>
      <c r="D1069" s="21" t="n">
        <v>46155</v>
      </c>
      <c r="E1069" s="19" t="str">
        <v>2026-05</v>
      </c>
      <c r="F1069" s="19" t="str">
        <v>操作员</v>
      </c>
      <c r="G1069" s="19" t="str">
        <v>英国区11:00-19:30 / UK 11:00-19:30</v>
      </c>
      <c r="H1069" s="23" t="n">
        <v>3</v>
      </c>
      <c r="I1069" s="23" t="n">
        <v>0</v>
      </c>
      <c r="J1069" s="23" t="n">
        <f>H1069+I1069</f>
        <v>3</v>
      </c>
      <c r="K1069" s="23" t="n">
        <v>3</v>
      </c>
      <c r="L1069" s="23" t="n">
        <v>3</v>
      </c>
      <c r="M1069" s="23" t="n">
        <f>MIN(K1069,J1069)</f>
        <v>3</v>
      </c>
      <c r="N1069" s="23" t="n">
        <f>MIN(L1069,J1069)</f>
        <v>3</v>
      </c>
      <c r="O1069" s="25" t="n">
        <f>IF(K1069=0,0,MIN(1,J1069/K1069))</f>
        <v>1</v>
      </c>
      <c r="P1069" s="23" t="n">
        <f>IF(J1069&gt;0,MAX(K1069-J1069,0),0)</f>
        <v>0</v>
      </c>
      <c r="Q1069" s="23" t="n">
        <f>IF(J1069=0,K1069,0)</f>
        <v>0</v>
      </c>
      <c r="R1069" s="23" t="n">
        <f>MAX(J1069-K1069,0)</f>
        <v>0</v>
      </c>
      <c r="S1069" s="23" t="n">
        <f>IF(J1069&gt;0,MAX(L1069-J1069,0),L1069)</f>
        <v>0</v>
      </c>
    </row>
    <row r="1070">
      <c r="A1070" s="19" t="str">
        <v>英国区</v>
      </c>
      <c r="B1070" s="19" t="str">
        <v>伯明翰25号仓</v>
      </c>
      <c r="C1070" s="19" t="str">
        <v>拣货组</v>
      </c>
      <c r="D1070" s="21" t="n">
        <v>46156</v>
      </c>
      <c r="E1070" s="19" t="str">
        <v>2026-05</v>
      </c>
      <c r="F1070" s="19" t="str">
        <v>操作员</v>
      </c>
      <c r="G1070" s="19" t="str">
        <v>英国区11:00-19:30 / UK 11:00-19:30</v>
      </c>
      <c r="H1070" s="23" t="n">
        <v>3</v>
      </c>
      <c r="I1070" s="23" t="n">
        <v>0</v>
      </c>
      <c r="J1070" s="23" t="n">
        <f>H1070+I1070</f>
        <v>3</v>
      </c>
      <c r="K1070" s="23" t="n">
        <v>3</v>
      </c>
      <c r="L1070" s="23" t="n">
        <v>3</v>
      </c>
      <c r="M1070" s="23" t="n">
        <f>MIN(K1070,J1070)</f>
        <v>3</v>
      </c>
      <c r="N1070" s="23" t="n">
        <f>MIN(L1070,J1070)</f>
        <v>3</v>
      </c>
      <c r="O1070" s="25" t="n">
        <f>IF(K1070=0,0,MIN(1,J1070/K1070))</f>
        <v>1</v>
      </c>
      <c r="P1070" s="23" t="n">
        <f>IF(J1070&gt;0,MAX(K1070-J1070,0),0)</f>
        <v>0</v>
      </c>
      <c r="Q1070" s="23" t="n">
        <f>IF(J1070=0,K1070,0)</f>
        <v>0</v>
      </c>
      <c r="R1070" s="23" t="n">
        <f>MAX(J1070-K1070,0)</f>
        <v>0</v>
      </c>
      <c r="S1070" s="23" t="n">
        <f>IF(J1070&gt;0,MAX(L1070-J1070,0),L1070)</f>
        <v>0</v>
      </c>
    </row>
    <row r="1071">
      <c r="A1071" s="19" t="str">
        <v>英国区</v>
      </c>
      <c r="B1071" s="19" t="str">
        <v>伯明翰25号仓</v>
      </c>
      <c r="C1071" s="19" t="str">
        <v>拣货组</v>
      </c>
      <c r="D1071" s="21" t="n">
        <v>46157</v>
      </c>
      <c r="E1071" s="19" t="str">
        <v>2026-05</v>
      </c>
      <c r="F1071" s="19" t="str">
        <v>操作员</v>
      </c>
      <c r="G1071" s="19" t="str">
        <v>英国区11:00-19:30 / UK 11:00-19:30</v>
      </c>
      <c r="H1071" s="23" t="n">
        <v>3</v>
      </c>
      <c r="I1071" s="23" t="n">
        <v>0</v>
      </c>
      <c r="J1071" s="23" t="n">
        <f>H1071+I1071</f>
        <v>3</v>
      </c>
      <c r="K1071" s="23" t="n">
        <v>3</v>
      </c>
      <c r="L1071" s="23" t="n">
        <v>3</v>
      </c>
      <c r="M1071" s="23" t="n">
        <f>MIN(K1071,J1071)</f>
        <v>3</v>
      </c>
      <c r="N1071" s="23" t="n">
        <f>MIN(L1071,J1071)</f>
        <v>3</v>
      </c>
      <c r="O1071" s="25" t="n">
        <f>IF(K1071=0,0,MIN(1,J1071/K1071))</f>
        <v>1</v>
      </c>
      <c r="P1071" s="23" t="n">
        <f>IF(J1071&gt;0,MAX(K1071-J1071,0),0)</f>
        <v>0</v>
      </c>
      <c r="Q1071" s="23" t="n">
        <f>IF(J1071=0,K1071,0)</f>
        <v>0</v>
      </c>
      <c r="R1071" s="23" t="n">
        <f>MAX(J1071-K1071,0)</f>
        <v>0</v>
      </c>
      <c r="S1071" s="23" t="n">
        <f>IF(J1071&gt;0,MAX(L1071-J1071,0),L1071)</f>
        <v>0</v>
      </c>
    </row>
    <row r="1072">
      <c r="A1072" s="19" t="str">
        <v>英国区</v>
      </c>
      <c r="B1072" s="19" t="str">
        <v>伯明翰25号仓</v>
      </c>
      <c r="C1072" s="19" t="str">
        <v>拣货组</v>
      </c>
      <c r="D1072" s="21" t="n">
        <v>46171</v>
      </c>
      <c r="E1072" s="19" t="str">
        <v>2026-05</v>
      </c>
      <c r="F1072" s="19" t="str">
        <v>操作员</v>
      </c>
      <c r="G1072" s="19" t="str">
        <v>英国区11:00-19:30 / UK 11:00-19:30</v>
      </c>
      <c r="H1072" s="23" t="n">
        <v>5</v>
      </c>
      <c r="I1072" s="23" t="n">
        <v>0</v>
      </c>
      <c r="J1072" s="23" t="n">
        <f>H1072+I1072</f>
        <v>5</v>
      </c>
      <c r="K1072" s="23" t="n">
        <v>5</v>
      </c>
      <c r="L1072" s="23" t="n">
        <v>5</v>
      </c>
      <c r="M1072" s="23" t="n">
        <f>MIN(K1072,J1072)</f>
        <v>5</v>
      </c>
      <c r="N1072" s="23" t="n">
        <f>MIN(L1072,J1072)</f>
        <v>5</v>
      </c>
      <c r="O1072" s="25" t="n">
        <f>IF(K1072=0,0,MIN(1,J1072/K1072))</f>
        <v>1</v>
      </c>
      <c r="P1072" s="23" t="n">
        <f>IF(J1072&gt;0,MAX(K1072-J1072,0),0)</f>
        <v>0</v>
      </c>
      <c r="Q1072" s="23" t="n">
        <f>IF(J1072=0,K1072,0)</f>
        <v>0</v>
      </c>
      <c r="R1072" s="23" t="n">
        <f>MAX(J1072-K1072,0)</f>
        <v>0</v>
      </c>
      <c r="S1072" s="23" t="n">
        <f>IF(J1072&gt;0,MAX(L1072-J1072,0),L1072)</f>
        <v>0</v>
      </c>
    </row>
    <row r="1073">
      <c r="A1073" s="19" t="str">
        <v>英国区</v>
      </c>
      <c r="B1073" s="19" t="str">
        <v>伯明翰25号仓</v>
      </c>
      <c r="C1073" s="19" t="str">
        <v>拣货组</v>
      </c>
      <c r="D1073" s="21" t="n">
        <v>46175</v>
      </c>
      <c r="E1073" s="19" t="str">
        <v>2026-06</v>
      </c>
      <c r="F1073" s="19" t="str">
        <v>操作员</v>
      </c>
      <c r="G1073" s="19" t="str">
        <v>英国区09:00-17:30 / UK 09:00-17:30</v>
      </c>
      <c r="H1073" s="23" t="n">
        <v>3</v>
      </c>
      <c r="I1073" s="23" t="n">
        <v>0</v>
      </c>
      <c r="J1073" s="23" t="n">
        <f>H1073+I1073</f>
        <v>3</v>
      </c>
      <c r="K1073" s="23" t="n">
        <v>3</v>
      </c>
      <c r="L1073" s="23" t="n">
        <v>2</v>
      </c>
      <c r="M1073" s="23" t="n">
        <f>MIN(K1073,J1073)</f>
        <v>3</v>
      </c>
      <c r="N1073" s="23" t="n">
        <f>MIN(L1073,J1073)</f>
        <v>2</v>
      </c>
      <c r="O1073" s="25" t="n">
        <f>IF(K1073=0,0,MIN(1,J1073/K1073))</f>
        <v>1</v>
      </c>
      <c r="P1073" s="23" t="n">
        <f>IF(J1073&gt;0,MAX(K1073-J1073,0),0)</f>
        <v>0</v>
      </c>
      <c r="Q1073" s="23" t="n">
        <f>IF(J1073=0,K1073,0)</f>
        <v>0</v>
      </c>
      <c r="R1073" s="23" t="n">
        <f>MAX(J1073-K1073,0)</f>
        <v>0</v>
      </c>
      <c r="S1073" s="23" t="n">
        <f>IF(J1073&gt;0,MAX(L1073-J1073,0),L1073)</f>
        <v>0</v>
      </c>
    </row>
    <row r="1074">
      <c r="A1074" s="19" t="str">
        <v>英国区</v>
      </c>
      <c r="B1074" s="19" t="str">
        <v>伯明翰25号仓</v>
      </c>
      <c r="C1074" s="19" t="str">
        <v>拣货组</v>
      </c>
      <c r="D1074" s="21" t="n">
        <v>46176</v>
      </c>
      <c r="E1074" s="19" t="str">
        <v>2026-06</v>
      </c>
      <c r="F1074" s="19" t="str">
        <v>操作员</v>
      </c>
      <c r="G1074" s="19" t="str">
        <v>英国区09:00-17:30 / UK 09:00-17:30</v>
      </c>
      <c r="H1074" s="23" t="n">
        <v>3</v>
      </c>
      <c r="I1074" s="23" t="n">
        <v>0</v>
      </c>
      <c r="J1074" s="23" t="n">
        <f>H1074+I1074</f>
        <v>3</v>
      </c>
      <c r="K1074" s="23" t="n">
        <v>3</v>
      </c>
      <c r="L1074" s="23" t="n">
        <v>3</v>
      </c>
      <c r="M1074" s="23" t="n">
        <f>MIN(K1074,J1074)</f>
        <v>3</v>
      </c>
      <c r="N1074" s="23" t="n">
        <f>MIN(L1074,J1074)</f>
        <v>3</v>
      </c>
      <c r="O1074" s="25" t="n">
        <f>IF(K1074=0,0,MIN(1,J1074/K1074))</f>
        <v>1</v>
      </c>
      <c r="P1074" s="23" t="n">
        <f>IF(J1074&gt;0,MAX(K1074-J1074,0),0)</f>
        <v>0</v>
      </c>
      <c r="Q1074" s="23" t="n">
        <f>IF(J1074=0,K1074,0)</f>
        <v>0</v>
      </c>
      <c r="R1074" s="23" t="n">
        <f>MAX(J1074-K1074,0)</f>
        <v>0</v>
      </c>
      <c r="S1074" s="23" t="n">
        <f>IF(J1074&gt;0,MAX(L1074-J1074,0),L1074)</f>
        <v>0</v>
      </c>
    </row>
    <row r="1075">
      <c r="A1075" s="19" t="str">
        <v>英国区</v>
      </c>
      <c r="B1075" s="19" t="str">
        <v>伯明翰25号仓</v>
      </c>
      <c r="C1075" s="19" t="str">
        <v>拣货组</v>
      </c>
      <c r="D1075" s="21" t="n">
        <v>46176</v>
      </c>
      <c r="E1075" s="19" t="str">
        <v>2026-06</v>
      </c>
      <c r="F1075" s="19" t="str">
        <v>操作员</v>
      </c>
      <c r="G1075" s="19" t="str">
        <v>英国区11:00-19:30 / UK 11:00-19:30</v>
      </c>
      <c r="H1075" s="23" t="n">
        <v>8</v>
      </c>
      <c r="I1075" s="23" t="n">
        <v>0</v>
      </c>
      <c r="J1075" s="23" t="n">
        <f>H1075+I1075</f>
        <v>8</v>
      </c>
      <c r="K1075" s="23" t="n">
        <v>8</v>
      </c>
      <c r="L1075" s="23" t="n">
        <v>5</v>
      </c>
      <c r="M1075" s="23" t="n">
        <f>MIN(K1075,J1075)</f>
        <v>8</v>
      </c>
      <c r="N1075" s="23" t="n">
        <f>MIN(L1075,J1075)</f>
        <v>5</v>
      </c>
      <c r="O1075" s="25" t="n">
        <f>IF(K1075=0,0,MIN(1,J1075/K1075))</f>
        <v>1</v>
      </c>
      <c r="P1075" s="23" t="n">
        <f>IF(J1075&gt;0,MAX(K1075-J1075,0),0)</f>
        <v>0</v>
      </c>
      <c r="Q1075" s="23" t="n">
        <f>IF(J1075=0,K1075,0)</f>
        <v>0</v>
      </c>
      <c r="R1075" s="23" t="n">
        <f>MAX(J1075-K1075,0)</f>
        <v>0</v>
      </c>
      <c r="S1075" s="23" t="n">
        <f>IF(J1075&gt;0,MAX(L1075-J1075,0),L1075)</f>
        <v>0</v>
      </c>
    </row>
    <row r="1076">
      <c r="A1076" s="19" t="str">
        <v>英国区</v>
      </c>
      <c r="B1076" s="19" t="str">
        <v>伯明翰25号仓</v>
      </c>
      <c r="C1076" s="19" t="str">
        <v>拣货组</v>
      </c>
      <c r="D1076" s="21" t="n">
        <v>46177</v>
      </c>
      <c r="E1076" s="19" t="str">
        <v>2026-06</v>
      </c>
      <c r="F1076" s="19" t="str">
        <v>操作员</v>
      </c>
      <c r="G1076" s="19" t="str">
        <v>英国区09:00-17:30 / UK 09:00-17:30</v>
      </c>
      <c r="H1076" s="23" t="n">
        <v>3</v>
      </c>
      <c r="I1076" s="23" t="n">
        <v>0</v>
      </c>
      <c r="J1076" s="23" t="n">
        <f>H1076+I1076</f>
        <v>3</v>
      </c>
      <c r="K1076" s="23" t="n">
        <v>3</v>
      </c>
      <c r="L1076" s="23" t="n">
        <v>3</v>
      </c>
      <c r="M1076" s="23" t="n">
        <f>MIN(K1076,J1076)</f>
        <v>3</v>
      </c>
      <c r="N1076" s="23" t="n">
        <f>MIN(L1076,J1076)</f>
        <v>3</v>
      </c>
      <c r="O1076" s="25" t="n">
        <f>IF(K1076=0,0,MIN(1,J1076/K1076))</f>
        <v>1</v>
      </c>
      <c r="P1076" s="23" t="n">
        <f>IF(J1076&gt;0,MAX(K1076-J1076,0),0)</f>
        <v>0</v>
      </c>
      <c r="Q1076" s="23" t="n">
        <f>IF(J1076=0,K1076,0)</f>
        <v>0</v>
      </c>
      <c r="R1076" s="23" t="n">
        <f>MAX(J1076-K1076,0)</f>
        <v>0</v>
      </c>
      <c r="S1076" s="23" t="n">
        <f>IF(J1076&gt;0,MAX(L1076-J1076,0),L1076)</f>
        <v>0</v>
      </c>
    </row>
    <row r="1077">
      <c r="A1077" s="19" t="str">
        <v>英国区</v>
      </c>
      <c r="B1077" s="19" t="str">
        <v>伯明翰25号仓</v>
      </c>
      <c r="C1077" s="19" t="str">
        <v>拣货组</v>
      </c>
      <c r="D1077" s="21" t="n">
        <v>46178</v>
      </c>
      <c r="E1077" s="19" t="str">
        <v>2026-06</v>
      </c>
      <c r="F1077" s="19" t="str">
        <v>操作员</v>
      </c>
      <c r="G1077" s="19" t="str">
        <v>英国区09:00-17:30 / UK 09:00-17:30</v>
      </c>
      <c r="H1077" s="23" t="n">
        <v>3</v>
      </c>
      <c r="I1077" s="23" t="n">
        <v>0</v>
      </c>
      <c r="J1077" s="23" t="n">
        <f>H1077+I1077</f>
        <v>3</v>
      </c>
      <c r="K1077" s="23" t="n">
        <v>3</v>
      </c>
      <c r="L1077" s="23" t="n">
        <v>2</v>
      </c>
      <c r="M1077" s="23" t="n">
        <f>MIN(K1077,J1077)</f>
        <v>3</v>
      </c>
      <c r="N1077" s="23" t="n">
        <f>MIN(L1077,J1077)</f>
        <v>2</v>
      </c>
      <c r="O1077" s="25" t="n">
        <f>IF(K1077=0,0,MIN(1,J1077/K1077))</f>
        <v>1</v>
      </c>
      <c r="P1077" s="23" t="n">
        <f>IF(J1077&gt;0,MAX(K1077-J1077,0),0)</f>
        <v>0</v>
      </c>
      <c r="Q1077" s="23" t="n">
        <f>IF(J1077=0,K1077,0)</f>
        <v>0</v>
      </c>
      <c r="R1077" s="23" t="n">
        <f>MAX(J1077-K1077,0)</f>
        <v>0</v>
      </c>
      <c r="S1077" s="23" t="n">
        <f>IF(J1077&gt;0,MAX(L1077-J1077,0),L1077)</f>
        <v>0</v>
      </c>
    </row>
    <row r="1078">
      <c r="A1078" s="19" t="str">
        <v>英国区</v>
      </c>
      <c r="B1078" s="19" t="str">
        <v>伯明翰25号仓</v>
      </c>
      <c r="C1078" s="19" t="str">
        <v>拣货组</v>
      </c>
      <c r="D1078" s="21" t="n">
        <v>46178</v>
      </c>
      <c r="E1078" s="19" t="str">
        <v>2026-06</v>
      </c>
      <c r="F1078" s="19" t="str">
        <v>操作员</v>
      </c>
      <c r="G1078" s="19" t="str">
        <v>英国区11:00-19:30 / UK 11:00-19:30</v>
      </c>
      <c r="H1078" s="23" t="n">
        <v>4</v>
      </c>
      <c r="I1078" s="23" t="n">
        <v>0</v>
      </c>
      <c r="J1078" s="23" t="n">
        <f>H1078+I1078</f>
        <v>4</v>
      </c>
      <c r="K1078" s="23" t="n">
        <v>4</v>
      </c>
      <c r="L1078" s="23" t="n">
        <v>4</v>
      </c>
      <c r="M1078" s="23" t="n">
        <f>MIN(K1078,J1078)</f>
        <v>4</v>
      </c>
      <c r="N1078" s="23" t="n">
        <f>MIN(L1078,J1078)</f>
        <v>4</v>
      </c>
      <c r="O1078" s="25" t="n">
        <f>IF(K1078=0,0,MIN(1,J1078/K1078))</f>
        <v>1</v>
      </c>
      <c r="P1078" s="23" t="n">
        <f>IF(J1078&gt;0,MAX(K1078-J1078,0),0)</f>
        <v>0</v>
      </c>
      <c r="Q1078" s="23" t="n">
        <f>IF(J1078=0,K1078,0)</f>
        <v>0</v>
      </c>
      <c r="R1078" s="23" t="n">
        <f>MAX(J1078-K1078,0)</f>
        <v>0</v>
      </c>
      <c r="S1078" s="23" t="n">
        <f>IF(J1078&gt;0,MAX(L1078-J1078,0),L1078)</f>
        <v>0</v>
      </c>
    </row>
    <row r="1079">
      <c r="A1079" s="19" t="str">
        <v>英国区</v>
      </c>
      <c r="B1079" s="19" t="str">
        <v>伯明翰25号仓</v>
      </c>
      <c r="C1079" s="19" t="str">
        <v>拣货组</v>
      </c>
      <c r="D1079" s="21" t="n">
        <v>46182</v>
      </c>
      <c r="E1079" s="19" t="str">
        <v>2026-06</v>
      </c>
      <c r="F1079" s="19" t="str">
        <v>操作员</v>
      </c>
      <c r="G1079" s="19" t="str">
        <v>英国区11:00-19:30 / UK 11:00-19:30</v>
      </c>
      <c r="H1079" s="23" t="n">
        <v>6</v>
      </c>
      <c r="I1079" s="23" t="n">
        <v>0</v>
      </c>
      <c r="J1079" s="23" t="n">
        <f>H1079+I1079</f>
        <v>6</v>
      </c>
      <c r="K1079" s="23" t="n">
        <v>6</v>
      </c>
      <c r="L1079" s="23" t="n">
        <v>6</v>
      </c>
      <c r="M1079" s="23" t="n">
        <f>MIN(K1079,J1079)</f>
        <v>6</v>
      </c>
      <c r="N1079" s="23" t="n">
        <f>MIN(L1079,J1079)</f>
        <v>6</v>
      </c>
      <c r="O1079" s="25" t="n">
        <f>IF(K1079=0,0,MIN(1,J1079/K1079))</f>
        <v>1</v>
      </c>
      <c r="P1079" s="23" t="n">
        <f>IF(J1079&gt;0,MAX(K1079-J1079,0),0)</f>
        <v>0</v>
      </c>
      <c r="Q1079" s="23" t="n">
        <f>IF(J1079=0,K1079,0)</f>
        <v>0</v>
      </c>
      <c r="R1079" s="23" t="n">
        <f>MAX(J1079-K1079,0)</f>
        <v>0</v>
      </c>
      <c r="S1079" s="23" t="n">
        <f>IF(J1079&gt;0,MAX(L1079-J1079,0),L1079)</f>
        <v>0</v>
      </c>
    </row>
    <row r="1080">
      <c r="A1080" s="19" t="str">
        <v>英国区</v>
      </c>
      <c r="B1080" s="19" t="str">
        <v>伯明翰25号仓</v>
      </c>
      <c r="C1080" s="19" t="str">
        <v>拣货组</v>
      </c>
      <c r="D1080" s="21" t="n">
        <v>46183</v>
      </c>
      <c r="E1080" s="19" t="str">
        <v>2026-06</v>
      </c>
      <c r="F1080" s="19" t="str">
        <v>操作员</v>
      </c>
      <c r="G1080" s="19" t="str">
        <v>英国区11:00-19:30 / UK 11:00-19:30</v>
      </c>
      <c r="H1080" s="23" t="n">
        <v>6</v>
      </c>
      <c r="I1080" s="23" t="n">
        <v>0</v>
      </c>
      <c r="J1080" s="23" t="n">
        <f>H1080+I1080</f>
        <v>6</v>
      </c>
      <c r="K1080" s="23" t="n">
        <v>6</v>
      </c>
      <c r="L1080" s="23" t="n">
        <v>6</v>
      </c>
      <c r="M1080" s="23" t="n">
        <f>MIN(K1080,J1080)</f>
        <v>6</v>
      </c>
      <c r="N1080" s="23" t="n">
        <f>MIN(L1080,J1080)</f>
        <v>6</v>
      </c>
      <c r="O1080" s="25" t="n">
        <f>IF(K1080=0,0,MIN(1,J1080/K1080))</f>
        <v>1</v>
      </c>
      <c r="P1080" s="23" t="n">
        <f>IF(J1080&gt;0,MAX(K1080-J1080,0),0)</f>
        <v>0</v>
      </c>
      <c r="Q1080" s="23" t="n">
        <f>IF(J1080=0,K1080,0)</f>
        <v>0</v>
      </c>
      <c r="R1080" s="23" t="n">
        <f>MAX(J1080-K1080,0)</f>
        <v>0</v>
      </c>
      <c r="S1080" s="23" t="n">
        <f>IF(J1080&gt;0,MAX(L1080-J1080,0),L1080)</f>
        <v>0</v>
      </c>
    </row>
    <row r="1081">
      <c r="A1081" s="19" t="str">
        <v>英国区</v>
      </c>
      <c r="B1081" s="19" t="str">
        <v>伯明翰25号仓</v>
      </c>
      <c r="C1081" s="19" t="str">
        <v>拣货组</v>
      </c>
      <c r="D1081" s="21" t="n">
        <v>46184</v>
      </c>
      <c r="E1081" s="19" t="str">
        <v>2026-06</v>
      </c>
      <c r="F1081" s="19" t="str">
        <v>操作员</v>
      </c>
      <c r="G1081" s="19" t="str">
        <v>英国区11:00-19:30 / UK 11:00-19:30</v>
      </c>
      <c r="H1081" s="23" t="n">
        <v>5</v>
      </c>
      <c r="I1081" s="23" t="n">
        <v>0</v>
      </c>
      <c r="J1081" s="23" t="n">
        <f>H1081+I1081</f>
        <v>5</v>
      </c>
      <c r="K1081" s="23" t="n">
        <v>5</v>
      </c>
      <c r="L1081" s="23" t="n">
        <v>4</v>
      </c>
      <c r="M1081" s="23" t="n">
        <f>MIN(K1081,J1081)</f>
        <v>5</v>
      </c>
      <c r="N1081" s="23" t="n">
        <f>MIN(L1081,J1081)</f>
        <v>4</v>
      </c>
      <c r="O1081" s="25" t="n">
        <f>IF(K1081=0,0,MIN(1,J1081/K1081))</f>
        <v>1</v>
      </c>
      <c r="P1081" s="23" t="n">
        <f>IF(J1081&gt;0,MAX(K1081-J1081,0),0)</f>
        <v>0</v>
      </c>
      <c r="Q1081" s="23" t="n">
        <f>IF(J1081=0,K1081,0)</f>
        <v>0</v>
      </c>
      <c r="R1081" s="23" t="n">
        <f>MAX(J1081-K1081,0)</f>
        <v>0</v>
      </c>
      <c r="S1081" s="23" t="n">
        <f>IF(J1081&gt;0,MAX(L1081-J1081,0),L1081)</f>
        <v>0</v>
      </c>
    </row>
    <row r="1082">
      <c r="A1082" s="19" t="str">
        <v>英国区</v>
      </c>
      <c r="B1082" s="19" t="str">
        <v>伯明翰25号仓</v>
      </c>
      <c r="C1082" s="19" t="str">
        <v>拣货组</v>
      </c>
      <c r="D1082" s="21" t="n">
        <v>46185</v>
      </c>
      <c r="E1082" s="19" t="str">
        <v>2026-06</v>
      </c>
      <c r="F1082" s="19" t="str">
        <v>操作员</v>
      </c>
      <c r="G1082" s="19" t="str">
        <v>英国区11:00-19:30 / UK 11:00-19:30</v>
      </c>
      <c r="H1082" s="23" t="n">
        <v>5</v>
      </c>
      <c r="I1082" s="23" t="n">
        <v>0</v>
      </c>
      <c r="J1082" s="23" t="n">
        <f>H1082+I1082</f>
        <v>5</v>
      </c>
      <c r="K1082" s="23" t="n">
        <v>5</v>
      </c>
      <c r="L1082" s="23" t="n">
        <v>5</v>
      </c>
      <c r="M1082" s="23" t="n">
        <f>MIN(K1082,J1082)</f>
        <v>5</v>
      </c>
      <c r="N1082" s="23" t="n">
        <f>MIN(L1082,J1082)</f>
        <v>5</v>
      </c>
      <c r="O1082" s="25" t="n">
        <f>IF(K1082=0,0,MIN(1,J1082/K1082))</f>
        <v>1</v>
      </c>
      <c r="P1082" s="23" t="n">
        <f>IF(J1082&gt;0,MAX(K1082-J1082,0),0)</f>
        <v>0</v>
      </c>
      <c r="Q1082" s="23" t="n">
        <f>IF(J1082=0,K1082,0)</f>
        <v>0</v>
      </c>
      <c r="R1082" s="23" t="n">
        <f>MAX(J1082-K1082,0)</f>
        <v>0</v>
      </c>
      <c r="S1082" s="23" t="n">
        <f>IF(J1082&gt;0,MAX(L1082-J1082,0),L1082)</f>
        <v>0</v>
      </c>
    </row>
    <row r="1083">
      <c r="A1083" s="19" t="str">
        <v>英国区</v>
      </c>
      <c r="B1083" s="19" t="str">
        <v>伯明翰26号仓</v>
      </c>
      <c r="C1083" s="19" t="str">
        <v>入库组</v>
      </c>
      <c r="D1083" s="21" t="n">
        <v>46161</v>
      </c>
      <c r="E1083" s="19" t="str">
        <v>2026-05</v>
      </c>
      <c r="F1083" s="19" t="str">
        <v>操作员</v>
      </c>
      <c r="G1083" s="19" t="str">
        <v>英国区07:00-15:30 / UK 07:00-15:30</v>
      </c>
      <c r="H1083" s="23" t="n">
        <v>1</v>
      </c>
      <c r="I1083" s="23" t="n">
        <v>0</v>
      </c>
      <c r="J1083" s="23" t="n">
        <f>H1083+I1083</f>
        <v>1</v>
      </c>
      <c r="K1083" s="23" t="n">
        <v>1</v>
      </c>
      <c r="L1083" s="23" t="n">
        <v>1</v>
      </c>
      <c r="M1083" s="23" t="n">
        <f>MIN(K1083,J1083)</f>
        <v>1</v>
      </c>
      <c r="N1083" s="23" t="n">
        <f>MIN(L1083,J1083)</f>
        <v>1</v>
      </c>
      <c r="O1083" s="25" t="n">
        <f>IF(K1083=0,0,MIN(1,J1083/K1083))</f>
        <v>1</v>
      </c>
      <c r="P1083" s="23" t="n">
        <f>IF(J1083&gt;0,MAX(K1083-J1083,0),0)</f>
        <v>0</v>
      </c>
      <c r="Q1083" s="23" t="n">
        <f>IF(J1083=0,K1083,0)</f>
        <v>0</v>
      </c>
      <c r="R1083" s="23" t="n">
        <f>MAX(J1083-K1083,0)</f>
        <v>0</v>
      </c>
      <c r="S1083" s="23" t="n">
        <f>IF(J1083&gt;0,MAX(L1083-J1083,0),L1083)</f>
        <v>0</v>
      </c>
    </row>
    <row r="1084">
      <c r="A1084" s="19" t="str">
        <v>英国区</v>
      </c>
      <c r="B1084" s="19" t="str">
        <v>伯明翰26号仓</v>
      </c>
      <c r="C1084" s="19" t="str">
        <v>入库组</v>
      </c>
      <c r="D1084" s="21" t="n">
        <v>46164</v>
      </c>
      <c r="E1084" s="19" t="str">
        <v>2026-05</v>
      </c>
      <c r="F1084" s="19" t="str">
        <v>操作员</v>
      </c>
      <c r="G1084" s="19" t="str">
        <v>英国区07:00-15:30 / UK 07:00-15:30</v>
      </c>
      <c r="H1084" s="23" t="n">
        <v>2</v>
      </c>
      <c r="I1084" s="23" t="n">
        <v>0</v>
      </c>
      <c r="J1084" s="23" t="n">
        <f>H1084+I1084</f>
        <v>2</v>
      </c>
      <c r="K1084" s="23" t="n">
        <v>2</v>
      </c>
      <c r="L1084" s="23" t="n">
        <v>2</v>
      </c>
      <c r="M1084" s="23" t="n">
        <f>MIN(K1084,J1084)</f>
        <v>2</v>
      </c>
      <c r="N1084" s="23" t="n">
        <f>MIN(L1084,J1084)</f>
        <v>2</v>
      </c>
      <c r="O1084" s="25" t="n">
        <f>IF(K1084=0,0,MIN(1,J1084/K1084))</f>
        <v>1</v>
      </c>
      <c r="P1084" s="23" t="n">
        <f>IF(J1084&gt;0,MAX(K1084-J1084,0),0)</f>
        <v>0</v>
      </c>
      <c r="Q1084" s="23" t="n">
        <f>IF(J1084=0,K1084,0)</f>
        <v>0</v>
      </c>
      <c r="R1084" s="23" t="n">
        <f>MAX(J1084-K1084,0)</f>
        <v>0</v>
      </c>
      <c r="S1084" s="23" t="n">
        <f>IF(J1084&gt;0,MAX(L1084-J1084,0),L1084)</f>
        <v>0</v>
      </c>
    </row>
    <row r="1085">
      <c r="A1085" s="19" t="str">
        <v>英国区</v>
      </c>
      <c r="B1085" s="19" t="str">
        <v>伯明翰26号仓</v>
      </c>
      <c r="C1085" s="19" t="str">
        <v>入库组</v>
      </c>
      <c r="D1085" s="21" t="n">
        <v>46168</v>
      </c>
      <c r="E1085" s="19" t="str">
        <v>2026-05</v>
      </c>
      <c r="F1085" s="19" t="str">
        <v>操作员</v>
      </c>
      <c r="G1085" s="19" t="str">
        <v>英国区07:00-15:30 / UK 07:00-15:30</v>
      </c>
      <c r="H1085" s="23" t="n">
        <v>1</v>
      </c>
      <c r="I1085" s="23" t="n">
        <v>0</v>
      </c>
      <c r="J1085" s="23" t="n">
        <f>H1085+I1085</f>
        <v>1</v>
      </c>
      <c r="K1085" s="23" t="n">
        <v>0</v>
      </c>
      <c r="L1085" s="23" t="n">
        <v>0</v>
      </c>
      <c r="M1085" s="23" t="n">
        <f>MIN(K1085,J1085)</f>
        <v>0</v>
      </c>
      <c r="N1085" s="23" t="n">
        <f>MIN(L1085,J1085)</f>
        <v>0</v>
      </c>
      <c r="O1085" s="25" t="n">
        <f>IF(K1085=0,0,MIN(1,J1085/K1085))</f>
        <v>0</v>
      </c>
      <c r="P1085" s="23" t="n">
        <f>IF(J1085&gt;0,MAX(K1085-J1085,0),0)</f>
        <v>0</v>
      </c>
      <c r="Q1085" s="23" t="n">
        <f>IF(J1085=0,K1085,0)</f>
        <v>0</v>
      </c>
      <c r="R1085" s="23" t="n">
        <f>MAX(J1085-K1085,0)</f>
        <v>1</v>
      </c>
      <c r="S1085" s="23" t="n">
        <f>IF(J1085&gt;0,MAX(L1085-J1085,0),L1085)</f>
        <v>0</v>
      </c>
    </row>
    <row r="1086">
      <c r="A1086" s="19" t="str">
        <v>英国区</v>
      </c>
      <c r="B1086" s="19" t="str">
        <v>伯明翰26号仓</v>
      </c>
      <c r="C1086" s="19" t="str">
        <v>入库组</v>
      </c>
      <c r="D1086" s="21" t="n">
        <v>46168</v>
      </c>
      <c r="E1086" s="19" t="str">
        <v>2026-05</v>
      </c>
      <c r="F1086" s="19" t="str">
        <v>操作员</v>
      </c>
      <c r="G1086" s="19" t="str">
        <v>英国区09:00-17:30 / UK 09:00-17:30</v>
      </c>
      <c r="H1086" s="23" t="n">
        <v>4</v>
      </c>
      <c r="I1086" s="23" t="n">
        <v>0</v>
      </c>
      <c r="J1086" s="23" t="n">
        <f>H1086+I1086</f>
        <v>4</v>
      </c>
      <c r="K1086" s="23" t="n">
        <v>4</v>
      </c>
      <c r="L1086" s="23" t="n">
        <v>4</v>
      </c>
      <c r="M1086" s="23" t="n">
        <f>MIN(K1086,J1086)</f>
        <v>4</v>
      </c>
      <c r="N1086" s="23" t="n">
        <f>MIN(L1086,J1086)</f>
        <v>4</v>
      </c>
      <c r="O1086" s="25" t="n">
        <f>IF(K1086=0,0,MIN(1,J1086/K1086))</f>
        <v>1</v>
      </c>
      <c r="P1086" s="23" t="n">
        <f>IF(J1086&gt;0,MAX(K1086-J1086,0),0)</f>
        <v>0</v>
      </c>
      <c r="Q1086" s="23" t="n">
        <f>IF(J1086=0,K1086,0)</f>
        <v>0</v>
      </c>
      <c r="R1086" s="23" t="n">
        <f>MAX(J1086-K1086,0)</f>
        <v>0</v>
      </c>
      <c r="S1086" s="23" t="n">
        <f>IF(J1086&gt;0,MAX(L1086-J1086,0),L1086)</f>
        <v>0</v>
      </c>
    </row>
    <row r="1087">
      <c r="A1087" s="19" t="str">
        <v>英国区</v>
      </c>
      <c r="B1087" s="19" t="str">
        <v>伯明翰26号仓</v>
      </c>
      <c r="C1087" s="19" t="str">
        <v>入库组</v>
      </c>
      <c r="D1087" s="21" t="n">
        <v>46170</v>
      </c>
      <c r="E1087" s="19" t="str">
        <v>2026-05</v>
      </c>
      <c r="F1087" s="19" t="str">
        <v>操作员</v>
      </c>
      <c r="G1087" s="19" t="str">
        <v>英国区09:00-17:30 / UK 09:00-17:30</v>
      </c>
      <c r="H1087" s="23" t="n">
        <v>2</v>
      </c>
      <c r="I1087" s="23" t="n">
        <v>0</v>
      </c>
      <c r="J1087" s="23" t="n">
        <f>H1087+I1087</f>
        <v>2</v>
      </c>
      <c r="K1087" s="23" t="n">
        <v>2</v>
      </c>
      <c r="L1087" s="23" t="n">
        <v>2</v>
      </c>
      <c r="M1087" s="23" t="n">
        <f>MIN(K1087,J1087)</f>
        <v>2</v>
      </c>
      <c r="N1087" s="23" t="n">
        <f>MIN(L1087,J1087)</f>
        <v>2</v>
      </c>
      <c r="O1087" s="25" t="n">
        <f>IF(K1087=0,0,MIN(1,J1087/K1087))</f>
        <v>1</v>
      </c>
      <c r="P1087" s="23" t="n">
        <f>IF(J1087&gt;0,MAX(K1087-J1087,0),0)</f>
        <v>0</v>
      </c>
      <c r="Q1087" s="23" t="n">
        <f>IF(J1087=0,K1087,0)</f>
        <v>0</v>
      </c>
      <c r="R1087" s="23" t="n">
        <f>MAX(J1087-K1087,0)</f>
        <v>0</v>
      </c>
      <c r="S1087" s="23" t="n">
        <f>IF(J1087&gt;0,MAX(L1087-J1087,0),L1087)</f>
        <v>0</v>
      </c>
    </row>
    <row r="1088">
      <c r="A1088" s="19" t="str">
        <v>英国区</v>
      </c>
      <c r="B1088" s="19" t="str">
        <v>伯明翰26号仓</v>
      </c>
      <c r="C1088" s="19" t="str">
        <v>入库组</v>
      </c>
      <c r="D1088" s="21" t="n">
        <v>46171</v>
      </c>
      <c r="E1088" s="19" t="str">
        <v>2026-05</v>
      </c>
      <c r="F1088" s="19" t="str">
        <v>操作员</v>
      </c>
      <c r="G1088" s="19" t="str">
        <v>英国区07:00-15:30 / UK 07:00-15:30</v>
      </c>
      <c r="H1088" s="23" t="n">
        <v>3</v>
      </c>
      <c r="I1088" s="23" t="n">
        <v>0</v>
      </c>
      <c r="J1088" s="23" t="n">
        <f>H1088+I1088</f>
        <v>3</v>
      </c>
      <c r="K1088" s="23" t="n">
        <v>3</v>
      </c>
      <c r="L1088" s="23" t="n">
        <v>3</v>
      </c>
      <c r="M1088" s="23" t="n">
        <f>MIN(K1088,J1088)</f>
        <v>3</v>
      </c>
      <c r="N1088" s="23" t="n">
        <f>MIN(L1088,J1088)</f>
        <v>3</v>
      </c>
      <c r="O1088" s="25" t="n">
        <f>IF(K1088=0,0,MIN(1,J1088/K1088))</f>
        <v>1</v>
      </c>
      <c r="P1088" s="23" t="n">
        <f>IF(J1088&gt;0,MAX(K1088-J1088,0),0)</f>
        <v>0</v>
      </c>
      <c r="Q1088" s="23" t="n">
        <f>IF(J1088=0,K1088,0)</f>
        <v>0</v>
      </c>
      <c r="R1088" s="23" t="n">
        <f>MAX(J1088-K1088,0)</f>
        <v>0</v>
      </c>
      <c r="S1088" s="23" t="n">
        <f>IF(J1088&gt;0,MAX(L1088-J1088,0),L1088)</f>
        <v>0</v>
      </c>
    </row>
    <row r="1089">
      <c r="A1089" s="19" t="str">
        <v>英国区</v>
      </c>
      <c r="B1089" s="19" t="str">
        <v>伯明翰26号仓</v>
      </c>
      <c r="C1089" s="19" t="str">
        <v>入库组</v>
      </c>
      <c r="D1089" s="21" t="n">
        <v>46176</v>
      </c>
      <c r="E1089" s="19" t="str">
        <v>2026-06</v>
      </c>
      <c r="F1089" s="19" t="str">
        <v>操作员</v>
      </c>
      <c r="G1089" s="19" t="str">
        <v>英国区09:00-17:30 / UK 09:00-17:30</v>
      </c>
      <c r="H1089" s="23" t="n">
        <v>3</v>
      </c>
      <c r="I1089" s="23" t="n">
        <v>0</v>
      </c>
      <c r="J1089" s="23" t="n">
        <f>H1089+I1089</f>
        <v>3</v>
      </c>
      <c r="K1089" s="23" t="n">
        <v>3</v>
      </c>
      <c r="L1089" s="23" t="n">
        <v>2</v>
      </c>
      <c r="M1089" s="23" t="n">
        <f>MIN(K1089,J1089)</f>
        <v>3</v>
      </c>
      <c r="N1089" s="23" t="n">
        <f>MIN(L1089,J1089)</f>
        <v>2</v>
      </c>
      <c r="O1089" s="25" t="n">
        <f>IF(K1089=0,0,MIN(1,J1089/K1089))</f>
        <v>1</v>
      </c>
      <c r="P1089" s="23" t="n">
        <f>IF(J1089&gt;0,MAX(K1089-J1089,0),0)</f>
        <v>0</v>
      </c>
      <c r="Q1089" s="23" t="n">
        <f>IF(J1089=0,K1089,0)</f>
        <v>0</v>
      </c>
      <c r="R1089" s="23" t="n">
        <f>MAX(J1089-K1089,0)</f>
        <v>0</v>
      </c>
      <c r="S1089" s="23" t="n">
        <f>IF(J1089&gt;0,MAX(L1089-J1089,0),L1089)</f>
        <v>0</v>
      </c>
    </row>
    <row r="1090">
      <c r="A1090" s="19" t="str">
        <v>英国区</v>
      </c>
      <c r="B1090" s="19" t="str">
        <v>伯明翰26号仓</v>
      </c>
      <c r="C1090" s="19" t="str">
        <v>入库组</v>
      </c>
      <c r="D1090" s="21" t="n">
        <v>46176</v>
      </c>
      <c r="E1090" s="19" t="str">
        <v>2026-06</v>
      </c>
      <c r="F1090" s="19" t="str">
        <v>操作员</v>
      </c>
      <c r="G1090" s="19" t="str">
        <v>英国区10:00-18:30 / UK 10:00-18:30</v>
      </c>
      <c r="H1090" s="23" t="n">
        <v>10</v>
      </c>
      <c r="I1090" s="23" t="n">
        <v>0</v>
      </c>
      <c r="J1090" s="23" t="n">
        <f>H1090+I1090</f>
        <v>10</v>
      </c>
      <c r="K1090" s="23" t="n">
        <v>10</v>
      </c>
      <c r="L1090" s="23" t="n">
        <v>9</v>
      </c>
      <c r="M1090" s="23" t="n">
        <f>MIN(K1090,J1090)</f>
        <v>10</v>
      </c>
      <c r="N1090" s="23" t="n">
        <f>MIN(L1090,J1090)</f>
        <v>9</v>
      </c>
      <c r="O1090" s="25" t="n">
        <f>IF(K1090=0,0,MIN(1,J1090/K1090))</f>
        <v>1</v>
      </c>
      <c r="P1090" s="23" t="n">
        <f>IF(J1090&gt;0,MAX(K1090-J1090,0),0)</f>
        <v>0</v>
      </c>
      <c r="Q1090" s="23" t="n">
        <f>IF(J1090=0,K1090,0)</f>
        <v>0</v>
      </c>
      <c r="R1090" s="23" t="n">
        <f>MAX(J1090-K1090,0)</f>
        <v>0</v>
      </c>
      <c r="S1090" s="23" t="n">
        <f>IF(J1090&gt;0,MAX(L1090-J1090,0),L1090)</f>
        <v>0</v>
      </c>
    </row>
    <row r="1091">
      <c r="A1091" s="19" t="str">
        <v>英国区</v>
      </c>
      <c r="B1091" s="19" t="str">
        <v>伯明翰26号仓</v>
      </c>
      <c r="C1091" s="19" t="str">
        <v>入库组</v>
      </c>
      <c r="D1091" s="21" t="n">
        <v>46177</v>
      </c>
      <c r="E1091" s="19" t="str">
        <v>2026-06</v>
      </c>
      <c r="F1091" s="19" t="str">
        <v>操作员</v>
      </c>
      <c r="G1091" s="19" t="str">
        <v>英国区07:00-15:30 / UK 07:00-15:30</v>
      </c>
      <c r="H1091" s="23" t="n">
        <v>10</v>
      </c>
      <c r="I1091" s="23" t="n">
        <v>0</v>
      </c>
      <c r="J1091" s="23" t="n">
        <f>H1091+I1091</f>
        <v>10</v>
      </c>
      <c r="K1091" s="23" t="n">
        <v>10</v>
      </c>
      <c r="L1091" s="23" t="n">
        <v>10</v>
      </c>
      <c r="M1091" s="23" t="n">
        <f>MIN(K1091,J1091)</f>
        <v>10</v>
      </c>
      <c r="N1091" s="23" t="n">
        <f>MIN(L1091,J1091)</f>
        <v>10</v>
      </c>
      <c r="O1091" s="25" t="n">
        <f>IF(K1091=0,0,MIN(1,J1091/K1091))</f>
        <v>1</v>
      </c>
      <c r="P1091" s="23" t="n">
        <f>IF(J1091&gt;0,MAX(K1091-J1091,0),0)</f>
        <v>0</v>
      </c>
      <c r="Q1091" s="23" t="n">
        <f>IF(J1091=0,K1091,0)</f>
        <v>0</v>
      </c>
      <c r="R1091" s="23" t="n">
        <f>MAX(J1091-K1091,0)</f>
        <v>0</v>
      </c>
      <c r="S1091" s="23" t="n">
        <f>IF(J1091&gt;0,MAX(L1091-J1091,0),L1091)</f>
        <v>0</v>
      </c>
    </row>
    <row r="1092">
      <c r="A1092" s="19" t="str">
        <v>英国区</v>
      </c>
      <c r="B1092" s="19" t="str">
        <v>伯明翰26号仓</v>
      </c>
      <c r="C1092" s="19" t="str">
        <v>入库组</v>
      </c>
      <c r="D1092" s="21" t="n">
        <v>46178</v>
      </c>
      <c r="E1092" s="19" t="str">
        <v>2026-06</v>
      </c>
      <c r="F1092" s="19" t="str">
        <v>操作员</v>
      </c>
      <c r="G1092" s="19" t="str">
        <v>英国区07:00-15:30 / UK 07:00-15:30</v>
      </c>
      <c r="H1092" s="23" t="n">
        <v>2</v>
      </c>
      <c r="I1092" s="23" t="n">
        <v>0</v>
      </c>
      <c r="J1092" s="23" t="n">
        <f>H1092+I1092</f>
        <v>2</v>
      </c>
      <c r="K1092" s="23" t="n">
        <v>2</v>
      </c>
      <c r="L1092" s="23" t="n">
        <v>2</v>
      </c>
      <c r="M1092" s="23" t="n">
        <f>MIN(K1092,J1092)</f>
        <v>2</v>
      </c>
      <c r="N1092" s="23" t="n">
        <f>MIN(L1092,J1092)</f>
        <v>2</v>
      </c>
      <c r="O1092" s="25" t="n">
        <f>IF(K1092=0,0,MIN(1,J1092/K1092))</f>
        <v>1</v>
      </c>
      <c r="P1092" s="23" t="n">
        <f>IF(J1092&gt;0,MAX(K1092-J1092,0),0)</f>
        <v>0</v>
      </c>
      <c r="Q1092" s="23" t="n">
        <f>IF(J1092=0,K1092,0)</f>
        <v>0</v>
      </c>
      <c r="R1092" s="23" t="n">
        <f>MAX(J1092-K1092,0)</f>
        <v>0</v>
      </c>
      <c r="S1092" s="23" t="n">
        <f>IF(J1092&gt;0,MAX(L1092-J1092,0),L1092)</f>
        <v>0</v>
      </c>
    </row>
    <row r="1093">
      <c r="A1093" s="19" t="str">
        <v>英国区</v>
      </c>
      <c r="B1093" s="19" t="str">
        <v>伯明翰26号仓</v>
      </c>
      <c r="C1093" s="19" t="str">
        <v>入库组</v>
      </c>
      <c r="D1093" s="21" t="n">
        <v>46178</v>
      </c>
      <c r="E1093" s="19" t="str">
        <v>2026-06</v>
      </c>
      <c r="F1093" s="19" t="str">
        <v>操作员</v>
      </c>
      <c r="G1093" s="19" t="str">
        <v>英国区09:00-17:30 / UK 09:00-17:30</v>
      </c>
      <c r="H1093" s="23" t="n">
        <v>1</v>
      </c>
      <c r="I1093" s="23" t="n">
        <v>0</v>
      </c>
      <c r="J1093" s="23" t="n">
        <f>H1093+I1093</f>
        <v>1</v>
      </c>
      <c r="K1093" s="23" t="n">
        <v>1</v>
      </c>
      <c r="L1093" s="23" t="n">
        <v>1</v>
      </c>
      <c r="M1093" s="23" t="n">
        <f>MIN(K1093,J1093)</f>
        <v>1</v>
      </c>
      <c r="N1093" s="23" t="n">
        <f>MIN(L1093,J1093)</f>
        <v>1</v>
      </c>
      <c r="O1093" s="25" t="n">
        <f>IF(K1093=0,0,MIN(1,J1093/K1093))</f>
        <v>1</v>
      </c>
      <c r="P1093" s="23" t="n">
        <f>IF(J1093&gt;0,MAX(K1093-J1093,0),0)</f>
        <v>0</v>
      </c>
      <c r="Q1093" s="23" t="n">
        <f>IF(J1093=0,K1093,0)</f>
        <v>0</v>
      </c>
      <c r="R1093" s="23" t="n">
        <f>MAX(J1093-K1093,0)</f>
        <v>0</v>
      </c>
      <c r="S1093" s="23" t="n">
        <f>IF(J1093&gt;0,MAX(L1093-J1093,0),L1093)</f>
        <v>0</v>
      </c>
    </row>
    <row r="1094">
      <c r="A1094" s="19" t="str">
        <v>英国区</v>
      </c>
      <c r="B1094" s="19" t="str">
        <v>伯明翰26号仓</v>
      </c>
      <c r="C1094" s="19" t="str">
        <v>入库组</v>
      </c>
      <c r="D1094" s="21" t="n">
        <v>46178</v>
      </c>
      <c r="E1094" s="19" t="str">
        <v>2026-06</v>
      </c>
      <c r="F1094" s="19" t="str">
        <v>操作员</v>
      </c>
      <c r="G1094" s="19" t="str">
        <v>英国区10:00-18:30 / UK 10:00-18:30</v>
      </c>
      <c r="H1094" s="23" t="n">
        <v>2</v>
      </c>
      <c r="I1094" s="23" t="n">
        <v>0</v>
      </c>
      <c r="J1094" s="23" t="n">
        <f>H1094+I1094</f>
        <v>2</v>
      </c>
      <c r="K1094" s="23" t="n">
        <v>2</v>
      </c>
      <c r="L1094" s="23" t="n">
        <v>2</v>
      </c>
      <c r="M1094" s="23" t="n">
        <f>MIN(K1094,J1094)</f>
        <v>2</v>
      </c>
      <c r="N1094" s="23" t="n">
        <f>MIN(L1094,J1094)</f>
        <v>2</v>
      </c>
      <c r="O1094" s="25" t="n">
        <f>IF(K1094=0,0,MIN(1,J1094/K1094))</f>
        <v>1</v>
      </c>
      <c r="P1094" s="23" t="n">
        <f>IF(J1094&gt;0,MAX(K1094-J1094,0),0)</f>
        <v>0</v>
      </c>
      <c r="Q1094" s="23" t="n">
        <f>IF(J1094=0,K1094,0)</f>
        <v>0</v>
      </c>
      <c r="R1094" s="23" t="n">
        <f>MAX(J1094-K1094,0)</f>
        <v>0</v>
      </c>
      <c r="S1094" s="23" t="n">
        <f>IF(J1094&gt;0,MAX(L1094-J1094,0),L1094)</f>
        <v>0</v>
      </c>
    </row>
    <row r="1095">
      <c r="A1095" s="19" t="str">
        <v>英国区</v>
      </c>
      <c r="B1095" s="19" t="str">
        <v>伯明翰26号仓</v>
      </c>
      <c r="C1095" s="19" t="str">
        <v>入库组</v>
      </c>
      <c r="D1095" s="21" t="n">
        <v>46181</v>
      </c>
      <c r="E1095" s="19" t="str">
        <v>2026-06</v>
      </c>
      <c r="F1095" s="19" t="str">
        <v>操作员</v>
      </c>
      <c r="G1095" s="19" t="str">
        <v>英国区07:00-15:30 / UK 07:00-15:30</v>
      </c>
      <c r="H1095" s="23" t="n">
        <v>3</v>
      </c>
      <c r="I1095" s="23" t="n">
        <v>0</v>
      </c>
      <c r="J1095" s="23" t="n">
        <f>H1095+I1095</f>
        <v>3</v>
      </c>
      <c r="K1095" s="23" t="n">
        <v>3</v>
      </c>
      <c r="L1095" s="23" t="n">
        <v>3</v>
      </c>
      <c r="M1095" s="23" t="n">
        <f>MIN(K1095,J1095)</f>
        <v>3</v>
      </c>
      <c r="N1095" s="23" t="n">
        <f>MIN(L1095,J1095)</f>
        <v>3</v>
      </c>
      <c r="O1095" s="25" t="n">
        <f>IF(K1095=0,0,MIN(1,J1095/K1095))</f>
        <v>1</v>
      </c>
      <c r="P1095" s="23" t="n">
        <f>IF(J1095&gt;0,MAX(K1095-J1095,0),0)</f>
        <v>0</v>
      </c>
      <c r="Q1095" s="23" t="n">
        <f>IF(J1095=0,K1095,0)</f>
        <v>0</v>
      </c>
      <c r="R1095" s="23" t="n">
        <f>MAX(J1095-K1095,0)</f>
        <v>0</v>
      </c>
      <c r="S1095" s="23" t="n">
        <f>IF(J1095&gt;0,MAX(L1095-J1095,0),L1095)</f>
        <v>0</v>
      </c>
    </row>
    <row r="1096">
      <c r="A1096" s="19" t="str">
        <v>英国区</v>
      </c>
      <c r="B1096" s="19" t="str">
        <v>伯明翰26号仓</v>
      </c>
      <c r="C1096" s="19" t="str">
        <v>入库组</v>
      </c>
      <c r="D1096" s="21" t="n">
        <v>46181</v>
      </c>
      <c r="E1096" s="19" t="str">
        <v>2026-06</v>
      </c>
      <c r="F1096" s="19" t="str">
        <v>操作员</v>
      </c>
      <c r="G1096" s="19" t="str">
        <v>英国区10:00-18:30 / UK 10:00-18:30</v>
      </c>
      <c r="H1096" s="23" t="n">
        <v>1</v>
      </c>
      <c r="I1096" s="23" t="n">
        <v>0</v>
      </c>
      <c r="J1096" s="23" t="n">
        <f>H1096+I1096</f>
        <v>1</v>
      </c>
      <c r="K1096" s="23" t="n">
        <v>1</v>
      </c>
      <c r="L1096" s="23" t="n">
        <v>1</v>
      </c>
      <c r="M1096" s="23" t="n">
        <f>MIN(K1096,J1096)</f>
        <v>1</v>
      </c>
      <c r="N1096" s="23" t="n">
        <f>MIN(L1096,J1096)</f>
        <v>1</v>
      </c>
      <c r="O1096" s="25" t="n">
        <f>IF(K1096=0,0,MIN(1,J1096/K1096))</f>
        <v>1</v>
      </c>
      <c r="P1096" s="23" t="n">
        <f>IF(J1096&gt;0,MAX(K1096-J1096,0),0)</f>
        <v>0</v>
      </c>
      <c r="Q1096" s="23" t="n">
        <f>IF(J1096=0,K1096,0)</f>
        <v>0</v>
      </c>
      <c r="R1096" s="23" t="n">
        <f>MAX(J1096-K1096,0)</f>
        <v>0</v>
      </c>
      <c r="S1096" s="23" t="n">
        <f>IF(J1096&gt;0,MAX(L1096-J1096,0),L1096)</f>
        <v>0</v>
      </c>
    </row>
    <row r="1097">
      <c r="A1097" s="19" t="str">
        <v>英国区</v>
      </c>
      <c r="B1097" s="19" t="str">
        <v>伯明翰26号仓</v>
      </c>
      <c r="C1097" s="19" t="str">
        <v>入库组</v>
      </c>
      <c r="D1097" s="21" t="n">
        <v>46182</v>
      </c>
      <c r="E1097" s="19" t="str">
        <v>2026-06</v>
      </c>
      <c r="F1097" s="19" t="str">
        <v>操作员</v>
      </c>
      <c r="G1097" s="19" t="str">
        <v>英国区09:00-17:30 / UK 09:00-17:30</v>
      </c>
      <c r="H1097" s="23" t="n">
        <v>6</v>
      </c>
      <c r="I1097" s="23" t="n">
        <v>0</v>
      </c>
      <c r="J1097" s="23" t="n">
        <f>H1097+I1097</f>
        <v>6</v>
      </c>
      <c r="K1097" s="23" t="n">
        <v>6</v>
      </c>
      <c r="L1097" s="23" t="n">
        <v>6</v>
      </c>
      <c r="M1097" s="23" t="n">
        <f>MIN(K1097,J1097)</f>
        <v>6</v>
      </c>
      <c r="N1097" s="23" t="n">
        <f>MIN(L1097,J1097)</f>
        <v>6</v>
      </c>
      <c r="O1097" s="25" t="n">
        <f>IF(K1097=0,0,MIN(1,J1097/K1097))</f>
        <v>1</v>
      </c>
      <c r="P1097" s="23" t="n">
        <f>IF(J1097&gt;0,MAX(K1097-J1097,0),0)</f>
        <v>0</v>
      </c>
      <c r="Q1097" s="23" t="n">
        <f>IF(J1097=0,K1097,0)</f>
        <v>0</v>
      </c>
      <c r="R1097" s="23" t="n">
        <f>MAX(J1097-K1097,0)</f>
        <v>0</v>
      </c>
      <c r="S1097" s="23" t="n">
        <f>IF(J1097&gt;0,MAX(L1097-J1097,0),L1097)</f>
        <v>0</v>
      </c>
    </row>
    <row r="1098">
      <c r="A1098" s="19" t="str">
        <v>英国区</v>
      </c>
      <c r="B1098" s="19" t="str">
        <v>伯明翰26号仓</v>
      </c>
      <c r="C1098" s="19" t="str">
        <v>入库组</v>
      </c>
      <c r="D1098" s="21" t="n">
        <v>46183</v>
      </c>
      <c r="E1098" s="19" t="str">
        <v>2026-06</v>
      </c>
      <c r="F1098" s="19" t="str">
        <v>操作员</v>
      </c>
      <c r="G1098" s="19" t="str">
        <v>英国区10:00-18:30 / UK 10:00-18:30</v>
      </c>
      <c r="H1098" s="23" t="n">
        <v>5</v>
      </c>
      <c r="I1098" s="23" t="n">
        <v>0</v>
      </c>
      <c r="J1098" s="23" t="n">
        <f>H1098+I1098</f>
        <v>5</v>
      </c>
      <c r="K1098" s="23" t="n">
        <v>5</v>
      </c>
      <c r="L1098" s="23" t="n">
        <v>5</v>
      </c>
      <c r="M1098" s="23" t="n">
        <f>MIN(K1098,J1098)</f>
        <v>5</v>
      </c>
      <c r="N1098" s="23" t="n">
        <f>MIN(L1098,J1098)</f>
        <v>5</v>
      </c>
      <c r="O1098" s="25" t="n">
        <f>IF(K1098=0,0,MIN(1,J1098/K1098))</f>
        <v>1</v>
      </c>
      <c r="P1098" s="23" t="n">
        <f>IF(J1098&gt;0,MAX(K1098-J1098,0),0)</f>
        <v>0</v>
      </c>
      <c r="Q1098" s="23" t="n">
        <f>IF(J1098=0,K1098,0)</f>
        <v>0</v>
      </c>
      <c r="R1098" s="23" t="n">
        <f>MAX(J1098-K1098,0)</f>
        <v>0</v>
      </c>
      <c r="S1098" s="23" t="n">
        <f>IF(J1098&gt;0,MAX(L1098-J1098,0),L1098)</f>
        <v>0</v>
      </c>
    </row>
    <row r="1099">
      <c r="A1099" s="19" t="str">
        <v>英国区</v>
      </c>
      <c r="B1099" s="19" t="str">
        <v>伯明翰26号仓</v>
      </c>
      <c r="C1099" s="19" t="str">
        <v>入库组</v>
      </c>
      <c r="D1099" s="21" t="n">
        <v>46184</v>
      </c>
      <c r="E1099" s="19" t="str">
        <v>2026-06</v>
      </c>
      <c r="F1099" s="19" t="str">
        <v>操作员</v>
      </c>
      <c r="G1099" s="19" t="str">
        <v>英国区07:00-15:30 / UK 07:00-15:30</v>
      </c>
      <c r="H1099" s="23" t="n">
        <v>2</v>
      </c>
      <c r="I1099" s="23" t="n">
        <v>0</v>
      </c>
      <c r="J1099" s="23" t="n">
        <f>H1099+I1099</f>
        <v>2</v>
      </c>
      <c r="K1099" s="23" t="n">
        <v>2</v>
      </c>
      <c r="L1099" s="23" t="n">
        <v>2</v>
      </c>
      <c r="M1099" s="23" t="n">
        <f>MIN(K1099,J1099)</f>
        <v>2</v>
      </c>
      <c r="N1099" s="23" t="n">
        <f>MIN(L1099,J1099)</f>
        <v>2</v>
      </c>
      <c r="O1099" s="25" t="n">
        <f>IF(K1099=0,0,MIN(1,J1099/K1099))</f>
        <v>1</v>
      </c>
      <c r="P1099" s="23" t="n">
        <f>IF(J1099&gt;0,MAX(K1099-J1099,0),0)</f>
        <v>0</v>
      </c>
      <c r="Q1099" s="23" t="n">
        <f>IF(J1099=0,K1099,0)</f>
        <v>0</v>
      </c>
      <c r="R1099" s="23" t="n">
        <f>MAX(J1099-K1099,0)</f>
        <v>0</v>
      </c>
      <c r="S1099" s="23" t="n">
        <f>IF(J1099&gt;0,MAX(L1099-J1099,0),L1099)</f>
        <v>0</v>
      </c>
    </row>
    <row r="1100">
      <c r="A1100" s="19" t="str">
        <v>英国区</v>
      </c>
      <c r="B1100" s="19" t="str">
        <v>伯明翰26号仓</v>
      </c>
      <c r="C1100" s="19" t="str">
        <v>入库组</v>
      </c>
      <c r="D1100" s="21" t="n">
        <v>46184</v>
      </c>
      <c r="E1100" s="19" t="str">
        <v>2026-06</v>
      </c>
      <c r="F1100" s="19" t="str">
        <v>操作员</v>
      </c>
      <c r="G1100" s="19" t="str">
        <v>英国区10:00-18:30 / UK 10:00-18:30</v>
      </c>
      <c r="H1100" s="23" t="n">
        <v>3</v>
      </c>
      <c r="I1100" s="23" t="n">
        <v>0</v>
      </c>
      <c r="J1100" s="23" t="n">
        <f>H1100+I1100</f>
        <v>3</v>
      </c>
      <c r="K1100" s="23" t="n">
        <v>3</v>
      </c>
      <c r="L1100" s="23" t="n">
        <v>3</v>
      </c>
      <c r="M1100" s="23" t="n">
        <f>MIN(K1100,J1100)</f>
        <v>3</v>
      </c>
      <c r="N1100" s="23" t="n">
        <f>MIN(L1100,J1100)</f>
        <v>3</v>
      </c>
      <c r="O1100" s="25" t="n">
        <f>IF(K1100=0,0,MIN(1,J1100/K1100))</f>
        <v>1</v>
      </c>
      <c r="P1100" s="23" t="n">
        <f>IF(J1100&gt;0,MAX(K1100-J1100,0),0)</f>
        <v>0</v>
      </c>
      <c r="Q1100" s="23" t="n">
        <f>IF(J1100=0,K1100,0)</f>
        <v>0</v>
      </c>
      <c r="R1100" s="23" t="n">
        <f>MAX(J1100-K1100,0)</f>
        <v>0</v>
      </c>
      <c r="S1100" s="23" t="n">
        <f>IF(J1100&gt;0,MAX(L1100-J1100,0),L1100)</f>
        <v>0</v>
      </c>
    </row>
    <row r="1101">
      <c r="A1101" s="19" t="str">
        <v>英国区</v>
      </c>
      <c r="B1101" s="19" t="str">
        <v>伯明翰26号仓</v>
      </c>
      <c r="C1101" s="19" t="str">
        <v>入库组</v>
      </c>
      <c r="D1101" s="21" t="n">
        <v>46189</v>
      </c>
      <c r="E1101" s="19" t="str">
        <v>2026-06</v>
      </c>
      <c r="F1101" s="19" t="str">
        <v>操作员</v>
      </c>
      <c r="G1101" s="19" t="str">
        <v>英国区10:00-18:30 / UK 10:00-18:30</v>
      </c>
      <c r="H1101" s="23" t="n">
        <v>1</v>
      </c>
      <c r="I1101" s="23" t="n">
        <v>0</v>
      </c>
      <c r="J1101" s="23" t="n">
        <f>H1101+I1101</f>
        <v>1</v>
      </c>
      <c r="K1101" s="23" t="n">
        <v>1</v>
      </c>
      <c r="L1101" s="23" t="n">
        <v>1</v>
      </c>
      <c r="M1101" s="23" t="n">
        <f>MIN(K1101,J1101)</f>
        <v>1</v>
      </c>
      <c r="N1101" s="23" t="n">
        <f>MIN(L1101,J1101)</f>
        <v>1</v>
      </c>
      <c r="O1101" s="25" t="n">
        <f>IF(K1101=0,0,MIN(1,J1101/K1101))</f>
        <v>1</v>
      </c>
      <c r="P1101" s="23" t="n">
        <f>IF(J1101&gt;0,MAX(K1101-J1101,0),0)</f>
        <v>0</v>
      </c>
      <c r="Q1101" s="23" t="n">
        <f>IF(J1101=0,K1101,0)</f>
        <v>0</v>
      </c>
      <c r="R1101" s="23" t="n">
        <f>MAX(J1101-K1101,0)</f>
        <v>0</v>
      </c>
      <c r="S1101" s="23" t="n">
        <f>IF(J1101&gt;0,MAX(L1101-J1101,0),L1101)</f>
        <v>0</v>
      </c>
    </row>
    <row r="1102">
      <c r="A1102" s="19" t="str">
        <v>英国区</v>
      </c>
      <c r="B1102" s="19" t="str">
        <v>伯明翰26号仓</v>
      </c>
      <c r="C1102" s="19" t="str">
        <v>入库组</v>
      </c>
      <c r="D1102" s="21" t="n">
        <v>46191</v>
      </c>
      <c r="E1102" s="19" t="str">
        <v>2026-06</v>
      </c>
      <c r="F1102" s="19" t="str">
        <v>操作员</v>
      </c>
      <c r="G1102" s="19" t="str">
        <v>英国区07:00-15:30 / UK 07:00-15:30</v>
      </c>
      <c r="H1102" s="23" t="n">
        <v>1</v>
      </c>
      <c r="I1102" s="23" t="n">
        <v>0</v>
      </c>
      <c r="J1102" s="23" t="n">
        <f>H1102+I1102</f>
        <v>1</v>
      </c>
      <c r="K1102" s="23" t="n">
        <v>1</v>
      </c>
      <c r="L1102" s="23" t="n">
        <v>1</v>
      </c>
      <c r="M1102" s="23" t="n">
        <f>MIN(K1102,J1102)</f>
        <v>1</v>
      </c>
      <c r="N1102" s="23" t="n">
        <f>MIN(L1102,J1102)</f>
        <v>1</v>
      </c>
      <c r="O1102" s="25" t="n">
        <f>IF(K1102=0,0,MIN(1,J1102/K1102))</f>
        <v>1</v>
      </c>
      <c r="P1102" s="23" t="n">
        <f>IF(J1102&gt;0,MAX(K1102-J1102,0),0)</f>
        <v>0</v>
      </c>
      <c r="Q1102" s="23" t="n">
        <f>IF(J1102=0,K1102,0)</f>
        <v>0</v>
      </c>
      <c r="R1102" s="23" t="n">
        <f>MAX(J1102-K1102,0)</f>
        <v>0</v>
      </c>
      <c r="S1102" s="23" t="n">
        <f>IF(J1102&gt;0,MAX(L1102-J1102,0),L1102)</f>
        <v>0</v>
      </c>
    </row>
    <row r="1103">
      <c r="A1103" s="19" t="str">
        <v>英国区</v>
      </c>
      <c r="B1103" s="19" t="str">
        <v>伯明翰26号仓</v>
      </c>
      <c r="C1103" s="19" t="str">
        <v>入库组</v>
      </c>
      <c r="D1103" s="21" t="n">
        <v>46192</v>
      </c>
      <c r="E1103" s="19" t="str">
        <v>2026-06</v>
      </c>
      <c r="F1103" s="19" t="str">
        <v>操作员</v>
      </c>
      <c r="G1103" s="19" t="str">
        <v>英国区07:00-15:30 / UK 07:00-15:30</v>
      </c>
      <c r="H1103" s="23" t="n">
        <v>3</v>
      </c>
      <c r="I1103" s="23" t="n">
        <v>0</v>
      </c>
      <c r="J1103" s="23" t="n">
        <f>H1103+I1103</f>
        <v>3</v>
      </c>
      <c r="K1103" s="23" t="n">
        <v>3</v>
      </c>
      <c r="L1103" s="23" t="n">
        <v>3</v>
      </c>
      <c r="M1103" s="23" t="n">
        <f>MIN(K1103,J1103)</f>
        <v>3</v>
      </c>
      <c r="N1103" s="23" t="n">
        <f>MIN(L1103,J1103)</f>
        <v>3</v>
      </c>
      <c r="O1103" s="25" t="n">
        <f>IF(K1103=0,0,MIN(1,J1103/K1103))</f>
        <v>1</v>
      </c>
      <c r="P1103" s="23" t="n">
        <f>IF(J1103&gt;0,MAX(K1103-J1103,0),0)</f>
        <v>0</v>
      </c>
      <c r="Q1103" s="23" t="n">
        <f>IF(J1103=0,K1103,0)</f>
        <v>0</v>
      </c>
      <c r="R1103" s="23" t="n">
        <f>MAX(J1103-K1103,0)</f>
        <v>0</v>
      </c>
      <c r="S1103" s="23" t="n">
        <f>IF(J1103&gt;0,MAX(L1103-J1103,0),L1103)</f>
        <v>0</v>
      </c>
    </row>
    <row r="1104">
      <c r="A1104" s="19" t="str">
        <v>英国区</v>
      </c>
      <c r="B1104" s="19" t="str">
        <v>伯明翰26号仓</v>
      </c>
      <c r="C1104" s="19" t="str">
        <v>入库组</v>
      </c>
      <c r="D1104" s="21" t="n">
        <v>46192</v>
      </c>
      <c r="E1104" s="19" t="str">
        <v>2026-06</v>
      </c>
      <c r="F1104" s="19" t="str">
        <v>操作员</v>
      </c>
      <c r="G1104" s="19" t="str">
        <v>英国区10:00-18:30 / UK 10:00-18:30</v>
      </c>
      <c r="H1104" s="23" t="n">
        <v>3</v>
      </c>
      <c r="I1104" s="23" t="n">
        <v>0</v>
      </c>
      <c r="J1104" s="23" t="n">
        <f>H1104+I1104</f>
        <v>3</v>
      </c>
      <c r="K1104" s="23" t="n">
        <v>3</v>
      </c>
      <c r="L1104" s="23" t="n">
        <v>3</v>
      </c>
      <c r="M1104" s="23" t="n">
        <f>MIN(K1104,J1104)</f>
        <v>3</v>
      </c>
      <c r="N1104" s="23" t="n">
        <f>MIN(L1104,J1104)</f>
        <v>3</v>
      </c>
      <c r="O1104" s="25" t="n">
        <f>IF(K1104=0,0,MIN(1,J1104/K1104))</f>
        <v>1</v>
      </c>
      <c r="P1104" s="23" t="n">
        <f>IF(J1104&gt;0,MAX(K1104-J1104,0),0)</f>
        <v>0</v>
      </c>
      <c r="Q1104" s="23" t="n">
        <f>IF(J1104=0,K1104,0)</f>
        <v>0</v>
      </c>
      <c r="R1104" s="23" t="n">
        <f>MAX(J1104-K1104,0)</f>
        <v>0</v>
      </c>
      <c r="S1104" s="23" t="n">
        <f>IF(J1104&gt;0,MAX(L1104-J1104,0),L1104)</f>
        <v>0</v>
      </c>
    </row>
    <row r="1105">
      <c r="A1105" s="19" t="str">
        <v>英国区</v>
      </c>
      <c r="B1105" s="19" t="str">
        <v>伯明翰26号仓</v>
      </c>
      <c r="C1105" s="19" t="str">
        <v>入库组</v>
      </c>
      <c r="D1105" s="21" t="n">
        <v>46199</v>
      </c>
      <c r="E1105" s="19" t="str">
        <v>2026-06</v>
      </c>
      <c r="F1105" s="19" t="str">
        <v>操作员</v>
      </c>
      <c r="G1105" s="19" t="str">
        <v>英国区10:00-18:30 / UK 10:00-18:30</v>
      </c>
      <c r="H1105" s="23" t="n">
        <v>3</v>
      </c>
      <c r="I1105" s="23" t="n">
        <v>0</v>
      </c>
      <c r="J1105" s="23" t="n">
        <f>H1105+I1105</f>
        <v>3</v>
      </c>
      <c r="K1105" s="23" t="n">
        <v>3</v>
      </c>
      <c r="L1105" s="23" t="n">
        <v>3</v>
      </c>
      <c r="M1105" s="23" t="n">
        <f>MIN(K1105,J1105)</f>
        <v>3</v>
      </c>
      <c r="N1105" s="23" t="n">
        <f>MIN(L1105,J1105)</f>
        <v>3</v>
      </c>
      <c r="O1105" s="25" t="n">
        <f>IF(K1105=0,0,MIN(1,J1105/K1105))</f>
        <v>1</v>
      </c>
      <c r="P1105" s="23" t="n">
        <f>IF(J1105&gt;0,MAX(K1105-J1105,0),0)</f>
        <v>0</v>
      </c>
      <c r="Q1105" s="23" t="n">
        <f>IF(J1105=0,K1105,0)</f>
        <v>0</v>
      </c>
      <c r="R1105" s="23" t="n">
        <f>MAX(J1105-K1105,0)</f>
        <v>0</v>
      </c>
      <c r="S1105" s="23" t="n">
        <f>IF(J1105&gt;0,MAX(L1105-J1105,0),L1105)</f>
        <v>0</v>
      </c>
    </row>
    <row r="1106">
      <c r="A1106" s="19" t="str">
        <v>英国区</v>
      </c>
      <c r="B1106" s="19" t="str">
        <v>伯明翰26号仓</v>
      </c>
      <c r="C1106" s="19" t="str">
        <v>入库组</v>
      </c>
      <c r="D1106" s="21" t="n">
        <v>46202</v>
      </c>
      <c r="E1106" s="19" t="str">
        <v>2026-06</v>
      </c>
      <c r="F1106" s="19" t="str">
        <v>操作员</v>
      </c>
      <c r="G1106" s="19" t="str">
        <v>英国区07:00-15:30 / UK 07:00-15:30</v>
      </c>
      <c r="H1106" s="23" t="n">
        <v>2</v>
      </c>
      <c r="I1106" s="23" t="n">
        <v>0</v>
      </c>
      <c r="J1106" s="23" t="n">
        <f>H1106+I1106</f>
        <v>2</v>
      </c>
      <c r="K1106" s="23" t="n">
        <v>2</v>
      </c>
      <c r="L1106" s="23" t="n">
        <v>2</v>
      </c>
      <c r="M1106" s="23" t="n">
        <f>MIN(K1106,J1106)</f>
        <v>2</v>
      </c>
      <c r="N1106" s="23" t="n">
        <f>MIN(L1106,J1106)</f>
        <v>2</v>
      </c>
      <c r="O1106" s="25" t="n">
        <f>IF(K1106=0,0,MIN(1,J1106/K1106))</f>
        <v>1</v>
      </c>
      <c r="P1106" s="23" t="n">
        <f>IF(J1106&gt;0,MAX(K1106-J1106,0),0)</f>
        <v>0</v>
      </c>
      <c r="Q1106" s="23" t="n">
        <f>IF(J1106=0,K1106,0)</f>
        <v>0</v>
      </c>
      <c r="R1106" s="23" t="n">
        <f>MAX(J1106-K1106,0)</f>
        <v>0</v>
      </c>
      <c r="S1106" s="23" t="n">
        <f>IF(J1106&gt;0,MAX(L1106-J1106,0),L1106)</f>
        <v>0</v>
      </c>
    </row>
    <row r="1107">
      <c r="A1107" s="19" t="str">
        <v>英国区</v>
      </c>
      <c r="B1107" s="19" t="str">
        <v>伯明翰26号仓</v>
      </c>
      <c r="C1107" s="19" t="str">
        <v>拣货组</v>
      </c>
      <c r="D1107" s="21" t="n">
        <v>46183</v>
      </c>
      <c r="E1107" s="19" t="str">
        <v>2026-06</v>
      </c>
      <c r="F1107" s="19" t="str">
        <v>操作员</v>
      </c>
      <c r="G1107" s="19" t="str">
        <v>英国区09:00-17:30 / UK 09:00-17:30</v>
      </c>
      <c r="H1107" s="23" t="n">
        <v>2</v>
      </c>
      <c r="I1107" s="23" t="n">
        <v>0</v>
      </c>
      <c r="J1107" s="23" t="n">
        <f>H1107+I1107</f>
        <v>2</v>
      </c>
      <c r="K1107" s="23" t="n">
        <v>2</v>
      </c>
      <c r="L1107" s="23" t="n">
        <v>0</v>
      </c>
      <c r="M1107" s="23" t="n">
        <f>MIN(K1107,J1107)</f>
        <v>2</v>
      </c>
      <c r="N1107" s="23" t="n">
        <f>MIN(L1107,J1107)</f>
        <v>0</v>
      </c>
      <c r="O1107" s="25" t="n">
        <f>IF(K1107=0,0,MIN(1,J1107/K1107))</f>
        <v>1</v>
      </c>
      <c r="P1107" s="23" t="n">
        <f>IF(J1107&gt;0,MAX(K1107-J1107,0),0)</f>
        <v>0</v>
      </c>
      <c r="Q1107" s="23" t="n">
        <f>IF(J1107=0,K1107,0)</f>
        <v>0</v>
      </c>
      <c r="R1107" s="23" t="n">
        <f>MAX(J1107-K1107,0)</f>
        <v>0</v>
      </c>
      <c r="S1107" s="23" t="n">
        <f>IF(J1107&gt;0,MAX(L1107-J1107,0),L1107)</f>
        <v>0</v>
      </c>
    </row>
    <row r="1108">
      <c r="A1108" s="19" t="str">
        <v>英国区</v>
      </c>
      <c r="B1108" s="19" t="str">
        <v>伯明翰26号仓</v>
      </c>
      <c r="C1108" s="19" t="str">
        <v>拣货组</v>
      </c>
      <c r="D1108" s="21" t="n">
        <v>46184</v>
      </c>
      <c r="E1108" s="19" t="str">
        <v>2026-06</v>
      </c>
      <c r="F1108" s="19" t="str">
        <v>操作员</v>
      </c>
      <c r="G1108" s="19" t="str">
        <v>英国区09:00-17:30 / UK 09:00-17:30</v>
      </c>
      <c r="H1108" s="23" t="n">
        <v>1</v>
      </c>
      <c r="I1108" s="23" t="n">
        <v>0</v>
      </c>
      <c r="J1108" s="23" t="n">
        <f>H1108+I1108</f>
        <v>1</v>
      </c>
      <c r="K1108" s="23" t="n">
        <v>1</v>
      </c>
      <c r="L1108" s="23" t="n">
        <v>1</v>
      </c>
      <c r="M1108" s="23" t="n">
        <f>MIN(K1108,J1108)</f>
        <v>1</v>
      </c>
      <c r="N1108" s="23" t="n">
        <f>MIN(L1108,J1108)</f>
        <v>1</v>
      </c>
      <c r="O1108" s="25" t="n">
        <f>IF(K1108=0,0,MIN(1,J1108/K1108))</f>
        <v>1</v>
      </c>
      <c r="P1108" s="23" t="n">
        <f>IF(J1108&gt;0,MAX(K1108-J1108,0),0)</f>
        <v>0</v>
      </c>
      <c r="Q1108" s="23" t="n">
        <f>IF(J1108=0,K1108,0)</f>
        <v>0</v>
      </c>
      <c r="R1108" s="23" t="n">
        <f>MAX(J1108-K1108,0)</f>
        <v>0</v>
      </c>
      <c r="S1108" s="23" t="n">
        <f>IF(J1108&gt;0,MAX(L1108-J1108,0),L1108)</f>
        <v>0</v>
      </c>
    </row>
    <row r="1109">
      <c r="A1109" s="19" t="str">
        <v>英国区</v>
      </c>
      <c r="B1109" s="19" t="str">
        <v>伯明翰26号仓</v>
      </c>
      <c r="C1109" s="19" t="str">
        <v>拣货组</v>
      </c>
      <c r="D1109" s="21" t="n">
        <v>46184</v>
      </c>
      <c r="E1109" s="19" t="str">
        <v>2026-06</v>
      </c>
      <c r="F1109" s="19" t="str">
        <v>操作员</v>
      </c>
      <c r="G1109" s="19" t="str">
        <v>英国区10:00-18:30 / UK 10:00-18:30</v>
      </c>
      <c r="H1109" s="23" t="n">
        <v>3</v>
      </c>
      <c r="I1109" s="23" t="n">
        <v>0</v>
      </c>
      <c r="J1109" s="23" t="n">
        <f>H1109+I1109</f>
        <v>3</v>
      </c>
      <c r="K1109" s="23" t="n">
        <v>3</v>
      </c>
      <c r="L1109" s="23" t="n">
        <v>2</v>
      </c>
      <c r="M1109" s="23" t="n">
        <f>MIN(K1109,J1109)</f>
        <v>3</v>
      </c>
      <c r="N1109" s="23" t="n">
        <f>MIN(L1109,J1109)</f>
        <v>2</v>
      </c>
      <c r="O1109" s="25" t="n">
        <f>IF(K1109=0,0,MIN(1,J1109/K1109))</f>
        <v>1</v>
      </c>
      <c r="P1109" s="23" t="n">
        <f>IF(J1109&gt;0,MAX(K1109-J1109,0),0)</f>
        <v>0</v>
      </c>
      <c r="Q1109" s="23" t="n">
        <f>IF(J1109=0,K1109,0)</f>
        <v>0</v>
      </c>
      <c r="R1109" s="23" t="n">
        <f>MAX(J1109-K1109,0)</f>
        <v>0</v>
      </c>
      <c r="S1109" s="23" t="n">
        <f>IF(J1109&gt;0,MAX(L1109-J1109,0),L1109)</f>
        <v>0</v>
      </c>
    </row>
    <row r="1110">
      <c r="A1110" s="19" t="str">
        <v>英国区</v>
      </c>
      <c r="B1110" s="19" t="str">
        <v>伯明翰26号仓</v>
      </c>
      <c r="C1110" s="19" t="str">
        <v>拣货组</v>
      </c>
      <c r="D1110" s="21" t="n">
        <v>46185</v>
      </c>
      <c r="E1110" s="19" t="str">
        <v>2026-06</v>
      </c>
      <c r="F1110" s="19" t="str">
        <v>操作员</v>
      </c>
      <c r="G1110" s="19" t="str">
        <v>英国区10:00-18:30 / UK 10:00-18:30</v>
      </c>
      <c r="H1110" s="23" t="n">
        <v>3</v>
      </c>
      <c r="I1110" s="23" t="n">
        <v>0</v>
      </c>
      <c r="J1110" s="23" t="n">
        <f>H1110+I1110</f>
        <v>3</v>
      </c>
      <c r="K1110" s="23" t="n">
        <v>3</v>
      </c>
      <c r="L1110" s="23" t="n">
        <v>3</v>
      </c>
      <c r="M1110" s="23" t="n">
        <f>MIN(K1110,J1110)</f>
        <v>3</v>
      </c>
      <c r="N1110" s="23" t="n">
        <f>MIN(L1110,J1110)</f>
        <v>3</v>
      </c>
      <c r="O1110" s="25" t="n">
        <f>IF(K1110=0,0,MIN(1,J1110/K1110))</f>
        <v>1</v>
      </c>
      <c r="P1110" s="23" t="n">
        <f>IF(J1110&gt;0,MAX(K1110-J1110,0),0)</f>
        <v>0</v>
      </c>
      <c r="Q1110" s="23" t="n">
        <f>IF(J1110=0,K1110,0)</f>
        <v>0</v>
      </c>
      <c r="R1110" s="23" t="n">
        <f>MAX(J1110-K1110,0)</f>
        <v>0</v>
      </c>
      <c r="S1110" s="23" t="n">
        <f>IF(J1110&gt;0,MAX(L1110-J1110,0),L1110)</f>
        <v>0</v>
      </c>
    </row>
    <row r="1111">
      <c r="A1111" s="19" t="str">
        <v>英国区</v>
      </c>
      <c r="B1111" s="19" t="str">
        <v>伯明翰26号仓</v>
      </c>
      <c r="C1111" s="19" t="str">
        <v>拣货组</v>
      </c>
      <c r="D1111" s="21" t="n">
        <v>46190</v>
      </c>
      <c r="E1111" s="19" t="str">
        <v>2026-06</v>
      </c>
      <c r="F1111" s="19" t="str">
        <v>操作员</v>
      </c>
      <c r="G1111" s="19" t="str">
        <v>英国区09:00-17:30 / UK 09:00-17:30</v>
      </c>
      <c r="H1111" s="23" t="n">
        <v>1</v>
      </c>
      <c r="I1111" s="23" t="n">
        <v>0</v>
      </c>
      <c r="J1111" s="23" t="n">
        <f>H1111+I1111</f>
        <v>1</v>
      </c>
      <c r="K1111" s="23" t="n">
        <v>1</v>
      </c>
      <c r="L1111" s="23" t="n">
        <v>1</v>
      </c>
      <c r="M1111" s="23" t="n">
        <f>MIN(K1111,J1111)</f>
        <v>1</v>
      </c>
      <c r="N1111" s="23" t="n">
        <f>MIN(L1111,J1111)</f>
        <v>1</v>
      </c>
      <c r="O1111" s="25" t="n">
        <f>IF(K1111=0,0,MIN(1,J1111/K1111))</f>
        <v>1</v>
      </c>
      <c r="P1111" s="23" t="n">
        <f>IF(J1111&gt;0,MAX(K1111-J1111,0),0)</f>
        <v>0</v>
      </c>
      <c r="Q1111" s="23" t="n">
        <f>IF(J1111=0,K1111,0)</f>
        <v>0</v>
      </c>
      <c r="R1111" s="23" t="n">
        <f>MAX(J1111-K1111,0)</f>
        <v>0</v>
      </c>
      <c r="S1111" s="23" t="n">
        <f>IF(J1111&gt;0,MAX(L1111-J1111,0),L1111)</f>
        <v>0</v>
      </c>
    </row>
    <row r="1112">
      <c r="A1112" s="19" t="str">
        <v>英国区</v>
      </c>
      <c r="B1112" s="19" t="str">
        <v>伯明翰26号仓</v>
      </c>
      <c r="C1112" s="19" t="str">
        <v>拣货组</v>
      </c>
      <c r="D1112" s="21" t="n">
        <v>46195</v>
      </c>
      <c r="E1112" s="19" t="str">
        <v>2026-06</v>
      </c>
      <c r="F1112" s="19" t="str">
        <v>操作员</v>
      </c>
      <c r="G1112" s="19" t="str">
        <v>英国区10:00-18:30 / UK 10:00-18:30</v>
      </c>
      <c r="H1112" s="23" t="n">
        <v>2</v>
      </c>
      <c r="I1112" s="23" t="n">
        <v>0</v>
      </c>
      <c r="J1112" s="23" t="n">
        <f>H1112+I1112</f>
        <v>2</v>
      </c>
      <c r="K1112" s="23" t="n">
        <v>2</v>
      </c>
      <c r="L1112" s="23" t="n">
        <v>2</v>
      </c>
      <c r="M1112" s="23" t="n">
        <f>MIN(K1112,J1112)</f>
        <v>2</v>
      </c>
      <c r="N1112" s="23" t="n">
        <f>MIN(L1112,J1112)</f>
        <v>2</v>
      </c>
      <c r="O1112" s="25" t="n">
        <f>IF(K1112=0,0,MIN(1,J1112/K1112))</f>
        <v>1</v>
      </c>
      <c r="P1112" s="23" t="n">
        <f>IF(J1112&gt;0,MAX(K1112-J1112,0),0)</f>
        <v>0</v>
      </c>
      <c r="Q1112" s="23" t="n">
        <f>IF(J1112=0,K1112,0)</f>
        <v>0</v>
      </c>
      <c r="R1112" s="23" t="n">
        <f>MAX(J1112-K1112,0)</f>
        <v>0</v>
      </c>
      <c r="S1112" s="23" t="n">
        <f>IF(J1112&gt;0,MAX(L1112-J1112,0),L1112)</f>
        <v>0</v>
      </c>
    </row>
    <row r="1113">
      <c r="A1113" s="19" t="str">
        <v>英国区</v>
      </c>
      <c r="B1113" s="19" t="str">
        <v>伯明翰26号仓</v>
      </c>
      <c r="C1113" s="19" t="str">
        <v>拣货组</v>
      </c>
      <c r="D1113" s="21" t="n">
        <v>46196</v>
      </c>
      <c r="E1113" s="19" t="str">
        <v>2026-06</v>
      </c>
      <c r="F1113" s="19" t="str">
        <v>操作员</v>
      </c>
      <c r="G1113" s="19" t="str">
        <v>英国区10:00-18:30 / UK 10:00-18:30</v>
      </c>
      <c r="H1113" s="23" t="n">
        <v>1</v>
      </c>
      <c r="I1113" s="23" t="n">
        <v>0</v>
      </c>
      <c r="J1113" s="23" t="n">
        <f>H1113+I1113</f>
        <v>1</v>
      </c>
      <c r="K1113" s="23" t="n">
        <v>1</v>
      </c>
      <c r="L1113" s="23" t="n">
        <v>1</v>
      </c>
      <c r="M1113" s="23" t="n">
        <f>MIN(K1113,J1113)</f>
        <v>1</v>
      </c>
      <c r="N1113" s="23" t="n">
        <f>MIN(L1113,J1113)</f>
        <v>1</v>
      </c>
      <c r="O1113" s="25" t="n">
        <f>IF(K1113=0,0,MIN(1,J1113/K1113))</f>
        <v>1</v>
      </c>
      <c r="P1113" s="23" t="n">
        <f>IF(J1113&gt;0,MAX(K1113-J1113,0),0)</f>
        <v>0</v>
      </c>
      <c r="Q1113" s="23" t="n">
        <f>IF(J1113=0,K1113,0)</f>
        <v>0</v>
      </c>
      <c r="R1113" s="23" t="n">
        <f>MAX(J1113-K1113,0)</f>
        <v>0</v>
      </c>
      <c r="S1113" s="23" t="n">
        <f>IF(J1113&gt;0,MAX(L1113-J1113,0),L1113)</f>
        <v>0</v>
      </c>
    </row>
    <row r="1114">
      <c r="A1114" s="19" t="str">
        <v>英国区</v>
      </c>
      <c r="B1114" s="19" t="str">
        <v>伯明翰26号仓</v>
      </c>
      <c r="C1114" s="19" t="str">
        <v>拣货组</v>
      </c>
      <c r="D1114" s="21" t="n">
        <v>46198</v>
      </c>
      <c r="E1114" s="19" t="str">
        <v>2026-06</v>
      </c>
      <c r="F1114" s="19" t="str">
        <v>操作员</v>
      </c>
      <c r="G1114" s="19" t="str">
        <v>英国区10:00-18:30 / UK 10:00-18:30</v>
      </c>
      <c r="H1114" s="23" t="n">
        <v>3</v>
      </c>
      <c r="I1114" s="23" t="n">
        <v>0</v>
      </c>
      <c r="J1114" s="23" t="n">
        <f>H1114+I1114</f>
        <v>3</v>
      </c>
      <c r="K1114" s="23" t="n">
        <v>3</v>
      </c>
      <c r="L1114" s="23" t="n">
        <v>3</v>
      </c>
      <c r="M1114" s="23" t="n">
        <f>MIN(K1114,J1114)</f>
        <v>3</v>
      </c>
      <c r="N1114" s="23" t="n">
        <f>MIN(L1114,J1114)</f>
        <v>3</v>
      </c>
      <c r="O1114" s="25" t="n">
        <f>IF(K1114=0,0,MIN(1,J1114/K1114))</f>
        <v>1</v>
      </c>
      <c r="P1114" s="23" t="n">
        <f>IF(J1114&gt;0,MAX(K1114-J1114,0),0)</f>
        <v>0</v>
      </c>
      <c r="Q1114" s="23" t="n">
        <f>IF(J1114=0,K1114,0)</f>
        <v>0</v>
      </c>
      <c r="R1114" s="23" t="n">
        <f>MAX(J1114-K1114,0)</f>
        <v>0</v>
      </c>
      <c r="S1114" s="23" t="n">
        <f>IF(J1114&gt;0,MAX(L1114-J1114,0),L1114)</f>
        <v>0</v>
      </c>
    </row>
    <row r="1115">
      <c r="A1115" s="19" t="str">
        <v>英国区</v>
      </c>
      <c r="B1115" s="19" t="str">
        <v>伯明翰26号仓</v>
      </c>
      <c r="C1115" s="19" t="str">
        <v>拣货组</v>
      </c>
      <c r="D1115" s="21" t="n">
        <v>46199</v>
      </c>
      <c r="E1115" s="19" t="str">
        <v>2026-06</v>
      </c>
      <c r="F1115" s="19" t="str">
        <v>操作员</v>
      </c>
      <c r="G1115" s="19" t="str">
        <v>英国区10:00-18:30 / UK 10:00-18:30</v>
      </c>
      <c r="H1115" s="23" t="n">
        <v>3</v>
      </c>
      <c r="I1115" s="23" t="n">
        <v>0</v>
      </c>
      <c r="J1115" s="23" t="n">
        <f>H1115+I1115</f>
        <v>3</v>
      </c>
      <c r="K1115" s="23" t="n">
        <v>3</v>
      </c>
      <c r="L1115" s="23" t="n">
        <v>3</v>
      </c>
      <c r="M1115" s="23" t="n">
        <f>MIN(K1115,J1115)</f>
        <v>3</v>
      </c>
      <c r="N1115" s="23" t="n">
        <f>MIN(L1115,J1115)</f>
        <v>3</v>
      </c>
      <c r="O1115" s="25" t="n">
        <f>IF(K1115=0,0,MIN(1,J1115/K1115))</f>
        <v>1</v>
      </c>
      <c r="P1115" s="23" t="n">
        <f>IF(J1115&gt;0,MAX(K1115-J1115,0),0)</f>
        <v>0</v>
      </c>
      <c r="Q1115" s="23" t="n">
        <f>IF(J1115=0,K1115,0)</f>
        <v>0</v>
      </c>
      <c r="R1115" s="23" t="n">
        <f>MAX(J1115-K1115,0)</f>
        <v>0</v>
      </c>
      <c r="S1115" s="23" t="n">
        <f>IF(J1115&gt;0,MAX(L1115-J1115,0),L1115)</f>
        <v>0</v>
      </c>
    </row>
    <row r="1116">
      <c r="A1116" s="19" t="str">
        <v>英国区</v>
      </c>
      <c r="B1116" s="19" t="str">
        <v>伯明翰26号仓</v>
      </c>
      <c r="C1116" s="19" t="str">
        <v>拣货组</v>
      </c>
      <c r="D1116" s="21" t="n">
        <v>46202</v>
      </c>
      <c r="E1116" s="19" t="str">
        <v>2026-06</v>
      </c>
      <c r="F1116" s="19" t="str">
        <v>操作员</v>
      </c>
      <c r="G1116" s="19" t="str">
        <v>英国区09:00-17:30 / UK 09:00-17:30</v>
      </c>
      <c r="H1116" s="23" t="n">
        <v>3</v>
      </c>
      <c r="I1116" s="23" t="n">
        <v>0</v>
      </c>
      <c r="J1116" s="23" t="n">
        <f>H1116+I1116</f>
        <v>3</v>
      </c>
      <c r="K1116" s="23" t="n">
        <v>3</v>
      </c>
      <c r="L1116" s="23" t="n">
        <v>3</v>
      </c>
      <c r="M1116" s="23" t="n">
        <f>MIN(K1116,J1116)</f>
        <v>3</v>
      </c>
      <c r="N1116" s="23" t="n">
        <f>MIN(L1116,J1116)</f>
        <v>3</v>
      </c>
      <c r="O1116" s="25" t="n">
        <f>IF(K1116=0,0,MIN(1,J1116/K1116))</f>
        <v>1</v>
      </c>
      <c r="P1116" s="23" t="n">
        <f>IF(J1116&gt;0,MAX(K1116-J1116,0),0)</f>
        <v>0</v>
      </c>
      <c r="Q1116" s="23" t="n">
        <f>IF(J1116=0,K1116,0)</f>
        <v>0</v>
      </c>
      <c r="R1116" s="23" t="n">
        <f>MAX(J1116-K1116,0)</f>
        <v>0</v>
      </c>
      <c r="S1116" s="23" t="n">
        <f>IF(J1116&gt;0,MAX(L1116-J1116,0),L1116)</f>
        <v>0</v>
      </c>
    </row>
    <row r="1117">
      <c r="A1117" s="19" t="str">
        <v>英国区</v>
      </c>
      <c r="B1117" s="19" t="str">
        <v>伯明翰26号仓</v>
      </c>
      <c r="C1117" s="19" t="str">
        <v>拣货组</v>
      </c>
      <c r="D1117" s="21" t="n">
        <v>46203</v>
      </c>
      <c r="E1117" s="19" t="str">
        <v>2026-06</v>
      </c>
      <c r="F1117" s="19" t="str">
        <v>操作员</v>
      </c>
      <c r="G1117" s="19" t="str">
        <v>英国区10:00-18:30 / UK 10:00-18:30</v>
      </c>
      <c r="H1117" s="23" t="n">
        <v>1</v>
      </c>
      <c r="I1117" s="23" t="n">
        <v>0</v>
      </c>
      <c r="J1117" s="23" t="n">
        <f>H1117+I1117</f>
        <v>1</v>
      </c>
      <c r="K1117" s="23" t="n">
        <v>1</v>
      </c>
      <c r="L1117" s="23" t="n">
        <v>1</v>
      </c>
      <c r="M1117" s="23" t="n">
        <f>MIN(K1117,J1117)</f>
        <v>1</v>
      </c>
      <c r="N1117" s="23" t="n">
        <f>MIN(L1117,J1117)</f>
        <v>1</v>
      </c>
      <c r="O1117" s="25" t="n">
        <f>IF(K1117=0,0,MIN(1,J1117/K1117))</f>
        <v>1</v>
      </c>
      <c r="P1117" s="23" t="n">
        <f>IF(J1117&gt;0,MAX(K1117-J1117,0),0)</f>
        <v>0</v>
      </c>
      <c r="Q1117" s="23" t="n">
        <f>IF(J1117=0,K1117,0)</f>
        <v>0</v>
      </c>
      <c r="R1117" s="23" t="n">
        <f>MAX(J1117-K1117,0)</f>
        <v>0</v>
      </c>
      <c r="S1117" s="23" t="n">
        <f>IF(J1117&gt;0,MAX(L1117-J1117,0),L1117)</f>
        <v>0</v>
      </c>
    </row>
    <row r="1118">
      <c r="A1118" s="19" t="str">
        <v>英国区</v>
      </c>
      <c r="B1118" s="19" t="str">
        <v>伯明翰26号仓</v>
      </c>
      <c r="C1118" s="19" t="str">
        <v>理货组</v>
      </c>
      <c r="D1118" s="21" t="n">
        <v>46198</v>
      </c>
      <c r="E1118" s="19" t="str">
        <v>2026-06</v>
      </c>
      <c r="F1118" s="19" t="str">
        <v>操作员</v>
      </c>
      <c r="G1118" s="19" t="str">
        <v>英国区10:00-18:30 / UK 10:00-18:30</v>
      </c>
      <c r="H1118" s="23" t="n">
        <v>5</v>
      </c>
      <c r="I1118" s="23" t="n">
        <v>0</v>
      </c>
      <c r="J1118" s="23" t="n">
        <f>H1118+I1118</f>
        <v>5</v>
      </c>
      <c r="K1118" s="23" t="n">
        <v>5</v>
      </c>
      <c r="L1118" s="23" t="n">
        <v>5</v>
      </c>
      <c r="M1118" s="23" t="n">
        <f>MIN(K1118,J1118)</f>
        <v>5</v>
      </c>
      <c r="N1118" s="23" t="n">
        <f>MIN(L1118,J1118)</f>
        <v>5</v>
      </c>
      <c r="O1118" s="25" t="n">
        <f>IF(K1118=0,0,MIN(1,J1118/K1118))</f>
        <v>1</v>
      </c>
      <c r="P1118" s="23" t="n">
        <f>IF(J1118&gt;0,MAX(K1118-J1118,0),0)</f>
        <v>0</v>
      </c>
      <c r="Q1118" s="23" t="n">
        <f>IF(J1118=0,K1118,0)</f>
        <v>0</v>
      </c>
      <c r="R1118" s="23" t="n">
        <f>MAX(J1118-K1118,0)</f>
        <v>0</v>
      </c>
      <c r="S1118" s="23" t="n">
        <f>IF(J1118&gt;0,MAX(L1118-J1118,0),L1118)</f>
        <v>0</v>
      </c>
    </row>
    <row r="1119">
      <c r="A1119" s="19" t="str">
        <v>英国区</v>
      </c>
      <c r="B1119" s="19" t="str">
        <v>伯明翰2号仓</v>
      </c>
      <c r="C1119" s="19" t="str">
        <v>交运组</v>
      </c>
      <c r="D1119" s="21" t="n">
        <v>46126</v>
      </c>
      <c r="E1119" s="19" t="str">
        <v>2026-04</v>
      </c>
      <c r="F1119" s="19" t="str">
        <v>操作员</v>
      </c>
      <c r="G1119" s="19" t="str">
        <v>英国灵活（6小时扣午休） / UK FLEX (6-HR LUNCH BREAK DEDUCTED)</v>
      </c>
      <c r="H1119" s="23" t="n">
        <v>3</v>
      </c>
      <c r="I1119" s="23" t="n">
        <v>0</v>
      </c>
      <c r="J1119" s="23" t="n">
        <f>H1119+I1119</f>
        <v>3</v>
      </c>
      <c r="K1119" s="23" t="n">
        <v>3</v>
      </c>
      <c r="L1119" s="23" t="n">
        <v>3</v>
      </c>
      <c r="M1119" s="23" t="n">
        <f>MIN(K1119,J1119)</f>
        <v>3</v>
      </c>
      <c r="N1119" s="23" t="n">
        <f>MIN(L1119,J1119)</f>
        <v>3</v>
      </c>
      <c r="O1119" s="25" t="n">
        <f>IF(K1119=0,0,MIN(1,J1119/K1119))</f>
        <v>1</v>
      </c>
      <c r="P1119" s="23" t="n">
        <f>IF(J1119&gt;0,MAX(K1119-J1119,0),0)</f>
        <v>0</v>
      </c>
      <c r="Q1119" s="23" t="n">
        <f>IF(J1119=0,K1119,0)</f>
        <v>0</v>
      </c>
      <c r="R1119" s="23" t="n">
        <f>MAX(J1119-K1119,0)</f>
        <v>0</v>
      </c>
      <c r="S1119" s="23" t="n">
        <f>IF(J1119&gt;0,MAX(L1119-J1119,0),L1119)</f>
        <v>0</v>
      </c>
    </row>
    <row r="1120">
      <c r="A1120" s="19" t="str">
        <v>英国区</v>
      </c>
      <c r="B1120" s="19" t="str">
        <v>伯明翰2号仓</v>
      </c>
      <c r="C1120" s="19" t="str">
        <v>交运组</v>
      </c>
      <c r="D1120" s="21" t="n">
        <v>46136</v>
      </c>
      <c r="E1120" s="19" t="str">
        <v>2026-04</v>
      </c>
      <c r="F1120" s="19" t="str">
        <v>操作员</v>
      </c>
      <c r="G1120" s="19" t="str">
        <v>英国灵活（6小时扣午休） / UK FLEX (6-HR LUNCH BREAK DEDUCTED)</v>
      </c>
      <c r="H1120" s="23" t="n">
        <v>2</v>
      </c>
      <c r="I1120" s="23" t="n">
        <v>0</v>
      </c>
      <c r="J1120" s="23" t="n">
        <f>H1120+I1120</f>
        <v>2</v>
      </c>
      <c r="K1120" s="23" t="n">
        <v>2</v>
      </c>
      <c r="L1120" s="23" t="n">
        <v>2</v>
      </c>
      <c r="M1120" s="23" t="n">
        <f>MIN(K1120,J1120)</f>
        <v>2</v>
      </c>
      <c r="N1120" s="23" t="n">
        <f>MIN(L1120,J1120)</f>
        <v>2</v>
      </c>
      <c r="O1120" s="25" t="n">
        <f>IF(K1120=0,0,MIN(1,J1120/K1120))</f>
        <v>1</v>
      </c>
      <c r="P1120" s="23" t="n">
        <f>IF(J1120&gt;0,MAX(K1120-J1120,0),0)</f>
        <v>0</v>
      </c>
      <c r="Q1120" s="23" t="n">
        <f>IF(J1120=0,K1120,0)</f>
        <v>0</v>
      </c>
      <c r="R1120" s="23" t="n">
        <f>MAX(J1120-K1120,0)</f>
        <v>0</v>
      </c>
      <c r="S1120" s="23" t="n">
        <f>IF(J1120&gt;0,MAX(L1120-J1120,0),L1120)</f>
        <v>0</v>
      </c>
    </row>
    <row r="1121">
      <c r="A1121" s="19" t="str">
        <v>英国区</v>
      </c>
      <c r="B1121" s="19" t="str">
        <v>伯明翰2号仓</v>
      </c>
      <c r="C1121" s="19" t="str">
        <v>交运组</v>
      </c>
      <c r="D1121" s="21" t="n">
        <v>46174</v>
      </c>
      <c r="E1121" s="19" t="str">
        <v>2026-06</v>
      </c>
      <c r="F1121" s="19" t="str">
        <v>操作员</v>
      </c>
      <c r="G1121" s="19" t="str">
        <v>英国区11:00-19:30 / UK 11:00-19:30</v>
      </c>
      <c r="H1121" s="23" t="n">
        <v>2</v>
      </c>
      <c r="I1121" s="23" t="n">
        <v>0</v>
      </c>
      <c r="J1121" s="23" t="n">
        <f>H1121+I1121</f>
        <v>2</v>
      </c>
      <c r="K1121" s="23" t="n">
        <v>2</v>
      </c>
      <c r="L1121" s="23" t="n">
        <v>2</v>
      </c>
      <c r="M1121" s="23" t="n">
        <f>MIN(K1121,J1121)</f>
        <v>2</v>
      </c>
      <c r="N1121" s="23" t="n">
        <f>MIN(L1121,J1121)</f>
        <v>2</v>
      </c>
      <c r="O1121" s="25" t="n">
        <f>IF(K1121=0,0,MIN(1,J1121/K1121))</f>
        <v>1</v>
      </c>
      <c r="P1121" s="23" t="n">
        <f>IF(J1121&gt;0,MAX(K1121-J1121,0),0)</f>
        <v>0</v>
      </c>
      <c r="Q1121" s="23" t="n">
        <f>IF(J1121=0,K1121,0)</f>
        <v>0</v>
      </c>
      <c r="R1121" s="23" t="n">
        <f>MAX(J1121-K1121,0)</f>
        <v>0</v>
      </c>
      <c r="S1121" s="23" t="n">
        <f>IF(J1121&gt;0,MAX(L1121-J1121,0),L1121)</f>
        <v>0</v>
      </c>
    </row>
    <row r="1122">
      <c r="A1122" s="19" t="str">
        <v>英国区</v>
      </c>
      <c r="B1122" s="19" t="str">
        <v>伯明翰2号仓</v>
      </c>
      <c r="C1122" s="19" t="str">
        <v>交运组</v>
      </c>
      <c r="D1122" s="21" t="n">
        <v>46197</v>
      </c>
      <c r="E1122" s="19" t="str">
        <v>2026-06</v>
      </c>
      <c r="F1122" s="19" t="str">
        <v>操作员</v>
      </c>
      <c r="G1122" s="19" t="str">
        <v>英国灵活（6小时扣午休） / UK FLEX (6-HR LUNCH BREAK DEDUCTED)</v>
      </c>
      <c r="H1122" s="23" t="n">
        <v>2</v>
      </c>
      <c r="I1122" s="23" t="n">
        <v>0</v>
      </c>
      <c r="J1122" s="23" t="n">
        <f>H1122+I1122</f>
        <v>2</v>
      </c>
      <c r="K1122" s="23" t="n">
        <v>2</v>
      </c>
      <c r="L1122" s="23" t="n">
        <v>2</v>
      </c>
      <c r="M1122" s="23" t="n">
        <f>MIN(K1122,J1122)</f>
        <v>2</v>
      </c>
      <c r="N1122" s="23" t="n">
        <f>MIN(L1122,J1122)</f>
        <v>2</v>
      </c>
      <c r="O1122" s="25" t="n">
        <f>IF(K1122=0,0,MIN(1,J1122/K1122))</f>
        <v>1</v>
      </c>
      <c r="P1122" s="23" t="n">
        <f>IF(J1122&gt;0,MAX(K1122-J1122,0),0)</f>
        <v>0</v>
      </c>
      <c r="Q1122" s="23" t="n">
        <f>IF(J1122=0,K1122,0)</f>
        <v>0</v>
      </c>
      <c r="R1122" s="23" t="n">
        <f>MAX(J1122-K1122,0)</f>
        <v>0</v>
      </c>
      <c r="S1122" s="23" t="n">
        <f>IF(J1122&gt;0,MAX(L1122-J1122,0),L1122)</f>
        <v>0</v>
      </c>
    </row>
    <row r="1123">
      <c r="A1123" s="19" t="str">
        <v>英国区</v>
      </c>
      <c r="B1123" s="19" t="str">
        <v>伯明翰2号仓</v>
      </c>
      <c r="C1123" s="19" t="str">
        <v>交运组</v>
      </c>
      <c r="D1123" s="21" t="n">
        <v>46198</v>
      </c>
      <c r="E1123" s="19" t="str">
        <v>2026-06</v>
      </c>
      <c r="F1123" s="19" t="str">
        <v>操作员</v>
      </c>
      <c r="G1123" s="19" t="str">
        <v>英国灵活（6小时扣午休） / UK FLEX (6-HR LUNCH BREAK DEDUCTED)</v>
      </c>
      <c r="H1123" s="23" t="n">
        <v>2</v>
      </c>
      <c r="I1123" s="23" t="n">
        <v>0</v>
      </c>
      <c r="J1123" s="23" t="n">
        <f>H1123+I1123</f>
        <v>2</v>
      </c>
      <c r="K1123" s="23" t="n">
        <v>2</v>
      </c>
      <c r="L1123" s="23" t="n">
        <v>2</v>
      </c>
      <c r="M1123" s="23" t="n">
        <f>MIN(K1123,J1123)</f>
        <v>2</v>
      </c>
      <c r="N1123" s="23" t="n">
        <f>MIN(L1123,J1123)</f>
        <v>2</v>
      </c>
      <c r="O1123" s="25" t="n">
        <f>IF(K1123=0,0,MIN(1,J1123/K1123))</f>
        <v>1</v>
      </c>
      <c r="P1123" s="23" t="n">
        <f>IF(J1123&gt;0,MAX(K1123-J1123,0),0)</f>
        <v>0</v>
      </c>
      <c r="Q1123" s="23" t="n">
        <f>IF(J1123=0,K1123,0)</f>
        <v>0</v>
      </c>
      <c r="R1123" s="23" t="n">
        <f>MAX(J1123-K1123,0)</f>
        <v>0</v>
      </c>
      <c r="S1123" s="23" t="n">
        <f>IF(J1123&gt;0,MAX(L1123-J1123,0),L1123)</f>
        <v>0</v>
      </c>
    </row>
    <row r="1124">
      <c r="A1124" s="19" t="str">
        <v>英国区</v>
      </c>
      <c r="B1124" s="19" t="str">
        <v>伯明翰2号仓</v>
      </c>
      <c r="C1124" s="19" t="str">
        <v>交运组</v>
      </c>
      <c r="D1124" s="21" t="n">
        <v>46199</v>
      </c>
      <c r="E1124" s="19" t="str">
        <v>2026-06</v>
      </c>
      <c r="F1124" s="19" t="str">
        <v>操作员</v>
      </c>
      <c r="G1124" s="19" t="str">
        <v>英国灵活（6小时扣午休） / UK FLEX (6-HR LUNCH BREAK DEDUCTED)</v>
      </c>
      <c r="H1124" s="23" t="n">
        <v>2</v>
      </c>
      <c r="I1124" s="23" t="n">
        <v>0</v>
      </c>
      <c r="J1124" s="23" t="n">
        <f>H1124+I1124</f>
        <v>2</v>
      </c>
      <c r="K1124" s="23" t="n">
        <v>2</v>
      </c>
      <c r="L1124" s="23" t="n">
        <v>2</v>
      </c>
      <c r="M1124" s="23" t="n">
        <f>MIN(K1124,J1124)</f>
        <v>2</v>
      </c>
      <c r="N1124" s="23" t="n">
        <f>MIN(L1124,J1124)</f>
        <v>2</v>
      </c>
      <c r="O1124" s="25" t="n">
        <f>IF(K1124=0,0,MIN(1,J1124/K1124))</f>
        <v>1</v>
      </c>
      <c r="P1124" s="23" t="n">
        <f>IF(J1124&gt;0,MAX(K1124-J1124,0),0)</f>
        <v>0</v>
      </c>
      <c r="Q1124" s="23" t="n">
        <f>IF(J1124=0,K1124,0)</f>
        <v>0</v>
      </c>
      <c r="R1124" s="23" t="n">
        <f>MAX(J1124-K1124,0)</f>
        <v>0</v>
      </c>
      <c r="S1124" s="23" t="n">
        <f>IF(J1124&gt;0,MAX(L1124-J1124,0),L1124)</f>
        <v>0</v>
      </c>
    </row>
    <row r="1125">
      <c r="A1125" s="19" t="str">
        <v>英国区</v>
      </c>
      <c r="B1125" s="19" t="str">
        <v>伯明翰2号仓</v>
      </c>
      <c r="C1125" s="19" t="str">
        <v>入库组</v>
      </c>
      <c r="D1125" s="21" t="n">
        <v>46113</v>
      </c>
      <c r="E1125" s="19" t="str">
        <v>2026-04</v>
      </c>
      <c r="F1125" s="19" t="str">
        <v>操作员</v>
      </c>
      <c r="G1125" s="19" t="str">
        <v>英国区07:00-15:30 / UK 07:00-15:30</v>
      </c>
      <c r="H1125" s="23" t="n">
        <v>10</v>
      </c>
      <c r="I1125" s="23" t="n">
        <v>0</v>
      </c>
      <c r="J1125" s="23" t="n">
        <f>H1125+I1125</f>
        <v>10</v>
      </c>
      <c r="K1125" s="23" t="n">
        <v>10</v>
      </c>
      <c r="L1125" s="23" t="n">
        <v>10</v>
      </c>
      <c r="M1125" s="23" t="n">
        <f>MIN(K1125,J1125)</f>
        <v>10</v>
      </c>
      <c r="N1125" s="23" t="n">
        <f>MIN(L1125,J1125)</f>
        <v>10</v>
      </c>
      <c r="O1125" s="25" t="n">
        <f>IF(K1125=0,0,MIN(1,J1125/K1125))</f>
        <v>1</v>
      </c>
      <c r="P1125" s="23" t="n">
        <f>IF(J1125&gt;0,MAX(K1125-J1125,0),0)</f>
        <v>0</v>
      </c>
      <c r="Q1125" s="23" t="n">
        <f>IF(J1125=0,K1125,0)</f>
        <v>0</v>
      </c>
      <c r="R1125" s="23" t="n">
        <f>MAX(J1125-K1125,0)</f>
        <v>0</v>
      </c>
      <c r="S1125" s="23" t="n">
        <f>IF(J1125&gt;0,MAX(L1125-J1125,0),L1125)</f>
        <v>0</v>
      </c>
    </row>
    <row r="1126">
      <c r="A1126" s="19" t="str">
        <v>英国区</v>
      </c>
      <c r="B1126" s="19" t="str">
        <v>伯明翰2号仓</v>
      </c>
      <c r="C1126" s="19" t="str">
        <v>入库组</v>
      </c>
      <c r="D1126" s="21" t="n">
        <v>46113</v>
      </c>
      <c r="E1126" s="19" t="str">
        <v>2026-04</v>
      </c>
      <c r="F1126" s="19" t="str">
        <v>操作员</v>
      </c>
      <c r="G1126" s="19" t="str">
        <v>英国区09:00-17:30 / UK 09:00-17:30</v>
      </c>
      <c r="H1126" s="23" t="n">
        <v>10</v>
      </c>
      <c r="I1126" s="23" t="n">
        <v>0</v>
      </c>
      <c r="J1126" s="23" t="n">
        <f>H1126+I1126</f>
        <v>10</v>
      </c>
      <c r="K1126" s="23" t="n">
        <v>10</v>
      </c>
      <c r="L1126" s="23" t="n">
        <v>10</v>
      </c>
      <c r="M1126" s="23" t="n">
        <f>MIN(K1126,J1126)</f>
        <v>10</v>
      </c>
      <c r="N1126" s="23" t="n">
        <f>MIN(L1126,J1126)</f>
        <v>10</v>
      </c>
      <c r="O1126" s="25" t="n">
        <f>IF(K1126=0,0,MIN(1,J1126/K1126))</f>
        <v>1</v>
      </c>
      <c r="P1126" s="23" t="n">
        <f>IF(J1126&gt;0,MAX(K1126-J1126,0),0)</f>
        <v>0</v>
      </c>
      <c r="Q1126" s="23" t="n">
        <f>IF(J1126=0,K1126,0)</f>
        <v>0</v>
      </c>
      <c r="R1126" s="23" t="n">
        <f>MAX(J1126-K1126,0)</f>
        <v>0</v>
      </c>
      <c r="S1126" s="23" t="n">
        <f>IF(J1126&gt;0,MAX(L1126-J1126,0),L1126)</f>
        <v>0</v>
      </c>
    </row>
    <row r="1127">
      <c r="A1127" s="19" t="str">
        <v>英国区</v>
      </c>
      <c r="B1127" s="19" t="str">
        <v>伯明翰2号仓</v>
      </c>
      <c r="C1127" s="19" t="str">
        <v>入库组</v>
      </c>
      <c r="D1127" s="21" t="n">
        <v>46113</v>
      </c>
      <c r="E1127" s="19" t="str">
        <v>2026-04</v>
      </c>
      <c r="F1127" s="19" t="str">
        <v>操作员</v>
      </c>
      <c r="G1127" s="19" t="str">
        <v>英国区11:00-19:30 / UK 11:00-19:30</v>
      </c>
      <c r="H1127" s="23" t="n">
        <v>5</v>
      </c>
      <c r="I1127" s="23" t="n">
        <v>0</v>
      </c>
      <c r="J1127" s="23" t="n">
        <f>H1127+I1127</f>
        <v>5</v>
      </c>
      <c r="K1127" s="23" t="n">
        <v>5</v>
      </c>
      <c r="L1127" s="23" t="n">
        <v>5</v>
      </c>
      <c r="M1127" s="23" t="n">
        <f>MIN(K1127,J1127)</f>
        <v>5</v>
      </c>
      <c r="N1127" s="23" t="n">
        <f>MIN(L1127,J1127)</f>
        <v>5</v>
      </c>
      <c r="O1127" s="25" t="n">
        <f>IF(K1127=0,0,MIN(1,J1127/K1127))</f>
        <v>1</v>
      </c>
      <c r="P1127" s="23" t="n">
        <f>IF(J1127&gt;0,MAX(K1127-J1127,0),0)</f>
        <v>0</v>
      </c>
      <c r="Q1127" s="23" t="n">
        <f>IF(J1127=0,K1127,0)</f>
        <v>0</v>
      </c>
      <c r="R1127" s="23" t="n">
        <f>MAX(J1127-K1127,0)</f>
        <v>0</v>
      </c>
      <c r="S1127" s="23" t="n">
        <f>IF(J1127&gt;0,MAX(L1127-J1127,0),L1127)</f>
        <v>0</v>
      </c>
    </row>
    <row r="1128">
      <c r="A1128" s="19" t="str">
        <v>英国区</v>
      </c>
      <c r="B1128" s="19" t="str">
        <v>伯明翰2号仓</v>
      </c>
      <c r="C1128" s="19" t="str">
        <v>入库组</v>
      </c>
      <c r="D1128" s="21" t="n">
        <v>46114</v>
      </c>
      <c r="E1128" s="19" t="str">
        <v>2026-04</v>
      </c>
      <c r="F1128" s="19" t="str">
        <v>操作员</v>
      </c>
      <c r="G1128" s="19" t="str">
        <v>英国区07:00-15:30 / UK 07:00-15:30</v>
      </c>
      <c r="H1128" s="23" t="n">
        <v>10</v>
      </c>
      <c r="I1128" s="23" t="n">
        <v>0</v>
      </c>
      <c r="J1128" s="23" t="n">
        <f>H1128+I1128</f>
        <v>10</v>
      </c>
      <c r="K1128" s="23" t="n">
        <v>10</v>
      </c>
      <c r="L1128" s="23" t="n">
        <v>10</v>
      </c>
      <c r="M1128" s="23" t="n">
        <f>MIN(K1128,J1128)</f>
        <v>10</v>
      </c>
      <c r="N1128" s="23" t="n">
        <f>MIN(L1128,J1128)</f>
        <v>10</v>
      </c>
      <c r="O1128" s="25" t="n">
        <f>IF(K1128=0,0,MIN(1,J1128/K1128))</f>
        <v>1</v>
      </c>
      <c r="P1128" s="23" t="n">
        <f>IF(J1128&gt;0,MAX(K1128-J1128,0),0)</f>
        <v>0</v>
      </c>
      <c r="Q1128" s="23" t="n">
        <f>IF(J1128=0,K1128,0)</f>
        <v>0</v>
      </c>
      <c r="R1128" s="23" t="n">
        <f>MAX(J1128-K1128,0)</f>
        <v>0</v>
      </c>
      <c r="S1128" s="23" t="n">
        <f>IF(J1128&gt;0,MAX(L1128-J1128,0),L1128)</f>
        <v>0</v>
      </c>
    </row>
    <row r="1129">
      <c r="A1129" s="19" t="str">
        <v>英国区</v>
      </c>
      <c r="B1129" s="19" t="str">
        <v>伯明翰2号仓</v>
      </c>
      <c r="C1129" s="19" t="str">
        <v>入库组</v>
      </c>
      <c r="D1129" s="21" t="n">
        <v>46120</v>
      </c>
      <c r="E1129" s="19" t="str">
        <v>2026-04</v>
      </c>
      <c r="F1129" s="19" t="str">
        <v>操作员</v>
      </c>
      <c r="G1129" s="19" t="str">
        <v>英国区07:00-15:30 / UK 07:00-15:30</v>
      </c>
      <c r="H1129" s="23" t="n">
        <v>5</v>
      </c>
      <c r="I1129" s="23" t="n">
        <v>0</v>
      </c>
      <c r="J1129" s="23" t="n">
        <f>H1129+I1129</f>
        <v>5</v>
      </c>
      <c r="K1129" s="23" t="n">
        <v>5</v>
      </c>
      <c r="L1129" s="23" t="n">
        <v>5</v>
      </c>
      <c r="M1129" s="23" t="n">
        <f>MIN(K1129,J1129)</f>
        <v>5</v>
      </c>
      <c r="N1129" s="23" t="n">
        <f>MIN(L1129,J1129)</f>
        <v>5</v>
      </c>
      <c r="O1129" s="25" t="n">
        <f>IF(K1129=0,0,MIN(1,J1129/K1129))</f>
        <v>1</v>
      </c>
      <c r="P1129" s="23" t="n">
        <f>IF(J1129&gt;0,MAX(K1129-J1129,0),0)</f>
        <v>0</v>
      </c>
      <c r="Q1129" s="23" t="n">
        <f>IF(J1129=0,K1129,0)</f>
        <v>0</v>
      </c>
      <c r="R1129" s="23" t="n">
        <f>MAX(J1129-K1129,0)</f>
        <v>0</v>
      </c>
      <c r="S1129" s="23" t="n">
        <f>IF(J1129&gt;0,MAX(L1129-J1129,0),L1129)</f>
        <v>0</v>
      </c>
    </row>
    <row r="1130">
      <c r="A1130" s="19" t="str">
        <v>英国区</v>
      </c>
      <c r="B1130" s="19" t="str">
        <v>伯明翰2号仓</v>
      </c>
      <c r="C1130" s="19" t="str">
        <v>入库组</v>
      </c>
      <c r="D1130" s="21" t="n">
        <v>46120</v>
      </c>
      <c r="E1130" s="19" t="str">
        <v>2026-04</v>
      </c>
      <c r="F1130" s="19" t="str">
        <v>操作员</v>
      </c>
      <c r="G1130" s="19" t="str">
        <v>英国区11:00-19:30 / UK 11:00-19:30</v>
      </c>
      <c r="H1130" s="23" t="n">
        <v>10</v>
      </c>
      <c r="I1130" s="23" t="n">
        <v>0</v>
      </c>
      <c r="J1130" s="23" t="n">
        <f>H1130+I1130</f>
        <v>10</v>
      </c>
      <c r="K1130" s="23" t="n">
        <v>10</v>
      </c>
      <c r="L1130" s="23" t="n">
        <v>10</v>
      </c>
      <c r="M1130" s="23" t="n">
        <f>MIN(K1130,J1130)</f>
        <v>10</v>
      </c>
      <c r="N1130" s="23" t="n">
        <f>MIN(L1130,J1130)</f>
        <v>10</v>
      </c>
      <c r="O1130" s="25" t="n">
        <f>IF(K1130=0,0,MIN(1,J1130/K1130))</f>
        <v>1</v>
      </c>
      <c r="P1130" s="23" t="n">
        <f>IF(J1130&gt;0,MAX(K1130-J1130,0),0)</f>
        <v>0</v>
      </c>
      <c r="Q1130" s="23" t="n">
        <f>IF(J1130=0,K1130,0)</f>
        <v>0</v>
      </c>
      <c r="R1130" s="23" t="n">
        <f>MAX(J1130-K1130,0)</f>
        <v>0</v>
      </c>
      <c r="S1130" s="23" t="n">
        <f>IF(J1130&gt;0,MAX(L1130-J1130,0),L1130)</f>
        <v>0</v>
      </c>
    </row>
    <row r="1131">
      <c r="A1131" s="19" t="str">
        <v>英国区</v>
      </c>
      <c r="B1131" s="19" t="str">
        <v>伯明翰2号仓</v>
      </c>
      <c r="C1131" s="19" t="str">
        <v>入库组</v>
      </c>
      <c r="D1131" s="21" t="n">
        <v>46122</v>
      </c>
      <c r="E1131" s="19" t="str">
        <v>2026-04</v>
      </c>
      <c r="F1131" s="19" t="str">
        <v>操作员</v>
      </c>
      <c r="G1131" s="19" t="str">
        <v>英国区07:00-15:30 / UK 07:00-15:30</v>
      </c>
      <c r="H1131" s="23" t="n">
        <v>10</v>
      </c>
      <c r="I1131" s="23" t="n">
        <v>0</v>
      </c>
      <c r="J1131" s="23" t="n">
        <f>H1131+I1131</f>
        <v>10</v>
      </c>
      <c r="K1131" s="23" t="n">
        <v>10</v>
      </c>
      <c r="L1131" s="23" t="n">
        <v>6</v>
      </c>
      <c r="M1131" s="23" t="n">
        <f>MIN(K1131,J1131)</f>
        <v>10</v>
      </c>
      <c r="N1131" s="23" t="n">
        <f>MIN(L1131,J1131)</f>
        <v>6</v>
      </c>
      <c r="O1131" s="25" t="n">
        <f>IF(K1131=0,0,MIN(1,J1131/K1131))</f>
        <v>1</v>
      </c>
      <c r="P1131" s="23" t="n">
        <f>IF(J1131&gt;0,MAX(K1131-J1131,0),0)</f>
        <v>0</v>
      </c>
      <c r="Q1131" s="23" t="n">
        <f>IF(J1131=0,K1131,0)</f>
        <v>0</v>
      </c>
      <c r="R1131" s="23" t="n">
        <f>MAX(J1131-K1131,0)</f>
        <v>0</v>
      </c>
      <c r="S1131" s="23" t="n">
        <f>IF(J1131&gt;0,MAX(L1131-J1131,0),L1131)</f>
        <v>0</v>
      </c>
    </row>
    <row r="1132">
      <c r="A1132" s="19" t="str">
        <v>英国区</v>
      </c>
      <c r="B1132" s="19" t="str">
        <v>伯明翰2号仓</v>
      </c>
      <c r="C1132" s="19" t="str">
        <v>入库组</v>
      </c>
      <c r="D1132" s="21" t="n">
        <v>46122</v>
      </c>
      <c r="E1132" s="19" t="str">
        <v>2026-04</v>
      </c>
      <c r="F1132" s="19" t="str">
        <v>操作员</v>
      </c>
      <c r="G1132" s="19" t="str">
        <v>英国区09:00-17:30 / UK 09:00-17:30</v>
      </c>
      <c r="H1132" s="23" t="n">
        <v>20</v>
      </c>
      <c r="I1132" s="23" t="n">
        <v>0</v>
      </c>
      <c r="J1132" s="23" t="n">
        <f>H1132+I1132</f>
        <v>20</v>
      </c>
      <c r="K1132" s="23" t="n">
        <v>20</v>
      </c>
      <c r="L1132" s="23" t="n">
        <v>14</v>
      </c>
      <c r="M1132" s="23" t="n">
        <f>MIN(K1132,J1132)</f>
        <v>20</v>
      </c>
      <c r="N1132" s="23" t="n">
        <f>MIN(L1132,J1132)</f>
        <v>14</v>
      </c>
      <c r="O1132" s="25" t="n">
        <f>IF(K1132=0,0,MIN(1,J1132/K1132))</f>
        <v>1</v>
      </c>
      <c r="P1132" s="23" t="n">
        <f>IF(J1132&gt;0,MAX(K1132-J1132,0),0)</f>
        <v>0</v>
      </c>
      <c r="Q1132" s="23" t="n">
        <f>IF(J1132=0,K1132,0)</f>
        <v>0</v>
      </c>
      <c r="R1132" s="23" t="n">
        <f>MAX(J1132-K1132,0)</f>
        <v>0</v>
      </c>
      <c r="S1132" s="23" t="n">
        <f>IF(J1132&gt;0,MAX(L1132-J1132,0),L1132)</f>
        <v>0</v>
      </c>
    </row>
    <row r="1133">
      <c r="A1133" s="19" t="str">
        <v>英国区</v>
      </c>
      <c r="B1133" s="19" t="str">
        <v>伯明翰2号仓</v>
      </c>
      <c r="C1133" s="19" t="str">
        <v>入库组</v>
      </c>
      <c r="D1133" s="21" t="n">
        <v>46125</v>
      </c>
      <c r="E1133" s="19" t="str">
        <v>2026-04</v>
      </c>
      <c r="F1133" s="19" t="str">
        <v>操作员</v>
      </c>
      <c r="G1133" s="19" t="str">
        <v>英国区07:00-15:30 / UK 07:00-15:30</v>
      </c>
      <c r="H1133" s="23" t="n">
        <v>5</v>
      </c>
      <c r="I1133" s="23" t="n">
        <v>0</v>
      </c>
      <c r="J1133" s="23" t="n">
        <f>H1133+I1133</f>
        <v>5</v>
      </c>
      <c r="K1133" s="23" t="n">
        <v>5</v>
      </c>
      <c r="L1133" s="23" t="n">
        <v>5</v>
      </c>
      <c r="M1133" s="23" t="n">
        <f>MIN(K1133,J1133)</f>
        <v>5</v>
      </c>
      <c r="N1133" s="23" t="n">
        <f>MIN(L1133,J1133)</f>
        <v>5</v>
      </c>
      <c r="O1133" s="25" t="n">
        <f>IF(K1133=0,0,MIN(1,J1133/K1133))</f>
        <v>1</v>
      </c>
      <c r="P1133" s="23" t="n">
        <f>IF(J1133&gt;0,MAX(K1133-J1133,0),0)</f>
        <v>0</v>
      </c>
      <c r="Q1133" s="23" t="n">
        <f>IF(J1133=0,K1133,0)</f>
        <v>0</v>
      </c>
      <c r="R1133" s="23" t="n">
        <f>MAX(J1133-K1133,0)</f>
        <v>0</v>
      </c>
      <c r="S1133" s="23" t="n">
        <f>IF(J1133&gt;0,MAX(L1133-J1133,0),L1133)</f>
        <v>0</v>
      </c>
    </row>
    <row r="1134">
      <c r="A1134" s="19" t="str">
        <v>英国区</v>
      </c>
      <c r="B1134" s="19" t="str">
        <v>伯明翰2号仓</v>
      </c>
      <c r="C1134" s="19" t="str">
        <v>入库组</v>
      </c>
      <c r="D1134" s="21" t="n">
        <v>46126</v>
      </c>
      <c r="E1134" s="19" t="str">
        <v>2026-04</v>
      </c>
      <c r="F1134" s="19" t="str">
        <v>操作员</v>
      </c>
      <c r="G1134" s="19" t="str">
        <v>英国区09:00-17:30 / UK 09:00-17:30</v>
      </c>
      <c r="H1134" s="23" t="n">
        <v>3</v>
      </c>
      <c r="I1134" s="23" t="n">
        <v>0</v>
      </c>
      <c r="J1134" s="23" t="n">
        <f>H1134+I1134</f>
        <v>3</v>
      </c>
      <c r="K1134" s="23" t="n">
        <v>3</v>
      </c>
      <c r="L1134" s="23" t="n">
        <v>3</v>
      </c>
      <c r="M1134" s="23" t="n">
        <f>MIN(K1134,J1134)</f>
        <v>3</v>
      </c>
      <c r="N1134" s="23" t="n">
        <f>MIN(L1134,J1134)</f>
        <v>3</v>
      </c>
      <c r="O1134" s="25" t="n">
        <f>IF(K1134=0,0,MIN(1,J1134/K1134))</f>
        <v>1</v>
      </c>
      <c r="P1134" s="23" t="n">
        <f>IF(J1134&gt;0,MAX(K1134-J1134,0),0)</f>
        <v>0</v>
      </c>
      <c r="Q1134" s="23" t="n">
        <f>IF(J1134=0,K1134,0)</f>
        <v>0</v>
      </c>
      <c r="R1134" s="23" t="n">
        <f>MAX(J1134-K1134,0)</f>
        <v>0</v>
      </c>
      <c r="S1134" s="23" t="n">
        <f>IF(J1134&gt;0,MAX(L1134-J1134,0),L1134)</f>
        <v>0</v>
      </c>
    </row>
    <row r="1135">
      <c r="A1135" s="19" t="str">
        <v>英国区</v>
      </c>
      <c r="B1135" s="19" t="str">
        <v>伯明翰2号仓</v>
      </c>
      <c r="C1135" s="19" t="str">
        <v>入库组</v>
      </c>
      <c r="D1135" s="21" t="n">
        <v>46143</v>
      </c>
      <c r="E1135" s="19" t="str">
        <v>2026-05</v>
      </c>
      <c r="F1135" s="19" t="str">
        <v>操作员</v>
      </c>
      <c r="G1135" s="19" t="str">
        <v>英国区07:00-15:30 / UK 07:00-15:30</v>
      </c>
      <c r="H1135" s="23" t="n">
        <v>6</v>
      </c>
      <c r="I1135" s="23" t="n">
        <v>0</v>
      </c>
      <c r="J1135" s="23" t="n">
        <f>H1135+I1135</f>
        <v>6</v>
      </c>
      <c r="K1135" s="23" t="n">
        <v>6</v>
      </c>
      <c r="L1135" s="23" t="n">
        <v>6</v>
      </c>
      <c r="M1135" s="23" t="n">
        <f>MIN(K1135,J1135)</f>
        <v>6</v>
      </c>
      <c r="N1135" s="23" t="n">
        <f>MIN(L1135,J1135)</f>
        <v>6</v>
      </c>
      <c r="O1135" s="25" t="n">
        <f>IF(K1135=0,0,MIN(1,J1135/K1135))</f>
        <v>1</v>
      </c>
      <c r="P1135" s="23" t="n">
        <f>IF(J1135&gt;0,MAX(K1135-J1135,0),0)</f>
        <v>0</v>
      </c>
      <c r="Q1135" s="23" t="n">
        <f>IF(J1135=0,K1135,0)</f>
        <v>0</v>
      </c>
      <c r="R1135" s="23" t="n">
        <f>MAX(J1135-K1135,0)</f>
        <v>0</v>
      </c>
      <c r="S1135" s="23" t="n">
        <f>IF(J1135&gt;0,MAX(L1135-J1135,0),L1135)</f>
        <v>0</v>
      </c>
    </row>
    <row r="1136">
      <c r="A1136" s="19" t="str">
        <v>英国区</v>
      </c>
      <c r="B1136" s="19" t="str">
        <v>伯明翰2号仓</v>
      </c>
      <c r="C1136" s="19" t="str">
        <v>入库组</v>
      </c>
      <c r="D1136" s="21" t="n">
        <v>46156</v>
      </c>
      <c r="E1136" s="19" t="str">
        <v>2026-05</v>
      </c>
      <c r="F1136" s="19" t="str">
        <v>操作员</v>
      </c>
      <c r="G1136" s="19" t="str">
        <v>英国区07:00-15:30 / UK 07:00-15:30</v>
      </c>
      <c r="H1136" s="23" t="n">
        <v>1</v>
      </c>
      <c r="I1136" s="23" t="n">
        <v>0</v>
      </c>
      <c r="J1136" s="23" t="n">
        <f>H1136+I1136</f>
        <v>1</v>
      </c>
      <c r="K1136" s="23" t="n">
        <v>1</v>
      </c>
      <c r="L1136" s="23" t="n">
        <v>1</v>
      </c>
      <c r="M1136" s="23" t="n">
        <f>MIN(K1136,J1136)</f>
        <v>1</v>
      </c>
      <c r="N1136" s="23" t="n">
        <f>MIN(L1136,J1136)</f>
        <v>1</v>
      </c>
      <c r="O1136" s="25" t="n">
        <f>IF(K1136=0,0,MIN(1,J1136/K1136))</f>
        <v>1</v>
      </c>
      <c r="P1136" s="23" t="n">
        <f>IF(J1136&gt;0,MAX(K1136-J1136,0),0)</f>
        <v>0</v>
      </c>
      <c r="Q1136" s="23" t="n">
        <f>IF(J1136=0,K1136,0)</f>
        <v>0</v>
      </c>
      <c r="R1136" s="23" t="n">
        <f>MAX(J1136-K1136,0)</f>
        <v>0</v>
      </c>
      <c r="S1136" s="23" t="n">
        <f>IF(J1136&gt;0,MAX(L1136-J1136,0),L1136)</f>
        <v>0</v>
      </c>
    </row>
    <row r="1137">
      <c r="A1137" s="19" t="str">
        <v>英国区</v>
      </c>
      <c r="B1137" s="19" t="str">
        <v>伯明翰2号仓</v>
      </c>
      <c r="C1137" s="19" t="str">
        <v>入库组</v>
      </c>
      <c r="D1137" s="21" t="n">
        <v>46156</v>
      </c>
      <c r="E1137" s="19" t="str">
        <v>2026-05</v>
      </c>
      <c r="F1137" s="19" t="str">
        <v>操作员</v>
      </c>
      <c r="G1137" s="19" t="str">
        <v>英国区09:00-17:30 / UK 09:00-17:30</v>
      </c>
      <c r="H1137" s="23" t="n">
        <v>10</v>
      </c>
      <c r="I1137" s="23" t="n">
        <v>0</v>
      </c>
      <c r="J1137" s="23" t="n">
        <f>H1137+I1137</f>
        <v>10</v>
      </c>
      <c r="K1137" s="23" t="n">
        <v>10</v>
      </c>
      <c r="L1137" s="23" t="n">
        <v>10</v>
      </c>
      <c r="M1137" s="23" t="n">
        <f>MIN(K1137,J1137)</f>
        <v>10</v>
      </c>
      <c r="N1137" s="23" t="n">
        <f>MIN(L1137,J1137)</f>
        <v>10</v>
      </c>
      <c r="O1137" s="25" t="n">
        <f>IF(K1137=0,0,MIN(1,J1137/K1137))</f>
        <v>1</v>
      </c>
      <c r="P1137" s="23" t="n">
        <f>IF(J1137&gt;0,MAX(K1137-J1137,0),0)</f>
        <v>0</v>
      </c>
      <c r="Q1137" s="23" t="n">
        <f>IF(J1137=0,K1137,0)</f>
        <v>0</v>
      </c>
      <c r="R1137" s="23" t="n">
        <f>MAX(J1137-K1137,0)</f>
        <v>0</v>
      </c>
      <c r="S1137" s="23" t="n">
        <f>IF(J1137&gt;0,MAX(L1137-J1137,0),L1137)</f>
        <v>0</v>
      </c>
    </row>
    <row r="1138">
      <c r="A1138" s="19" t="str">
        <v>英国区</v>
      </c>
      <c r="B1138" s="19" t="str">
        <v>伯明翰2号仓</v>
      </c>
      <c r="C1138" s="19" t="str">
        <v>入库组</v>
      </c>
      <c r="D1138" s="21" t="n">
        <v>46157</v>
      </c>
      <c r="E1138" s="19" t="str">
        <v>2026-05</v>
      </c>
      <c r="F1138" s="19" t="str">
        <v>操作员</v>
      </c>
      <c r="G1138" s="19" t="str">
        <v>英国区09:00-17:30 / UK 09:00-17:30</v>
      </c>
      <c r="H1138" s="23" t="n">
        <v>3</v>
      </c>
      <c r="I1138" s="23" t="n">
        <v>0</v>
      </c>
      <c r="J1138" s="23" t="n">
        <f>H1138+I1138</f>
        <v>3</v>
      </c>
      <c r="K1138" s="23" t="n">
        <v>3</v>
      </c>
      <c r="L1138" s="23" t="n">
        <v>0</v>
      </c>
      <c r="M1138" s="23" t="n">
        <f>MIN(K1138,J1138)</f>
        <v>3</v>
      </c>
      <c r="N1138" s="23" t="n">
        <f>MIN(L1138,J1138)</f>
        <v>0</v>
      </c>
      <c r="O1138" s="25" t="n">
        <f>IF(K1138=0,0,MIN(1,J1138/K1138))</f>
        <v>1</v>
      </c>
      <c r="P1138" s="23" t="n">
        <f>IF(J1138&gt;0,MAX(K1138-J1138,0),0)</f>
        <v>0</v>
      </c>
      <c r="Q1138" s="23" t="n">
        <f>IF(J1138=0,K1138,0)</f>
        <v>0</v>
      </c>
      <c r="R1138" s="23" t="n">
        <f>MAX(J1138-K1138,0)</f>
        <v>0</v>
      </c>
      <c r="S1138" s="23" t="n">
        <f>IF(J1138&gt;0,MAX(L1138-J1138,0),L1138)</f>
        <v>0</v>
      </c>
    </row>
    <row r="1139">
      <c r="A1139" s="19" t="str">
        <v>英国区</v>
      </c>
      <c r="B1139" s="19" t="str">
        <v>伯明翰2号仓</v>
      </c>
      <c r="C1139" s="19" t="str">
        <v>入库组</v>
      </c>
      <c r="D1139" s="21" t="n">
        <v>46161</v>
      </c>
      <c r="E1139" s="19" t="str">
        <v>2026-05</v>
      </c>
      <c r="F1139" s="19" t="str">
        <v>操作员</v>
      </c>
      <c r="G1139" s="19" t="str">
        <v>英国区09:00-17:30 / UK 09:00-17:30</v>
      </c>
      <c r="H1139" s="23" t="n">
        <v>5</v>
      </c>
      <c r="I1139" s="23" t="n">
        <v>0</v>
      </c>
      <c r="J1139" s="23" t="n">
        <f>H1139+I1139</f>
        <v>5</v>
      </c>
      <c r="K1139" s="23" t="n">
        <v>5</v>
      </c>
      <c r="L1139" s="23" t="n">
        <v>5</v>
      </c>
      <c r="M1139" s="23" t="n">
        <f>MIN(K1139,J1139)</f>
        <v>5</v>
      </c>
      <c r="N1139" s="23" t="n">
        <f>MIN(L1139,J1139)</f>
        <v>5</v>
      </c>
      <c r="O1139" s="25" t="n">
        <f>IF(K1139=0,0,MIN(1,J1139/K1139))</f>
        <v>1</v>
      </c>
      <c r="P1139" s="23" t="n">
        <f>IF(J1139&gt;0,MAX(K1139-J1139,0),0)</f>
        <v>0</v>
      </c>
      <c r="Q1139" s="23" t="n">
        <f>IF(J1139=0,K1139,0)</f>
        <v>0</v>
      </c>
      <c r="R1139" s="23" t="n">
        <f>MAX(J1139-K1139,0)</f>
        <v>0</v>
      </c>
      <c r="S1139" s="23" t="n">
        <f>IF(J1139&gt;0,MAX(L1139-J1139,0),L1139)</f>
        <v>0</v>
      </c>
    </row>
    <row r="1140">
      <c r="A1140" s="19" t="str">
        <v>英国区</v>
      </c>
      <c r="B1140" s="19" t="str">
        <v>伯明翰2号仓</v>
      </c>
      <c r="C1140" s="19" t="str">
        <v>入库组</v>
      </c>
      <c r="D1140" s="21" t="n">
        <v>46162</v>
      </c>
      <c r="E1140" s="19" t="str">
        <v>2026-05</v>
      </c>
      <c r="F1140" s="19" t="str">
        <v>操作员</v>
      </c>
      <c r="G1140" s="19" t="str">
        <v>英国区07:00-15:30 / UK 07:00-15:30</v>
      </c>
      <c r="H1140" s="23" t="n">
        <v>1</v>
      </c>
      <c r="I1140" s="23" t="n">
        <v>0</v>
      </c>
      <c r="J1140" s="23" t="n">
        <f>H1140+I1140</f>
        <v>1</v>
      </c>
      <c r="K1140" s="23" t="n">
        <v>1</v>
      </c>
      <c r="L1140" s="23" t="n">
        <v>1</v>
      </c>
      <c r="M1140" s="23" t="n">
        <f>MIN(K1140,J1140)</f>
        <v>1</v>
      </c>
      <c r="N1140" s="23" t="n">
        <f>MIN(L1140,J1140)</f>
        <v>1</v>
      </c>
      <c r="O1140" s="25" t="n">
        <f>IF(K1140=0,0,MIN(1,J1140/K1140))</f>
        <v>1</v>
      </c>
      <c r="P1140" s="23" t="n">
        <f>IF(J1140&gt;0,MAX(K1140-J1140,0),0)</f>
        <v>0</v>
      </c>
      <c r="Q1140" s="23" t="n">
        <f>IF(J1140=0,K1140,0)</f>
        <v>0</v>
      </c>
      <c r="R1140" s="23" t="n">
        <f>MAX(J1140-K1140,0)</f>
        <v>0</v>
      </c>
      <c r="S1140" s="23" t="n">
        <f>IF(J1140&gt;0,MAX(L1140-J1140,0),L1140)</f>
        <v>0</v>
      </c>
    </row>
    <row r="1141">
      <c r="A1141" s="19" t="str">
        <v>英国区</v>
      </c>
      <c r="B1141" s="19" t="str">
        <v>伯明翰2号仓</v>
      </c>
      <c r="C1141" s="19" t="str">
        <v>入库组</v>
      </c>
      <c r="D1141" s="21" t="n">
        <v>46163</v>
      </c>
      <c r="E1141" s="19" t="str">
        <v>2026-05</v>
      </c>
      <c r="F1141" s="19" t="str">
        <v>操作员</v>
      </c>
      <c r="G1141" s="19" t="str">
        <v>英国区11:00-19:30 / UK 11:00-19:30</v>
      </c>
      <c r="H1141" s="23" t="n">
        <v>5</v>
      </c>
      <c r="I1141" s="23" t="n">
        <v>0</v>
      </c>
      <c r="J1141" s="23" t="n">
        <f>H1141+I1141</f>
        <v>5</v>
      </c>
      <c r="K1141" s="23" t="n">
        <v>5</v>
      </c>
      <c r="L1141" s="23" t="n">
        <v>5</v>
      </c>
      <c r="M1141" s="23" t="n">
        <f>MIN(K1141,J1141)</f>
        <v>5</v>
      </c>
      <c r="N1141" s="23" t="n">
        <f>MIN(L1141,J1141)</f>
        <v>5</v>
      </c>
      <c r="O1141" s="25" t="n">
        <f>IF(K1141=0,0,MIN(1,J1141/K1141))</f>
        <v>1</v>
      </c>
      <c r="P1141" s="23" t="n">
        <f>IF(J1141&gt;0,MAX(K1141-J1141,0),0)</f>
        <v>0</v>
      </c>
      <c r="Q1141" s="23" t="n">
        <f>IF(J1141=0,K1141,0)</f>
        <v>0</v>
      </c>
      <c r="R1141" s="23" t="n">
        <f>MAX(J1141-K1141,0)</f>
        <v>0</v>
      </c>
      <c r="S1141" s="23" t="n">
        <f>IF(J1141&gt;0,MAX(L1141-J1141,0),L1141)</f>
        <v>0</v>
      </c>
    </row>
    <row r="1142">
      <c r="A1142" s="19" t="str">
        <v>英国区</v>
      </c>
      <c r="B1142" s="19" t="str">
        <v>伯明翰2号仓</v>
      </c>
      <c r="C1142" s="19" t="str">
        <v>入库组</v>
      </c>
      <c r="D1142" s="21" t="n">
        <v>46164</v>
      </c>
      <c r="E1142" s="19" t="str">
        <v>2026-05</v>
      </c>
      <c r="F1142" s="19" t="str">
        <v>操作员</v>
      </c>
      <c r="G1142" s="19" t="str">
        <v>英国区09:00-17:30 / UK 09:00-17:30</v>
      </c>
      <c r="H1142" s="23" t="n">
        <v>5</v>
      </c>
      <c r="I1142" s="23" t="n">
        <v>0</v>
      </c>
      <c r="J1142" s="23" t="n">
        <f>H1142+I1142</f>
        <v>5</v>
      </c>
      <c r="K1142" s="23" t="n">
        <v>5</v>
      </c>
      <c r="L1142" s="23" t="n">
        <v>4</v>
      </c>
      <c r="M1142" s="23" t="n">
        <f>MIN(K1142,J1142)</f>
        <v>5</v>
      </c>
      <c r="N1142" s="23" t="n">
        <f>MIN(L1142,J1142)</f>
        <v>4</v>
      </c>
      <c r="O1142" s="25" t="n">
        <f>IF(K1142=0,0,MIN(1,J1142/K1142))</f>
        <v>1</v>
      </c>
      <c r="P1142" s="23" t="n">
        <f>IF(J1142&gt;0,MAX(K1142-J1142,0),0)</f>
        <v>0</v>
      </c>
      <c r="Q1142" s="23" t="n">
        <f>IF(J1142=0,K1142,0)</f>
        <v>0</v>
      </c>
      <c r="R1142" s="23" t="n">
        <f>MAX(J1142-K1142,0)</f>
        <v>0</v>
      </c>
      <c r="S1142" s="23" t="n">
        <f>IF(J1142&gt;0,MAX(L1142-J1142,0),L1142)</f>
        <v>0</v>
      </c>
    </row>
    <row r="1143">
      <c r="A1143" s="19" t="str">
        <v>英国区</v>
      </c>
      <c r="B1143" s="19" t="str">
        <v>伯明翰2号仓</v>
      </c>
      <c r="C1143" s="19" t="str">
        <v>入库组</v>
      </c>
      <c r="D1143" s="21" t="n">
        <v>46164</v>
      </c>
      <c r="E1143" s="19" t="str">
        <v>2026-05</v>
      </c>
      <c r="F1143" s="19" t="str">
        <v>操作员</v>
      </c>
      <c r="G1143" s="19" t="str">
        <v>英国区11:00-19:30 / UK 11:00-19:30</v>
      </c>
      <c r="H1143" s="23" t="n">
        <v>2</v>
      </c>
      <c r="I1143" s="23" t="n">
        <v>0</v>
      </c>
      <c r="J1143" s="23" t="n">
        <f>H1143+I1143</f>
        <v>2</v>
      </c>
      <c r="K1143" s="23" t="n">
        <v>2</v>
      </c>
      <c r="L1143" s="23" t="n">
        <v>2</v>
      </c>
      <c r="M1143" s="23" t="n">
        <f>MIN(K1143,J1143)</f>
        <v>2</v>
      </c>
      <c r="N1143" s="23" t="n">
        <f>MIN(L1143,J1143)</f>
        <v>2</v>
      </c>
      <c r="O1143" s="25" t="n">
        <f>IF(K1143=0,0,MIN(1,J1143/K1143))</f>
        <v>1</v>
      </c>
      <c r="P1143" s="23" t="n">
        <f>IF(J1143&gt;0,MAX(K1143-J1143,0),0)</f>
        <v>0</v>
      </c>
      <c r="Q1143" s="23" t="n">
        <f>IF(J1143=0,K1143,0)</f>
        <v>0</v>
      </c>
      <c r="R1143" s="23" t="n">
        <f>MAX(J1143-K1143,0)</f>
        <v>0</v>
      </c>
      <c r="S1143" s="23" t="n">
        <f>IF(J1143&gt;0,MAX(L1143-J1143,0),L1143)</f>
        <v>0</v>
      </c>
    </row>
    <row r="1144">
      <c r="A1144" s="19" t="str">
        <v>英国区</v>
      </c>
      <c r="B1144" s="19" t="str">
        <v>伯明翰2号仓</v>
      </c>
      <c r="C1144" s="19" t="str">
        <v>入库组</v>
      </c>
      <c r="D1144" s="21" t="n">
        <v>46165</v>
      </c>
      <c r="E1144" s="19" t="str">
        <v>2026-05</v>
      </c>
      <c r="F1144" s="19" t="str">
        <v>操作员</v>
      </c>
      <c r="G1144" s="19" t="str">
        <v>英国区07:00-15:30 / UK 07:00-15:30</v>
      </c>
      <c r="H1144" s="23" t="n">
        <v>15</v>
      </c>
      <c r="I1144" s="23" t="n">
        <v>0</v>
      </c>
      <c r="J1144" s="23" t="n">
        <f>H1144+I1144</f>
        <v>15</v>
      </c>
      <c r="K1144" s="23" t="n">
        <v>10</v>
      </c>
      <c r="L1144" s="23" t="n">
        <v>2</v>
      </c>
      <c r="M1144" s="23" t="n">
        <f>MIN(K1144,J1144)</f>
        <v>10</v>
      </c>
      <c r="N1144" s="23" t="n">
        <f>MIN(L1144,J1144)</f>
        <v>2</v>
      </c>
      <c r="O1144" s="25" t="n">
        <f>IF(K1144=0,0,MIN(1,J1144/K1144))</f>
        <v>1</v>
      </c>
      <c r="P1144" s="23" t="n">
        <f>IF(J1144&gt;0,MAX(K1144-J1144,0),0)</f>
        <v>0</v>
      </c>
      <c r="Q1144" s="23" t="n">
        <f>IF(J1144=0,K1144,0)</f>
        <v>0</v>
      </c>
      <c r="R1144" s="23" t="n">
        <f>MAX(J1144-K1144,0)</f>
        <v>5</v>
      </c>
      <c r="S1144" s="23" t="n">
        <f>IF(J1144&gt;0,MAX(L1144-J1144,0),L1144)</f>
        <v>0</v>
      </c>
    </row>
    <row r="1145">
      <c r="A1145" s="19" t="str">
        <v>英国区</v>
      </c>
      <c r="B1145" s="19" t="str">
        <v>伯明翰2号仓</v>
      </c>
      <c r="C1145" s="19" t="str">
        <v>入库组</v>
      </c>
      <c r="D1145" s="21" t="n">
        <v>46168</v>
      </c>
      <c r="E1145" s="19" t="str">
        <v>2026-05</v>
      </c>
      <c r="F1145" s="19" t="str">
        <v>操作员</v>
      </c>
      <c r="G1145" s="19" t="str">
        <v>英国区07:00-15:30 / UK 07:00-15:30</v>
      </c>
      <c r="H1145" s="23" t="n">
        <v>10</v>
      </c>
      <c r="I1145" s="23" t="n">
        <v>0</v>
      </c>
      <c r="J1145" s="23" t="n">
        <f>H1145+I1145</f>
        <v>10</v>
      </c>
      <c r="K1145" s="23" t="n">
        <v>10</v>
      </c>
      <c r="L1145" s="23" t="n">
        <v>9</v>
      </c>
      <c r="M1145" s="23" t="n">
        <f>MIN(K1145,J1145)</f>
        <v>10</v>
      </c>
      <c r="N1145" s="23" t="n">
        <f>MIN(L1145,J1145)</f>
        <v>9</v>
      </c>
      <c r="O1145" s="25" t="n">
        <f>IF(K1145=0,0,MIN(1,J1145/K1145))</f>
        <v>1</v>
      </c>
      <c r="P1145" s="23" t="n">
        <f>IF(J1145&gt;0,MAX(K1145-J1145,0),0)</f>
        <v>0</v>
      </c>
      <c r="Q1145" s="23" t="n">
        <f>IF(J1145=0,K1145,0)</f>
        <v>0</v>
      </c>
      <c r="R1145" s="23" t="n">
        <f>MAX(J1145-K1145,0)</f>
        <v>0</v>
      </c>
      <c r="S1145" s="23" t="n">
        <f>IF(J1145&gt;0,MAX(L1145-J1145,0),L1145)</f>
        <v>0</v>
      </c>
    </row>
    <row r="1146">
      <c r="A1146" s="19" t="str">
        <v>英国区</v>
      </c>
      <c r="B1146" s="19" t="str">
        <v>伯明翰2号仓</v>
      </c>
      <c r="C1146" s="19" t="str">
        <v>入库组</v>
      </c>
      <c r="D1146" s="21" t="n">
        <v>46168</v>
      </c>
      <c r="E1146" s="19" t="str">
        <v>2026-05</v>
      </c>
      <c r="F1146" s="19" t="str">
        <v>操作员</v>
      </c>
      <c r="G1146" s="19" t="str">
        <v>英国区09:00-17:30 / UK 09:00-17:30</v>
      </c>
      <c r="H1146" s="23" t="n">
        <v>5</v>
      </c>
      <c r="I1146" s="23" t="n">
        <v>0</v>
      </c>
      <c r="J1146" s="23" t="n">
        <f>H1146+I1146</f>
        <v>5</v>
      </c>
      <c r="K1146" s="23" t="n">
        <v>5</v>
      </c>
      <c r="L1146" s="23" t="n">
        <v>0</v>
      </c>
      <c r="M1146" s="23" t="n">
        <f>MIN(K1146,J1146)</f>
        <v>5</v>
      </c>
      <c r="N1146" s="23" t="n">
        <f>MIN(L1146,J1146)</f>
        <v>0</v>
      </c>
      <c r="O1146" s="25" t="n">
        <f>IF(K1146=0,0,MIN(1,J1146/K1146))</f>
        <v>1</v>
      </c>
      <c r="P1146" s="23" t="n">
        <f>IF(J1146&gt;0,MAX(K1146-J1146,0),0)</f>
        <v>0</v>
      </c>
      <c r="Q1146" s="23" t="n">
        <f>IF(J1146=0,K1146,0)</f>
        <v>0</v>
      </c>
      <c r="R1146" s="23" t="n">
        <f>MAX(J1146-K1146,0)</f>
        <v>0</v>
      </c>
      <c r="S1146" s="23" t="n">
        <f>IF(J1146&gt;0,MAX(L1146-J1146,0),L1146)</f>
        <v>0</v>
      </c>
    </row>
    <row r="1147">
      <c r="A1147" s="19" t="str">
        <v>英国区</v>
      </c>
      <c r="B1147" s="19" t="str">
        <v>伯明翰2号仓</v>
      </c>
      <c r="C1147" s="19" t="str">
        <v>入库组</v>
      </c>
      <c r="D1147" s="21" t="n">
        <v>46186</v>
      </c>
      <c r="E1147" s="19" t="str">
        <v>2026-06</v>
      </c>
      <c r="F1147" s="19" t="str">
        <v>操作员</v>
      </c>
      <c r="G1147" s="19" t="str">
        <v>英国区07:00-15:30 / UK 07:00-15:30</v>
      </c>
      <c r="H1147" s="23" t="n">
        <v>5</v>
      </c>
      <c r="I1147" s="23" t="n">
        <v>0</v>
      </c>
      <c r="J1147" s="23" t="n">
        <f>H1147+I1147</f>
        <v>5</v>
      </c>
      <c r="K1147" s="23" t="n">
        <v>0</v>
      </c>
      <c r="L1147" s="23" t="n">
        <v>0</v>
      </c>
      <c r="M1147" s="23" t="n">
        <f>MIN(K1147,J1147)</f>
        <v>0</v>
      </c>
      <c r="N1147" s="23" t="n">
        <f>MIN(L1147,J1147)</f>
        <v>0</v>
      </c>
      <c r="O1147" s="25" t="n">
        <f>IF(K1147=0,0,MIN(1,J1147/K1147))</f>
        <v>0</v>
      </c>
      <c r="P1147" s="23" t="n">
        <f>IF(J1147&gt;0,MAX(K1147-J1147,0),0)</f>
        <v>0</v>
      </c>
      <c r="Q1147" s="23" t="n">
        <f>IF(J1147=0,K1147,0)</f>
        <v>0</v>
      </c>
      <c r="R1147" s="23" t="n">
        <f>MAX(J1147-K1147,0)</f>
        <v>5</v>
      </c>
      <c r="S1147" s="23" t="n">
        <f>IF(J1147&gt;0,MAX(L1147-J1147,0),L1147)</f>
        <v>0</v>
      </c>
    </row>
    <row r="1148">
      <c r="A1148" s="19" t="str">
        <v>英国区</v>
      </c>
      <c r="B1148" s="19" t="str">
        <v>伯明翰2号仓</v>
      </c>
      <c r="C1148" s="19" t="str">
        <v>入库组</v>
      </c>
      <c r="D1148" s="21" t="n">
        <v>46190</v>
      </c>
      <c r="E1148" s="19" t="str">
        <v>2026-06</v>
      </c>
      <c r="F1148" s="19" t="str">
        <v>操作员</v>
      </c>
      <c r="G1148" s="19" t="str">
        <v>英国区09:00-17:30 / UK 09:00-17:30</v>
      </c>
      <c r="H1148" s="23" t="n">
        <v>6</v>
      </c>
      <c r="I1148" s="23" t="n">
        <v>0</v>
      </c>
      <c r="J1148" s="23" t="n">
        <f>H1148+I1148</f>
        <v>6</v>
      </c>
      <c r="K1148" s="23" t="n">
        <v>6</v>
      </c>
      <c r="L1148" s="23" t="n">
        <v>5</v>
      </c>
      <c r="M1148" s="23" t="n">
        <f>MIN(K1148,J1148)</f>
        <v>6</v>
      </c>
      <c r="N1148" s="23" t="n">
        <f>MIN(L1148,J1148)</f>
        <v>5</v>
      </c>
      <c r="O1148" s="25" t="n">
        <f>IF(K1148=0,0,MIN(1,J1148/K1148))</f>
        <v>1</v>
      </c>
      <c r="P1148" s="23" t="n">
        <f>IF(J1148&gt;0,MAX(K1148-J1148,0),0)</f>
        <v>0</v>
      </c>
      <c r="Q1148" s="23" t="n">
        <f>IF(J1148=0,K1148,0)</f>
        <v>0</v>
      </c>
      <c r="R1148" s="23" t="n">
        <f>MAX(J1148-K1148,0)</f>
        <v>0</v>
      </c>
      <c r="S1148" s="23" t="n">
        <f>IF(J1148&gt;0,MAX(L1148-J1148,0),L1148)</f>
        <v>0</v>
      </c>
    </row>
    <row r="1149">
      <c r="A1149" s="19" t="str">
        <v>英国区</v>
      </c>
      <c r="B1149" s="19" t="str">
        <v>伯明翰2号仓</v>
      </c>
      <c r="C1149" s="19" t="str">
        <v>入库组</v>
      </c>
      <c r="D1149" s="21" t="n">
        <v>46192</v>
      </c>
      <c r="E1149" s="19" t="str">
        <v>2026-06</v>
      </c>
      <c r="F1149" s="19" t="str">
        <v>操作员</v>
      </c>
      <c r="G1149" s="19" t="str">
        <v>英国区07:00-15:30 / UK 07:00-15:30</v>
      </c>
      <c r="H1149" s="23" t="n">
        <v>5</v>
      </c>
      <c r="I1149" s="23" t="n">
        <v>0</v>
      </c>
      <c r="J1149" s="23" t="n">
        <f>H1149+I1149</f>
        <v>5</v>
      </c>
      <c r="K1149" s="23" t="n">
        <v>5</v>
      </c>
      <c r="L1149" s="23" t="n">
        <v>5</v>
      </c>
      <c r="M1149" s="23" t="n">
        <f>MIN(K1149,J1149)</f>
        <v>5</v>
      </c>
      <c r="N1149" s="23" t="n">
        <f>MIN(L1149,J1149)</f>
        <v>5</v>
      </c>
      <c r="O1149" s="25" t="n">
        <f>IF(K1149=0,0,MIN(1,J1149/K1149))</f>
        <v>1</v>
      </c>
      <c r="P1149" s="23" t="n">
        <f>IF(J1149&gt;0,MAX(K1149-J1149,0),0)</f>
        <v>0</v>
      </c>
      <c r="Q1149" s="23" t="n">
        <f>IF(J1149=0,K1149,0)</f>
        <v>0</v>
      </c>
      <c r="R1149" s="23" t="n">
        <f>MAX(J1149-K1149,0)</f>
        <v>0</v>
      </c>
      <c r="S1149" s="23" t="n">
        <f>IF(J1149&gt;0,MAX(L1149-J1149,0),L1149)</f>
        <v>0</v>
      </c>
    </row>
    <row r="1150">
      <c r="A1150" s="19" t="str">
        <v>英国区</v>
      </c>
      <c r="B1150" s="19" t="str">
        <v>伯明翰2号仓</v>
      </c>
      <c r="C1150" s="19" t="str">
        <v>入库组</v>
      </c>
      <c r="D1150" s="21" t="n">
        <v>46199</v>
      </c>
      <c r="E1150" s="19" t="str">
        <v>2026-06</v>
      </c>
      <c r="F1150" s="19" t="str">
        <v>操作员</v>
      </c>
      <c r="G1150" s="19" t="str">
        <v>英国区07:00-15:30 / UK 07:00-15:30</v>
      </c>
      <c r="H1150" s="23" t="n">
        <v>8</v>
      </c>
      <c r="I1150" s="23" t="n">
        <v>0</v>
      </c>
      <c r="J1150" s="23" t="n">
        <f>H1150+I1150</f>
        <v>8</v>
      </c>
      <c r="K1150" s="23" t="n">
        <v>8</v>
      </c>
      <c r="L1150" s="23" t="n">
        <v>5</v>
      </c>
      <c r="M1150" s="23" t="n">
        <f>MIN(K1150,J1150)</f>
        <v>8</v>
      </c>
      <c r="N1150" s="23" t="n">
        <f>MIN(L1150,J1150)</f>
        <v>5</v>
      </c>
      <c r="O1150" s="25" t="n">
        <f>IF(K1150=0,0,MIN(1,J1150/K1150))</f>
        <v>1</v>
      </c>
      <c r="P1150" s="23" t="n">
        <f>IF(J1150&gt;0,MAX(K1150-J1150,0),0)</f>
        <v>0</v>
      </c>
      <c r="Q1150" s="23" t="n">
        <f>IF(J1150=0,K1150,0)</f>
        <v>0</v>
      </c>
      <c r="R1150" s="23" t="n">
        <f>MAX(J1150-K1150,0)</f>
        <v>0</v>
      </c>
      <c r="S1150" s="23" t="n">
        <f>IF(J1150&gt;0,MAX(L1150-J1150,0),L1150)</f>
        <v>0</v>
      </c>
    </row>
    <row r="1151">
      <c r="A1151" s="19" t="str">
        <v>英国区</v>
      </c>
      <c r="B1151" s="19" t="str">
        <v>伯明翰2号仓</v>
      </c>
      <c r="C1151" s="19" t="str">
        <v>包装组</v>
      </c>
      <c r="D1151" s="21" t="n">
        <v>46201</v>
      </c>
      <c r="E1151" s="19" t="str">
        <v>2026-06</v>
      </c>
      <c r="F1151" s="19" t="str">
        <v>操作员</v>
      </c>
      <c r="G1151" s="19" t="str">
        <v>英国区09:00-17:30 / UK 09:00-17:30</v>
      </c>
      <c r="H1151" s="23" t="n">
        <v>6</v>
      </c>
      <c r="I1151" s="23" t="n">
        <v>0</v>
      </c>
      <c r="J1151" s="23" t="n">
        <f>H1151+I1151</f>
        <v>6</v>
      </c>
      <c r="K1151" s="23" t="n">
        <v>6</v>
      </c>
      <c r="L1151" s="23" t="n">
        <v>0</v>
      </c>
      <c r="M1151" s="23" t="n">
        <f>MIN(K1151,J1151)</f>
        <v>6</v>
      </c>
      <c r="N1151" s="23" t="n">
        <f>MIN(L1151,J1151)</f>
        <v>0</v>
      </c>
      <c r="O1151" s="25" t="n">
        <f>IF(K1151=0,0,MIN(1,J1151/K1151))</f>
        <v>1</v>
      </c>
      <c r="P1151" s="23" t="n">
        <f>IF(J1151&gt;0,MAX(K1151-J1151,0),0)</f>
        <v>0</v>
      </c>
      <c r="Q1151" s="23" t="n">
        <f>IF(J1151=0,K1151,0)</f>
        <v>0</v>
      </c>
      <c r="R1151" s="23" t="n">
        <f>MAX(J1151-K1151,0)</f>
        <v>0</v>
      </c>
      <c r="S1151" s="23" t="n">
        <f>IF(J1151&gt;0,MAX(L1151-J1151,0),L1151)</f>
        <v>0</v>
      </c>
    </row>
    <row r="1152">
      <c r="A1152" s="19" t="str">
        <v>英国区</v>
      </c>
      <c r="B1152" s="19" t="str">
        <v>伯明翰2号仓</v>
      </c>
      <c r="C1152" s="19" t="str">
        <v>售后组</v>
      </c>
      <c r="D1152" s="21" t="n">
        <v>46114</v>
      </c>
      <c r="E1152" s="19" t="str">
        <v>2026-04</v>
      </c>
      <c r="F1152" s="19" t="str">
        <v>操作员</v>
      </c>
      <c r="G1152" s="19" t="str">
        <v>英国区09:00-17:30 / UK 09:00-17:30</v>
      </c>
      <c r="H1152" s="23" t="n">
        <v>4</v>
      </c>
      <c r="I1152" s="23" t="n">
        <v>0</v>
      </c>
      <c r="J1152" s="23" t="n">
        <f>H1152+I1152</f>
        <v>4</v>
      </c>
      <c r="K1152" s="23" t="n">
        <v>4</v>
      </c>
      <c r="L1152" s="23" t="n">
        <v>4</v>
      </c>
      <c r="M1152" s="23" t="n">
        <f>MIN(K1152,J1152)</f>
        <v>4</v>
      </c>
      <c r="N1152" s="23" t="n">
        <f>MIN(L1152,J1152)</f>
        <v>4</v>
      </c>
      <c r="O1152" s="25" t="n">
        <f>IF(K1152=0,0,MIN(1,J1152/K1152))</f>
        <v>1</v>
      </c>
      <c r="P1152" s="23" t="n">
        <f>IF(J1152&gt;0,MAX(K1152-J1152,0),0)</f>
        <v>0</v>
      </c>
      <c r="Q1152" s="23" t="n">
        <f>IF(J1152=0,K1152,0)</f>
        <v>0</v>
      </c>
      <c r="R1152" s="23" t="n">
        <f>MAX(J1152-K1152,0)</f>
        <v>0</v>
      </c>
      <c r="S1152" s="23" t="n">
        <f>IF(J1152&gt;0,MAX(L1152-J1152,0),L1152)</f>
        <v>0</v>
      </c>
    </row>
    <row r="1153">
      <c r="A1153" s="19" t="str">
        <v>英国区</v>
      </c>
      <c r="B1153" s="19" t="str">
        <v>伯明翰2号仓</v>
      </c>
      <c r="C1153" s="19" t="str">
        <v>售后组</v>
      </c>
      <c r="D1153" s="21" t="n">
        <v>46119</v>
      </c>
      <c r="E1153" s="19" t="str">
        <v>2026-04</v>
      </c>
      <c r="F1153" s="19" t="str">
        <v>操作员</v>
      </c>
      <c r="G1153" s="19" t="str">
        <v>英国区09:00-17:30 / UK 09:00-17:30</v>
      </c>
      <c r="H1153" s="23" t="n">
        <v>2</v>
      </c>
      <c r="I1153" s="23" t="n">
        <v>0</v>
      </c>
      <c r="J1153" s="23" t="n">
        <f>H1153+I1153</f>
        <v>2</v>
      </c>
      <c r="K1153" s="23" t="n">
        <v>2</v>
      </c>
      <c r="L1153" s="23" t="n">
        <v>2</v>
      </c>
      <c r="M1153" s="23" t="n">
        <f>MIN(K1153,J1153)</f>
        <v>2</v>
      </c>
      <c r="N1153" s="23" t="n">
        <f>MIN(L1153,J1153)</f>
        <v>2</v>
      </c>
      <c r="O1153" s="25" t="n">
        <f>IF(K1153=0,0,MIN(1,J1153/K1153))</f>
        <v>1</v>
      </c>
      <c r="P1153" s="23" t="n">
        <f>IF(J1153&gt;0,MAX(K1153-J1153,0),0)</f>
        <v>0</v>
      </c>
      <c r="Q1153" s="23" t="n">
        <f>IF(J1153=0,K1153,0)</f>
        <v>0</v>
      </c>
      <c r="R1153" s="23" t="n">
        <f>MAX(J1153-K1153,0)</f>
        <v>0</v>
      </c>
      <c r="S1153" s="23" t="n">
        <f>IF(J1153&gt;0,MAX(L1153-J1153,0),L1153)</f>
        <v>0</v>
      </c>
    </row>
    <row r="1154">
      <c r="A1154" s="19" t="str">
        <v>英国区</v>
      </c>
      <c r="B1154" s="19" t="str">
        <v>伯明翰2号仓</v>
      </c>
      <c r="C1154" s="19" t="str">
        <v>售后组</v>
      </c>
      <c r="D1154" s="21" t="n">
        <v>46120</v>
      </c>
      <c r="E1154" s="19" t="str">
        <v>2026-04</v>
      </c>
      <c r="F1154" s="19" t="str">
        <v>操作员</v>
      </c>
      <c r="G1154" s="19" t="str">
        <v>英国区11:00-19:30 / UK 11:00-19:30</v>
      </c>
      <c r="H1154" s="23" t="n">
        <v>2</v>
      </c>
      <c r="I1154" s="23" t="n">
        <v>0</v>
      </c>
      <c r="J1154" s="23" t="n">
        <f>H1154+I1154</f>
        <v>2</v>
      </c>
      <c r="K1154" s="23" t="n">
        <v>2</v>
      </c>
      <c r="L1154" s="23" t="n">
        <v>2</v>
      </c>
      <c r="M1154" s="23" t="n">
        <f>MIN(K1154,J1154)</f>
        <v>2</v>
      </c>
      <c r="N1154" s="23" t="n">
        <f>MIN(L1154,J1154)</f>
        <v>2</v>
      </c>
      <c r="O1154" s="25" t="n">
        <f>IF(K1154=0,0,MIN(1,J1154/K1154))</f>
        <v>1</v>
      </c>
      <c r="P1154" s="23" t="n">
        <f>IF(J1154&gt;0,MAX(K1154-J1154,0),0)</f>
        <v>0</v>
      </c>
      <c r="Q1154" s="23" t="n">
        <f>IF(J1154=0,K1154,0)</f>
        <v>0</v>
      </c>
      <c r="R1154" s="23" t="n">
        <f>MAX(J1154-K1154,0)</f>
        <v>0</v>
      </c>
      <c r="S1154" s="23" t="n">
        <f>IF(J1154&gt;0,MAX(L1154-J1154,0),L1154)</f>
        <v>0</v>
      </c>
    </row>
    <row r="1155">
      <c r="A1155" s="19" t="str">
        <v>英国区</v>
      </c>
      <c r="B1155" s="19" t="str">
        <v>伯明翰2号仓</v>
      </c>
      <c r="C1155" s="19" t="str">
        <v>售后组</v>
      </c>
      <c r="D1155" s="21" t="n">
        <v>46125</v>
      </c>
      <c r="E1155" s="19" t="str">
        <v>2026-04</v>
      </c>
      <c r="F1155" s="19" t="str">
        <v>操作员</v>
      </c>
      <c r="G1155" s="19" t="str">
        <v>英国区09:00-17:30 / UK 09:00-17:30</v>
      </c>
      <c r="H1155" s="23" t="n">
        <v>2</v>
      </c>
      <c r="I1155" s="23" t="n">
        <v>0</v>
      </c>
      <c r="J1155" s="23" t="n">
        <f>H1155+I1155</f>
        <v>2</v>
      </c>
      <c r="K1155" s="23" t="n">
        <v>2</v>
      </c>
      <c r="L1155" s="23" t="n">
        <v>1</v>
      </c>
      <c r="M1155" s="23" t="n">
        <f>MIN(K1155,J1155)</f>
        <v>2</v>
      </c>
      <c r="N1155" s="23" t="n">
        <f>MIN(L1155,J1155)</f>
        <v>1</v>
      </c>
      <c r="O1155" s="25" t="n">
        <f>IF(K1155=0,0,MIN(1,J1155/K1155))</f>
        <v>1</v>
      </c>
      <c r="P1155" s="23" t="n">
        <f>IF(J1155&gt;0,MAX(K1155-J1155,0),0)</f>
        <v>0</v>
      </c>
      <c r="Q1155" s="23" t="n">
        <f>IF(J1155=0,K1155,0)</f>
        <v>0</v>
      </c>
      <c r="R1155" s="23" t="n">
        <f>MAX(J1155-K1155,0)</f>
        <v>0</v>
      </c>
      <c r="S1155" s="23" t="n">
        <f>IF(J1155&gt;0,MAX(L1155-J1155,0),L1155)</f>
        <v>0</v>
      </c>
    </row>
    <row r="1156">
      <c r="A1156" s="19" t="str">
        <v>英国区</v>
      </c>
      <c r="B1156" s="19" t="str">
        <v>伯明翰2号仓</v>
      </c>
      <c r="C1156" s="19" t="str">
        <v>售后组</v>
      </c>
      <c r="D1156" s="21" t="n">
        <v>46154</v>
      </c>
      <c r="E1156" s="19" t="str">
        <v>2026-05</v>
      </c>
      <c r="F1156" s="19" t="str">
        <v>操作员</v>
      </c>
      <c r="G1156" s="19" t="str">
        <v>英国区09:00-17:30 / UK 09:00-17:30</v>
      </c>
      <c r="H1156" s="23" t="n">
        <v>2</v>
      </c>
      <c r="I1156" s="23" t="n">
        <v>0</v>
      </c>
      <c r="J1156" s="23" t="n">
        <f>H1156+I1156</f>
        <v>2</v>
      </c>
      <c r="K1156" s="23" t="n">
        <v>2</v>
      </c>
      <c r="L1156" s="23" t="n">
        <v>0</v>
      </c>
      <c r="M1156" s="23" t="n">
        <f>MIN(K1156,J1156)</f>
        <v>2</v>
      </c>
      <c r="N1156" s="23" t="n">
        <f>MIN(L1156,J1156)</f>
        <v>0</v>
      </c>
      <c r="O1156" s="25" t="n">
        <f>IF(K1156=0,0,MIN(1,J1156/K1156))</f>
        <v>1</v>
      </c>
      <c r="P1156" s="23" t="n">
        <f>IF(J1156&gt;0,MAX(K1156-J1156,0),0)</f>
        <v>0</v>
      </c>
      <c r="Q1156" s="23" t="n">
        <f>IF(J1156=0,K1156,0)</f>
        <v>0</v>
      </c>
      <c r="R1156" s="23" t="n">
        <f>MAX(J1156-K1156,0)</f>
        <v>0</v>
      </c>
      <c r="S1156" s="23" t="n">
        <f>IF(J1156&gt;0,MAX(L1156-J1156,0),L1156)</f>
        <v>0</v>
      </c>
    </row>
    <row r="1157">
      <c r="A1157" s="19" t="str">
        <v>英国区</v>
      </c>
      <c r="B1157" s="19" t="str">
        <v>伯明翰2号仓</v>
      </c>
      <c r="C1157" s="19" t="str">
        <v>售后组</v>
      </c>
      <c r="D1157" s="21" t="n">
        <v>46160</v>
      </c>
      <c r="E1157" s="19" t="str">
        <v>2026-05</v>
      </c>
      <c r="F1157" s="19" t="str">
        <v>操作员</v>
      </c>
      <c r="G1157" s="19" t="str">
        <v>英国区09:00-17:30 / UK 09:00-17:30</v>
      </c>
      <c r="H1157" s="23" t="n">
        <v>1</v>
      </c>
      <c r="I1157" s="23" t="n">
        <v>0</v>
      </c>
      <c r="J1157" s="23" t="n">
        <f>H1157+I1157</f>
        <v>1</v>
      </c>
      <c r="K1157" s="23" t="n">
        <v>1</v>
      </c>
      <c r="L1157" s="23" t="n">
        <v>1</v>
      </c>
      <c r="M1157" s="23" t="n">
        <f>MIN(K1157,J1157)</f>
        <v>1</v>
      </c>
      <c r="N1157" s="23" t="n">
        <f>MIN(L1157,J1157)</f>
        <v>1</v>
      </c>
      <c r="O1157" s="25" t="n">
        <f>IF(K1157=0,0,MIN(1,J1157/K1157))</f>
        <v>1</v>
      </c>
      <c r="P1157" s="23" t="n">
        <f>IF(J1157&gt;0,MAX(K1157-J1157,0),0)</f>
        <v>0</v>
      </c>
      <c r="Q1157" s="23" t="n">
        <f>IF(J1157=0,K1157,0)</f>
        <v>0</v>
      </c>
      <c r="R1157" s="23" t="n">
        <f>MAX(J1157-K1157,0)</f>
        <v>0</v>
      </c>
      <c r="S1157" s="23" t="n">
        <f>IF(J1157&gt;0,MAX(L1157-J1157,0),L1157)</f>
        <v>0</v>
      </c>
    </row>
    <row r="1158">
      <c r="A1158" s="19" t="str">
        <v>英国区</v>
      </c>
      <c r="B1158" s="19" t="str">
        <v>伯明翰2号仓</v>
      </c>
      <c r="C1158" s="19" t="str">
        <v>售后组</v>
      </c>
      <c r="D1158" s="21" t="n">
        <v>46162</v>
      </c>
      <c r="E1158" s="19" t="str">
        <v>2026-05</v>
      </c>
      <c r="F1158" s="19" t="str">
        <v>操作员</v>
      </c>
      <c r="G1158" s="19" t="str">
        <v>英国区09:00-17:30 / UK 09:00-17:30</v>
      </c>
      <c r="H1158" s="23" t="n">
        <v>1</v>
      </c>
      <c r="I1158" s="23" t="n">
        <v>0</v>
      </c>
      <c r="J1158" s="23" t="n">
        <f>H1158+I1158</f>
        <v>1</v>
      </c>
      <c r="K1158" s="23" t="n">
        <v>1</v>
      </c>
      <c r="L1158" s="23" t="n">
        <v>1</v>
      </c>
      <c r="M1158" s="23" t="n">
        <f>MIN(K1158,J1158)</f>
        <v>1</v>
      </c>
      <c r="N1158" s="23" t="n">
        <f>MIN(L1158,J1158)</f>
        <v>1</v>
      </c>
      <c r="O1158" s="25" t="n">
        <f>IF(K1158=0,0,MIN(1,J1158/K1158))</f>
        <v>1</v>
      </c>
      <c r="P1158" s="23" t="n">
        <f>IF(J1158&gt;0,MAX(K1158-J1158,0),0)</f>
        <v>0</v>
      </c>
      <c r="Q1158" s="23" t="n">
        <f>IF(J1158=0,K1158,0)</f>
        <v>0</v>
      </c>
      <c r="R1158" s="23" t="n">
        <f>MAX(J1158-K1158,0)</f>
        <v>0</v>
      </c>
      <c r="S1158" s="23" t="n">
        <f>IF(J1158&gt;0,MAX(L1158-J1158,0),L1158)</f>
        <v>0</v>
      </c>
    </row>
    <row r="1159">
      <c r="A1159" s="19" t="str">
        <v>英国区</v>
      </c>
      <c r="B1159" s="19" t="str">
        <v>伯明翰2号仓</v>
      </c>
      <c r="C1159" s="19" t="str">
        <v>售后组</v>
      </c>
      <c r="D1159" s="21" t="n">
        <v>46164</v>
      </c>
      <c r="E1159" s="19" t="str">
        <v>2026-05</v>
      </c>
      <c r="F1159" s="19" t="str">
        <v>操作员</v>
      </c>
      <c r="G1159" s="19" t="str">
        <v>英国区09:00-17:30 / UK 09:00-17:30</v>
      </c>
      <c r="H1159" s="23" t="n">
        <v>3</v>
      </c>
      <c r="I1159" s="23" t="n">
        <v>0</v>
      </c>
      <c r="J1159" s="23" t="n">
        <f>H1159+I1159</f>
        <v>3</v>
      </c>
      <c r="K1159" s="23" t="n">
        <v>3</v>
      </c>
      <c r="L1159" s="23" t="n">
        <v>3</v>
      </c>
      <c r="M1159" s="23" t="n">
        <f>MIN(K1159,J1159)</f>
        <v>3</v>
      </c>
      <c r="N1159" s="23" t="n">
        <f>MIN(L1159,J1159)</f>
        <v>3</v>
      </c>
      <c r="O1159" s="25" t="n">
        <f>IF(K1159=0,0,MIN(1,J1159/K1159))</f>
        <v>1</v>
      </c>
      <c r="P1159" s="23" t="n">
        <f>IF(J1159&gt;0,MAX(K1159-J1159,0),0)</f>
        <v>0</v>
      </c>
      <c r="Q1159" s="23" t="n">
        <f>IF(J1159=0,K1159,0)</f>
        <v>0</v>
      </c>
      <c r="R1159" s="23" t="n">
        <f>MAX(J1159-K1159,0)</f>
        <v>0</v>
      </c>
      <c r="S1159" s="23" t="n">
        <f>IF(J1159&gt;0,MAX(L1159-J1159,0),L1159)</f>
        <v>0</v>
      </c>
    </row>
    <row r="1160">
      <c r="A1160" s="19" t="str">
        <v>英国区</v>
      </c>
      <c r="B1160" s="19" t="str">
        <v>伯明翰2号仓</v>
      </c>
      <c r="C1160" s="19" t="str">
        <v>售后组</v>
      </c>
      <c r="D1160" s="21" t="n">
        <v>46168</v>
      </c>
      <c r="E1160" s="19" t="str">
        <v>2026-05</v>
      </c>
      <c r="F1160" s="19" t="str">
        <v>售后处理员</v>
      </c>
      <c r="G1160" s="19" t="str">
        <v>英国区09:00-17:30 / UK 09:00-17:30</v>
      </c>
      <c r="H1160" s="23" t="n">
        <v>2</v>
      </c>
      <c r="I1160" s="23" t="n">
        <v>0</v>
      </c>
      <c r="J1160" s="23" t="n">
        <f>H1160+I1160</f>
        <v>2</v>
      </c>
      <c r="K1160" s="23" t="n">
        <v>2</v>
      </c>
      <c r="L1160" s="23" t="n">
        <v>2</v>
      </c>
      <c r="M1160" s="23" t="n">
        <f>MIN(K1160,J1160)</f>
        <v>2</v>
      </c>
      <c r="N1160" s="23" t="n">
        <f>MIN(L1160,J1160)</f>
        <v>2</v>
      </c>
      <c r="O1160" s="25" t="n">
        <f>IF(K1160=0,0,MIN(1,J1160/K1160))</f>
        <v>1</v>
      </c>
      <c r="P1160" s="23" t="n">
        <f>IF(J1160&gt;0,MAX(K1160-J1160,0),0)</f>
        <v>0</v>
      </c>
      <c r="Q1160" s="23" t="n">
        <f>IF(J1160=0,K1160,0)</f>
        <v>0</v>
      </c>
      <c r="R1160" s="23" t="n">
        <f>MAX(J1160-K1160,0)</f>
        <v>0</v>
      </c>
      <c r="S1160" s="23" t="n">
        <f>IF(J1160&gt;0,MAX(L1160-J1160,0),L1160)</f>
        <v>0</v>
      </c>
    </row>
    <row r="1161">
      <c r="A1161" s="19" t="str">
        <v>英国区</v>
      </c>
      <c r="B1161" s="19" t="str">
        <v>伯明翰2号仓</v>
      </c>
      <c r="C1161" s="19" t="str">
        <v>售后组</v>
      </c>
      <c r="D1161" s="21" t="n">
        <v>46202</v>
      </c>
      <c r="E1161" s="19" t="str">
        <v>2026-06</v>
      </c>
      <c r="F1161" s="19" t="str">
        <v>操作员</v>
      </c>
      <c r="G1161" s="19" t="str">
        <v>英国区09:00-17:30 / UK 09:00-17:30</v>
      </c>
      <c r="H1161" s="23" t="n">
        <v>3</v>
      </c>
      <c r="I1161" s="23" t="n">
        <v>0</v>
      </c>
      <c r="J1161" s="23" t="n">
        <f>H1161+I1161</f>
        <v>3</v>
      </c>
      <c r="K1161" s="23" t="n">
        <v>3</v>
      </c>
      <c r="L1161" s="23" t="n">
        <v>3</v>
      </c>
      <c r="M1161" s="23" t="n">
        <f>MIN(K1161,J1161)</f>
        <v>3</v>
      </c>
      <c r="N1161" s="23" t="n">
        <f>MIN(L1161,J1161)</f>
        <v>3</v>
      </c>
      <c r="O1161" s="25" t="n">
        <f>IF(K1161=0,0,MIN(1,J1161/K1161))</f>
        <v>1</v>
      </c>
      <c r="P1161" s="23" t="n">
        <f>IF(J1161&gt;0,MAX(K1161-J1161,0),0)</f>
        <v>0</v>
      </c>
      <c r="Q1161" s="23" t="n">
        <f>IF(J1161=0,K1161,0)</f>
        <v>0</v>
      </c>
      <c r="R1161" s="23" t="n">
        <f>MAX(J1161-K1161,0)</f>
        <v>0</v>
      </c>
      <c r="S1161" s="23" t="n">
        <f>IF(J1161&gt;0,MAX(L1161-J1161,0),L1161)</f>
        <v>0</v>
      </c>
    </row>
    <row r="1162">
      <c r="A1162" s="19" t="str">
        <v>英国区</v>
      </c>
      <c r="B1162" s="19" t="str">
        <v>伯明翰2号仓</v>
      </c>
      <c r="C1162" s="19" t="str">
        <v>拣货组</v>
      </c>
      <c r="D1162" s="21" t="n">
        <v>46134</v>
      </c>
      <c r="E1162" s="19" t="str">
        <v>2026-04</v>
      </c>
      <c r="F1162" s="19" t="str">
        <v>操作员</v>
      </c>
      <c r="G1162" s="19" t="str">
        <v>英国灵活（6小时扣午休） / UK FLEX (6-HR LUNCH BREAK DEDUCTED)</v>
      </c>
      <c r="H1162" s="23" t="n">
        <v>3</v>
      </c>
      <c r="I1162" s="23" t="n">
        <v>0</v>
      </c>
      <c r="J1162" s="23" t="n">
        <f>H1162+I1162</f>
        <v>3</v>
      </c>
      <c r="K1162" s="23" t="n">
        <v>0</v>
      </c>
      <c r="L1162" s="23" t="n">
        <v>0</v>
      </c>
      <c r="M1162" s="23" t="n">
        <f>MIN(K1162,J1162)</f>
        <v>0</v>
      </c>
      <c r="N1162" s="23" t="n">
        <f>MIN(L1162,J1162)</f>
        <v>0</v>
      </c>
      <c r="O1162" s="25" t="n">
        <f>IF(K1162=0,0,MIN(1,J1162/K1162))</f>
        <v>0</v>
      </c>
      <c r="P1162" s="23" t="n">
        <f>IF(J1162&gt;0,MAX(K1162-J1162,0),0)</f>
        <v>0</v>
      </c>
      <c r="Q1162" s="23" t="n">
        <f>IF(J1162=0,K1162,0)</f>
        <v>0</v>
      </c>
      <c r="R1162" s="23" t="n">
        <f>MAX(J1162-K1162,0)</f>
        <v>3</v>
      </c>
      <c r="S1162" s="23" t="n">
        <f>IF(J1162&gt;0,MAX(L1162-J1162,0),L1162)</f>
        <v>0</v>
      </c>
    </row>
    <row r="1163">
      <c r="A1163" s="19" t="str">
        <v>英国区</v>
      </c>
      <c r="B1163" s="19" t="str">
        <v>伯明翰2号仓</v>
      </c>
      <c r="C1163" s="19" t="str">
        <v>拣货组</v>
      </c>
      <c r="D1163" s="21" t="n">
        <v>46152</v>
      </c>
      <c r="E1163" s="19" t="str">
        <v>2026-05</v>
      </c>
      <c r="F1163" s="19" t="str">
        <v>操作员</v>
      </c>
      <c r="G1163" s="19" t="str">
        <v>英国灵活（6小时扣午休） / UK FLEX (6-HR LUNCH BREAK DEDUCTED)</v>
      </c>
      <c r="H1163" s="23" t="n">
        <v>4</v>
      </c>
      <c r="I1163" s="23" t="n">
        <v>0</v>
      </c>
      <c r="J1163" s="23" t="n">
        <f>H1163+I1163</f>
        <v>4</v>
      </c>
      <c r="K1163" s="23" t="n">
        <v>4</v>
      </c>
      <c r="L1163" s="23" t="n">
        <v>0</v>
      </c>
      <c r="M1163" s="23" t="n">
        <f>MIN(K1163,J1163)</f>
        <v>4</v>
      </c>
      <c r="N1163" s="23" t="n">
        <f>MIN(L1163,J1163)</f>
        <v>0</v>
      </c>
      <c r="O1163" s="25" t="n">
        <f>IF(K1163=0,0,MIN(1,J1163/K1163))</f>
        <v>1</v>
      </c>
      <c r="P1163" s="23" t="n">
        <f>IF(J1163&gt;0,MAX(K1163-J1163,0),0)</f>
        <v>0</v>
      </c>
      <c r="Q1163" s="23" t="n">
        <f>IF(J1163=0,K1163,0)</f>
        <v>0</v>
      </c>
      <c r="R1163" s="23" t="n">
        <f>MAX(J1163-K1163,0)</f>
        <v>0</v>
      </c>
      <c r="S1163" s="23" t="n">
        <f>IF(J1163&gt;0,MAX(L1163-J1163,0),L1163)</f>
        <v>0</v>
      </c>
    </row>
    <row r="1164">
      <c r="A1164" s="19" t="str">
        <v>英国区</v>
      </c>
      <c r="B1164" s="19" t="str">
        <v>伯明翰2号仓</v>
      </c>
      <c r="C1164" s="19" t="str">
        <v>拣货组</v>
      </c>
      <c r="D1164" s="21" t="n">
        <v>46154</v>
      </c>
      <c r="E1164" s="19" t="str">
        <v>2026-05</v>
      </c>
      <c r="F1164" s="19" t="str">
        <v>操作员</v>
      </c>
      <c r="G1164" s="19" t="str">
        <v>英国灵活（6小时扣午休） / UK FLEX (6-HR LUNCH BREAK DEDUCTED)</v>
      </c>
      <c r="H1164" s="23" t="n">
        <v>4</v>
      </c>
      <c r="I1164" s="23" t="n">
        <v>0</v>
      </c>
      <c r="J1164" s="23" t="n">
        <f>H1164+I1164</f>
        <v>4</v>
      </c>
      <c r="K1164" s="23" t="n">
        <v>4</v>
      </c>
      <c r="L1164" s="23" t="n">
        <v>4</v>
      </c>
      <c r="M1164" s="23" t="n">
        <f>MIN(K1164,J1164)</f>
        <v>4</v>
      </c>
      <c r="N1164" s="23" t="n">
        <f>MIN(L1164,J1164)</f>
        <v>4</v>
      </c>
      <c r="O1164" s="25" t="n">
        <f>IF(K1164=0,0,MIN(1,J1164/K1164))</f>
        <v>1</v>
      </c>
      <c r="P1164" s="23" t="n">
        <f>IF(J1164&gt;0,MAX(K1164-J1164,0),0)</f>
        <v>0</v>
      </c>
      <c r="Q1164" s="23" t="n">
        <f>IF(J1164=0,K1164,0)</f>
        <v>0</v>
      </c>
      <c r="R1164" s="23" t="n">
        <f>MAX(J1164-K1164,0)</f>
        <v>0</v>
      </c>
      <c r="S1164" s="23" t="n">
        <f>IF(J1164&gt;0,MAX(L1164-J1164,0),L1164)</f>
        <v>0</v>
      </c>
    </row>
    <row r="1165">
      <c r="A1165" s="19" t="str">
        <v>英国区</v>
      </c>
      <c r="B1165" s="19" t="str">
        <v>伯明翰2号仓</v>
      </c>
      <c r="C1165" s="19" t="str">
        <v>拣货组</v>
      </c>
      <c r="D1165" s="21" t="n">
        <v>46155</v>
      </c>
      <c r="E1165" s="19" t="str">
        <v>2026-05</v>
      </c>
      <c r="F1165" s="19" t="str">
        <v>操作员</v>
      </c>
      <c r="G1165" s="19" t="str">
        <v>英国灵活（6小时扣午休） / UK FLEX (6-HR LUNCH BREAK DEDUCTED)</v>
      </c>
      <c r="H1165" s="23" t="n">
        <v>3</v>
      </c>
      <c r="I1165" s="23" t="n">
        <v>0</v>
      </c>
      <c r="J1165" s="23" t="n">
        <f>H1165+I1165</f>
        <v>3</v>
      </c>
      <c r="K1165" s="23" t="n">
        <v>3</v>
      </c>
      <c r="L1165" s="23" t="n">
        <v>0</v>
      </c>
      <c r="M1165" s="23" t="n">
        <f>MIN(K1165,J1165)</f>
        <v>3</v>
      </c>
      <c r="N1165" s="23" t="n">
        <f>MIN(L1165,J1165)</f>
        <v>0</v>
      </c>
      <c r="O1165" s="25" t="n">
        <f>IF(K1165=0,0,MIN(1,J1165/K1165))</f>
        <v>1</v>
      </c>
      <c r="P1165" s="23" t="n">
        <f>IF(J1165&gt;0,MAX(K1165-J1165,0),0)</f>
        <v>0</v>
      </c>
      <c r="Q1165" s="23" t="n">
        <f>IF(J1165=0,K1165,0)</f>
        <v>0</v>
      </c>
      <c r="R1165" s="23" t="n">
        <f>MAX(J1165-K1165,0)</f>
        <v>0</v>
      </c>
      <c r="S1165" s="23" t="n">
        <f>IF(J1165&gt;0,MAX(L1165-J1165,0),L1165)</f>
        <v>0</v>
      </c>
    </row>
    <row r="1166">
      <c r="A1166" s="19" t="str">
        <v>英国区</v>
      </c>
      <c r="B1166" s="19" t="str">
        <v>伯明翰2号仓</v>
      </c>
      <c r="C1166" s="19" t="str">
        <v>拣货组</v>
      </c>
      <c r="D1166" s="21" t="n">
        <v>46156</v>
      </c>
      <c r="E1166" s="19" t="str">
        <v>2026-05</v>
      </c>
      <c r="F1166" s="19" t="str">
        <v>操作员</v>
      </c>
      <c r="G1166" s="19" t="str">
        <v>英国灵活（6小时扣午休） / UK FLEX (6-HR LUNCH BREAK DEDUCTED)</v>
      </c>
      <c r="H1166" s="23" t="n">
        <v>3</v>
      </c>
      <c r="I1166" s="23" t="n">
        <v>0</v>
      </c>
      <c r="J1166" s="23" t="n">
        <f>H1166+I1166</f>
        <v>3</v>
      </c>
      <c r="K1166" s="23" t="n">
        <v>3</v>
      </c>
      <c r="L1166" s="23" t="n">
        <v>3</v>
      </c>
      <c r="M1166" s="23" t="n">
        <f>MIN(K1166,J1166)</f>
        <v>3</v>
      </c>
      <c r="N1166" s="23" t="n">
        <f>MIN(L1166,J1166)</f>
        <v>3</v>
      </c>
      <c r="O1166" s="25" t="n">
        <f>IF(K1166=0,0,MIN(1,J1166/K1166))</f>
        <v>1</v>
      </c>
      <c r="P1166" s="23" t="n">
        <f>IF(J1166&gt;0,MAX(K1166-J1166,0),0)</f>
        <v>0</v>
      </c>
      <c r="Q1166" s="23" t="n">
        <f>IF(J1166=0,K1166,0)</f>
        <v>0</v>
      </c>
      <c r="R1166" s="23" t="n">
        <f>MAX(J1166-K1166,0)</f>
        <v>0</v>
      </c>
      <c r="S1166" s="23" t="n">
        <f>IF(J1166&gt;0,MAX(L1166-J1166,0),L1166)</f>
        <v>0</v>
      </c>
    </row>
    <row r="1167">
      <c r="A1167" s="19" t="str">
        <v>英国区</v>
      </c>
      <c r="B1167" s="19" t="str">
        <v>伯明翰2号仓</v>
      </c>
      <c r="C1167" s="19" t="str">
        <v>拣货组</v>
      </c>
      <c r="D1167" s="21" t="n">
        <v>46157</v>
      </c>
      <c r="E1167" s="19" t="str">
        <v>2026-05</v>
      </c>
      <c r="F1167" s="19" t="str">
        <v>操作员</v>
      </c>
      <c r="G1167" s="19" t="str">
        <v>英国灵活（6小时扣午休） / UK FLEX (6-HR LUNCH BREAK DEDUCTED)</v>
      </c>
      <c r="H1167" s="23" t="n">
        <v>3</v>
      </c>
      <c r="I1167" s="23" t="n">
        <v>0</v>
      </c>
      <c r="J1167" s="23" t="n">
        <f>H1167+I1167</f>
        <v>3</v>
      </c>
      <c r="K1167" s="23" t="n">
        <v>3</v>
      </c>
      <c r="L1167" s="23" t="n">
        <v>3</v>
      </c>
      <c r="M1167" s="23" t="n">
        <f>MIN(K1167,J1167)</f>
        <v>3</v>
      </c>
      <c r="N1167" s="23" t="n">
        <f>MIN(L1167,J1167)</f>
        <v>3</v>
      </c>
      <c r="O1167" s="25" t="n">
        <f>IF(K1167=0,0,MIN(1,J1167/K1167))</f>
        <v>1</v>
      </c>
      <c r="P1167" s="23" t="n">
        <f>IF(J1167&gt;0,MAX(K1167-J1167,0),0)</f>
        <v>0</v>
      </c>
      <c r="Q1167" s="23" t="n">
        <f>IF(J1167=0,K1167,0)</f>
        <v>0</v>
      </c>
      <c r="R1167" s="23" t="n">
        <f>MAX(J1167-K1167,0)</f>
        <v>0</v>
      </c>
      <c r="S1167" s="23" t="n">
        <f>IF(J1167&gt;0,MAX(L1167-J1167,0),L1167)</f>
        <v>0</v>
      </c>
    </row>
    <row r="1168">
      <c r="A1168" s="19" t="str">
        <v>英国区</v>
      </c>
      <c r="B1168" s="19" t="str">
        <v>伯明翰2号仓</v>
      </c>
      <c r="C1168" s="19" t="str">
        <v>拣货组</v>
      </c>
      <c r="D1168" s="21" t="n">
        <v>46161</v>
      </c>
      <c r="E1168" s="19" t="str">
        <v>2026-05</v>
      </c>
      <c r="F1168" s="19" t="str">
        <v>操作员</v>
      </c>
      <c r="G1168" s="19" t="str">
        <v>英国灵活（6小时扣午休） / UK FLEX (6-HR LUNCH BREAK DEDUCTED)</v>
      </c>
      <c r="H1168" s="23" t="n">
        <v>3</v>
      </c>
      <c r="I1168" s="23" t="n">
        <v>0</v>
      </c>
      <c r="J1168" s="23" t="n">
        <f>H1168+I1168</f>
        <v>3</v>
      </c>
      <c r="K1168" s="23" t="n">
        <v>3</v>
      </c>
      <c r="L1168" s="23" t="n">
        <v>0</v>
      </c>
      <c r="M1168" s="23" t="n">
        <f>MIN(K1168,J1168)</f>
        <v>3</v>
      </c>
      <c r="N1168" s="23" t="n">
        <f>MIN(L1168,J1168)</f>
        <v>0</v>
      </c>
      <c r="O1168" s="25" t="n">
        <f>IF(K1168=0,0,MIN(1,J1168/K1168))</f>
        <v>1</v>
      </c>
      <c r="P1168" s="23" t="n">
        <f>IF(J1168&gt;0,MAX(K1168-J1168,0),0)</f>
        <v>0</v>
      </c>
      <c r="Q1168" s="23" t="n">
        <f>IF(J1168=0,K1168,0)</f>
        <v>0</v>
      </c>
      <c r="R1168" s="23" t="n">
        <f>MAX(J1168-K1168,0)</f>
        <v>0</v>
      </c>
      <c r="S1168" s="23" t="n">
        <f>IF(J1168&gt;0,MAX(L1168-J1168,0),L1168)</f>
        <v>0</v>
      </c>
    </row>
    <row r="1169">
      <c r="A1169" s="19" t="str">
        <v>英国区</v>
      </c>
      <c r="B1169" s="19" t="str">
        <v>伯明翰2号仓</v>
      </c>
      <c r="C1169" s="19" t="str">
        <v>拣货组</v>
      </c>
      <c r="D1169" s="21" t="n">
        <v>46162</v>
      </c>
      <c r="E1169" s="19" t="str">
        <v>2026-05</v>
      </c>
      <c r="F1169" s="19" t="str">
        <v>操作员</v>
      </c>
      <c r="G1169" s="19" t="str">
        <v>英国灵活（6小时扣午休） / UK FLEX (6-HR LUNCH BREAK DEDUCTED)</v>
      </c>
      <c r="H1169" s="23" t="n">
        <v>3</v>
      </c>
      <c r="I1169" s="23" t="n">
        <v>0</v>
      </c>
      <c r="J1169" s="23" t="n">
        <f>H1169+I1169</f>
        <v>3</v>
      </c>
      <c r="K1169" s="23" t="n">
        <v>3</v>
      </c>
      <c r="L1169" s="23" t="n">
        <v>3</v>
      </c>
      <c r="M1169" s="23" t="n">
        <f>MIN(K1169,J1169)</f>
        <v>3</v>
      </c>
      <c r="N1169" s="23" t="n">
        <f>MIN(L1169,J1169)</f>
        <v>3</v>
      </c>
      <c r="O1169" s="25" t="n">
        <f>IF(K1169=0,0,MIN(1,J1169/K1169))</f>
        <v>1</v>
      </c>
      <c r="P1169" s="23" t="n">
        <f>IF(J1169&gt;0,MAX(K1169-J1169,0),0)</f>
        <v>0</v>
      </c>
      <c r="Q1169" s="23" t="n">
        <f>IF(J1169=0,K1169,0)</f>
        <v>0</v>
      </c>
      <c r="R1169" s="23" t="n">
        <f>MAX(J1169-K1169,0)</f>
        <v>0</v>
      </c>
      <c r="S1169" s="23" t="n">
        <f>IF(J1169&gt;0,MAX(L1169-J1169,0),L1169)</f>
        <v>0</v>
      </c>
    </row>
    <row r="1170">
      <c r="A1170" s="19" t="str">
        <v>英国区</v>
      </c>
      <c r="B1170" s="19" t="str">
        <v>伯明翰2号仓</v>
      </c>
      <c r="C1170" s="19" t="str">
        <v>拣货组</v>
      </c>
      <c r="D1170" s="21" t="n">
        <v>46163</v>
      </c>
      <c r="E1170" s="19" t="str">
        <v>2026-05</v>
      </c>
      <c r="F1170" s="19" t="str">
        <v>操作员</v>
      </c>
      <c r="G1170" s="19" t="str">
        <v>英国灵活（6小时扣午休） / UK FLEX (6-HR LUNCH BREAK DEDUCTED)</v>
      </c>
      <c r="H1170" s="23" t="n">
        <v>3</v>
      </c>
      <c r="I1170" s="23" t="n">
        <v>0</v>
      </c>
      <c r="J1170" s="23" t="n">
        <f>H1170+I1170</f>
        <v>3</v>
      </c>
      <c r="K1170" s="23" t="n">
        <v>3</v>
      </c>
      <c r="L1170" s="23" t="n">
        <v>3</v>
      </c>
      <c r="M1170" s="23" t="n">
        <f>MIN(K1170,J1170)</f>
        <v>3</v>
      </c>
      <c r="N1170" s="23" t="n">
        <f>MIN(L1170,J1170)</f>
        <v>3</v>
      </c>
      <c r="O1170" s="25" t="n">
        <f>IF(K1170=0,0,MIN(1,J1170/K1170))</f>
        <v>1</v>
      </c>
      <c r="P1170" s="23" t="n">
        <f>IF(J1170&gt;0,MAX(K1170-J1170,0),0)</f>
        <v>0</v>
      </c>
      <c r="Q1170" s="23" t="n">
        <f>IF(J1170=0,K1170,0)</f>
        <v>0</v>
      </c>
      <c r="R1170" s="23" t="n">
        <f>MAX(J1170-K1170,0)</f>
        <v>0</v>
      </c>
      <c r="S1170" s="23" t="n">
        <f>IF(J1170&gt;0,MAX(L1170-J1170,0),L1170)</f>
        <v>0</v>
      </c>
    </row>
    <row r="1171">
      <c r="A1171" s="19" t="str">
        <v>英国区</v>
      </c>
      <c r="B1171" s="19" t="str">
        <v>伯明翰2号仓</v>
      </c>
      <c r="C1171" s="19" t="str">
        <v>拣货组</v>
      </c>
      <c r="D1171" s="21" t="n">
        <v>46164</v>
      </c>
      <c r="E1171" s="19" t="str">
        <v>2026-05</v>
      </c>
      <c r="F1171" s="19" t="str">
        <v>操作员</v>
      </c>
      <c r="G1171" s="19" t="str">
        <v>英国灵活（6小时扣午休） / UK FLEX (6-HR LUNCH BREAK DEDUCTED)</v>
      </c>
      <c r="H1171" s="23" t="n">
        <v>3</v>
      </c>
      <c r="I1171" s="23" t="n">
        <v>0</v>
      </c>
      <c r="J1171" s="23" t="n">
        <f>H1171+I1171</f>
        <v>3</v>
      </c>
      <c r="K1171" s="23" t="n">
        <v>3</v>
      </c>
      <c r="L1171" s="23" t="n">
        <v>0</v>
      </c>
      <c r="M1171" s="23" t="n">
        <f>MIN(K1171,J1171)</f>
        <v>3</v>
      </c>
      <c r="N1171" s="23" t="n">
        <f>MIN(L1171,J1171)</f>
        <v>0</v>
      </c>
      <c r="O1171" s="25" t="n">
        <f>IF(K1171=0,0,MIN(1,J1171/K1171))</f>
        <v>1</v>
      </c>
      <c r="P1171" s="23" t="n">
        <f>IF(J1171&gt;0,MAX(K1171-J1171,0),0)</f>
        <v>0</v>
      </c>
      <c r="Q1171" s="23" t="n">
        <f>IF(J1171=0,K1171,0)</f>
        <v>0</v>
      </c>
      <c r="R1171" s="23" t="n">
        <f>MAX(J1171-K1171,0)</f>
        <v>0</v>
      </c>
      <c r="S1171" s="23" t="n">
        <f>IF(J1171&gt;0,MAX(L1171-J1171,0),L1171)</f>
        <v>0</v>
      </c>
    </row>
    <row r="1172">
      <c r="A1172" s="19" t="str">
        <v>英国区</v>
      </c>
      <c r="B1172" s="19" t="str">
        <v>伯明翰2号仓</v>
      </c>
      <c r="C1172" s="19" t="str">
        <v>拣货组</v>
      </c>
      <c r="D1172" s="21" t="n">
        <v>46167</v>
      </c>
      <c r="E1172" s="19" t="str">
        <v>2026-05</v>
      </c>
      <c r="F1172" s="19" t="str">
        <v>操作员</v>
      </c>
      <c r="G1172" s="19" t="str">
        <v>英国灵活（6小时扣午休） / UK FLEX (6-HR LUNCH BREAK DEDUCTED)</v>
      </c>
      <c r="H1172" s="23" t="n">
        <v>3</v>
      </c>
      <c r="I1172" s="23" t="n">
        <v>0</v>
      </c>
      <c r="J1172" s="23" t="n">
        <f>H1172+I1172</f>
        <v>3</v>
      </c>
      <c r="K1172" s="23" t="n">
        <v>3</v>
      </c>
      <c r="L1172" s="23" t="n">
        <v>0</v>
      </c>
      <c r="M1172" s="23" t="n">
        <f>MIN(K1172,J1172)</f>
        <v>3</v>
      </c>
      <c r="N1172" s="23" t="n">
        <f>MIN(L1172,J1172)</f>
        <v>0</v>
      </c>
      <c r="O1172" s="25" t="n">
        <f>IF(K1172=0,0,MIN(1,J1172/K1172))</f>
        <v>1</v>
      </c>
      <c r="P1172" s="23" t="n">
        <f>IF(J1172&gt;0,MAX(K1172-J1172,0),0)</f>
        <v>0</v>
      </c>
      <c r="Q1172" s="23" t="n">
        <f>IF(J1172=0,K1172,0)</f>
        <v>0</v>
      </c>
      <c r="R1172" s="23" t="n">
        <f>MAX(J1172-K1172,0)</f>
        <v>0</v>
      </c>
      <c r="S1172" s="23" t="n">
        <f>IF(J1172&gt;0,MAX(L1172-J1172,0),L1172)</f>
        <v>0</v>
      </c>
    </row>
    <row r="1173">
      <c r="A1173" s="19" t="str">
        <v>英国区</v>
      </c>
      <c r="B1173" s="19" t="str">
        <v>伯明翰2号仓</v>
      </c>
      <c r="C1173" s="19" t="str">
        <v>拣货组</v>
      </c>
      <c r="D1173" s="21" t="n">
        <v>46168</v>
      </c>
      <c r="E1173" s="19" t="str">
        <v>2026-05</v>
      </c>
      <c r="F1173" s="19" t="str">
        <v>操作员</v>
      </c>
      <c r="G1173" s="19" t="str">
        <v>英国灵活（6小时扣午休） / UK FLEX (6-HR LUNCH BREAK DEDUCTED)</v>
      </c>
      <c r="H1173" s="23" t="n">
        <v>3</v>
      </c>
      <c r="I1173" s="23" t="n">
        <v>0</v>
      </c>
      <c r="J1173" s="23" t="n">
        <f>H1173+I1173</f>
        <v>3</v>
      </c>
      <c r="K1173" s="23" t="n">
        <v>3</v>
      </c>
      <c r="L1173" s="23" t="n">
        <v>3</v>
      </c>
      <c r="M1173" s="23" t="n">
        <f>MIN(K1173,J1173)</f>
        <v>3</v>
      </c>
      <c r="N1173" s="23" t="n">
        <f>MIN(L1173,J1173)</f>
        <v>3</v>
      </c>
      <c r="O1173" s="25" t="n">
        <f>IF(K1173=0,0,MIN(1,J1173/K1173))</f>
        <v>1</v>
      </c>
      <c r="P1173" s="23" t="n">
        <f>IF(J1173&gt;0,MAX(K1173-J1173,0),0)</f>
        <v>0</v>
      </c>
      <c r="Q1173" s="23" t="n">
        <f>IF(J1173=0,K1173,0)</f>
        <v>0</v>
      </c>
      <c r="R1173" s="23" t="n">
        <f>MAX(J1173-K1173,0)</f>
        <v>0</v>
      </c>
      <c r="S1173" s="23" t="n">
        <f>IF(J1173&gt;0,MAX(L1173-J1173,0),L1173)</f>
        <v>0</v>
      </c>
    </row>
    <row r="1174">
      <c r="A1174" s="19" t="str">
        <v>英国区</v>
      </c>
      <c r="B1174" s="19" t="str">
        <v>伯明翰2号仓</v>
      </c>
      <c r="C1174" s="19" t="str">
        <v>拣货组</v>
      </c>
      <c r="D1174" s="21" t="n">
        <v>46169</v>
      </c>
      <c r="E1174" s="19" t="str">
        <v>2026-05</v>
      </c>
      <c r="F1174" s="19" t="str">
        <v>操作员</v>
      </c>
      <c r="G1174" s="19" t="str">
        <v>英国灵活（6小时扣午休） / UK FLEX (6-HR LUNCH BREAK DEDUCTED)</v>
      </c>
      <c r="H1174" s="23" t="n">
        <v>3</v>
      </c>
      <c r="I1174" s="23" t="n">
        <v>0</v>
      </c>
      <c r="J1174" s="23" t="n">
        <f>H1174+I1174</f>
        <v>3</v>
      </c>
      <c r="K1174" s="23" t="n">
        <v>3</v>
      </c>
      <c r="L1174" s="23" t="n">
        <v>3</v>
      </c>
      <c r="M1174" s="23" t="n">
        <f>MIN(K1174,J1174)</f>
        <v>3</v>
      </c>
      <c r="N1174" s="23" t="n">
        <f>MIN(L1174,J1174)</f>
        <v>3</v>
      </c>
      <c r="O1174" s="25" t="n">
        <f>IF(K1174=0,0,MIN(1,J1174/K1174))</f>
        <v>1</v>
      </c>
      <c r="P1174" s="23" t="n">
        <f>IF(J1174&gt;0,MAX(K1174-J1174,0),0)</f>
        <v>0</v>
      </c>
      <c r="Q1174" s="23" t="n">
        <f>IF(J1174=0,K1174,0)</f>
        <v>0</v>
      </c>
      <c r="R1174" s="23" t="n">
        <f>MAX(J1174-K1174,0)</f>
        <v>0</v>
      </c>
      <c r="S1174" s="23" t="n">
        <f>IF(J1174&gt;0,MAX(L1174-J1174,0),L1174)</f>
        <v>0</v>
      </c>
    </row>
    <row r="1175">
      <c r="A1175" s="19" t="str">
        <v>英国区</v>
      </c>
      <c r="B1175" s="19" t="str">
        <v>伯明翰2号仓</v>
      </c>
      <c r="C1175" s="19" t="str">
        <v>拣货组</v>
      </c>
      <c r="D1175" s="21" t="n">
        <v>46170</v>
      </c>
      <c r="E1175" s="19" t="str">
        <v>2026-05</v>
      </c>
      <c r="F1175" s="19" t="str">
        <v>操作员</v>
      </c>
      <c r="G1175" s="19" t="str">
        <v>英国灵活（6小时扣午休） / UK FLEX (6-HR LUNCH BREAK DEDUCTED)</v>
      </c>
      <c r="H1175" s="23" t="n">
        <v>3</v>
      </c>
      <c r="I1175" s="23" t="n">
        <v>0</v>
      </c>
      <c r="J1175" s="23" t="n">
        <f>H1175+I1175</f>
        <v>3</v>
      </c>
      <c r="K1175" s="23" t="n">
        <v>3</v>
      </c>
      <c r="L1175" s="23" t="n">
        <v>0</v>
      </c>
      <c r="M1175" s="23" t="n">
        <f>MIN(K1175,J1175)</f>
        <v>3</v>
      </c>
      <c r="N1175" s="23" t="n">
        <f>MIN(L1175,J1175)</f>
        <v>0</v>
      </c>
      <c r="O1175" s="25" t="n">
        <f>IF(K1175=0,0,MIN(1,J1175/K1175))</f>
        <v>1</v>
      </c>
      <c r="P1175" s="23" t="n">
        <f>IF(J1175&gt;0,MAX(K1175-J1175,0),0)</f>
        <v>0</v>
      </c>
      <c r="Q1175" s="23" t="n">
        <f>IF(J1175=0,K1175,0)</f>
        <v>0</v>
      </c>
      <c r="R1175" s="23" t="n">
        <f>MAX(J1175-K1175,0)</f>
        <v>0</v>
      </c>
      <c r="S1175" s="23" t="n">
        <f>IF(J1175&gt;0,MAX(L1175-J1175,0),L1175)</f>
        <v>0</v>
      </c>
    </row>
    <row r="1176">
      <c r="A1176" s="19" t="str">
        <v>英国区</v>
      </c>
      <c r="B1176" s="19" t="str">
        <v>伯明翰2号仓</v>
      </c>
      <c r="C1176" s="19" t="str">
        <v>拣货组</v>
      </c>
      <c r="D1176" s="21" t="n">
        <v>46171</v>
      </c>
      <c r="E1176" s="19" t="str">
        <v>2026-05</v>
      </c>
      <c r="F1176" s="19" t="str">
        <v>操作员</v>
      </c>
      <c r="G1176" s="19" t="str">
        <v>英国灵活（6小时扣午休） / UK FLEX (6-HR LUNCH BREAK DEDUCTED)</v>
      </c>
      <c r="H1176" s="23" t="n">
        <v>3</v>
      </c>
      <c r="I1176" s="23" t="n">
        <v>0</v>
      </c>
      <c r="J1176" s="23" t="n">
        <f>H1176+I1176</f>
        <v>3</v>
      </c>
      <c r="K1176" s="23" t="n">
        <v>3</v>
      </c>
      <c r="L1176" s="23" t="n">
        <v>1</v>
      </c>
      <c r="M1176" s="23" t="n">
        <f>MIN(K1176,J1176)</f>
        <v>3</v>
      </c>
      <c r="N1176" s="23" t="n">
        <f>MIN(L1176,J1176)</f>
        <v>1</v>
      </c>
      <c r="O1176" s="25" t="n">
        <f>IF(K1176=0,0,MIN(1,J1176/K1176))</f>
        <v>1</v>
      </c>
      <c r="P1176" s="23" t="n">
        <f>IF(J1176&gt;0,MAX(K1176-J1176,0),0)</f>
        <v>0</v>
      </c>
      <c r="Q1176" s="23" t="n">
        <f>IF(J1176=0,K1176,0)</f>
        <v>0</v>
      </c>
      <c r="R1176" s="23" t="n">
        <f>MAX(J1176-K1176,0)</f>
        <v>0</v>
      </c>
      <c r="S1176" s="23" t="n">
        <f>IF(J1176&gt;0,MAX(L1176-J1176,0),L1176)</f>
        <v>0</v>
      </c>
    </row>
    <row r="1177">
      <c r="A1177" s="19" t="str">
        <v>英国区</v>
      </c>
      <c r="B1177" s="19" t="str">
        <v>伯明翰2号仓</v>
      </c>
      <c r="C1177" s="19" t="str">
        <v>拣货组</v>
      </c>
      <c r="D1177" s="21" t="n">
        <v>46176</v>
      </c>
      <c r="E1177" s="19" t="str">
        <v>2026-06</v>
      </c>
      <c r="F1177" s="19" t="str">
        <v>操作员</v>
      </c>
      <c r="G1177" s="19" t="str">
        <v>英国灵活（6小时扣午休） / UK FLEX (6-HR LUNCH BREAK DEDUCTED)</v>
      </c>
      <c r="H1177" s="23" t="n">
        <v>3</v>
      </c>
      <c r="I1177" s="23" t="n">
        <v>0</v>
      </c>
      <c r="J1177" s="23" t="n">
        <f>H1177+I1177</f>
        <v>3</v>
      </c>
      <c r="K1177" s="23" t="n">
        <v>3</v>
      </c>
      <c r="L1177" s="23" t="n">
        <v>0</v>
      </c>
      <c r="M1177" s="23" t="n">
        <f>MIN(K1177,J1177)</f>
        <v>3</v>
      </c>
      <c r="N1177" s="23" t="n">
        <f>MIN(L1177,J1177)</f>
        <v>0</v>
      </c>
      <c r="O1177" s="25" t="n">
        <f>IF(K1177=0,0,MIN(1,J1177/K1177))</f>
        <v>1</v>
      </c>
      <c r="P1177" s="23" t="n">
        <f>IF(J1177&gt;0,MAX(K1177-J1177,0),0)</f>
        <v>0</v>
      </c>
      <c r="Q1177" s="23" t="n">
        <f>IF(J1177=0,K1177,0)</f>
        <v>0</v>
      </c>
      <c r="R1177" s="23" t="n">
        <f>MAX(J1177-K1177,0)</f>
        <v>0</v>
      </c>
      <c r="S1177" s="23" t="n">
        <f>IF(J1177&gt;0,MAX(L1177-J1177,0),L1177)</f>
        <v>0</v>
      </c>
    </row>
    <row r="1178">
      <c r="A1178" s="19" t="str">
        <v>英国区</v>
      </c>
      <c r="B1178" s="19" t="str">
        <v>伯明翰2号仓</v>
      </c>
      <c r="C1178" s="19" t="str">
        <v>拣货组</v>
      </c>
      <c r="D1178" s="21" t="n">
        <v>46177</v>
      </c>
      <c r="E1178" s="19" t="str">
        <v>2026-06</v>
      </c>
      <c r="F1178" s="19" t="str">
        <v>操作员</v>
      </c>
      <c r="G1178" s="19" t="str">
        <v>英国灵活（6小时扣午休） / UK FLEX (6-HR LUNCH BREAK DEDUCTED)</v>
      </c>
      <c r="H1178" s="23" t="n">
        <v>3</v>
      </c>
      <c r="I1178" s="23" t="n">
        <v>0</v>
      </c>
      <c r="J1178" s="23" t="n">
        <f>H1178+I1178</f>
        <v>3</v>
      </c>
      <c r="K1178" s="23" t="n">
        <v>3</v>
      </c>
      <c r="L1178" s="23" t="n">
        <v>0</v>
      </c>
      <c r="M1178" s="23" t="n">
        <f>MIN(K1178,J1178)</f>
        <v>3</v>
      </c>
      <c r="N1178" s="23" t="n">
        <f>MIN(L1178,J1178)</f>
        <v>0</v>
      </c>
      <c r="O1178" s="25" t="n">
        <f>IF(K1178=0,0,MIN(1,J1178/K1178))</f>
        <v>1</v>
      </c>
      <c r="P1178" s="23" t="n">
        <f>IF(J1178&gt;0,MAX(K1178-J1178,0),0)</f>
        <v>0</v>
      </c>
      <c r="Q1178" s="23" t="n">
        <f>IF(J1178=0,K1178,0)</f>
        <v>0</v>
      </c>
      <c r="R1178" s="23" t="n">
        <f>MAX(J1178-K1178,0)</f>
        <v>0</v>
      </c>
      <c r="S1178" s="23" t="n">
        <f>IF(J1178&gt;0,MAX(L1178-J1178,0),L1178)</f>
        <v>0</v>
      </c>
    </row>
    <row r="1179">
      <c r="A1179" s="19" t="str">
        <v>英国区</v>
      </c>
      <c r="B1179" s="19" t="str">
        <v>伯明翰2号仓</v>
      </c>
      <c r="C1179" s="19" t="str">
        <v>拣货组</v>
      </c>
      <c r="D1179" s="21" t="n">
        <v>46178</v>
      </c>
      <c r="E1179" s="19" t="str">
        <v>2026-06</v>
      </c>
      <c r="F1179" s="19" t="str">
        <v>操作员</v>
      </c>
      <c r="G1179" s="19" t="str">
        <v>英国灵活（6小时扣午休） / UK FLEX (6-HR LUNCH BREAK DEDUCTED)</v>
      </c>
      <c r="H1179" s="23" t="n">
        <v>3</v>
      </c>
      <c r="I1179" s="23" t="n">
        <v>0</v>
      </c>
      <c r="J1179" s="23" t="n">
        <f>H1179+I1179</f>
        <v>3</v>
      </c>
      <c r="K1179" s="23" t="n">
        <v>3</v>
      </c>
      <c r="L1179" s="23" t="n">
        <v>3</v>
      </c>
      <c r="M1179" s="23" t="n">
        <f>MIN(K1179,J1179)</f>
        <v>3</v>
      </c>
      <c r="N1179" s="23" t="n">
        <f>MIN(L1179,J1179)</f>
        <v>3</v>
      </c>
      <c r="O1179" s="25" t="n">
        <f>IF(K1179=0,0,MIN(1,J1179/K1179))</f>
        <v>1</v>
      </c>
      <c r="P1179" s="23" t="n">
        <f>IF(J1179&gt;0,MAX(K1179-J1179,0),0)</f>
        <v>0</v>
      </c>
      <c r="Q1179" s="23" t="n">
        <f>IF(J1179=0,K1179,0)</f>
        <v>0</v>
      </c>
      <c r="R1179" s="23" t="n">
        <f>MAX(J1179-K1179,0)</f>
        <v>0</v>
      </c>
      <c r="S1179" s="23" t="n">
        <f>IF(J1179&gt;0,MAX(L1179-J1179,0),L1179)</f>
        <v>0</v>
      </c>
    </row>
    <row r="1180">
      <c r="A1180" s="19" t="str">
        <v>英国区</v>
      </c>
      <c r="B1180" s="19" t="str">
        <v>伯明翰2号仓</v>
      </c>
      <c r="C1180" s="19" t="str">
        <v>拣货组</v>
      </c>
      <c r="D1180" s="21" t="n">
        <v>46190</v>
      </c>
      <c r="E1180" s="19" t="str">
        <v>2026-06</v>
      </c>
      <c r="F1180" s="19" t="str">
        <v>操作员</v>
      </c>
      <c r="G1180" s="19" t="str">
        <v>英国灵活（6小时扣午休） / UK FLEX (6-HR LUNCH BREAK DEDUCTED)</v>
      </c>
      <c r="H1180" s="23" t="n">
        <v>3</v>
      </c>
      <c r="I1180" s="23" t="n">
        <v>0</v>
      </c>
      <c r="J1180" s="23" t="n">
        <f>H1180+I1180</f>
        <v>3</v>
      </c>
      <c r="K1180" s="23" t="n">
        <v>0</v>
      </c>
      <c r="L1180" s="23" t="n">
        <v>0</v>
      </c>
      <c r="M1180" s="23" t="n">
        <f>MIN(K1180,J1180)</f>
        <v>0</v>
      </c>
      <c r="N1180" s="23" t="n">
        <f>MIN(L1180,J1180)</f>
        <v>0</v>
      </c>
      <c r="O1180" s="25" t="n">
        <f>IF(K1180=0,0,MIN(1,J1180/K1180))</f>
        <v>0</v>
      </c>
      <c r="P1180" s="23" t="n">
        <f>IF(J1180&gt;0,MAX(K1180-J1180,0),0)</f>
        <v>0</v>
      </c>
      <c r="Q1180" s="23" t="n">
        <f>IF(J1180=0,K1180,0)</f>
        <v>0</v>
      </c>
      <c r="R1180" s="23" t="n">
        <f>MAX(J1180-K1180,0)</f>
        <v>3</v>
      </c>
      <c r="S1180" s="23" t="n">
        <f>IF(J1180&gt;0,MAX(L1180-J1180,0),L1180)</f>
        <v>0</v>
      </c>
    </row>
    <row r="1181">
      <c r="A1181" s="19" t="str">
        <v>英国区</v>
      </c>
      <c r="B1181" s="19" t="str">
        <v>伯明翰2号仓</v>
      </c>
      <c r="C1181" s="19" t="str">
        <v>拣货组</v>
      </c>
      <c r="D1181" s="21" t="n">
        <v>46191</v>
      </c>
      <c r="E1181" s="19" t="str">
        <v>2026-06</v>
      </c>
      <c r="F1181" s="19" t="str">
        <v>操作员</v>
      </c>
      <c r="G1181" s="19" t="str">
        <v>英国灵活（6小时扣午休） / UK FLEX (6-HR LUNCH BREAK DEDUCTED)</v>
      </c>
      <c r="H1181" s="23" t="n">
        <v>3</v>
      </c>
      <c r="I1181" s="23" t="n">
        <v>0</v>
      </c>
      <c r="J1181" s="23" t="n">
        <f>H1181+I1181</f>
        <v>3</v>
      </c>
      <c r="K1181" s="23" t="n">
        <v>0</v>
      </c>
      <c r="L1181" s="23" t="n">
        <v>0</v>
      </c>
      <c r="M1181" s="23" t="n">
        <f>MIN(K1181,J1181)</f>
        <v>0</v>
      </c>
      <c r="N1181" s="23" t="n">
        <f>MIN(L1181,J1181)</f>
        <v>0</v>
      </c>
      <c r="O1181" s="25" t="n">
        <f>IF(K1181=0,0,MIN(1,J1181/K1181))</f>
        <v>0</v>
      </c>
      <c r="P1181" s="23" t="n">
        <f>IF(J1181&gt;0,MAX(K1181-J1181,0),0)</f>
        <v>0</v>
      </c>
      <c r="Q1181" s="23" t="n">
        <f>IF(J1181=0,K1181,0)</f>
        <v>0</v>
      </c>
      <c r="R1181" s="23" t="n">
        <f>MAX(J1181-K1181,0)</f>
        <v>3</v>
      </c>
      <c r="S1181" s="23" t="n">
        <f>IF(J1181&gt;0,MAX(L1181-J1181,0),L1181)</f>
        <v>0</v>
      </c>
    </row>
    <row r="1182">
      <c r="A1182" s="19" t="str">
        <v>英国区</v>
      </c>
      <c r="B1182" s="19" t="str">
        <v>伯明翰2号仓</v>
      </c>
      <c r="C1182" s="19" t="str">
        <v>拣货组</v>
      </c>
      <c r="D1182" s="21" t="n">
        <v>46192</v>
      </c>
      <c r="E1182" s="19" t="str">
        <v>2026-06</v>
      </c>
      <c r="F1182" s="19" t="str">
        <v>操作员</v>
      </c>
      <c r="G1182" s="19" t="str">
        <v>英国灵活（6小时扣午休） / UK FLEX (6-HR LUNCH BREAK DEDUCTED)</v>
      </c>
      <c r="H1182" s="23" t="n">
        <v>3</v>
      </c>
      <c r="I1182" s="23" t="n">
        <v>0</v>
      </c>
      <c r="J1182" s="23" t="n">
        <f>H1182+I1182</f>
        <v>3</v>
      </c>
      <c r="K1182" s="23" t="n">
        <v>0</v>
      </c>
      <c r="L1182" s="23" t="n">
        <v>0</v>
      </c>
      <c r="M1182" s="23" t="n">
        <f>MIN(K1182,J1182)</f>
        <v>0</v>
      </c>
      <c r="N1182" s="23" t="n">
        <f>MIN(L1182,J1182)</f>
        <v>0</v>
      </c>
      <c r="O1182" s="25" t="n">
        <f>IF(K1182=0,0,MIN(1,J1182/K1182))</f>
        <v>0</v>
      </c>
      <c r="P1182" s="23" t="n">
        <f>IF(J1182&gt;0,MAX(K1182-J1182,0),0)</f>
        <v>0</v>
      </c>
      <c r="Q1182" s="23" t="n">
        <f>IF(J1182=0,K1182,0)</f>
        <v>0</v>
      </c>
      <c r="R1182" s="23" t="n">
        <f>MAX(J1182-K1182,0)</f>
        <v>3</v>
      </c>
      <c r="S1182" s="23" t="n">
        <f>IF(J1182&gt;0,MAX(L1182-J1182,0),L1182)</f>
        <v>0</v>
      </c>
    </row>
    <row r="1183">
      <c r="A1183" s="19" t="str">
        <v>英国区</v>
      </c>
      <c r="B1183" s="19" t="str">
        <v>伯明翰2号仓</v>
      </c>
      <c r="C1183" s="19" t="str">
        <v>拣货组</v>
      </c>
      <c r="D1183" s="21" t="n">
        <v>46194</v>
      </c>
      <c r="E1183" s="19" t="str">
        <v>2026-06</v>
      </c>
      <c r="F1183" s="19" t="str">
        <v>操作员</v>
      </c>
      <c r="G1183" s="19" t="str">
        <v>英国灵活（6小时扣午休） / UK FLEX (6-HR LUNCH BREAK DEDUCTED)</v>
      </c>
      <c r="H1183" s="23" t="n">
        <v>3</v>
      </c>
      <c r="I1183" s="23" t="n">
        <v>0</v>
      </c>
      <c r="J1183" s="23" t="n">
        <f>H1183+I1183</f>
        <v>3</v>
      </c>
      <c r="K1183" s="23" t="n">
        <v>3</v>
      </c>
      <c r="L1183" s="23" t="n">
        <v>3</v>
      </c>
      <c r="M1183" s="23" t="n">
        <f>MIN(K1183,J1183)</f>
        <v>3</v>
      </c>
      <c r="N1183" s="23" t="n">
        <f>MIN(L1183,J1183)</f>
        <v>3</v>
      </c>
      <c r="O1183" s="25" t="n">
        <f>IF(K1183=0,0,MIN(1,J1183/K1183))</f>
        <v>1</v>
      </c>
      <c r="P1183" s="23" t="n">
        <f>IF(J1183&gt;0,MAX(K1183-J1183,0),0)</f>
        <v>0</v>
      </c>
      <c r="Q1183" s="23" t="n">
        <f>IF(J1183=0,K1183,0)</f>
        <v>0</v>
      </c>
      <c r="R1183" s="23" t="n">
        <f>MAX(J1183-K1183,0)</f>
        <v>0</v>
      </c>
      <c r="S1183" s="23" t="n">
        <f>IF(J1183&gt;0,MAX(L1183-J1183,0),L1183)</f>
        <v>0</v>
      </c>
    </row>
    <row r="1184">
      <c r="A1184" s="19" t="str">
        <v>英国区</v>
      </c>
      <c r="B1184" s="19" t="str">
        <v>伯明翰2号仓</v>
      </c>
      <c r="C1184" s="19" t="str">
        <v>拣货组</v>
      </c>
      <c r="D1184" s="21" t="n">
        <v>46195</v>
      </c>
      <c r="E1184" s="19" t="str">
        <v>2026-06</v>
      </c>
      <c r="F1184" s="19" t="str">
        <v>操作员</v>
      </c>
      <c r="G1184" s="19" t="str">
        <v>英国灵活（6小时扣午休） / UK FLEX (6-HR LUNCH BREAK DEDUCTED)</v>
      </c>
      <c r="H1184" s="23" t="n">
        <v>3</v>
      </c>
      <c r="I1184" s="23" t="n">
        <v>0</v>
      </c>
      <c r="J1184" s="23" t="n">
        <f>H1184+I1184</f>
        <v>3</v>
      </c>
      <c r="K1184" s="23" t="n">
        <v>3</v>
      </c>
      <c r="L1184" s="23" t="n">
        <v>3</v>
      </c>
      <c r="M1184" s="23" t="n">
        <f>MIN(K1184,J1184)</f>
        <v>3</v>
      </c>
      <c r="N1184" s="23" t="n">
        <f>MIN(L1184,J1184)</f>
        <v>3</v>
      </c>
      <c r="O1184" s="25" t="n">
        <f>IF(K1184=0,0,MIN(1,J1184/K1184))</f>
        <v>1</v>
      </c>
      <c r="P1184" s="23" t="n">
        <f>IF(J1184&gt;0,MAX(K1184-J1184,0),0)</f>
        <v>0</v>
      </c>
      <c r="Q1184" s="23" t="n">
        <f>IF(J1184=0,K1184,0)</f>
        <v>0</v>
      </c>
      <c r="R1184" s="23" t="n">
        <f>MAX(J1184-K1184,0)</f>
        <v>0</v>
      </c>
      <c r="S1184" s="23" t="n">
        <f>IF(J1184&gt;0,MAX(L1184-J1184,0),L1184)</f>
        <v>0</v>
      </c>
    </row>
    <row r="1185">
      <c r="A1185" s="19" t="str">
        <v>英国区</v>
      </c>
      <c r="B1185" s="19" t="str">
        <v>伯明翰2号仓</v>
      </c>
      <c r="C1185" s="19" t="str">
        <v>拣货组</v>
      </c>
      <c r="D1185" s="21" t="n">
        <v>46196</v>
      </c>
      <c r="E1185" s="19" t="str">
        <v>2026-06</v>
      </c>
      <c r="F1185" s="19" t="str">
        <v>操作员</v>
      </c>
      <c r="G1185" s="19" t="str">
        <v>英国灵活（6小时扣午休） / UK FLEX (6-HR LUNCH BREAK DEDUCTED)</v>
      </c>
      <c r="H1185" s="23" t="n">
        <v>3</v>
      </c>
      <c r="I1185" s="23" t="n">
        <v>0</v>
      </c>
      <c r="J1185" s="23" t="n">
        <f>H1185+I1185</f>
        <v>3</v>
      </c>
      <c r="K1185" s="23" t="n">
        <v>3</v>
      </c>
      <c r="L1185" s="23" t="n">
        <v>3</v>
      </c>
      <c r="M1185" s="23" t="n">
        <f>MIN(K1185,J1185)</f>
        <v>3</v>
      </c>
      <c r="N1185" s="23" t="n">
        <f>MIN(L1185,J1185)</f>
        <v>3</v>
      </c>
      <c r="O1185" s="25" t="n">
        <f>IF(K1185=0,0,MIN(1,J1185/K1185))</f>
        <v>1</v>
      </c>
      <c r="P1185" s="23" t="n">
        <f>IF(J1185&gt;0,MAX(K1185-J1185,0),0)</f>
        <v>0</v>
      </c>
      <c r="Q1185" s="23" t="n">
        <f>IF(J1185=0,K1185,0)</f>
        <v>0</v>
      </c>
      <c r="R1185" s="23" t="n">
        <f>MAX(J1185-K1185,0)</f>
        <v>0</v>
      </c>
      <c r="S1185" s="23" t="n">
        <f>IF(J1185&gt;0,MAX(L1185-J1185,0),L1185)</f>
        <v>0</v>
      </c>
    </row>
    <row r="1186">
      <c r="A1186" s="19" t="str">
        <v>英国区</v>
      </c>
      <c r="B1186" s="19" t="str">
        <v>伯明翰2号仓</v>
      </c>
      <c r="C1186" s="19" t="str">
        <v>拣货组</v>
      </c>
      <c r="D1186" s="21" t="n">
        <v>46197</v>
      </c>
      <c r="E1186" s="19" t="str">
        <v>2026-06</v>
      </c>
      <c r="F1186" s="19" t="str">
        <v>操作员</v>
      </c>
      <c r="G1186" s="19" t="str">
        <v>英国灵活（6小时扣午休） / UK FLEX (6-HR LUNCH BREAK DEDUCTED)</v>
      </c>
      <c r="H1186" s="23" t="n">
        <v>3</v>
      </c>
      <c r="I1186" s="23" t="n">
        <v>0</v>
      </c>
      <c r="J1186" s="23" t="n">
        <f>H1186+I1186</f>
        <v>3</v>
      </c>
      <c r="K1186" s="23" t="n">
        <v>3</v>
      </c>
      <c r="L1186" s="23" t="n">
        <v>3</v>
      </c>
      <c r="M1186" s="23" t="n">
        <f>MIN(K1186,J1186)</f>
        <v>3</v>
      </c>
      <c r="N1186" s="23" t="n">
        <f>MIN(L1186,J1186)</f>
        <v>3</v>
      </c>
      <c r="O1186" s="25" t="n">
        <f>IF(K1186=0,0,MIN(1,J1186/K1186))</f>
        <v>1</v>
      </c>
      <c r="P1186" s="23" t="n">
        <f>IF(J1186&gt;0,MAX(K1186-J1186,0),0)</f>
        <v>0</v>
      </c>
      <c r="Q1186" s="23" t="n">
        <f>IF(J1186=0,K1186,0)</f>
        <v>0</v>
      </c>
      <c r="R1186" s="23" t="n">
        <f>MAX(J1186-K1186,0)</f>
        <v>0</v>
      </c>
      <c r="S1186" s="23" t="n">
        <f>IF(J1186&gt;0,MAX(L1186-J1186,0),L1186)</f>
        <v>0</v>
      </c>
    </row>
    <row r="1187">
      <c r="A1187" s="19" t="str">
        <v>英国区</v>
      </c>
      <c r="B1187" s="19" t="str">
        <v>伯明翰2号仓</v>
      </c>
      <c r="C1187" s="19" t="str">
        <v>拣货组</v>
      </c>
      <c r="D1187" s="21" t="n">
        <v>46198</v>
      </c>
      <c r="E1187" s="19" t="str">
        <v>2026-06</v>
      </c>
      <c r="F1187" s="19" t="str">
        <v>操作员</v>
      </c>
      <c r="G1187" s="19" t="str">
        <v>英国灵活（6小时扣午休） / UK FLEX (6-HR LUNCH BREAK DEDUCTED)</v>
      </c>
      <c r="H1187" s="23" t="n">
        <v>3</v>
      </c>
      <c r="I1187" s="23" t="n">
        <v>0</v>
      </c>
      <c r="J1187" s="23" t="n">
        <f>H1187+I1187</f>
        <v>3</v>
      </c>
      <c r="K1187" s="23" t="n">
        <v>3</v>
      </c>
      <c r="L1187" s="23" t="n">
        <v>3</v>
      </c>
      <c r="M1187" s="23" t="n">
        <f>MIN(K1187,J1187)</f>
        <v>3</v>
      </c>
      <c r="N1187" s="23" t="n">
        <f>MIN(L1187,J1187)</f>
        <v>3</v>
      </c>
      <c r="O1187" s="25" t="n">
        <f>IF(K1187=0,0,MIN(1,J1187/K1187))</f>
        <v>1</v>
      </c>
      <c r="P1187" s="23" t="n">
        <f>IF(J1187&gt;0,MAX(K1187-J1187,0),0)</f>
        <v>0</v>
      </c>
      <c r="Q1187" s="23" t="n">
        <f>IF(J1187=0,K1187,0)</f>
        <v>0</v>
      </c>
      <c r="R1187" s="23" t="n">
        <f>MAX(J1187-K1187,0)</f>
        <v>0</v>
      </c>
      <c r="S1187" s="23" t="n">
        <f>IF(J1187&gt;0,MAX(L1187-J1187,0),L1187)</f>
        <v>0</v>
      </c>
    </row>
    <row r="1188">
      <c r="A1188" s="19" t="str">
        <v>英国区</v>
      </c>
      <c r="B1188" s="19" t="str">
        <v>伯明翰2号仓</v>
      </c>
      <c r="C1188" s="19" t="str">
        <v>拣货组</v>
      </c>
      <c r="D1188" s="21" t="n">
        <v>46199</v>
      </c>
      <c r="E1188" s="19" t="str">
        <v>2026-06</v>
      </c>
      <c r="F1188" s="19" t="str">
        <v>操作员</v>
      </c>
      <c r="G1188" s="19" t="str">
        <v>英国灵活（6小时扣午休） / UK FLEX (6-HR LUNCH BREAK DEDUCTED)</v>
      </c>
      <c r="H1188" s="23" t="n">
        <v>3</v>
      </c>
      <c r="I1188" s="23" t="n">
        <v>0</v>
      </c>
      <c r="J1188" s="23" t="n">
        <f>H1188+I1188</f>
        <v>3</v>
      </c>
      <c r="K1188" s="23" t="n">
        <v>3</v>
      </c>
      <c r="L1188" s="23" t="n">
        <v>3</v>
      </c>
      <c r="M1188" s="23" t="n">
        <f>MIN(K1188,J1188)</f>
        <v>3</v>
      </c>
      <c r="N1188" s="23" t="n">
        <f>MIN(L1188,J1188)</f>
        <v>3</v>
      </c>
      <c r="O1188" s="25" t="n">
        <f>IF(K1188=0,0,MIN(1,J1188/K1188))</f>
        <v>1</v>
      </c>
      <c r="P1188" s="23" t="n">
        <f>IF(J1188&gt;0,MAX(K1188-J1188,0),0)</f>
        <v>0</v>
      </c>
      <c r="Q1188" s="23" t="n">
        <f>IF(J1188=0,K1188,0)</f>
        <v>0</v>
      </c>
      <c r="R1188" s="23" t="n">
        <f>MAX(J1188-K1188,0)</f>
        <v>0</v>
      </c>
      <c r="S1188" s="23" t="n">
        <f>IF(J1188&gt;0,MAX(L1188-J1188,0),L1188)</f>
        <v>0</v>
      </c>
    </row>
    <row r="1189">
      <c r="A1189" s="19" t="str">
        <v>英国区</v>
      </c>
      <c r="B1189" s="19" t="str">
        <v>伯明翰2号仓</v>
      </c>
      <c r="C1189" s="19" t="str">
        <v>拣货组</v>
      </c>
      <c r="D1189" s="21" t="n">
        <v>46203</v>
      </c>
      <c r="E1189" s="19" t="str">
        <v>2026-06</v>
      </c>
      <c r="F1189" s="19" t="str">
        <v>操作员</v>
      </c>
      <c r="G1189" s="19" t="str">
        <v>英国灵活（6小时扣午休） / UK FLEX (6-HR LUNCH BREAK DEDUCTED)</v>
      </c>
      <c r="H1189" s="23" t="n">
        <v>3</v>
      </c>
      <c r="I1189" s="23" t="n">
        <v>0</v>
      </c>
      <c r="J1189" s="23" t="n">
        <f>H1189+I1189</f>
        <v>3</v>
      </c>
      <c r="K1189" s="23" t="n">
        <v>3</v>
      </c>
      <c r="L1189" s="23" t="n">
        <v>3</v>
      </c>
      <c r="M1189" s="23" t="n">
        <f>MIN(K1189,J1189)</f>
        <v>3</v>
      </c>
      <c r="N1189" s="23" t="n">
        <f>MIN(L1189,J1189)</f>
        <v>3</v>
      </c>
      <c r="O1189" s="25" t="n">
        <f>IF(K1189=0,0,MIN(1,J1189/K1189))</f>
        <v>1</v>
      </c>
      <c r="P1189" s="23" t="n">
        <f>IF(J1189&gt;0,MAX(K1189-J1189,0),0)</f>
        <v>0</v>
      </c>
      <c r="Q1189" s="23" t="n">
        <f>IF(J1189=0,K1189,0)</f>
        <v>0</v>
      </c>
      <c r="R1189" s="23" t="n">
        <f>MAX(J1189-K1189,0)</f>
        <v>0</v>
      </c>
      <c r="S1189" s="23" t="n">
        <f>IF(J1189&gt;0,MAX(L1189-J1189,0),L1189)</f>
        <v>0</v>
      </c>
    </row>
    <row r="1190">
      <c r="A1190" s="19" t="str">
        <v>英国区</v>
      </c>
      <c r="B1190" s="19" t="str">
        <v>伯明翰2号仓</v>
      </c>
      <c r="C1190" s="19" t="str">
        <v>理货组</v>
      </c>
      <c r="D1190" s="21" t="n">
        <v>46142</v>
      </c>
      <c r="E1190" s="19" t="str">
        <v>2026-04</v>
      </c>
      <c r="F1190" s="19" t="str">
        <v>保洁员</v>
      </c>
      <c r="G1190" s="19" t="str">
        <v>英国区09:00-17:30 / UK 09:00-17:30</v>
      </c>
      <c r="H1190" s="23" t="n">
        <v>1</v>
      </c>
      <c r="I1190" s="23" t="n">
        <v>0</v>
      </c>
      <c r="J1190" s="23" t="n">
        <f>H1190+I1190</f>
        <v>1</v>
      </c>
      <c r="K1190" s="23" t="n">
        <v>1</v>
      </c>
      <c r="L1190" s="23" t="n">
        <v>0</v>
      </c>
      <c r="M1190" s="23" t="n">
        <f>MIN(K1190,J1190)</f>
        <v>1</v>
      </c>
      <c r="N1190" s="23" t="n">
        <f>MIN(L1190,J1190)</f>
        <v>0</v>
      </c>
      <c r="O1190" s="25" t="n">
        <f>IF(K1190=0,0,MIN(1,J1190/K1190))</f>
        <v>1</v>
      </c>
      <c r="P1190" s="23" t="n">
        <f>IF(J1190&gt;0,MAX(K1190-J1190,0),0)</f>
        <v>0</v>
      </c>
      <c r="Q1190" s="23" t="n">
        <f>IF(J1190=0,K1190,0)</f>
        <v>0</v>
      </c>
      <c r="R1190" s="23" t="n">
        <f>MAX(J1190-K1190,0)</f>
        <v>0</v>
      </c>
      <c r="S1190" s="23" t="n">
        <f>IF(J1190&gt;0,MAX(L1190-J1190,0),L1190)</f>
        <v>0</v>
      </c>
    </row>
    <row r="1191">
      <c r="A1191" s="19" t="str">
        <v>英国区</v>
      </c>
      <c r="B1191" s="19" t="str">
        <v>伯明翰2号仓</v>
      </c>
      <c r="C1191" s="19" t="str">
        <v>理货组</v>
      </c>
      <c r="D1191" s="21" t="n">
        <v>46143</v>
      </c>
      <c r="E1191" s="19" t="str">
        <v>2026-05</v>
      </c>
      <c r="F1191" s="19" t="str">
        <v>操作员</v>
      </c>
      <c r="G1191" s="19" t="str">
        <v>英国区09:00-17:30 / UK 09:00-17:30</v>
      </c>
      <c r="H1191" s="23" t="n">
        <v>1</v>
      </c>
      <c r="I1191" s="23" t="n">
        <v>0</v>
      </c>
      <c r="J1191" s="23" t="n">
        <f>H1191+I1191</f>
        <v>1</v>
      </c>
      <c r="K1191" s="23" t="n">
        <v>1</v>
      </c>
      <c r="L1191" s="23" t="n">
        <v>1</v>
      </c>
      <c r="M1191" s="23" t="n">
        <f>MIN(K1191,J1191)</f>
        <v>1</v>
      </c>
      <c r="N1191" s="23" t="n">
        <f>MIN(L1191,J1191)</f>
        <v>1</v>
      </c>
      <c r="O1191" s="25" t="n">
        <f>IF(K1191=0,0,MIN(1,J1191/K1191))</f>
        <v>1</v>
      </c>
      <c r="P1191" s="23" t="n">
        <f>IF(J1191&gt;0,MAX(K1191-J1191,0),0)</f>
        <v>0</v>
      </c>
      <c r="Q1191" s="23" t="n">
        <f>IF(J1191=0,K1191,0)</f>
        <v>0</v>
      </c>
      <c r="R1191" s="23" t="n">
        <f>MAX(J1191-K1191,0)</f>
        <v>0</v>
      </c>
      <c r="S1191" s="23" t="n">
        <f>IF(J1191&gt;0,MAX(L1191-J1191,0),L1191)</f>
        <v>0</v>
      </c>
    </row>
    <row r="1192">
      <c r="A1192" s="19" t="str">
        <v>英国区</v>
      </c>
      <c r="B1192" s="19" t="str">
        <v>伯明翰2号仓</v>
      </c>
      <c r="C1192" s="19" t="str">
        <v>理货组</v>
      </c>
      <c r="D1192" s="21" t="n">
        <v>46148</v>
      </c>
      <c r="E1192" s="19" t="str">
        <v>2026-05</v>
      </c>
      <c r="F1192" s="19" t="str">
        <v>操作员</v>
      </c>
      <c r="G1192" s="19" t="str">
        <v>英国区09:00-17:30 / UK 09:00-17:30</v>
      </c>
      <c r="H1192" s="23" t="n">
        <v>1</v>
      </c>
      <c r="I1192" s="23" t="n">
        <v>0</v>
      </c>
      <c r="J1192" s="23" t="n">
        <f>H1192+I1192</f>
        <v>1</v>
      </c>
      <c r="K1192" s="23" t="n">
        <v>1</v>
      </c>
      <c r="L1192" s="23" t="n">
        <v>1</v>
      </c>
      <c r="M1192" s="23" t="n">
        <f>MIN(K1192,J1192)</f>
        <v>1</v>
      </c>
      <c r="N1192" s="23" t="n">
        <f>MIN(L1192,J1192)</f>
        <v>1</v>
      </c>
      <c r="O1192" s="25" t="n">
        <f>IF(K1192=0,0,MIN(1,J1192/K1192))</f>
        <v>1</v>
      </c>
      <c r="P1192" s="23" t="n">
        <f>IF(J1192&gt;0,MAX(K1192-J1192,0),0)</f>
        <v>0</v>
      </c>
      <c r="Q1192" s="23" t="n">
        <f>IF(J1192=0,K1192,0)</f>
        <v>0</v>
      </c>
      <c r="R1192" s="23" t="n">
        <f>MAX(J1192-K1192,0)</f>
        <v>0</v>
      </c>
      <c r="S1192" s="23" t="n">
        <f>IF(J1192&gt;0,MAX(L1192-J1192,0),L1192)</f>
        <v>0</v>
      </c>
    </row>
    <row r="1193">
      <c r="A1193" s="19" t="str">
        <v>英国区</v>
      </c>
      <c r="B1193" s="19" t="str">
        <v>伯明翰2号仓</v>
      </c>
      <c r="C1193" s="19" t="str">
        <v>理货组</v>
      </c>
      <c r="D1193" s="21" t="n">
        <v>46155</v>
      </c>
      <c r="E1193" s="19" t="str">
        <v>2026-05</v>
      </c>
      <c r="F1193" s="19" t="str">
        <v>操作员</v>
      </c>
      <c r="G1193" s="19" t="str">
        <v>英国区09:00-17:30 / UK 09:00-17:30</v>
      </c>
      <c r="H1193" s="23" t="n">
        <v>1</v>
      </c>
      <c r="I1193" s="23" t="n">
        <v>0</v>
      </c>
      <c r="J1193" s="23" t="n">
        <f>H1193+I1193</f>
        <v>1</v>
      </c>
      <c r="K1193" s="23" t="n">
        <v>1</v>
      </c>
      <c r="L1193" s="23" t="n">
        <v>1</v>
      </c>
      <c r="M1193" s="23" t="n">
        <f>MIN(K1193,J1193)</f>
        <v>1</v>
      </c>
      <c r="N1193" s="23" t="n">
        <f>MIN(L1193,J1193)</f>
        <v>1</v>
      </c>
      <c r="O1193" s="25" t="n">
        <f>IF(K1193=0,0,MIN(1,J1193/K1193))</f>
        <v>1</v>
      </c>
      <c r="P1193" s="23" t="n">
        <f>IF(J1193&gt;0,MAX(K1193-J1193,0),0)</f>
        <v>0</v>
      </c>
      <c r="Q1193" s="23" t="n">
        <f>IF(J1193=0,K1193,0)</f>
        <v>0</v>
      </c>
      <c r="R1193" s="23" t="n">
        <f>MAX(J1193-K1193,0)</f>
        <v>0</v>
      </c>
      <c r="S1193" s="23" t="n">
        <f>IF(J1193&gt;0,MAX(L1193-J1193,0),L1193)</f>
        <v>0</v>
      </c>
    </row>
    <row r="1194">
      <c r="A1194" s="19" t="str">
        <v>英国区</v>
      </c>
      <c r="B1194" s="19" t="str">
        <v>伯明翰2号仓</v>
      </c>
      <c r="C1194" s="19" t="str">
        <v>理货组</v>
      </c>
      <c r="D1194" s="21" t="n">
        <v>46156</v>
      </c>
      <c r="E1194" s="19" t="str">
        <v>2026-05</v>
      </c>
      <c r="F1194" s="19" t="str">
        <v>操作员</v>
      </c>
      <c r="G1194" s="19" t="str">
        <v>英国区09:00-17:30 / UK 09:00-17:30</v>
      </c>
      <c r="H1194" s="23" t="n">
        <v>1</v>
      </c>
      <c r="I1194" s="23" t="n">
        <v>0</v>
      </c>
      <c r="J1194" s="23" t="n">
        <f>H1194+I1194</f>
        <v>1</v>
      </c>
      <c r="K1194" s="23" t="n">
        <v>1</v>
      </c>
      <c r="L1194" s="23" t="n">
        <v>0</v>
      </c>
      <c r="M1194" s="23" t="n">
        <f>MIN(K1194,J1194)</f>
        <v>1</v>
      </c>
      <c r="N1194" s="23" t="n">
        <f>MIN(L1194,J1194)</f>
        <v>0</v>
      </c>
      <c r="O1194" s="25" t="n">
        <f>IF(K1194=0,0,MIN(1,J1194/K1194))</f>
        <v>1</v>
      </c>
      <c r="P1194" s="23" t="n">
        <f>IF(J1194&gt;0,MAX(K1194-J1194,0),0)</f>
        <v>0</v>
      </c>
      <c r="Q1194" s="23" t="n">
        <f>IF(J1194=0,K1194,0)</f>
        <v>0</v>
      </c>
      <c r="R1194" s="23" t="n">
        <f>MAX(J1194-K1194,0)</f>
        <v>0</v>
      </c>
      <c r="S1194" s="23" t="n">
        <f>IF(J1194&gt;0,MAX(L1194-J1194,0),L1194)</f>
        <v>0</v>
      </c>
    </row>
    <row r="1195">
      <c r="A1195" s="19" t="str">
        <v>英国区</v>
      </c>
      <c r="B1195" s="19" t="str">
        <v>伯明翰2号仓</v>
      </c>
      <c r="C1195" s="19" t="str">
        <v>理货组</v>
      </c>
      <c r="D1195" s="21" t="n">
        <v>46162</v>
      </c>
      <c r="E1195" s="19" t="str">
        <v>2026-05</v>
      </c>
      <c r="F1195" s="19" t="str">
        <v>操作员</v>
      </c>
      <c r="G1195" s="19" t="str">
        <v>英国灵活（6小时扣午休） / UK FLEX (6-HR LUNCH BREAK DEDUCTED)</v>
      </c>
      <c r="H1195" s="23" t="n">
        <v>1</v>
      </c>
      <c r="I1195" s="23" t="n">
        <v>0</v>
      </c>
      <c r="J1195" s="23" t="n">
        <f>H1195+I1195</f>
        <v>1</v>
      </c>
      <c r="K1195" s="23" t="n">
        <v>1</v>
      </c>
      <c r="L1195" s="23" t="n">
        <v>1</v>
      </c>
      <c r="M1195" s="23" t="n">
        <f>MIN(K1195,J1195)</f>
        <v>1</v>
      </c>
      <c r="N1195" s="23" t="n">
        <f>MIN(L1195,J1195)</f>
        <v>1</v>
      </c>
      <c r="O1195" s="25" t="n">
        <f>IF(K1195=0,0,MIN(1,J1195/K1195))</f>
        <v>1</v>
      </c>
      <c r="P1195" s="23" t="n">
        <f>IF(J1195&gt;0,MAX(K1195-J1195,0),0)</f>
        <v>0</v>
      </c>
      <c r="Q1195" s="23" t="n">
        <f>IF(J1195=0,K1195,0)</f>
        <v>0</v>
      </c>
      <c r="R1195" s="23" t="n">
        <f>MAX(J1195-K1195,0)</f>
        <v>0</v>
      </c>
      <c r="S1195" s="23" t="n">
        <f>IF(J1195&gt;0,MAX(L1195-J1195,0),L1195)</f>
        <v>0</v>
      </c>
    </row>
    <row r="1196">
      <c r="A1196" s="19" t="str">
        <v>英国区</v>
      </c>
      <c r="B1196" s="19" t="str">
        <v>伯明翰2号仓</v>
      </c>
      <c r="C1196" s="19" t="str">
        <v>理货组</v>
      </c>
      <c r="D1196" s="21" t="n">
        <v>46171</v>
      </c>
      <c r="E1196" s="19" t="str">
        <v>2026-05</v>
      </c>
      <c r="F1196" s="19" t="str">
        <v>操作员</v>
      </c>
      <c r="G1196" s="19" t="str">
        <v>英国灵活（6小时扣午休） / UK FLEX (6-HR LUNCH BREAK DEDUCTED)</v>
      </c>
      <c r="H1196" s="23" t="n">
        <v>1</v>
      </c>
      <c r="I1196" s="23" t="n">
        <v>0</v>
      </c>
      <c r="J1196" s="23" t="n">
        <f>H1196+I1196</f>
        <v>1</v>
      </c>
      <c r="K1196" s="23" t="n">
        <v>1</v>
      </c>
      <c r="L1196" s="23" t="n">
        <v>1</v>
      </c>
      <c r="M1196" s="23" t="n">
        <f>MIN(K1196,J1196)</f>
        <v>1</v>
      </c>
      <c r="N1196" s="23" t="n">
        <f>MIN(L1196,J1196)</f>
        <v>1</v>
      </c>
      <c r="O1196" s="25" t="n">
        <f>IF(K1196=0,0,MIN(1,J1196/K1196))</f>
        <v>1</v>
      </c>
      <c r="P1196" s="23" t="n">
        <f>IF(J1196&gt;0,MAX(K1196-J1196,0),0)</f>
        <v>0</v>
      </c>
      <c r="Q1196" s="23" t="n">
        <f>IF(J1196=0,K1196,0)</f>
        <v>0</v>
      </c>
      <c r="R1196" s="23" t="n">
        <f>MAX(J1196-K1196,0)</f>
        <v>0</v>
      </c>
      <c r="S1196" s="23" t="n">
        <f>IF(J1196&gt;0,MAX(L1196-J1196,0),L1196)</f>
        <v>0</v>
      </c>
    </row>
    <row r="1197">
      <c r="A1197" s="19" t="str">
        <v>英国区</v>
      </c>
      <c r="B1197" s="19" t="str">
        <v>伯明翰2号仓</v>
      </c>
      <c r="C1197" s="19" t="str">
        <v>理货组</v>
      </c>
      <c r="D1197" s="21" t="n">
        <v>46197</v>
      </c>
      <c r="E1197" s="19" t="str">
        <v>2026-06</v>
      </c>
      <c r="F1197" s="19" t="str">
        <v>操作员</v>
      </c>
      <c r="G1197" s="19" t="str">
        <v>英国区09:00-17:30 / UK 09:00-17:30</v>
      </c>
      <c r="H1197" s="23" t="n">
        <v>1</v>
      </c>
      <c r="I1197" s="23" t="n">
        <v>0</v>
      </c>
      <c r="J1197" s="23" t="n">
        <f>H1197+I1197</f>
        <v>1</v>
      </c>
      <c r="K1197" s="23" t="n">
        <v>1</v>
      </c>
      <c r="L1197" s="23" t="n">
        <v>1</v>
      </c>
      <c r="M1197" s="23" t="n">
        <f>MIN(K1197,J1197)</f>
        <v>1</v>
      </c>
      <c r="N1197" s="23" t="n">
        <f>MIN(L1197,J1197)</f>
        <v>1</v>
      </c>
      <c r="O1197" s="25" t="n">
        <f>IF(K1197=0,0,MIN(1,J1197/K1197))</f>
        <v>1</v>
      </c>
      <c r="P1197" s="23" t="n">
        <f>IF(J1197&gt;0,MAX(K1197-J1197,0),0)</f>
        <v>0</v>
      </c>
      <c r="Q1197" s="23" t="n">
        <f>IF(J1197=0,K1197,0)</f>
        <v>0</v>
      </c>
      <c r="R1197" s="23" t="n">
        <f>MAX(J1197-K1197,0)</f>
        <v>0</v>
      </c>
      <c r="S1197" s="23" t="n">
        <f>IF(J1197&gt;0,MAX(L1197-J1197,0),L1197)</f>
        <v>0</v>
      </c>
    </row>
    <row r="1198">
      <c r="A1198" s="19" t="str">
        <v>英国区</v>
      </c>
      <c r="B1198" s="19" t="str">
        <v>伯明翰5号仓(SN)</v>
      </c>
      <c r="C1198" s="19" t="str">
        <v>上架组</v>
      </c>
      <c r="D1198" s="21" t="n">
        <v>46162</v>
      </c>
      <c r="E1198" s="19" t="str">
        <v>2026-05</v>
      </c>
      <c r="F1198" s="19" t="str">
        <v>操作员</v>
      </c>
      <c r="G1198" s="19" t="str">
        <v>英国灵活（6小时扣午休） / UK FLEX (6-HR LUNCH BREAK DEDUCTED)</v>
      </c>
      <c r="H1198" s="23" t="n">
        <v>5</v>
      </c>
      <c r="I1198" s="23" t="n">
        <v>0</v>
      </c>
      <c r="J1198" s="23" t="n">
        <f>H1198+I1198</f>
        <v>5</v>
      </c>
      <c r="K1198" s="23" t="n">
        <v>10</v>
      </c>
      <c r="L1198" s="23" t="n">
        <v>5</v>
      </c>
      <c r="M1198" s="23" t="n">
        <f>MIN(K1198,J1198)</f>
        <v>5</v>
      </c>
      <c r="N1198" s="23" t="n">
        <f>MIN(L1198,J1198)</f>
        <v>5</v>
      </c>
      <c r="O1198" s="25" t="n">
        <f>IF(K1198=0,0,MIN(1,J1198/K1198))</f>
        <v>0.5</v>
      </c>
      <c r="P1198" s="23" t="n">
        <f>IF(J1198&gt;0,MAX(K1198-J1198,0),0)</f>
        <v>5</v>
      </c>
      <c r="Q1198" s="23" t="n">
        <f>IF(J1198=0,K1198,0)</f>
        <v>0</v>
      </c>
      <c r="R1198" s="23" t="n">
        <f>MAX(J1198-K1198,0)</f>
        <v>0</v>
      </c>
      <c r="S1198" s="23" t="n">
        <f>IF(J1198&gt;0,MAX(L1198-J1198,0),L1198)</f>
        <v>0</v>
      </c>
    </row>
    <row r="1199">
      <c r="A1199" s="19" t="str">
        <v>英国区</v>
      </c>
      <c r="B1199" s="19" t="str">
        <v>伯明翰5号仓(SN)</v>
      </c>
      <c r="C1199" s="19" t="str">
        <v>上架组</v>
      </c>
      <c r="D1199" s="21" t="n">
        <v>46163</v>
      </c>
      <c r="E1199" s="19" t="str">
        <v>2026-05</v>
      </c>
      <c r="F1199" s="19" t="str">
        <v>操作员</v>
      </c>
      <c r="G1199" s="19" t="str">
        <v>英国灵活（6小时扣午休） / UK FLEX (6-HR LUNCH BREAK DEDUCTED)</v>
      </c>
      <c r="H1199" s="23" t="n">
        <v>3</v>
      </c>
      <c r="I1199" s="23" t="n">
        <v>0</v>
      </c>
      <c r="J1199" s="23" t="n">
        <f>H1199+I1199</f>
        <v>3</v>
      </c>
      <c r="K1199" s="23" t="n">
        <v>3</v>
      </c>
      <c r="L1199" s="23" t="n">
        <v>3</v>
      </c>
      <c r="M1199" s="23" t="n">
        <f>MIN(K1199,J1199)</f>
        <v>3</v>
      </c>
      <c r="N1199" s="23" t="n">
        <f>MIN(L1199,J1199)</f>
        <v>3</v>
      </c>
      <c r="O1199" s="25" t="n">
        <f>IF(K1199=0,0,MIN(1,J1199/K1199))</f>
        <v>1</v>
      </c>
      <c r="P1199" s="23" t="n">
        <f>IF(J1199&gt;0,MAX(K1199-J1199,0),0)</f>
        <v>0</v>
      </c>
      <c r="Q1199" s="23" t="n">
        <f>IF(J1199=0,K1199,0)</f>
        <v>0</v>
      </c>
      <c r="R1199" s="23" t="n">
        <f>MAX(J1199-K1199,0)</f>
        <v>0</v>
      </c>
      <c r="S1199" s="23" t="n">
        <f>IF(J1199&gt;0,MAX(L1199-J1199,0),L1199)</f>
        <v>0</v>
      </c>
    </row>
    <row r="1200">
      <c r="A1200" s="19" t="str">
        <v>英国区</v>
      </c>
      <c r="B1200" s="19" t="str">
        <v>伯明翰5号仓(SN)</v>
      </c>
      <c r="C1200" s="19" t="str">
        <v>上架组</v>
      </c>
      <c r="D1200" s="21" t="n">
        <v>46199</v>
      </c>
      <c r="E1200" s="19" t="str">
        <v>2026-06</v>
      </c>
      <c r="F1200" s="19" t="str">
        <v>操作员</v>
      </c>
      <c r="G1200" s="19" t="str">
        <v>英国灵活（6小时扣午休） / UK FLEX (6-HR LUNCH BREAK DEDUCTED)</v>
      </c>
      <c r="H1200" s="23" t="n">
        <v>10</v>
      </c>
      <c r="I1200" s="23" t="n">
        <v>0</v>
      </c>
      <c r="J1200" s="23" t="n">
        <f>H1200+I1200</f>
        <v>10</v>
      </c>
      <c r="K1200" s="23" t="n">
        <v>10</v>
      </c>
      <c r="L1200" s="23" t="n">
        <v>10</v>
      </c>
      <c r="M1200" s="23" t="n">
        <f>MIN(K1200,J1200)</f>
        <v>10</v>
      </c>
      <c r="N1200" s="23" t="n">
        <f>MIN(L1200,J1200)</f>
        <v>10</v>
      </c>
      <c r="O1200" s="25" t="n">
        <f>IF(K1200=0,0,MIN(1,J1200/K1200))</f>
        <v>1</v>
      </c>
      <c r="P1200" s="23" t="n">
        <f>IF(J1200&gt;0,MAX(K1200-J1200,0),0)</f>
        <v>0</v>
      </c>
      <c r="Q1200" s="23" t="n">
        <f>IF(J1200=0,K1200,0)</f>
        <v>0</v>
      </c>
      <c r="R1200" s="23" t="n">
        <f>MAX(J1200-K1200,0)</f>
        <v>0</v>
      </c>
      <c r="S1200" s="23" t="n">
        <f>IF(J1200&gt;0,MAX(L1200-J1200,0),L1200)</f>
        <v>0</v>
      </c>
    </row>
    <row r="1201">
      <c r="A1201" s="19" t="str">
        <v>英国区</v>
      </c>
      <c r="B1201" s="19" t="str">
        <v>伯明翰5号仓(SN)</v>
      </c>
      <c r="C1201" s="19" t="str">
        <v>拣货组</v>
      </c>
      <c r="D1201" s="21" t="n">
        <v>46116</v>
      </c>
      <c r="E1201" s="19" t="str">
        <v>2026-04</v>
      </c>
      <c r="F1201" s="19" t="str">
        <v>保安</v>
      </c>
      <c r="G1201" s="19" t="str">
        <v>英国灵活（6小时扣午休） / UK FLEX (6-HR LUNCH BREAK DEDUCTED)</v>
      </c>
      <c r="H1201" s="23" t="n">
        <v>1</v>
      </c>
      <c r="I1201" s="23" t="n">
        <v>0</v>
      </c>
      <c r="J1201" s="23" t="n">
        <f>H1201+I1201</f>
        <v>1</v>
      </c>
      <c r="K1201" s="23" t="n">
        <v>1</v>
      </c>
      <c r="L1201" s="23" t="n">
        <v>1</v>
      </c>
      <c r="M1201" s="23" t="n">
        <f>MIN(K1201,J1201)</f>
        <v>1</v>
      </c>
      <c r="N1201" s="23" t="n">
        <f>MIN(L1201,J1201)</f>
        <v>1</v>
      </c>
      <c r="O1201" s="25" t="n">
        <f>IF(K1201=0,0,MIN(1,J1201/K1201))</f>
        <v>1</v>
      </c>
      <c r="P1201" s="23" t="n">
        <f>IF(J1201&gt;0,MAX(K1201-J1201,0),0)</f>
        <v>0</v>
      </c>
      <c r="Q1201" s="23" t="n">
        <f>IF(J1201=0,K1201,0)</f>
        <v>0</v>
      </c>
      <c r="R1201" s="23" t="n">
        <f>MAX(J1201-K1201,0)</f>
        <v>0</v>
      </c>
      <c r="S1201" s="23" t="n">
        <f>IF(J1201&gt;0,MAX(L1201-J1201,0),L1201)</f>
        <v>0</v>
      </c>
    </row>
    <row r="1202">
      <c r="A1202" s="19" t="str">
        <v>英国区</v>
      </c>
      <c r="B1202" s="19" t="str">
        <v>伯明翰5号仓(SN)</v>
      </c>
      <c r="C1202" s="19" t="str">
        <v>拣货组</v>
      </c>
      <c r="D1202" s="21" t="n">
        <v>46169</v>
      </c>
      <c r="E1202" s="19" t="str">
        <v>2026-05</v>
      </c>
      <c r="F1202" s="19" t="str">
        <v>保安</v>
      </c>
      <c r="G1202" s="19" t="str">
        <v>英国灵活（6小时扣午休） / UK FLEX (6-HR LUNCH BREAK DEDUCTED)</v>
      </c>
      <c r="H1202" s="23" t="n">
        <v>1</v>
      </c>
      <c r="I1202" s="23" t="n">
        <v>0</v>
      </c>
      <c r="J1202" s="23" t="n">
        <f>H1202+I1202</f>
        <v>1</v>
      </c>
      <c r="K1202" s="23" t="n">
        <v>1</v>
      </c>
      <c r="L1202" s="23" t="n">
        <v>1</v>
      </c>
      <c r="M1202" s="23" t="n">
        <f>MIN(K1202,J1202)</f>
        <v>1</v>
      </c>
      <c r="N1202" s="23" t="n">
        <f>MIN(L1202,J1202)</f>
        <v>1</v>
      </c>
      <c r="O1202" s="25" t="n">
        <f>IF(K1202=0,0,MIN(1,J1202/K1202))</f>
        <v>1</v>
      </c>
      <c r="P1202" s="23" t="n">
        <f>IF(J1202&gt;0,MAX(K1202-J1202,0),0)</f>
        <v>0</v>
      </c>
      <c r="Q1202" s="23" t="n">
        <f>IF(J1202=0,K1202,0)</f>
        <v>0</v>
      </c>
      <c r="R1202" s="23" t="n">
        <f>MAX(J1202-K1202,0)</f>
        <v>0</v>
      </c>
      <c r="S1202" s="23" t="n">
        <f>IF(J1202&gt;0,MAX(L1202-J1202,0),L1202)</f>
        <v>0</v>
      </c>
    </row>
    <row r="1203">
      <c r="A1203" s="19" t="str">
        <v>英国区</v>
      </c>
      <c r="B1203" s="19" t="str">
        <v>伯明翰5号仓(SN)</v>
      </c>
      <c r="C1203" s="19" t="str">
        <v>拣货组</v>
      </c>
      <c r="D1203" s="21" t="n">
        <v>46197</v>
      </c>
      <c r="E1203" s="19" t="str">
        <v>2026-06</v>
      </c>
      <c r="F1203" s="19" t="str">
        <v>操作员</v>
      </c>
      <c r="G1203" s="19" t="str">
        <v>英国灵活（6小时扣午休） / UK FLEX (6-HR LUNCH BREAK DEDUCTED)</v>
      </c>
      <c r="H1203" s="23" t="n">
        <v>3</v>
      </c>
      <c r="I1203" s="23" t="n">
        <v>0</v>
      </c>
      <c r="J1203" s="23" t="n">
        <f>H1203+I1203</f>
        <v>3</v>
      </c>
      <c r="K1203" s="23" t="n">
        <v>3</v>
      </c>
      <c r="L1203" s="23" t="n">
        <v>3</v>
      </c>
      <c r="M1203" s="23" t="n">
        <f>MIN(K1203,J1203)</f>
        <v>3</v>
      </c>
      <c r="N1203" s="23" t="n">
        <f>MIN(L1203,J1203)</f>
        <v>3</v>
      </c>
      <c r="O1203" s="25" t="n">
        <f>IF(K1203=0,0,MIN(1,J1203/K1203))</f>
        <v>1</v>
      </c>
      <c r="P1203" s="23" t="n">
        <f>IF(J1203&gt;0,MAX(K1203-J1203,0),0)</f>
        <v>0</v>
      </c>
      <c r="Q1203" s="23" t="n">
        <f>IF(J1203=0,K1203,0)</f>
        <v>0</v>
      </c>
      <c r="R1203" s="23" t="n">
        <f>MAX(J1203-K1203,0)</f>
        <v>0</v>
      </c>
      <c r="S1203" s="23" t="n">
        <f>IF(J1203&gt;0,MAX(L1203-J1203,0),L1203)</f>
        <v>0</v>
      </c>
    </row>
    <row r="1204">
      <c r="A1204" s="19" t="str">
        <v>英国区</v>
      </c>
      <c r="B1204" s="19" t="str">
        <v>伯明翰5号仓(SN)</v>
      </c>
      <c r="C1204" s="19" t="str">
        <v>拣货组</v>
      </c>
      <c r="D1204" s="21" t="n">
        <v>46198</v>
      </c>
      <c r="E1204" s="19" t="str">
        <v>2026-06</v>
      </c>
      <c r="F1204" s="19" t="str">
        <v>操作员</v>
      </c>
      <c r="G1204" s="19" t="str">
        <v>英国灵活（6小时扣午休） / UK FLEX (6-HR LUNCH BREAK DEDUCTED)</v>
      </c>
      <c r="H1204" s="23" t="n">
        <v>8</v>
      </c>
      <c r="I1204" s="23" t="n">
        <v>0</v>
      </c>
      <c r="J1204" s="23" t="n">
        <f>H1204+I1204</f>
        <v>8</v>
      </c>
      <c r="K1204" s="23" t="n">
        <v>8</v>
      </c>
      <c r="L1204" s="23" t="n">
        <v>8</v>
      </c>
      <c r="M1204" s="23" t="n">
        <f>MIN(K1204,J1204)</f>
        <v>8</v>
      </c>
      <c r="N1204" s="23" t="n">
        <f>MIN(L1204,J1204)</f>
        <v>8</v>
      </c>
      <c r="O1204" s="25" t="n">
        <f>IF(K1204=0,0,MIN(1,J1204/K1204))</f>
        <v>1</v>
      </c>
      <c r="P1204" s="23" t="n">
        <f>IF(J1204&gt;0,MAX(K1204-J1204,0),0)</f>
        <v>0</v>
      </c>
      <c r="Q1204" s="23" t="n">
        <f>IF(J1204=0,K1204,0)</f>
        <v>0</v>
      </c>
      <c r="R1204" s="23" t="n">
        <f>MAX(J1204-K1204,0)</f>
        <v>0</v>
      </c>
      <c r="S1204" s="23" t="n">
        <f>IF(J1204&gt;0,MAX(L1204-J1204,0),L1204)</f>
        <v>0</v>
      </c>
    </row>
    <row r="1205">
      <c r="A1205" s="19" t="str">
        <v>英国区</v>
      </c>
      <c r="B1205" s="19" t="str">
        <v>伯明翰5号仓(SN)</v>
      </c>
      <c r="C1205" s="19" t="str">
        <v>拣货组</v>
      </c>
      <c r="D1205" s="21" t="n">
        <v>46199</v>
      </c>
      <c r="E1205" s="19" t="str">
        <v>2026-06</v>
      </c>
      <c r="F1205" s="19" t="str">
        <v>操作员</v>
      </c>
      <c r="G1205" s="19" t="str">
        <v>英国灵活（6小时扣午休） / UK FLEX (6-HR LUNCH BREAK DEDUCTED)</v>
      </c>
      <c r="H1205" s="23" t="n">
        <v>8</v>
      </c>
      <c r="I1205" s="23" t="n">
        <v>0</v>
      </c>
      <c r="J1205" s="23" t="n">
        <f>H1205+I1205</f>
        <v>8</v>
      </c>
      <c r="K1205" s="23" t="n">
        <v>8</v>
      </c>
      <c r="L1205" s="23" t="n">
        <v>8</v>
      </c>
      <c r="M1205" s="23" t="n">
        <f>MIN(K1205,J1205)</f>
        <v>8</v>
      </c>
      <c r="N1205" s="23" t="n">
        <f>MIN(L1205,J1205)</f>
        <v>8</v>
      </c>
      <c r="O1205" s="25" t="n">
        <f>IF(K1205=0,0,MIN(1,J1205/K1205))</f>
        <v>1</v>
      </c>
      <c r="P1205" s="23" t="n">
        <f>IF(J1205&gt;0,MAX(K1205-J1205,0),0)</f>
        <v>0</v>
      </c>
      <c r="Q1205" s="23" t="n">
        <f>IF(J1205=0,K1205,0)</f>
        <v>0</v>
      </c>
      <c r="R1205" s="23" t="n">
        <f>MAX(J1205-K1205,0)</f>
        <v>0</v>
      </c>
      <c r="S1205" s="23" t="n">
        <f>IF(J1205&gt;0,MAX(L1205-J1205,0),L1205)</f>
        <v>0</v>
      </c>
    </row>
    <row r="1206">
      <c r="A1206" s="19" t="str">
        <v>英国区</v>
      </c>
      <c r="B1206" s="19" t="str">
        <v>伯明翰5号仓(SN)</v>
      </c>
      <c r="C1206" s="19" t="str">
        <v>拣货组</v>
      </c>
      <c r="D1206" s="21" t="n">
        <v>46200</v>
      </c>
      <c r="E1206" s="19" t="str">
        <v>2026-06</v>
      </c>
      <c r="F1206" s="19" t="str">
        <v>操作员</v>
      </c>
      <c r="G1206" s="19" t="str">
        <v>英国灵活（6小时扣午休） / UK FLEX (6-HR LUNCH BREAK DEDUCTED)</v>
      </c>
      <c r="H1206" s="23" t="n">
        <v>8</v>
      </c>
      <c r="I1206" s="23" t="n">
        <v>0</v>
      </c>
      <c r="J1206" s="23" t="n">
        <f>H1206+I1206</f>
        <v>8</v>
      </c>
      <c r="K1206" s="23" t="n">
        <v>8</v>
      </c>
      <c r="L1206" s="23" t="n">
        <v>8</v>
      </c>
      <c r="M1206" s="23" t="n">
        <f>MIN(K1206,J1206)</f>
        <v>8</v>
      </c>
      <c r="N1206" s="23" t="n">
        <f>MIN(L1206,J1206)</f>
        <v>8</v>
      </c>
      <c r="O1206" s="25" t="n">
        <f>IF(K1206=0,0,MIN(1,J1206/K1206))</f>
        <v>1</v>
      </c>
      <c r="P1206" s="23" t="n">
        <f>IF(J1206&gt;0,MAX(K1206-J1206,0),0)</f>
        <v>0</v>
      </c>
      <c r="Q1206" s="23" t="n">
        <f>IF(J1206=0,K1206,0)</f>
        <v>0</v>
      </c>
      <c r="R1206" s="23" t="n">
        <f>MAX(J1206-K1206,0)</f>
        <v>0</v>
      </c>
      <c r="S1206" s="23" t="n">
        <f>IF(J1206&gt;0,MAX(L1206-J1206,0),L1206)</f>
        <v>0</v>
      </c>
    </row>
    <row r="1207">
      <c r="A1207" s="19" t="str">
        <v>英国区</v>
      </c>
      <c r="B1207" s="19" t="str">
        <v>伯明翰5号仓(SN)</v>
      </c>
      <c r="C1207" s="19" t="str">
        <v>拣货组</v>
      </c>
      <c r="D1207" s="21" t="n">
        <v>46201</v>
      </c>
      <c r="E1207" s="19" t="str">
        <v>2026-06</v>
      </c>
      <c r="F1207" s="19" t="str">
        <v>操作员</v>
      </c>
      <c r="G1207" s="19" t="str">
        <v>英国灵活（6小时扣午休） / UK FLEX (6-HR LUNCH BREAK DEDUCTED)</v>
      </c>
      <c r="H1207" s="23" t="n">
        <v>8</v>
      </c>
      <c r="I1207" s="23" t="n">
        <v>0</v>
      </c>
      <c r="J1207" s="23" t="n">
        <f>H1207+I1207</f>
        <v>8</v>
      </c>
      <c r="K1207" s="23" t="n">
        <v>8</v>
      </c>
      <c r="L1207" s="23" t="n">
        <v>8</v>
      </c>
      <c r="M1207" s="23" t="n">
        <f>MIN(K1207,J1207)</f>
        <v>8</v>
      </c>
      <c r="N1207" s="23" t="n">
        <f>MIN(L1207,J1207)</f>
        <v>8</v>
      </c>
      <c r="O1207" s="25" t="n">
        <f>IF(K1207=0,0,MIN(1,J1207/K1207))</f>
        <v>1</v>
      </c>
      <c r="P1207" s="23" t="n">
        <f>IF(J1207&gt;0,MAX(K1207-J1207,0),0)</f>
        <v>0</v>
      </c>
      <c r="Q1207" s="23" t="n">
        <f>IF(J1207=0,K1207,0)</f>
        <v>0</v>
      </c>
      <c r="R1207" s="23" t="n">
        <f>MAX(J1207-K1207,0)</f>
        <v>0</v>
      </c>
      <c r="S1207" s="23" t="n">
        <f>IF(J1207&gt;0,MAX(L1207-J1207,0),L1207)</f>
        <v>0</v>
      </c>
    </row>
    <row r="1208">
      <c r="A1208" s="19" t="str">
        <v>英国区</v>
      </c>
      <c r="B1208" s="19" t="str">
        <v>伯明翰6号仓(SN)</v>
      </c>
      <c r="C1208" s="19" t="str">
        <v>维保组（自动化）</v>
      </c>
      <c r="D1208" s="21" t="n">
        <v>46142</v>
      </c>
      <c r="E1208" s="19" t="str">
        <v>2026-04</v>
      </c>
      <c r="F1208" s="19" t="str">
        <v>保安</v>
      </c>
      <c r="G1208" s="19" t="str">
        <v>英国灵活（3小时扣午休） / UK FLEX (3-HR LUNCH BREAK DEDUCTED)</v>
      </c>
      <c r="H1208" s="23" t="n">
        <v>1</v>
      </c>
      <c r="I1208" s="23" t="n">
        <v>0</v>
      </c>
      <c r="J1208" s="23" t="n">
        <f>H1208+I1208</f>
        <v>1</v>
      </c>
      <c r="K1208" s="23" t="n">
        <v>2</v>
      </c>
      <c r="L1208" s="23" t="n">
        <v>1</v>
      </c>
      <c r="M1208" s="23" t="n">
        <f>MIN(K1208,J1208)</f>
        <v>1</v>
      </c>
      <c r="N1208" s="23" t="n">
        <f>MIN(L1208,J1208)</f>
        <v>1</v>
      </c>
      <c r="O1208" s="25" t="n">
        <f>IF(K1208=0,0,MIN(1,J1208/K1208))</f>
        <v>0.5</v>
      </c>
      <c r="P1208" s="23" t="n">
        <f>IF(J1208&gt;0,MAX(K1208-J1208,0),0)</f>
        <v>1</v>
      </c>
      <c r="Q1208" s="23" t="n">
        <f>IF(J1208=0,K1208,0)</f>
        <v>0</v>
      </c>
      <c r="R1208" s="23" t="n">
        <f>MAX(J1208-K1208,0)</f>
        <v>0</v>
      </c>
      <c r="S1208" s="23" t="n">
        <f>IF(J1208&gt;0,MAX(L1208-J1208,0),L1208)</f>
        <v>0</v>
      </c>
    </row>
    <row r="1209">
      <c r="A1209" s="19" t="str">
        <v>英国区</v>
      </c>
      <c r="B1209" s="19" t="str">
        <v>伯明翰7号仓(SN)</v>
      </c>
      <c r="C1209" s="19" t="str">
        <v>上架组</v>
      </c>
      <c r="D1209" s="21" t="n">
        <v>46148</v>
      </c>
      <c r="E1209" s="19" t="str">
        <v>2026-05</v>
      </c>
      <c r="F1209" s="19" t="str">
        <v>操作员</v>
      </c>
      <c r="G1209" s="19" t="str">
        <v>英国灵活（跨天） / UK FLEX (CROSS-DAY)</v>
      </c>
      <c r="H1209" s="23" t="n">
        <v>4</v>
      </c>
      <c r="I1209" s="23" t="n">
        <v>0</v>
      </c>
      <c r="J1209" s="23" t="n">
        <f>H1209+I1209</f>
        <v>4</v>
      </c>
      <c r="K1209" s="23" t="n">
        <v>4</v>
      </c>
      <c r="L1209" s="23" t="n">
        <v>4</v>
      </c>
      <c r="M1209" s="23" t="n">
        <f>MIN(K1209,J1209)</f>
        <v>4</v>
      </c>
      <c r="N1209" s="23" t="n">
        <f>MIN(L1209,J1209)</f>
        <v>4</v>
      </c>
      <c r="O1209" s="25" t="n">
        <f>IF(K1209=0,0,MIN(1,J1209/K1209))</f>
        <v>1</v>
      </c>
      <c r="P1209" s="23" t="n">
        <f>IF(J1209&gt;0,MAX(K1209-J1209,0),0)</f>
        <v>0</v>
      </c>
      <c r="Q1209" s="23" t="n">
        <f>IF(J1209=0,K1209,0)</f>
        <v>0</v>
      </c>
      <c r="R1209" s="23" t="n">
        <f>MAX(J1209-K1209,0)</f>
        <v>0</v>
      </c>
      <c r="S1209" s="23" t="n">
        <f>IF(J1209&gt;0,MAX(L1209-J1209,0),L1209)</f>
        <v>0</v>
      </c>
    </row>
    <row r="1210">
      <c r="A1210" s="19" t="str">
        <v>英国区</v>
      </c>
      <c r="B1210" s="19" t="str">
        <v>伯明翰7号仓(SN)</v>
      </c>
      <c r="C1210" s="19" t="str">
        <v>上架组</v>
      </c>
      <c r="D1210" s="21" t="n">
        <v>46161</v>
      </c>
      <c r="E1210" s="19" t="str">
        <v>2026-05</v>
      </c>
      <c r="F1210" s="19" t="str">
        <v>操作员</v>
      </c>
      <c r="G1210" s="19" t="str">
        <v>英国灵活（跨天） / UK FLEX (CROSS-DAY)</v>
      </c>
      <c r="H1210" s="23" t="n">
        <v>6</v>
      </c>
      <c r="I1210" s="23" t="n">
        <v>0</v>
      </c>
      <c r="J1210" s="23" t="n">
        <f>H1210+I1210</f>
        <v>6</v>
      </c>
      <c r="K1210" s="23" t="n">
        <v>6</v>
      </c>
      <c r="L1210" s="23" t="n">
        <v>6</v>
      </c>
      <c r="M1210" s="23" t="n">
        <f>MIN(K1210,J1210)</f>
        <v>6</v>
      </c>
      <c r="N1210" s="23" t="n">
        <f>MIN(L1210,J1210)</f>
        <v>6</v>
      </c>
      <c r="O1210" s="25" t="n">
        <f>IF(K1210=0,0,MIN(1,J1210/K1210))</f>
        <v>1</v>
      </c>
      <c r="P1210" s="23" t="n">
        <f>IF(J1210&gt;0,MAX(K1210-J1210,0),0)</f>
        <v>0</v>
      </c>
      <c r="Q1210" s="23" t="n">
        <f>IF(J1210=0,K1210,0)</f>
        <v>0</v>
      </c>
      <c r="R1210" s="23" t="n">
        <f>MAX(J1210-K1210,0)</f>
        <v>0</v>
      </c>
      <c r="S1210" s="23" t="n">
        <f>IF(J1210&gt;0,MAX(L1210-J1210,0),L1210)</f>
        <v>0</v>
      </c>
    </row>
    <row r="1211">
      <c r="A1211" s="19" t="str">
        <v>英国区</v>
      </c>
      <c r="B1211" s="19" t="str">
        <v>伯明翰7号仓(SN)</v>
      </c>
      <c r="C1211" s="19" t="str">
        <v>上架组</v>
      </c>
      <c r="D1211" s="21" t="n">
        <v>46163</v>
      </c>
      <c r="E1211" s="19" t="str">
        <v>2026-05</v>
      </c>
      <c r="F1211" s="19" t="str">
        <v>操作员</v>
      </c>
      <c r="G1211" s="19" t="str">
        <v>英国灵活（跨天） / UK FLEX (CROSS-DAY)</v>
      </c>
      <c r="H1211" s="23" t="n">
        <v>4</v>
      </c>
      <c r="I1211" s="23" t="n">
        <v>0</v>
      </c>
      <c r="J1211" s="23" t="n">
        <f>H1211+I1211</f>
        <v>4</v>
      </c>
      <c r="K1211" s="23" t="n">
        <v>4</v>
      </c>
      <c r="L1211" s="23" t="n">
        <v>0</v>
      </c>
      <c r="M1211" s="23" t="n">
        <f>MIN(K1211,J1211)</f>
        <v>4</v>
      </c>
      <c r="N1211" s="23" t="n">
        <f>MIN(L1211,J1211)</f>
        <v>0</v>
      </c>
      <c r="O1211" s="25" t="n">
        <f>IF(K1211=0,0,MIN(1,J1211/K1211))</f>
        <v>1</v>
      </c>
      <c r="P1211" s="23" t="n">
        <f>IF(J1211&gt;0,MAX(K1211-J1211,0),0)</f>
        <v>0</v>
      </c>
      <c r="Q1211" s="23" t="n">
        <f>IF(J1211=0,K1211,0)</f>
        <v>0</v>
      </c>
      <c r="R1211" s="23" t="n">
        <f>MAX(J1211-K1211,0)</f>
        <v>0</v>
      </c>
      <c r="S1211" s="23" t="n">
        <f>IF(J1211&gt;0,MAX(L1211-J1211,0),L1211)</f>
        <v>0</v>
      </c>
    </row>
    <row r="1212">
      <c r="A1212" s="19" t="str">
        <v>英国区</v>
      </c>
      <c r="B1212" s="19" t="str">
        <v>伯明翰7号仓(SN)</v>
      </c>
      <c r="C1212" s="19" t="str">
        <v>上架组</v>
      </c>
      <c r="D1212" s="21" t="n">
        <v>46168</v>
      </c>
      <c r="E1212" s="19" t="str">
        <v>2026-05</v>
      </c>
      <c r="F1212" s="19" t="str">
        <v>操作员</v>
      </c>
      <c r="G1212" s="19" t="str">
        <v>英国灵活（跨天） / UK FLEX (CROSS-DAY)</v>
      </c>
      <c r="H1212" s="23" t="n">
        <v>4</v>
      </c>
      <c r="I1212" s="23" t="n">
        <v>0</v>
      </c>
      <c r="J1212" s="23" t="n">
        <f>H1212+I1212</f>
        <v>4</v>
      </c>
      <c r="K1212" s="23" t="n">
        <v>4</v>
      </c>
      <c r="L1212" s="23" t="n">
        <v>4</v>
      </c>
      <c r="M1212" s="23" t="n">
        <f>MIN(K1212,J1212)</f>
        <v>4</v>
      </c>
      <c r="N1212" s="23" t="n">
        <f>MIN(L1212,J1212)</f>
        <v>4</v>
      </c>
      <c r="O1212" s="25" t="n">
        <f>IF(K1212=0,0,MIN(1,J1212/K1212))</f>
        <v>1</v>
      </c>
      <c r="P1212" s="23" t="n">
        <f>IF(J1212&gt;0,MAX(K1212-J1212,0),0)</f>
        <v>0</v>
      </c>
      <c r="Q1212" s="23" t="n">
        <f>IF(J1212=0,K1212,0)</f>
        <v>0</v>
      </c>
      <c r="R1212" s="23" t="n">
        <f>MAX(J1212-K1212,0)</f>
        <v>0</v>
      </c>
      <c r="S1212" s="23" t="n">
        <f>IF(J1212&gt;0,MAX(L1212-J1212,0),L1212)</f>
        <v>0</v>
      </c>
    </row>
    <row r="1213">
      <c r="A1213" s="19" t="str">
        <v>英国区</v>
      </c>
      <c r="B1213" s="19" t="str">
        <v>伯明翰7号仓(SN)</v>
      </c>
      <c r="C1213" s="19" t="str">
        <v>上架组</v>
      </c>
      <c r="D1213" s="21" t="n">
        <v>46184</v>
      </c>
      <c r="E1213" s="19" t="str">
        <v>2026-06</v>
      </c>
      <c r="F1213" s="19" t="str">
        <v>操作员</v>
      </c>
      <c r="G1213" s="19" t="str">
        <v>英国灵活（6小时扣午休） / UK FLEX (6-HR LUNCH BREAK DEDUCTED)</v>
      </c>
      <c r="H1213" s="23" t="n">
        <v>13</v>
      </c>
      <c r="I1213" s="23" t="n">
        <v>0</v>
      </c>
      <c r="J1213" s="23" t="n">
        <f>H1213+I1213</f>
        <v>13</v>
      </c>
      <c r="K1213" s="23" t="n">
        <v>13</v>
      </c>
      <c r="L1213" s="23" t="n">
        <v>13</v>
      </c>
      <c r="M1213" s="23" t="n">
        <f>MIN(K1213,J1213)</f>
        <v>13</v>
      </c>
      <c r="N1213" s="23" t="n">
        <f>MIN(L1213,J1213)</f>
        <v>13</v>
      </c>
      <c r="O1213" s="25" t="n">
        <f>IF(K1213=0,0,MIN(1,J1213/K1213))</f>
        <v>1</v>
      </c>
      <c r="P1213" s="23" t="n">
        <f>IF(J1213&gt;0,MAX(K1213-J1213,0),0)</f>
        <v>0</v>
      </c>
      <c r="Q1213" s="23" t="n">
        <f>IF(J1213=0,K1213,0)</f>
        <v>0</v>
      </c>
      <c r="R1213" s="23" t="n">
        <f>MAX(J1213-K1213,0)</f>
        <v>0</v>
      </c>
      <c r="S1213" s="23" t="n">
        <f>IF(J1213&gt;0,MAX(L1213-J1213,0),L1213)</f>
        <v>0</v>
      </c>
    </row>
    <row r="1214">
      <c r="A1214" s="19" t="str">
        <v>英国区</v>
      </c>
      <c r="B1214" s="19" t="str">
        <v>伯明翰7号仓(SN)</v>
      </c>
      <c r="C1214" s="19" t="str">
        <v>上架组</v>
      </c>
      <c r="D1214" s="21" t="n">
        <v>46197</v>
      </c>
      <c r="E1214" s="19" t="str">
        <v>2026-06</v>
      </c>
      <c r="F1214" s="19" t="str">
        <v>操作员</v>
      </c>
      <c r="G1214" s="19" t="str">
        <v>英国灵活（跨天） / UK FLEX (CROSS-DAY)</v>
      </c>
      <c r="H1214" s="23" t="n">
        <v>2</v>
      </c>
      <c r="I1214" s="23" t="n">
        <v>0</v>
      </c>
      <c r="J1214" s="23" t="n">
        <f>H1214+I1214</f>
        <v>2</v>
      </c>
      <c r="K1214" s="23" t="n">
        <v>2</v>
      </c>
      <c r="L1214" s="23" t="n">
        <v>2</v>
      </c>
      <c r="M1214" s="23" t="n">
        <f>MIN(K1214,J1214)</f>
        <v>2</v>
      </c>
      <c r="N1214" s="23" t="n">
        <f>MIN(L1214,J1214)</f>
        <v>2</v>
      </c>
      <c r="O1214" s="25" t="n">
        <f>IF(K1214=0,0,MIN(1,J1214/K1214))</f>
        <v>1</v>
      </c>
      <c r="P1214" s="23" t="n">
        <f>IF(J1214&gt;0,MAX(K1214-J1214,0),0)</f>
        <v>0</v>
      </c>
      <c r="Q1214" s="23" t="n">
        <f>IF(J1214=0,K1214,0)</f>
        <v>0</v>
      </c>
      <c r="R1214" s="23" t="n">
        <f>MAX(J1214-K1214,0)</f>
        <v>0</v>
      </c>
      <c r="S1214" s="23" t="n">
        <f>IF(J1214&gt;0,MAX(L1214-J1214,0),L1214)</f>
        <v>0</v>
      </c>
    </row>
    <row r="1215">
      <c r="A1215" s="19" t="str">
        <v>英国区</v>
      </c>
      <c r="B1215" s="19" t="str">
        <v>伯明翰7号仓(SN)</v>
      </c>
      <c r="C1215" s="19" t="str">
        <v>分播组</v>
      </c>
      <c r="D1215" s="21" t="n">
        <v>46115</v>
      </c>
      <c r="E1215" s="19" t="str">
        <v>2026-04</v>
      </c>
      <c r="F1215" s="19" t="str">
        <v>操作员</v>
      </c>
      <c r="G1215" s="19" t="str">
        <v>英国灵活（6小时扣午休） / UK FLEX (6-HR LUNCH BREAK DEDUCTED)</v>
      </c>
      <c r="H1215" s="23" t="n">
        <v>1</v>
      </c>
      <c r="I1215" s="23" t="n">
        <v>0</v>
      </c>
      <c r="J1215" s="23" t="n">
        <f>H1215+I1215</f>
        <v>1</v>
      </c>
      <c r="K1215" s="23" t="n">
        <v>1</v>
      </c>
      <c r="L1215" s="23" t="n">
        <v>1</v>
      </c>
      <c r="M1215" s="23" t="n">
        <f>MIN(K1215,J1215)</f>
        <v>1</v>
      </c>
      <c r="N1215" s="23" t="n">
        <f>MIN(L1215,J1215)</f>
        <v>1</v>
      </c>
      <c r="O1215" s="25" t="n">
        <f>IF(K1215=0,0,MIN(1,J1215/K1215))</f>
        <v>1</v>
      </c>
      <c r="P1215" s="23" t="n">
        <f>IF(J1215&gt;0,MAX(K1215-J1215,0),0)</f>
        <v>0</v>
      </c>
      <c r="Q1215" s="23" t="n">
        <f>IF(J1215=0,K1215,0)</f>
        <v>0</v>
      </c>
      <c r="R1215" s="23" t="n">
        <f>MAX(J1215-K1215,0)</f>
        <v>0</v>
      </c>
      <c r="S1215" s="23" t="n">
        <f>IF(J1215&gt;0,MAX(L1215-J1215,0),L1215)</f>
        <v>0</v>
      </c>
    </row>
    <row r="1216">
      <c r="A1216" s="19" t="str">
        <v>英国区</v>
      </c>
      <c r="B1216" s="19" t="str">
        <v>伯明翰7号仓(SN)</v>
      </c>
      <c r="C1216" s="19" t="str">
        <v>分播组</v>
      </c>
      <c r="D1216" s="21" t="n">
        <v>46132</v>
      </c>
      <c r="E1216" s="19" t="str">
        <v>2026-04</v>
      </c>
      <c r="F1216" s="19" t="str">
        <v>操作员</v>
      </c>
      <c r="G1216" s="19" t="str">
        <v>英国灵活（6小时扣午休） / UK FLEX (6-HR LUNCH BREAK DEDUCTED)</v>
      </c>
      <c r="H1216" s="23" t="n">
        <v>2</v>
      </c>
      <c r="I1216" s="23" t="n">
        <v>0</v>
      </c>
      <c r="J1216" s="23" t="n">
        <f>H1216+I1216</f>
        <v>2</v>
      </c>
      <c r="K1216" s="23" t="n">
        <v>2</v>
      </c>
      <c r="L1216" s="23" t="n">
        <v>2</v>
      </c>
      <c r="M1216" s="23" t="n">
        <f>MIN(K1216,J1216)</f>
        <v>2</v>
      </c>
      <c r="N1216" s="23" t="n">
        <f>MIN(L1216,J1216)</f>
        <v>2</v>
      </c>
      <c r="O1216" s="25" t="n">
        <f>IF(K1216=0,0,MIN(1,J1216/K1216))</f>
        <v>1</v>
      </c>
      <c r="P1216" s="23" t="n">
        <f>IF(J1216&gt;0,MAX(K1216-J1216,0),0)</f>
        <v>0</v>
      </c>
      <c r="Q1216" s="23" t="n">
        <f>IF(J1216=0,K1216,0)</f>
        <v>0</v>
      </c>
      <c r="R1216" s="23" t="n">
        <f>MAX(J1216-K1216,0)</f>
        <v>0</v>
      </c>
      <c r="S1216" s="23" t="n">
        <f>IF(J1216&gt;0,MAX(L1216-J1216,0),L1216)</f>
        <v>0</v>
      </c>
    </row>
    <row r="1217">
      <c r="A1217" s="19" t="str">
        <v>英国区</v>
      </c>
      <c r="B1217" s="19" t="str">
        <v>伯明翰7号仓(SN)</v>
      </c>
      <c r="C1217" s="19" t="str">
        <v>分播组</v>
      </c>
      <c r="D1217" s="21" t="n">
        <v>46133</v>
      </c>
      <c r="E1217" s="19" t="str">
        <v>2026-04</v>
      </c>
      <c r="F1217" s="19" t="str">
        <v>操作员</v>
      </c>
      <c r="G1217" s="19" t="str">
        <v>英国灵活（6小时扣午休） / UK FLEX (6-HR LUNCH BREAK DEDUCTED)</v>
      </c>
      <c r="H1217" s="23" t="n">
        <v>3</v>
      </c>
      <c r="I1217" s="23" t="n">
        <v>0</v>
      </c>
      <c r="J1217" s="23" t="n">
        <f>H1217+I1217</f>
        <v>3</v>
      </c>
      <c r="K1217" s="23" t="n">
        <v>3</v>
      </c>
      <c r="L1217" s="23" t="n">
        <v>0</v>
      </c>
      <c r="M1217" s="23" t="n">
        <f>MIN(K1217,J1217)</f>
        <v>3</v>
      </c>
      <c r="N1217" s="23" t="n">
        <f>MIN(L1217,J1217)</f>
        <v>0</v>
      </c>
      <c r="O1217" s="25" t="n">
        <f>IF(K1217=0,0,MIN(1,J1217/K1217))</f>
        <v>1</v>
      </c>
      <c r="P1217" s="23" t="n">
        <f>IF(J1217&gt;0,MAX(K1217-J1217,0),0)</f>
        <v>0</v>
      </c>
      <c r="Q1217" s="23" t="n">
        <f>IF(J1217=0,K1217,0)</f>
        <v>0</v>
      </c>
      <c r="R1217" s="23" t="n">
        <f>MAX(J1217-K1217,0)</f>
        <v>0</v>
      </c>
      <c r="S1217" s="23" t="n">
        <f>IF(J1217&gt;0,MAX(L1217-J1217,0),L1217)</f>
        <v>0</v>
      </c>
    </row>
    <row r="1218">
      <c r="A1218" s="19" t="str">
        <v>英国区</v>
      </c>
      <c r="B1218" s="19" t="str">
        <v>伯明翰7号仓(SN)</v>
      </c>
      <c r="C1218" s="19" t="str">
        <v>分播组</v>
      </c>
      <c r="D1218" s="21" t="n">
        <v>46135</v>
      </c>
      <c r="E1218" s="19" t="str">
        <v>2026-04</v>
      </c>
      <c r="F1218" s="19" t="str">
        <v>操作员</v>
      </c>
      <c r="G1218" s="19" t="str">
        <v>英国灵活（6小时扣午休） / UK FLEX (6-HR LUNCH BREAK DEDUCTED)</v>
      </c>
      <c r="H1218" s="23" t="n">
        <v>3</v>
      </c>
      <c r="I1218" s="23" t="n">
        <v>0</v>
      </c>
      <c r="J1218" s="23" t="n">
        <f>H1218+I1218</f>
        <v>3</v>
      </c>
      <c r="K1218" s="23" t="n">
        <v>3</v>
      </c>
      <c r="L1218" s="23" t="n">
        <v>3</v>
      </c>
      <c r="M1218" s="23" t="n">
        <f>MIN(K1218,J1218)</f>
        <v>3</v>
      </c>
      <c r="N1218" s="23" t="n">
        <f>MIN(L1218,J1218)</f>
        <v>3</v>
      </c>
      <c r="O1218" s="25" t="n">
        <f>IF(K1218=0,0,MIN(1,J1218/K1218))</f>
        <v>1</v>
      </c>
      <c r="P1218" s="23" t="n">
        <f>IF(J1218&gt;0,MAX(K1218-J1218,0),0)</f>
        <v>0</v>
      </c>
      <c r="Q1218" s="23" t="n">
        <f>IF(J1218=0,K1218,0)</f>
        <v>0</v>
      </c>
      <c r="R1218" s="23" t="n">
        <f>MAX(J1218-K1218,0)</f>
        <v>0</v>
      </c>
      <c r="S1218" s="23" t="n">
        <f>IF(J1218&gt;0,MAX(L1218-J1218,0),L1218)</f>
        <v>0</v>
      </c>
    </row>
    <row r="1219">
      <c r="A1219" s="19" t="str">
        <v>英国区</v>
      </c>
      <c r="B1219" s="19" t="str">
        <v>伯明翰7号仓(SN)</v>
      </c>
      <c r="C1219" s="19" t="str">
        <v>分播组</v>
      </c>
      <c r="D1219" s="21" t="n">
        <v>46139</v>
      </c>
      <c r="E1219" s="19" t="str">
        <v>2026-04</v>
      </c>
      <c r="F1219" s="19" t="str">
        <v>操作员</v>
      </c>
      <c r="G1219" s="19" t="str">
        <v>英国灵活（6小时扣午休） / UK FLEX (6-HR LUNCH BREAK DEDUCTED)</v>
      </c>
      <c r="H1219" s="23" t="n">
        <v>4</v>
      </c>
      <c r="I1219" s="23" t="n">
        <v>0</v>
      </c>
      <c r="J1219" s="23" t="n">
        <f>H1219+I1219</f>
        <v>4</v>
      </c>
      <c r="K1219" s="23" t="n">
        <v>4</v>
      </c>
      <c r="L1219" s="23" t="n">
        <v>4</v>
      </c>
      <c r="M1219" s="23" t="n">
        <f>MIN(K1219,J1219)</f>
        <v>4</v>
      </c>
      <c r="N1219" s="23" t="n">
        <f>MIN(L1219,J1219)</f>
        <v>4</v>
      </c>
      <c r="O1219" s="25" t="n">
        <f>IF(K1219=0,0,MIN(1,J1219/K1219))</f>
        <v>1</v>
      </c>
      <c r="P1219" s="23" t="n">
        <f>IF(J1219&gt;0,MAX(K1219-J1219,0),0)</f>
        <v>0</v>
      </c>
      <c r="Q1219" s="23" t="n">
        <f>IF(J1219=0,K1219,0)</f>
        <v>0</v>
      </c>
      <c r="R1219" s="23" t="n">
        <f>MAX(J1219-K1219,0)</f>
        <v>0</v>
      </c>
      <c r="S1219" s="23" t="n">
        <f>IF(J1219&gt;0,MAX(L1219-J1219,0),L1219)</f>
        <v>0</v>
      </c>
    </row>
    <row r="1220">
      <c r="A1220" s="19" t="str">
        <v>英国区</v>
      </c>
      <c r="B1220" s="19" t="str">
        <v>伯明翰7号仓(SN)</v>
      </c>
      <c r="C1220" s="19" t="str">
        <v>分播组</v>
      </c>
      <c r="D1220" s="21" t="n">
        <v>46141</v>
      </c>
      <c r="E1220" s="19" t="str">
        <v>2026-04</v>
      </c>
      <c r="F1220" s="19" t="str">
        <v>操作员</v>
      </c>
      <c r="G1220" s="19" t="str">
        <v>英国灵活（6小时扣午休） / UK FLEX (6-HR LUNCH BREAK DEDUCTED)</v>
      </c>
      <c r="H1220" s="23" t="n">
        <v>3</v>
      </c>
      <c r="I1220" s="23" t="n">
        <v>0</v>
      </c>
      <c r="J1220" s="23" t="n">
        <f>H1220+I1220</f>
        <v>3</v>
      </c>
      <c r="K1220" s="23" t="n">
        <v>3</v>
      </c>
      <c r="L1220" s="23" t="n">
        <v>3</v>
      </c>
      <c r="M1220" s="23" t="n">
        <f>MIN(K1220,J1220)</f>
        <v>3</v>
      </c>
      <c r="N1220" s="23" t="n">
        <f>MIN(L1220,J1220)</f>
        <v>3</v>
      </c>
      <c r="O1220" s="25" t="n">
        <f>IF(K1220=0,0,MIN(1,J1220/K1220))</f>
        <v>1</v>
      </c>
      <c r="P1220" s="23" t="n">
        <f>IF(J1220&gt;0,MAX(K1220-J1220,0),0)</f>
        <v>0</v>
      </c>
      <c r="Q1220" s="23" t="n">
        <f>IF(J1220=0,K1220,0)</f>
        <v>0</v>
      </c>
      <c r="R1220" s="23" t="n">
        <f>MAX(J1220-K1220,0)</f>
        <v>0</v>
      </c>
      <c r="S1220" s="23" t="n">
        <f>IF(J1220&gt;0,MAX(L1220-J1220,0),L1220)</f>
        <v>0</v>
      </c>
    </row>
    <row r="1221">
      <c r="A1221" s="19" t="str">
        <v>英国区</v>
      </c>
      <c r="B1221" s="19" t="str">
        <v>伯明翰7号仓(SN)</v>
      </c>
      <c r="C1221" s="19" t="str">
        <v>分播组</v>
      </c>
      <c r="D1221" s="21" t="n">
        <v>46142</v>
      </c>
      <c r="E1221" s="19" t="str">
        <v>2026-04</v>
      </c>
      <c r="F1221" s="19" t="str">
        <v>操作员</v>
      </c>
      <c r="G1221" s="19" t="str">
        <v>英国灵活（6小时扣午休） / UK FLEX (6-HR LUNCH BREAK DEDUCTED)</v>
      </c>
      <c r="H1221" s="23" t="n">
        <v>2</v>
      </c>
      <c r="I1221" s="23" t="n">
        <v>0</v>
      </c>
      <c r="J1221" s="23" t="n">
        <f>H1221+I1221</f>
        <v>2</v>
      </c>
      <c r="K1221" s="23" t="n">
        <v>2</v>
      </c>
      <c r="L1221" s="23" t="n">
        <v>2</v>
      </c>
      <c r="M1221" s="23" t="n">
        <f>MIN(K1221,J1221)</f>
        <v>2</v>
      </c>
      <c r="N1221" s="23" t="n">
        <f>MIN(L1221,J1221)</f>
        <v>2</v>
      </c>
      <c r="O1221" s="25" t="n">
        <f>IF(K1221=0,0,MIN(1,J1221/K1221))</f>
        <v>1</v>
      </c>
      <c r="P1221" s="23" t="n">
        <f>IF(J1221&gt;0,MAX(K1221-J1221,0),0)</f>
        <v>0</v>
      </c>
      <c r="Q1221" s="23" t="n">
        <f>IF(J1221=0,K1221,0)</f>
        <v>0</v>
      </c>
      <c r="R1221" s="23" t="n">
        <f>MAX(J1221-K1221,0)</f>
        <v>0</v>
      </c>
      <c r="S1221" s="23" t="n">
        <f>IF(J1221&gt;0,MAX(L1221-J1221,0),L1221)</f>
        <v>0</v>
      </c>
    </row>
    <row r="1222">
      <c r="A1222" s="19" t="str">
        <v>英国区</v>
      </c>
      <c r="B1222" s="19" t="str">
        <v>伯明翰7号仓(SN)</v>
      </c>
      <c r="C1222" s="19" t="str">
        <v>分播组</v>
      </c>
      <c r="D1222" s="21" t="n">
        <v>46160</v>
      </c>
      <c r="E1222" s="19" t="str">
        <v>2026-05</v>
      </c>
      <c r="F1222" s="19" t="str">
        <v>操作员</v>
      </c>
      <c r="G1222" s="19" t="str">
        <v>英国灵活（6小时扣午休） / UK FLEX (6-HR LUNCH BREAK DEDUCTED)</v>
      </c>
      <c r="H1222" s="23" t="n">
        <v>4</v>
      </c>
      <c r="I1222" s="23" t="n">
        <v>0</v>
      </c>
      <c r="J1222" s="23" t="n">
        <f>H1222+I1222</f>
        <v>4</v>
      </c>
      <c r="K1222" s="23" t="n">
        <v>4</v>
      </c>
      <c r="L1222" s="23" t="n">
        <v>4</v>
      </c>
      <c r="M1222" s="23" t="n">
        <f>MIN(K1222,J1222)</f>
        <v>4</v>
      </c>
      <c r="N1222" s="23" t="n">
        <f>MIN(L1222,J1222)</f>
        <v>4</v>
      </c>
      <c r="O1222" s="25" t="n">
        <f>IF(K1222=0,0,MIN(1,J1222/K1222))</f>
        <v>1</v>
      </c>
      <c r="P1222" s="23" t="n">
        <f>IF(J1222&gt;0,MAX(K1222-J1222,0),0)</f>
        <v>0</v>
      </c>
      <c r="Q1222" s="23" t="n">
        <f>IF(J1222=0,K1222,0)</f>
        <v>0</v>
      </c>
      <c r="R1222" s="23" t="n">
        <f>MAX(J1222-K1222,0)</f>
        <v>0</v>
      </c>
      <c r="S1222" s="23" t="n">
        <f>IF(J1222&gt;0,MAX(L1222-J1222,0),L1222)</f>
        <v>0</v>
      </c>
    </row>
    <row r="1223">
      <c r="A1223" s="19" t="str">
        <v>英国区</v>
      </c>
      <c r="B1223" s="19" t="str">
        <v>伯明翰7号仓(SN)</v>
      </c>
      <c r="C1223" s="19" t="str">
        <v>分播组</v>
      </c>
      <c r="D1223" s="21" t="n">
        <v>46161</v>
      </c>
      <c r="E1223" s="19" t="str">
        <v>2026-05</v>
      </c>
      <c r="F1223" s="19" t="str">
        <v>操作员</v>
      </c>
      <c r="G1223" s="19" t="str">
        <v>英国灵活（6小时扣午休） / UK FLEX (6-HR LUNCH BREAK DEDUCTED)</v>
      </c>
      <c r="H1223" s="23" t="n">
        <v>2</v>
      </c>
      <c r="I1223" s="23" t="n">
        <v>0</v>
      </c>
      <c r="J1223" s="23" t="n">
        <f>H1223+I1223</f>
        <v>2</v>
      </c>
      <c r="K1223" s="23" t="n">
        <v>2</v>
      </c>
      <c r="L1223" s="23" t="n">
        <v>2</v>
      </c>
      <c r="M1223" s="23" t="n">
        <f>MIN(K1223,J1223)</f>
        <v>2</v>
      </c>
      <c r="N1223" s="23" t="n">
        <f>MIN(L1223,J1223)</f>
        <v>2</v>
      </c>
      <c r="O1223" s="25" t="n">
        <f>IF(K1223=0,0,MIN(1,J1223/K1223))</f>
        <v>1</v>
      </c>
      <c r="P1223" s="23" t="n">
        <f>IF(J1223&gt;0,MAX(K1223-J1223,0),0)</f>
        <v>0</v>
      </c>
      <c r="Q1223" s="23" t="n">
        <f>IF(J1223=0,K1223,0)</f>
        <v>0</v>
      </c>
      <c r="R1223" s="23" t="n">
        <f>MAX(J1223-K1223,0)</f>
        <v>0</v>
      </c>
      <c r="S1223" s="23" t="n">
        <f>IF(J1223&gt;0,MAX(L1223-J1223,0),L1223)</f>
        <v>0</v>
      </c>
    </row>
    <row r="1224">
      <c r="A1224" s="19" t="str">
        <v>英国区</v>
      </c>
      <c r="B1224" s="19" t="str">
        <v>伯明翰7号仓(SN)</v>
      </c>
      <c r="C1224" s="19" t="str">
        <v>分播组</v>
      </c>
      <c r="D1224" s="21" t="n">
        <v>46168</v>
      </c>
      <c r="E1224" s="19" t="str">
        <v>2026-05</v>
      </c>
      <c r="F1224" s="19" t="str">
        <v>操作员</v>
      </c>
      <c r="G1224" s="19" t="str">
        <v>英国灵活（6小时扣午休） / UK FLEX (6-HR LUNCH BREAK DEDUCTED)</v>
      </c>
      <c r="H1224" s="23" t="n">
        <v>2</v>
      </c>
      <c r="I1224" s="23" t="n">
        <v>0</v>
      </c>
      <c r="J1224" s="23" t="n">
        <f>H1224+I1224</f>
        <v>2</v>
      </c>
      <c r="K1224" s="23" t="n">
        <v>2</v>
      </c>
      <c r="L1224" s="23" t="n">
        <v>2</v>
      </c>
      <c r="M1224" s="23" t="n">
        <f>MIN(K1224,J1224)</f>
        <v>2</v>
      </c>
      <c r="N1224" s="23" t="n">
        <f>MIN(L1224,J1224)</f>
        <v>2</v>
      </c>
      <c r="O1224" s="25" t="n">
        <f>IF(K1224=0,0,MIN(1,J1224/K1224))</f>
        <v>1</v>
      </c>
      <c r="P1224" s="23" t="n">
        <f>IF(J1224&gt;0,MAX(K1224-J1224,0),0)</f>
        <v>0</v>
      </c>
      <c r="Q1224" s="23" t="n">
        <f>IF(J1224=0,K1224,0)</f>
        <v>0</v>
      </c>
      <c r="R1224" s="23" t="n">
        <f>MAX(J1224-K1224,0)</f>
        <v>0</v>
      </c>
      <c r="S1224" s="23" t="n">
        <f>IF(J1224&gt;0,MAX(L1224-J1224,0),L1224)</f>
        <v>0</v>
      </c>
    </row>
    <row r="1225">
      <c r="A1225" s="19" t="str">
        <v>英国区</v>
      </c>
      <c r="B1225" s="19" t="str">
        <v>伯明翰7号仓(SN)</v>
      </c>
      <c r="C1225" s="19" t="str">
        <v>分播组</v>
      </c>
      <c r="D1225" s="21" t="n">
        <v>46184</v>
      </c>
      <c r="E1225" s="19" t="str">
        <v>2026-06</v>
      </c>
      <c r="F1225" s="19" t="str">
        <v>操作员</v>
      </c>
      <c r="G1225" s="19" t="str">
        <v>英国灵活（6小时扣午休） / UK FLEX (6-HR LUNCH BREAK DEDUCTED)</v>
      </c>
      <c r="H1225" s="23" t="n">
        <v>3</v>
      </c>
      <c r="I1225" s="23" t="n">
        <v>0</v>
      </c>
      <c r="J1225" s="23" t="n">
        <f>H1225+I1225</f>
        <v>3</v>
      </c>
      <c r="K1225" s="23" t="n">
        <v>3</v>
      </c>
      <c r="L1225" s="23" t="n">
        <v>0</v>
      </c>
      <c r="M1225" s="23" t="n">
        <f>MIN(K1225,J1225)</f>
        <v>3</v>
      </c>
      <c r="N1225" s="23" t="n">
        <f>MIN(L1225,J1225)</f>
        <v>0</v>
      </c>
      <c r="O1225" s="25" t="n">
        <f>IF(K1225=0,0,MIN(1,J1225/K1225))</f>
        <v>1</v>
      </c>
      <c r="P1225" s="23" t="n">
        <f>IF(J1225&gt;0,MAX(K1225-J1225,0),0)</f>
        <v>0</v>
      </c>
      <c r="Q1225" s="23" t="n">
        <f>IF(J1225=0,K1225,0)</f>
        <v>0</v>
      </c>
      <c r="R1225" s="23" t="n">
        <f>MAX(J1225-K1225,0)</f>
        <v>0</v>
      </c>
      <c r="S1225" s="23" t="n">
        <f>IF(J1225&gt;0,MAX(L1225-J1225,0),L1225)</f>
        <v>0</v>
      </c>
    </row>
    <row r="1226">
      <c r="A1226" s="19" t="str">
        <v>英国区</v>
      </c>
      <c r="B1226" s="19" t="str">
        <v>伯明翰7号仓(SN)</v>
      </c>
      <c r="C1226" s="19" t="str">
        <v>分播组</v>
      </c>
      <c r="D1226" s="21" t="n">
        <v>46198</v>
      </c>
      <c r="E1226" s="19" t="str">
        <v>2026-06</v>
      </c>
      <c r="F1226" s="19" t="str">
        <v>操作员</v>
      </c>
      <c r="G1226" s="19" t="str">
        <v>英国灵活（6小时扣午休） / UK FLEX (6-HR LUNCH BREAK DEDUCTED)</v>
      </c>
      <c r="H1226" s="23" t="n">
        <v>6</v>
      </c>
      <c r="I1226" s="23" t="n">
        <v>0</v>
      </c>
      <c r="J1226" s="23" t="n">
        <f>H1226+I1226</f>
        <v>6</v>
      </c>
      <c r="K1226" s="23" t="n">
        <v>6</v>
      </c>
      <c r="L1226" s="23" t="n">
        <v>6</v>
      </c>
      <c r="M1226" s="23" t="n">
        <f>MIN(K1226,J1226)</f>
        <v>6</v>
      </c>
      <c r="N1226" s="23" t="n">
        <f>MIN(L1226,J1226)</f>
        <v>6</v>
      </c>
      <c r="O1226" s="25" t="n">
        <f>IF(K1226=0,0,MIN(1,J1226/K1226))</f>
        <v>1</v>
      </c>
      <c r="P1226" s="23" t="n">
        <f>IF(J1226&gt;0,MAX(K1226-J1226,0),0)</f>
        <v>0</v>
      </c>
      <c r="Q1226" s="23" t="n">
        <f>IF(J1226=0,K1226,0)</f>
        <v>0</v>
      </c>
      <c r="R1226" s="23" t="n">
        <f>MAX(J1226-K1226,0)</f>
        <v>0</v>
      </c>
      <c r="S1226" s="23" t="n">
        <f>IF(J1226&gt;0,MAX(L1226-J1226,0),L1226)</f>
        <v>0</v>
      </c>
    </row>
    <row r="1227">
      <c r="A1227" s="19" t="str">
        <v>英国区</v>
      </c>
      <c r="B1227" s="19" t="str">
        <v>伯明翰7号仓(SN)</v>
      </c>
      <c r="C1227" s="19" t="str">
        <v>发货组</v>
      </c>
      <c r="D1227" s="21" t="n">
        <v>46113</v>
      </c>
      <c r="E1227" s="19" t="str">
        <v>2026-04</v>
      </c>
      <c r="F1227" s="19" t="str">
        <v>操作员</v>
      </c>
      <c r="G1227" s="19" t="str">
        <v>英国灵活（6小时扣午休） / UK FLEX (6-HR LUNCH BREAK DEDUCTED)</v>
      </c>
      <c r="H1227" s="23" t="n">
        <v>3</v>
      </c>
      <c r="I1227" s="23" t="n">
        <v>0</v>
      </c>
      <c r="J1227" s="23" t="n">
        <f>H1227+I1227</f>
        <v>3</v>
      </c>
      <c r="K1227" s="23" t="n">
        <v>3</v>
      </c>
      <c r="L1227" s="23" t="n">
        <v>3</v>
      </c>
      <c r="M1227" s="23" t="n">
        <f>MIN(K1227,J1227)</f>
        <v>3</v>
      </c>
      <c r="N1227" s="23" t="n">
        <f>MIN(L1227,J1227)</f>
        <v>3</v>
      </c>
      <c r="O1227" s="25" t="n">
        <f>IF(K1227=0,0,MIN(1,J1227/K1227))</f>
        <v>1</v>
      </c>
      <c r="P1227" s="23" t="n">
        <f>IF(J1227&gt;0,MAX(K1227-J1227,0),0)</f>
        <v>0</v>
      </c>
      <c r="Q1227" s="23" t="n">
        <f>IF(J1227=0,K1227,0)</f>
        <v>0</v>
      </c>
      <c r="R1227" s="23" t="n">
        <f>MAX(J1227-K1227,0)</f>
        <v>0</v>
      </c>
      <c r="S1227" s="23" t="n">
        <f>IF(J1227&gt;0,MAX(L1227-J1227,0),L1227)</f>
        <v>0</v>
      </c>
    </row>
    <row r="1228">
      <c r="A1228" s="19" t="str">
        <v>英国区</v>
      </c>
      <c r="B1228" s="19" t="str">
        <v>伯明翰7号仓(SN)</v>
      </c>
      <c r="C1228" s="19" t="str">
        <v>发货组</v>
      </c>
      <c r="D1228" s="21" t="n">
        <v>46115</v>
      </c>
      <c r="E1228" s="19" t="str">
        <v>2026-04</v>
      </c>
      <c r="F1228" s="19" t="str">
        <v>保安</v>
      </c>
      <c r="G1228" s="19" t="str">
        <v>英国灵活（6小时扣午休） / UK FLEX (6-HR LUNCH BREAK DEDUCTED)</v>
      </c>
      <c r="H1228" s="23" t="n">
        <v>1</v>
      </c>
      <c r="I1228" s="23" t="n">
        <v>0</v>
      </c>
      <c r="J1228" s="23" t="n">
        <f>H1228+I1228</f>
        <v>1</v>
      </c>
      <c r="K1228" s="23" t="n">
        <v>1</v>
      </c>
      <c r="L1228" s="23" t="n">
        <v>1</v>
      </c>
      <c r="M1228" s="23" t="n">
        <f>MIN(K1228,J1228)</f>
        <v>1</v>
      </c>
      <c r="N1228" s="23" t="n">
        <f>MIN(L1228,J1228)</f>
        <v>1</v>
      </c>
      <c r="O1228" s="25" t="n">
        <f>IF(K1228=0,0,MIN(1,J1228/K1228))</f>
        <v>1</v>
      </c>
      <c r="P1228" s="23" t="n">
        <f>IF(J1228&gt;0,MAX(K1228-J1228,0),0)</f>
        <v>0</v>
      </c>
      <c r="Q1228" s="23" t="n">
        <f>IF(J1228=0,K1228,0)</f>
        <v>0</v>
      </c>
      <c r="R1228" s="23" t="n">
        <f>MAX(J1228-K1228,0)</f>
        <v>0</v>
      </c>
      <c r="S1228" s="23" t="n">
        <f>IF(J1228&gt;0,MAX(L1228-J1228,0),L1228)</f>
        <v>0</v>
      </c>
    </row>
    <row r="1229">
      <c r="A1229" s="19" t="str">
        <v>英国区</v>
      </c>
      <c r="B1229" s="19" t="str">
        <v>伯明翰7号仓(SN)</v>
      </c>
      <c r="C1229" s="19" t="str">
        <v>发货组</v>
      </c>
      <c r="D1229" s="21" t="n">
        <v>46143</v>
      </c>
      <c r="E1229" s="19" t="str">
        <v>2026-05</v>
      </c>
      <c r="F1229" s="19" t="str">
        <v>操作员</v>
      </c>
      <c r="G1229" s="19" t="str">
        <v>英国灵活（6小时扣午休） / UK FLEX (6-HR LUNCH BREAK DEDUCTED)</v>
      </c>
      <c r="H1229" s="23" t="n">
        <v>1</v>
      </c>
      <c r="I1229" s="23" t="n">
        <v>0</v>
      </c>
      <c r="J1229" s="23" t="n">
        <f>H1229+I1229</f>
        <v>1</v>
      </c>
      <c r="K1229" s="23" t="n">
        <v>1</v>
      </c>
      <c r="L1229" s="23" t="n">
        <v>1</v>
      </c>
      <c r="M1229" s="23" t="n">
        <f>MIN(K1229,J1229)</f>
        <v>1</v>
      </c>
      <c r="N1229" s="23" t="n">
        <f>MIN(L1229,J1229)</f>
        <v>1</v>
      </c>
      <c r="O1229" s="25" t="n">
        <f>IF(K1229=0,0,MIN(1,J1229/K1229))</f>
        <v>1</v>
      </c>
      <c r="P1229" s="23" t="n">
        <f>IF(J1229&gt;0,MAX(K1229-J1229,0),0)</f>
        <v>0</v>
      </c>
      <c r="Q1229" s="23" t="n">
        <f>IF(J1229=0,K1229,0)</f>
        <v>0</v>
      </c>
      <c r="R1229" s="23" t="n">
        <f>MAX(J1229-K1229,0)</f>
        <v>0</v>
      </c>
      <c r="S1229" s="23" t="n">
        <f>IF(J1229&gt;0,MAX(L1229-J1229,0),L1229)</f>
        <v>0</v>
      </c>
    </row>
    <row r="1230">
      <c r="A1230" s="19" t="str">
        <v>英国区</v>
      </c>
      <c r="B1230" s="19" t="str">
        <v>伯明翰7号仓(SN)</v>
      </c>
      <c r="C1230" s="19" t="str">
        <v>发货组</v>
      </c>
      <c r="D1230" s="21" t="n">
        <v>46160</v>
      </c>
      <c r="E1230" s="19" t="str">
        <v>2026-05</v>
      </c>
      <c r="F1230" s="19" t="str">
        <v>操作员</v>
      </c>
      <c r="G1230" s="19" t="str">
        <v>英国灵活（6小时扣午休） / UK FLEX (6-HR LUNCH BREAK DEDUCTED)</v>
      </c>
      <c r="H1230" s="23" t="n">
        <v>2</v>
      </c>
      <c r="I1230" s="23" t="n">
        <v>0</v>
      </c>
      <c r="J1230" s="23" t="n">
        <f>H1230+I1230</f>
        <v>2</v>
      </c>
      <c r="K1230" s="23" t="n">
        <v>2</v>
      </c>
      <c r="L1230" s="23" t="n">
        <v>2</v>
      </c>
      <c r="M1230" s="23" t="n">
        <f>MIN(K1230,J1230)</f>
        <v>2</v>
      </c>
      <c r="N1230" s="23" t="n">
        <f>MIN(L1230,J1230)</f>
        <v>2</v>
      </c>
      <c r="O1230" s="25" t="n">
        <f>IF(K1230=0,0,MIN(1,J1230/K1230))</f>
        <v>1</v>
      </c>
      <c r="P1230" s="23" t="n">
        <f>IF(J1230&gt;0,MAX(K1230-J1230,0),0)</f>
        <v>0</v>
      </c>
      <c r="Q1230" s="23" t="n">
        <f>IF(J1230=0,K1230,0)</f>
        <v>0</v>
      </c>
      <c r="R1230" s="23" t="n">
        <f>MAX(J1230-K1230,0)</f>
        <v>0</v>
      </c>
      <c r="S1230" s="23" t="n">
        <f>IF(J1230&gt;0,MAX(L1230-J1230,0),L1230)</f>
        <v>0</v>
      </c>
    </row>
    <row r="1231">
      <c r="A1231" s="19" t="str">
        <v>英国区</v>
      </c>
      <c r="B1231" s="19" t="str">
        <v>伯明翰7号仓(SN)</v>
      </c>
      <c r="C1231" s="19" t="str">
        <v>发货组</v>
      </c>
      <c r="D1231" s="21" t="n">
        <v>46161</v>
      </c>
      <c r="E1231" s="19" t="str">
        <v>2026-05</v>
      </c>
      <c r="F1231" s="19" t="str">
        <v>操作员</v>
      </c>
      <c r="G1231" s="19" t="str">
        <v>英国灵活（6小时扣午休） / UK FLEX (6-HR LUNCH BREAK DEDUCTED)</v>
      </c>
      <c r="H1231" s="23" t="n">
        <v>3</v>
      </c>
      <c r="I1231" s="23" t="n">
        <v>0</v>
      </c>
      <c r="J1231" s="23" t="n">
        <f>H1231+I1231</f>
        <v>3</v>
      </c>
      <c r="K1231" s="23" t="n">
        <v>3</v>
      </c>
      <c r="L1231" s="23" t="n">
        <v>0</v>
      </c>
      <c r="M1231" s="23" t="n">
        <f>MIN(K1231,J1231)</f>
        <v>3</v>
      </c>
      <c r="N1231" s="23" t="n">
        <f>MIN(L1231,J1231)</f>
        <v>0</v>
      </c>
      <c r="O1231" s="25" t="n">
        <f>IF(K1231=0,0,MIN(1,J1231/K1231))</f>
        <v>1</v>
      </c>
      <c r="P1231" s="23" t="n">
        <f>IF(J1231&gt;0,MAX(K1231-J1231,0),0)</f>
        <v>0</v>
      </c>
      <c r="Q1231" s="23" t="n">
        <f>IF(J1231=0,K1231,0)</f>
        <v>0</v>
      </c>
      <c r="R1231" s="23" t="n">
        <f>MAX(J1231-K1231,0)</f>
        <v>0</v>
      </c>
      <c r="S1231" s="23" t="n">
        <f>IF(J1231&gt;0,MAX(L1231-J1231,0),L1231)</f>
        <v>0</v>
      </c>
    </row>
    <row r="1232">
      <c r="A1232" s="19" t="str">
        <v>英国区</v>
      </c>
      <c r="B1232" s="19" t="str">
        <v>伯明翰7号仓(SN)</v>
      </c>
      <c r="C1232" s="19" t="str">
        <v>发货组</v>
      </c>
      <c r="D1232" s="21" t="n">
        <v>46165</v>
      </c>
      <c r="E1232" s="19" t="str">
        <v>2026-05</v>
      </c>
      <c r="F1232" s="19" t="str">
        <v>保安</v>
      </c>
      <c r="G1232" s="19" t="str">
        <v>英国区保安17:00-07:00（不扣午休） / UK SECURIT 17:00-07:00</v>
      </c>
      <c r="H1232" s="23" t="n">
        <v>1</v>
      </c>
      <c r="I1232" s="23" t="n">
        <v>0</v>
      </c>
      <c r="J1232" s="23" t="n">
        <f>H1232+I1232</f>
        <v>1</v>
      </c>
      <c r="K1232" s="23" t="n">
        <v>1</v>
      </c>
      <c r="L1232" s="23" t="n">
        <v>1</v>
      </c>
      <c r="M1232" s="23" t="n">
        <f>MIN(K1232,J1232)</f>
        <v>1</v>
      </c>
      <c r="N1232" s="23" t="n">
        <f>MIN(L1232,J1232)</f>
        <v>1</v>
      </c>
      <c r="O1232" s="25" t="n">
        <f>IF(K1232=0,0,MIN(1,J1232/K1232))</f>
        <v>1</v>
      </c>
      <c r="P1232" s="23" t="n">
        <f>IF(J1232&gt;0,MAX(K1232-J1232,0),0)</f>
        <v>0</v>
      </c>
      <c r="Q1232" s="23" t="n">
        <f>IF(J1232=0,K1232,0)</f>
        <v>0</v>
      </c>
      <c r="R1232" s="23" t="n">
        <f>MAX(J1232-K1232,0)</f>
        <v>0</v>
      </c>
      <c r="S1232" s="23" t="n">
        <f>IF(J1232&gt;0,MAX(L1232-J1232,0),L1232)</f>
        <v>0</v>
      </c>
    </row>
    <row r="1233">
      <c r="A1233" s="19" t="str">
        <v>英国区</v>
      </c>
      <c r="B1233" s="19" t="str">
        <v>伯明翰7号仓(SN)</v>
      </c>
      <c r="C1233" s="19" t="str">
        <v>发货组</v>
      </c>
      <c r="D1233" s="21" t="n">
        <v>46168</v>
      </c>
      <c r="E1233" s="19" t="str">
        <v>2026-05</v>
      </c>
      <c r="F1233" s="19" t="str">
        <v>保安</v>
      </c>
      <c r="G1233" s="19" t="str">
        <v>英国灵活（跨天） / UK FLEX (CROSS-DAY)</v>
      </c>
      <c r="H1233" s="23" t="n">
        <v>1</v>
      </c>
      <c r="I1233" s="23" t="n">
        <v>0</v>
      </c>
      <c r="J1233" s="23" t="n">
        <f>H1233+I1233</f>
        <v>1</v>
      </c>
      <c r="K1233" s="23" t="n">
        <v>1</v>
      </c>
      <c r="L1233" s="23" t="n">
        <v>1</v>
      </c>
      <c r="M1233" s="23" t="n">
        <f>MIN(K1233,J1233)</f>
        <v>1</v>
      </c>
      <c r="N1233" s="23" t="n">
        <f>MIN(L1233,J1233)</f>
        <v>1</v>
      </c>
      <c r="O1233" s="25" t="n">
        <f>IF(K1233=0,0,MIN(1,J1233/K1233))</f>
        <v>1</v>
      </c>
      <c r="P1233" s="23" t="n">
        <f>IF(J1233&gt;0,MAX(K1233-J1233,0),0)</f>
        <v>0</v>
      </c>
      <c r="Q1233" s="23" t="n">
        <f>IF(J1233=0,K1233,0)</f>
        <v>0</v>
      </c>
      <c r="R1233" s="23" t="n">
        <f>MAX(J1233-K1233,0)</f>
        <v>0</v>
      </c>
      <c r="S1233" s="23" t="n">
        <f>IF(J1233&gt;0,MAX(L1233-J1233,0),L1233)</f>
        <v>0</v>
      </c>
    </row>
    <row r="1234">
      <c r="A1234" s="19" t="str">
        <v>英国区</v>
      </c>
      <c r="B1234" s="19" t="str">
        <v>伯明翰7号仓(SN)</v>
      </c>
      <c r="C1234" s="19" t="str">
        <v>发货组</v>
      </c>
      <c r="D1234" s="21" t="n">
        <v>46169</v>
      </c>
      <c r="E1234" s="19" t="str">
        <v>2026-05</v>
      </c>
      <c r="F1234" s="19" t="str">
        <v>操作员</v>
      </c>
      <c r="G1234" s="19" t="str">
        <v>英国灵活（6小时扣午休） / UK FLEX (6-HR LUNCH BREAK DEDUCTED)</v>
      </c>
      <c r="H1234" s="23" t="n">
        <v>3</v>
      </c>
      <c r="I1234" s="23" t="n">
        <v>0</v>
      </c>
      <c r="J1234" s="23" t="n">
        <f>H1234+I1234</f>
        <v>3</v>
      </c>
      <c r="K1234" s="23" t="n">
        <v>3</v>
      </c>
      <c r="L1234" s="23" t="n">
        <v>3</v>
      </c>
      <c r="M1234" s="23" t="n">
        <f>MIN(K1234,J1234)</f>
        <v>3</v>
      </c>
      <c r="N1234" s="23" t="n">
        <f>MIN(L1234,J1234)</f>
        <v>3</v>
      </c>
      <c r="O1234" s="25" t="n">
        <f>IF(K1234=0,0,MIN(1,J1234/K1234))</f>
        <v>1</v>
      </c>
      <c r="P1234" s="23" t="n">
        <f>IF(J1234&gt;0,MAX(K1234-J1234,0),0)</f>
        <v>0</v>
      </c>
      <c r="Q1234" s="23" t="n">
        <f>IF(J1234=0,K1234,0)</f>
        <v>0</v>
      </c>
      <c r="R1234" s="23" t="n">
        <f>MAX(J1234-K1234,0)</f>
        <v>0</v>
      </c>
      <c r="S1234" s="23" t="n">
        <f>IF(J1234&gt;0,MAX(L1234-J1234,0),L1234)</f>
        <v>0</v>
      </c>
    </row>
    <row r="1235">
      <c r="A1235" s="19" t="str">
        <v>英国区</v>
      </c>
      <c r="B1235" s="19" t="str">
        <v>伯明翰7号仓(SN)</v>
      </c>
      <c r="C1235" s="19" t="str">
        <v>发货组</v>
      </c>
      <c r="D1235" s="21" t="n">
        <v>46184</v>
      </c>
      <c r="E1235" s="19" t="str">
        <v>2026-06</v>
      </c>
      <c r="F1235" s="19" t="str">
        <v>操作员</v>
      </c>
      <c r="G1235" s="19" t="str">
        <v>英国灵活（6小时扣午休） / UK FLEX (6-HR LUNCH BREAK DEDUCTED)</v>
      </c>
      <c r="H1235" s="23" t="n">
        <v>1</v>
      </c>
      <c r="I1235" s="23" t="n">
        <v>0</v>
      </c>
      <c r="J1235" s="23" t="n">
        <f>H1235+I1235</f>
        <v>1</v>
      </c>
      <c r="K1235" s="23" t="n">
        <v>1</v>
      </c>
      <c r="L1235" s="23" t="n">
        <v>1</v>
      </c>
      <c r="M1235" s="23" t="n">
        <f>MIN(K1235,J1235)</f>
        <v>1</v>
      </c>
      <c r="N1235" s="23" t="n">
        <f>MIN(L1235,J1235)</f>
        <v>1</v>
      </c>
      <c r="O1235" s="25" t="n">
        <f>IF(K1235=0,0,MIN(1,J1235/K1235))</f>
        <v>1</v>
      </c>
      <c r="P1235" s="23" t="n">
        <f>IF(J1235&gt;0,MAX(K1235-J1235,0),0)</f>
        <v>0</v>
      </c>
      <c r="Q1235" s="23" t="n">
        <f>IF(J1235=0,K1235,0)</f>
        <v>0</v>
      </c>
      <c r="R1235" s="23" t="n">
        <f>MAX(J1235-K1235,0)</f>
        <v>0</v>
      </c>
      <c r="S1235" s="23" t="n">
        <f>IF(J1235&gt;0,MAX(L1235-J1235,0),L1235)</f>
        <v>0</v>
      </c>
    </row>
    <row r="1236">
      <c r="A1236" s="19" t="str">
        <v>英国区</v>
      </c>
      <c r="B1236" s="19" t="str">
        <v>伯明翰7号仓(SN)</v>
      </c>
      <c r="C1236" s="19" t="str">
        <v>打包组</v>
      </c>
      <c r="D1236" s="21" t="n">
        <v>46113</v>
      </c>
      <c r="E1236" s="19" t="str">
        <v>2026-04</v>
      </c>
      <c r="F1236" s="19" t="str">
        <v>操作员</v>
      </c>
      <c r="G1236" s="19" t="str">
        <v>英国灵活（6小时扣午休） / UK FLEX (6-HR LUNCH BREAK DEDUCTED)</v>
      </c>
      <c r="H1236" s="23" t="n">
        <v>1</v>
      </c>
      <c r="I1236" s="23" t="n">
        <v>0</v>
      </c>
      <c r="J1236" s="23" t="n">
        <f>H1236+I1236</f>
        <v>1</v>
      </c>
      <c r="K1236" s="23" t="n">
        <v>1</v>
      </c>
      <c r="L1236" s="23" t="n">
        <v>1</v>
      </c>
      <c r="M1236" s="23" t="n">
        <f>MIN(K1236,J1236)</f>
        <v>1</v>
      </c>
      <c r="N1236" s="23" t="n">
        <f>MIN(L1236,J1236)</f>
        <v>1</v>
      </c>
      <c r="O1236" s="25" t="n">
        <f>IF(K1236=0,0,MIN(1,J1236/K1236))</f>
        <v>1</v>
      </c>
      <c r="P1236" s="23" t="n">
        <f>IF(J1236&gt;0,MAX(K1236-J1236,0),0)</f>
        <v>0</v>
      </c>
      <c r="Q1236" s="23" t="n">
        <f>IF(J1236=0,K1236,0)</f>
        <v>0</v>
      </c>
      <c r="R1236" s="23" t="n">
        <f>MAX(J1236-K1236,0)</f>
        <v>0</v>
      </c>
      <c r="S1236" s="23" t="n">
        <f>IF(J1236&gt;0,MAX(L1236-J1236,0),L1236)</f>
        <v>0</v>
      </c>
    </row>
    <row r="1237">
      <c r="A1237" s="19" t="str">
        <v>英国区</v>
      </c>
      <c r="B1237" s="19" t="str">
        <v>伯明翰7号仓(SN)</v>
      </c>
      <c r="C1237" s="19" t="str">
        <v>打包组</v>
      </c>
      <c r="D1237" s="21" t="n">
        <v>46114</v>
      </c>
      <c r="E1237" s="19" t="str">
        <v>2026-04</v>
      </c>
      <c r="F1237" s="19" t="str">
        <v>操作员</v>
      </c>
      <c r="G1237" s="19" t="str">
        <v>英国灵活（6小时扣午休） / UK FLEX (6-HR LUNCH BREAK DEDUCTED)</v>
      </c>
      <c r="H1237" s="23" t="n">
        <v>1</v>
      </c>
      <c r="I1237" s="23" t="n">
        <v>0</v>
      </c>
      <c r="J1237" s="23" t="n">
        <f>H1237+I1237</f>
        <v>1</v>
      </c>
      <c r="K1237" s="23" t="n">
        <v>1</v>
      </c>
      <c r="L1237" s="23" t="n">
        <v>1</v>
      </c>
      <c r="M1237" s="23" t="n">
        <f>MIN(K1237,J1237)</f>
        <v>1</v>
      </c>
      <c r="N1237" s="23" t="n">
        <f>MIN(L1237,J1237)</f>
        <v>1</v>
      </c>
      <c r="O1237" s="25" t="n">
        <f>IF(K1237=0,0,MIN(1,J1237/K1237))</f>
        <v>1</v>
      </c>
      <c r="P1237" s="23" t="n">
        <f>IF(J1237&gt;0,MAX(K1237-J1237,0),0)</f>
        <v>0</v>
      </c>
      <c r="Q1237" s="23" t="n">
        <f>IF(J1237=0,K1237,0)</f>
        <v>0</v>
      </c>
      <c r="R1237" s="23" t="n">
        <f>MAX(J1237-K1237,0)</f>
        <v>0</v>
      </c>
      <c r="S1237" s="23" t="n">
        <f>IF(J1237&gt;0,MAX(L1237-J1237,0),L1237)</f>
        <v>0</v>
      </c>
    </row>
    <row r="1238">
      <c r="A1238" s="19" t="str">
        <v>英国区</v>
      </c>
      <c r="B1238" s="19" t="str">
        <v>伯明翰7号仓(SN)</v>
      </c>
      <c r="C1238" s="19" t="str">
        <v>打包组</v>
      </c>
      <c r="D1238" s="21" t="n">
        <v>46115</v>
      </c>
      <c r="E1238" s="19" t="str">
        <v>2026-04</v>
      </c>
      <c r="F1238" s="19" t="str">
        <v>操作员</v>
      </c>
      <c r="G1238" s="19" t="str">
        <v>英国灵活（6小时扣午休） / UK FLEX (6-HR LUNCH BREAK DEDUCTED)</v>
      </c>
      <c r="H1238" s="23" t="n">
        <v>4</v>
      </c>
      <c r="I1238" s="23" t="n">
        <v>0</v>
      </c>
      <c r="J1238" s="23" t="n">
        <f>H1238+I1238</f>
        <v>4</v>
      </c>
      <c r="K1238" s="23" t="n">
        <v>4</v>
      </c>
      <c r="L1238" s="23" t="n">
        <v>4</v>
      </c>
      <c r="M1238" s="23" t="n">
        <f>MIN(K1238,J1238)</f>
        <v>4</v>
      </c>
      <c r="N1238" s="23" t="n">
        <f>MIN(L1238,J1238)</f>
        <v>4</v>
      </c>
      <c r="O1238" s="25" t="n">
        <f>IF(K1238=0,0,MIN(1,J1238/K1238))</f>
        <v>1</v>
      </c>
      <c r="P1238" s="23" t="n">
        <f>IF(J1238&gt;0,MAX(K1238-J1238,0),0)</f>
        <v>0</v>
      </c>
      <c r="Q1238" s="23" t="n">
        <f>IF(J1238=0,K1238,0)</f>
        <v>0</v>
      </c>
      <c r="R1238" s="23" t="n">
        <f>MAX(J1238-K1238,0)</f>
        <v>0</v>
      </c>
      <c r="S1238" s="23" t="n">
        <f>IF(J1238&gt;0,MAX(L1238-J1238,0),L1238)</f>
        <v>0</v>
      </c>
    </row>
    <row r="1239">
      <c r="A1239" s="19" t="str">
        <v>英国区</v>
      </c>
      <c r="B1239" s="19" t="str">
        <v>伯明翰7号仓(SN)</v>
      </c>
      <c r="C1239" s="19" t="str">
        <v>打包组</v>
      </c>
      <c r="D1239" s="21" t="n">
        <v>46133</v>
      </c>
      <c r="E1239" s="19" t="str">
        <v>2026-04</v>
      </c>
      <c r="F1239" s="19" t="str">
        <v>操作员</v>
      </c>
      <c r="G1239" s="19" t="str">
        <v>英国灵活（6小时扣午休） / UK FLEX (6-HR LUNCH BREAK DEDUCTED)</v>
      </c>
      <c r="H1239" s="23" t="n">
        <v>21</v>
      </c>
      <c r="I1239" s="23" t="n">
        <v>0</v>
      </c>
      <c r="J1239" s="23" t="n">
        <f>H1239+I1239</f>
        <v>21</v>
      </c>
      <c r="K1239" s="23" t="n">
        <v>21</v>
      </c>
      <c r="L1239" s="23" t="n">
        <v>16</v>
      </c>
      <c r="M1239" s="23" t="n">
        <f>MIN(K1239,J1239)</f>
        <v>21</v>
      </c>
      <c r="N1239" s="23" t="n">
        <f>MIN(L1239,J1239)</f>
        <v>16</v>
      </c>
      <c r="O1239" s="25" t="n">
        <f>IF(K1239=0,0,MIN(1,J1239/K1239))</f>
        <v>1</v>
      </c>
      <c r="P1239" s="23" t="n">
        <f>IF(J1239&gt;0,MAX(K1239-J1239,0),0)</f>
        <v>0</v>
      </c>
      <c r="Q1239" s="23" t="n">
        <f>IF(J1239=0,K1239,0)</f>
        <v>0</v>
      </c>
      <c r="R1239" s="23" t="n">
        <f>MAX(J1239-K1239,0)</f>
        <v>0</v>
      </c>
      <c r="S1239" s="23" t="n">
        <f>IF(J1239&gt;0,MAX(L1239-J1239,0),L1239)</f>
        <v>0</v>
      </c>
    </row>
    <row r="1240">
      <c r="A1240" s="19" t="str">
        <v>英国区</v>
      </c>
      <c r="B1240" s="19" t="str">
        <v>伯明翰7号仓(SN)</v>
      </c>
      <c r="C1240" s="19" t="str">
        <v>打包组</v>
      </c>
      <c r="D1240" s="21" t="n">
        <v>46134</v>
      </c>
      <c r="E1240" s="19" t="str">
        <v>2026-04</v>
      </c>
      <c r="F1240" s="19" t="str">
        <v>操作员</v>
      </c>
      <c r="G1240" s="19" t="str">
        <v>英国灵活（6小时扣午休） / UK FLEX (6-HR LUNCH BREAK DEDUCTED)</v>
      </c>
      <c r="H1240" s="23" t="n">
        <v>9</v>
      </c>
      <c r="I1240" s="23" t="n">
        <v>0</v>
      </c>
      <c r="J1240" s="23" t="n">
        <f>H1240+I1240</f>
        <v>9</v>
      </c>
      <c r="K1240" s="23" t="n">
        <v>9</v>
      </c>
      <c r="L1240" s="23" t="n">
        <v>9</v>
      </c>
      <c r="M1240" s="23" t="n">
        <f>MIN(K1240,J1240)</f>
        <v>9</v>
      </c>
      <c r="N1240" s="23" t="n">
        <f>MIN(L1240,J1240)</f>
        <v>9</v>
      </c>
      <c r="O1240" s="25" t="n">
        <f>IF(K1240=0,0,MIN(1,J1240/K1240))</f>
        <v>1</v>
      </c>
      <c r="P1240" s="23" t="n">
        <f>IF(J1240&gt;0,MAX(K1240-J1240,0),0)</f>
        <v>0</v>
      </c>
      <c r="Q1240" s="23" t="n">
        <f>IF(J1240=0,K1240,0)</f>
        <v>0</v>
      </c>
      <c r="R1240" s="23" t="n">
        <f>MAX(J1240-K1240,0)</f>
        <v>0</v>
      </c>
      <c r="S1240" s="23" t="n">
        <f>IF(J1240&gt;0,MAX(L1240-J1240,0),L1240)</f>
        <v>0</v>
      </c>
    </row>
    <row r="1241">
      <c r="A1241" s="19" t="str">
        <v>英国区</v>
      </c>
      <c r="B1241" s="19" t="str">
        <v>伯明翰7号仓(SN)</v>
      </c>
      <c r="C1241" s="19" t="str">
        <v>打包组</v>
      </c>
      <c r="D1241" s="21" t="n">
        <v>46144</v>
      </c>
      <c r="E1241" s="19" t="str">
        <v>2026-05</v>
      </c>
      <c r="F1241" s="19" t="str">
        <v>操作员</v>
      </c>
      <c r="G1241" s="19" t="str">
        <v>英国灵活（6小时扣午休） / UK FLEX (6-HR LUNCH BREAK DEDUCTED)</v>
      </c>
      <c r="H1241" s="23" t="n">
        <v>2</v>
      </c>
      <c r="I1241" s="23" t="n">
        <v>0</v>
      </c>
      <c r="J1241" s="23" t="n">
        <f>H1241+I1241</f>
        <v>2</v>
      </c>
      <c r="K1241" s="23" t="n">
        <v>2</v>
      </c>
      <c r="L1241" s="23" t="n">
        <v>0</v>
      </c>
      <c r="M1241" s="23" t="n">
        <f>MIN(K1241,J1241)</f>
        <v>2</v>
      </c>
      <c r="N1241" s="23" t="n">
        <f>MIN(L1241,J1241)</f>
        <v>0</v>
      </c>
      <c r="O1241" s="25" t="n">
        <f>IF(K1241=0,0,MIN(1,J1241/K1241))</f>
        <v>1</v>
      </c>
      <c r="P1241" s="23" t="n">
        <f>IF(J1241&gt;0,MAX(K1241-J1241,0),0)</f>
        <v>0</v>
      </c>
      <c r="Q1241" s="23" t="n">
        <f>IF(J1241=0,K1241,0)</f>
        <v>0</v>
      </c>
      <c r="R1241" s="23" t="n">
        <f>MAX(J1241-K1241,0)</f>
        <v>0</v>
      </c>
      <c r="S1241" s="23" t="n">
        <f>IF(J1241&gt;0,MAX(L1241-J1241,0),L1241)</f>
        <v>0</v>
      </c>
    </row>
    <row r="1242">
      <c r="A1242" s="19" t="str">
        <v>英国区</v>
      </c>
      <c r="B1242" s="19" t="str">
        <v>伯明翰7号仓(SN)</v>
      </c>
      <c r="C1242" s="19" t="str">
        <v>打包组</v>
      </c>
      <c r="D1242" s="21" t="n">
        <v>46148</v>
      </c>
      <c r="E1242" s="19" t="str">
        <v>2026-05</v>
      </c>
      <c r="F1242" s="19" t="str">
        <v>操作员</v>
      </c>
      <c r="G1242" s="19" t="str">
        <v>英国灵活（6小时扣午休） / UK FLEX (6-HR LUNCH BREAK DEDUCTED)</v>
      </c>
      <c r="H1242" s="23" t="n">
        <v>4</v>
      </c>
      <c r="I1242" s="23" t="n">
        <v>0</v>
      </c>
      <c r="J1242" s="23" t="n">
        <f>H1242+I1242</f>
        <v>4</v>
      </c>
      <c r="K1242" s="23" t="n">
        <v>4</v>
      </c>
      <c r="L1242" s="23" t="n">
        <v>4</v>
      </c>
      <c r="M1242" s="23" t="n">
        <f>MIN(K1242,J1242)</f>
        <v>4</v>
      </c>
      <c r="N1242" s="23" t="n">
        <f>MIN(L1242,J1242)</f>
        <v>4</v>
      </c>
      <c r="O1242" s="25" t="n">
        <f>IF(K1242=0,0,MIN(1,J1242/K1242))</f>
        <v>1</v>
      </c>
      <c r="P1242" s="23" t="n">
        <f>IF(J1242&gt;0,MAX(K1242-J1242,0),0)</f>
        <v>0</v>
      </c>
      <c r="Q1242" s="23" t="n">
        <f>IF(J1242=0,K1242,0)</f>
        <v>0</v>
      </c>
      <c r="R1242" s="23" t="n">
        <f>MAX(J1242-K1242,0)</f>
        <v>0</v>
      </c>
      <c r="S1242" s="23" t="n">
        <f>IF(J1242&gt;0,MAX(L1242-J1242,0),L1242)</f>
        <v>0</v>
      </c>
    </row>
    <row r="1243">
      <c r="A1243" s="19" t="str">
        <v>英国区</v>
      </c>
      <c r="B1243" s="19" t="str">
        <v>伯明翰7号仓(SN)</v>
      </c>
      <c r="C1243" s="19" t="str">
        <v>打包组</v>
      </c>
      <c r="D1243" s="21" t="n">
        <v>46149</v>
      </c>
      <c r="E1243" s="19" t="str">
        <v>2026-05</v>
      </c>
      <c r="F1243" s="19" t="str">
        <v>操作员</v>
      </c>
      <c r="G1243" s="19" t="str">
        <v>英国灵活（6小时扣午休） / UK FLEX (6-HR LUNCH BREAK DEDUCTED)</v>
      </c>
      <c r="H1243" s="23" t="n">
        <v>4</v>
      </c>
      <c r="I1243" s="23" t="n">
        <v>0</v>
      </c>
      <c r="J1243" s="23" t="n">
        <f>H1243+I1243</f>
        <v>4</v>
      </c>
      <c r="K1243" s="23" t="n">
        <v>4</v>
      </c>
      <c r="L1243" s="23" t="n">
        <v>4</v>
      </c>
      <c r="M1243" s="23" t="n">
        <f>MIN(K1243,J1243)</f>
        <v>4</v>
      </c>
      <c r="N1243" s="23" t="n">
        <f>MIN(L1243,J1243)</f>
        <v>4</v>
      </c>
      <c r="O1243" s="25" t="n">
        <f>IF(K1243=0,0,MIN(1,J1243/K1243))</f>
        <v>1</v>
      </c>
      <c r="P1243" s="23" t="n">
        <f>IF(J1243&gt;0,MAX(K1243-J1243,0),0)</f>
        <v>0</v>
      </c>
      <c r="Q1243" s="23" t="n">
        <f>IF(J1243=0,K1243,0)</f>
        <v>0</v>
      </c>
      <c r="R1243" s="23" t="n">
        <f>MAX(J1243-K1243,0)</f>
        <v>0</v>
      </c>
      <c r="S1243" s="23" t="n">
        <f>IF(J1243&gt;0,MAX(L1243-J1243,0),L1243)</f>
        <v>0</v>
      </c>
    </row>
    <row r="1244">
      <c r="A1244" s="19" t="str">
        <v>英国区</v>
      </c>
      <c r="B1244" s="19" t="str">
        <v>伯明翰7号仓(SN)</v>
      </c>
      <c r="C1244" s="19" t="str">
        <v>打包组</v>
      </c>
      <c r="D1244" s="21" t="n">
        <v>46150</v>
      </c>
      <c r="E1244" s="19" t="str">
        <v>2026-05</v>
      </c>
      <c r="F1244" s="19" t="str">
        <v>操作员</v>
      </c>
      <c r="G1244" s="19" t="str">
        <v>英国灵活（6小时扣午休） / UK FLEX (6-HR LUNCH BREAK DEDUCTED)</v>
      </c>
      <c r="H1244" s="23" t="n">
        <v>4</v>
      </c>
      <c r="I1244" s="23" t="n">
        <v>0</v>
      </c>
      <c r="J1244" s="23" t="n">
        <f>H1244+I1244</f>
        <v>4</v>
      </c>
      <c r="K1244" s="23" t="n">
        <v>4</v>
      </c>
      <c r="L1244" s="23" t="n">
        <v>0</v>
      </c>
      <c r="M1244" s="23" t="n">
        <f>MIN(K1244,J1244)</f>
        <v>4</v>
      </c>
      <c r="N1244" s="23" t="n">
        <f>MIN(L1244,J1244)</f>
        <v>0</v>
      </c>
      <c r="O1244" s="25" t="n">
        <f>IF(K1244=0,0,MIN(1,J1244/K1244))</f>
        <v>1</v>
      </c>
      <c r="P1244" s="23" t="n">
        <f>IF(J1244&gt;0,MAX(K1244-J1244,0),0)</f>
        <v>0</v>
      </c>
      <c r="Q1244" s="23" t="n">
        <f>IF(J1244=0,K1244,0)</f>
        <v>0</v>
      </c>
      <c r="R1244" s="23" t="n">
        <f>MAX(J1244-K1244,0)</f>
        <v>0</v>
      </c>
      <c r="S1244" s="23" t="n">
        <f>IF(J1244&gt;0,MAX(L1244-J1244,0),L1244)</f>
        <v>0</v>
      </c>
    </row>
    <row r="1245">
      <c r="A1245" s="19" t="str">
        <v>英国区</v>
      </c>
      <c r="B1245" s="19" t="str">
        <v>伯明翰7号仓(SN)</v>
      </c>
      <c r="C1245" s="19" t="str">
        <v>打包组</v>
      </c>
      <c r="D1245" s="21" t="n">
        <v>46155</v>
      </c>
      <c r="E1245" s="19" t="str">
        <v>2026-05</v>
      </c>
      <c r="F1245" s="19" t="str">
        <v>操作员</v>
      </c>
      <c r="G1245" s="19" t="str">
        <v>英国灵活（6小时扣午休） / UK FLEX (6-HR LUNCH BREAK DEDUCTED)</v>
      </c>
      <c r="H1245" s="23" t="n">
        <v>7</v>
      </c>
      <c r="I1245" s="23" t="n">
        <v>0</v>
      </c>
      <c r="J1245" s="23" t="n">
        <f>H1245+I1245</f>
        <v>7</v>
      </c>
      <c r="K1245" s="23" t="n">
        <v>7</v>
      </c>
      <c r="L1245" s="23" t="n">
        <v>7</v>
      </c>
      <c r="M1245" s="23" t="n">
        <f>MIN(K1245,J1245)</f>
        <v>7</v>
      </c>
      <c r="N1245" s="23" t="n">
        <f>MIN(L1245,J1245)</f>
        <v>7</v>
      </c>
      <c r="O1245" s="25" t="n">
        <f>IF(K1245=0,0,MIN(1,J1245/K1245))</f>
        <v>1</v>
      </c>
      <c r="P1245" s="23" t="n">
        <f>IF(J1245&gt;0,MAX(K1245-J1245,0),0)</f>
        <v>0</v>
      </c>
      <c r="Q1245" s="23" t="n">
        <f>IF(J1245=0,K1245,0)</f>
        <v>0</v>
      </c>
      <c r="R1245" s="23" t="n">
        <f>MAX(J1245-K1245,0)</f>
        <v>0</v>
      </c>
      <c r="S1245" s="23" t="n">
        <f>IF(J1245&gt;0,MAX(L1245-J1245,0),L1245)</f>
        <v>0</v>
      </c>
    </row>
    <row r="1246">
      <c r="A1246" s="19" t="str">
        <v>英国区</v>
      </c>
      <c r="B1246" s="19" t="str">
        <v>伯明翰7号仓(SN)</v>
      </c>
      <c r="C1246" s="19" t="str">
        <v>打包组</v>
      </c>
      <c r="D1246" s="21" t="n">
        <v>46156</v>
      </c>
      <c r="E1246" s="19" t="str">
        <v>2026-05</v>
      </c>
      <c r="F1246" s="19" t="str">
        <v>操作员</v>
      </c>
      <c r="G1246" s="19" t="str">
        <v>英国灵活（6小时扣午休） / UK FLEX (6-HR LUNCH BREAK DEDUCTED)</v>
      </c>
      <c r="H1246" s="23" t="n">
        <v>2</v>
      </c>
      <c r="I1246" s="23" t="n">
        <v>0</v>
      </c>
      <c r="J1246" s="23" t="n">
        <f>H1246+I1246</f>
        <v>2</v>
      </c>
      <c r="K1246" s="23" t="n">
        <v>2</v>
      </c>
      <c r="L1246" s="23" t="n">
        <v>2</v>
      </c>
      <c r="M1246" s="23" t="n">
        <f>MIN(K1246,J1246)</f>
        <v>2</v>
      </c>
      <c r="N1246" s="23" t="n">
        <f>MIN(L1246,J1246)</f>
        <v>2</v>
      </c>
      <c r="O1246" s="25" t="n">
        <f>IF(K1246=0,0,MIN(1,J1246/K1246))</f>
        <v>1</v>
      </c>
      <c r="P1246" s="23" t="n">
        <f>IF(J1246&gt;0,MAX(K1246-J1246,0),0)</f>
        <v>0</v>
      </c>
      <c r="Q1246" s="23" t="n">
        <f>IF(J1246=0,K1246,0)</f>
        <v>0</v>
      </c>
      <c r="R1246" s="23" t="n">
        <f>MAX(J1246-K1246,0)</f>
        <v>0</v>
      </c>
      <c r="S1246" s="23" t="n">
        <f>IF(J1246&gt;0,MAX(L1246-J1246,0),L1246)</f>
        <v>0</v>
      </c>
    </row>
    <row r="1247">
      <c r="A1247" s="19" t="str">
        <v>英国区</v>
      </c>
      <c r="B1247" s="19" t="str">
        <v>伯明翰7号仓(SN)</v>
      </c>
      <c r="C1247" s="19" t="str">
        <v>打包组</v>
      </c>
      <c r="D1247" s="21" t="n">
        <v>46157</v>
      </c>
      <c r="E1247" s="19" t="str">
        <v>2026-05</v>
      </c>
      <c r="F1247" s="19" t="str">
        <v>操作员</v>
      </c>
      <c r="G1247" s="19" t="str">
        <v>英国灵活（6小时扣午休） / UK FLEX (6-HR LUNCH BREAK DEDUCTED)</v>
      </c>
      <c r="H1247" s="23" t="n">
        <v>7</v>
      </c>
      <c r="I1247" s="23" t="n">
        <v>0</v>
      </c>
      <c r="J1247" s="23" t="n">
        <f>H1247+I1247</f>
        <v>7</v>
      </c>
      <c r="K1247" s="23" t="n">
        <v>7</v>
      </c>
      <c r="L1247" s="23" t="n">
        <v>7</v>
      </c>
      <c r="M1247" s="23" t="n">
        <f>MIN(K1247,J1247)</f>
        <v>7</v>
      </c>
      <c r="N1247" s="23" t="n">
        <f>MIN(L1247,J1247)</f>
        <v>7</v>
      </c>
      <c r="O1247" s="25" t="n">
        <f>IF(K1247=0,0,MIN(1,J1247/K1247))</f>
        <v>1</v>
      </c>
      <c r="P1247" s="23" t="n">
        <f>IF(J1247&gt;0,MAX(K1247-J1247,0),0)</f>
        <v>0</v>
      </c>
      <c r="Q1247" s="23" t="n">
        <f>IF(J1247=0,K1247,0)</f>
        <v>0</v>
      </c>
      <c r="R1247" s="23" t="n">
        <f>MAX(J1247-K1247,0)</f>
        <v>0</v>
      </c>
      <c r="S1247" s="23" t="n">
        <f>IF(J1247&gt;0,MAX(L1247-J1247,0),L1247)</f>
        <v>0</v>
      </c>
    </row>
    <row r="1248">
      <c r="A1248" s="19" t="str">
        <v>英国区</v>
      </c>
      <c r="B1248" s="19" t="str">
        <v>伯明翰7号仓(SN)</v>
      </c>
      <c r="C1248" s="19" t="str">
        <v>打包组</v>
      </c>
      <c r="D1248" s="21" t="n">
        <v>46164</v>
      </c>
      <c r="E1248" s="19" t="str">
        <v>2026-05</v>
      </c>
      <c r="F1248" s="19" t="str">
        <v>操作员</v>
      </c>
      <c r="G1248" s="19" t="str">
        <v>英国灵活（6小时扣午休） / UK FLEX (6-HR LUNCH BREAK DEDUCTED)</v>
      </c>
      <c r="H1248" s="23" t="n">
        <v>6</v>
      </c>
      <c r="I1248" s="23" t="n">
        <v>0</v>
      </c>
      <c r="J1248" s="23" t="n">
        <f>H1248+I1248</f>
        <v>6</v>
      </c>
      <c r="K1248" s="23" t="n">
        <v>6</v>
      </c>
      <c r="L1248" s="23" t="n">
        <v>6</v>
      </c>
      <c r="M1248" s="23" t="n">
        <f>MIN(K1248,J1248)</f>
        <v>6</v>
      </c>
      <c r="N1248" s="23" t="n">
        <f>MIN(L1248,J1248)</f>
        <v>6</v>
      </c>
      <c r="O1248" s="25" t="n">
        <f>IF(K1248=0,0,MIN(1,J1248/K1248))</f>
        <v>1</v>
      </c>
      <c r="P1248" s="23" t="n">
        <f>IF(J1248&gt;0,MAX(K1248-J1248,0),0)</f>
        <v>0</v>
      </c>
      <c r="Q1248" s="23" t="n">
        <f>IF(J1248=0,K1248,0)</f>
        <v>0</v>
      </c>
      <c r="R1248" s="23" t="n">
        <f>MAX(J1248-K1248,0)</f>
        <v>0</v>
      </c>
      <c r="S1248" s="23" t="n">
        <f>IF(J1248&gt;0,MAX(L1248-J1248,0),L1248)</f>
        <v>0</v>
      </c>
    </row>
    <row r="1249">
      <c r="A1249" s="19" t="str">
        <v>英国区</v>
      </c>
      <c r="B1249" s="19" t="str">
        <v>伯明翰7号仓(SN)</v>
      </c>
      <c r="C1249" s="19" t="str">
        <v>打包组</v>
      </c>
      <c r="D1249" s="21" t="n">
        <v>46170</v>
      </c>
      <c r="E1249" s="19" t="str">
        <v>2026-05</v>
      </c>
      <c r="F1249" s="19" t="str">
        <v>操作员</v>
      </c>
      <c r="G1249" s="19" t="str">
        <v>英国灵活（6小时扣午休） / UK FLEX (6-HR LUNCH BREAK DEDUCTED)</v>
      </c>
      <c r="H1249" s="23" t="n">
        <v>4</v>
      </c>
      <c r="I1249" s="23" t="n">
        <v>0</v>
      </c>
      <c r="J1249" s="23" t="n">
        <f>H1249+I1249</f>
        <v>4</v>
      </c>
      <c r="K1249" s="23" t="n">
        <v>4</v>
      </c>
      <c r="L1249" s="23" t="n">
        <v>4</v>
      </c>
      <c r="M1249" s="23" t="n">
        <f>MIN(K1249,J1249)</f>
        <v>4</v>
      </c>
      <c r="N1249" s="23" t="n">
        <f>MIN(L1249,J1249)</f>
        <v>4</v>
      </c>
      <c r="O1249" s="25" t="n">
        <f>IF(K1249=0,0,MIN(1,J1249/K1249))</f>
        <v>1</v>
      </c>
      <c r="P1249" s="23" t="n">
        <f>IF(J1249&gt;0,MAX(K1249-J1249,0),0)</f>
        <v>0</v>
      </c>
      <c r="Q1249" s="23" t="n">
        <f>IF(J1249=0,K1249,0)</f>
        <v>0</v>
      </c>
      <c r="R1249" s="23" t="n">
        <f>MAX(J1249-K1249,0)</f>
        <v>0</v>
      </c>
      <c r="S1249" s="23" t="n">
        <f>IF(J1249&gt;0,MAX(L1249-J1249,0),L1249)</f>
        <v>0</v>
      </c>
    </row>
    <row r="1250">
      <c r="A1250" s="19" t="str">
        <v>英国区</v>
      </c>
      <c r="B1250" s="19" t="str">
        <v>伯明翰7号仓(SN)</v>
      </c>
      <c r="C1250" s="19" t="str">
        <v>打包组</v>
      </c>
      <c r="D1250" s="21" t="n">
        <v>46175</v>
      </c>
      <c r="E1250" s="19" t="str">
        <v>2026-06</v>
      </c>
      <c r="F1250" s="19" t="str">
        <v>操作员</v>
      </c>
      <c r="G1250" s="19" t="str">
        <v>英国灵活（6小时扣午休） / UK FLEX (6-HR LUNCH BREAK DEDUCTED)</v>
      </c>
      <c r="H1250" s="23" t="n">
        <v>4</v>
      </c>
      <c r="I1250" s="23" t="n">
        <v>0</v>
      </c>
      <c r="J1250" s="23" t="n">
        <f>H1250+I1250</f>
        <v>4</v>
      </c>
      <c r="K1250" s="23" t="n">
        <v>4</v>
      </c>
      <c r="L1250" s="23" t="n">
        <v>4</v>
      </c>
      <c r="M1250" s="23" t="n">
        <f>MIN(K1250,J1250)</f>
        <v>4</v>
      </c>
      <c r="N1250" s="23" t="n">
        <f>MIN(L1250,J1250)</f>
        <v>4</v>
      </c>
      <c r="O1250" s="25" t="n">
        <f>IF(K1250=0,0,MIN(1,J1250/K1250))</f>
        <v>1</v>
      </c>
      <c r="P1250" s="23" t="n">
        <f>IF(J1250&gt;0,MAX(K1250-J1250,0),0)</f>
        <v>0</v>
      </c>
      <c r="Q1250" s="23" t="n">
        <f>IF(J1250=0,K1250,0)</f>
        <v>0</v>
      </c>
      <c r="R1250" s="23" t="n">
        <f>MAX(J1250-K1250,0)</f>
        <v>0</v>
      </c>
      <c r="S1250" s="23" t="n">
        <f>IF(J1250&gt;0,MAX(L1250-J1250,0),L1250)</f>
        <v>0</v>
      </c>
    </row>
    <row r="1251">
      <c r="A1251" s="19" t="str">
        <v>英国区</v>
      </c>
      <c r="B1251" s="19" t="str">
        <v>伯明翰7号仓(SN)</v>
      </c>
      <c r="C1251" s="19" t="str">
        <v>打包组</v>
      </c>
      <c r="D1251" s="21" t="n">
        <v>46176</v>
      </c>
      <c r="E1251" s="19" t="str">
        <v>2026-06</v>
      </c>
      <c r="F1251" s="19" t="str">
        <v>操作员</v>
      </c>
      <c r="G1251" s="19" t="str">
        <v>英国灵活（6小时扣午休） / UK FLEX (6-HR LUNCH BREAK DEDUCTED)</v>
      </c>
      <c r="H1251" s="23" t="n">
        <v>2</v>
      </c>
      <c r="I1251" s="23" t="n">
        <v>0</v>
      </c>
      <c r="J1251" s="23" t="n">
        <f>H1251+I1251</f>
        <v>2</v>
      </c>
      <c r="K1251" s="23" t="n">
        <v>2</v>
      </c>
      <c r="L1251" s="23" t="n">
        <v>2</v>
      </c>
      <c r="M1251" s="23" t="n">
        <f>MIN(K1251,J1251)</f>
        <v>2</v>
      </c>
      <c r="N1251" s="23" t="n">
        <f>MIN(L1251,J1251)</f>
        <v>2</v>
      </c>
      <c r="O1251" s="25" t="n">
        <f>IF(K1251=0,0,MIN(1,J1251/K1251))</f>
        <v>1</v>
      </c>
      <c r="P1251" s="23" t="n">
        <f>IF(J1251&gt;0,MAX(K1251-J1251,0),0)</f>
        <v>0</v>
      </c>
      <c r="Q1251" s="23" t="n">
        <f>IF(J1251=0,K1251,0)</f>
        <v>0</v>
      </c>
      <c r="R1251" s="23" t="n">
        <f>MAX(J1251-K1251,0)</f>
        <v>0</v>
      </c>
      <c r="S1251" s="23" t="n">
        <f>IF(J1251&gt;0,MAX(L1251-J1251,0),L1251)</f>
        <v>0</v>
      </c>
    </row>
    <row r="1252">
      <c r="A1252" s="19" t="str">
        <v>英国区</v>
      </c>
      <c r="B1252" s="19" t="str">
        <v>伯明翰7号仓(SN)</v>
      </c>
      <c r="C1252" s="19" t="str">
        <v>打包组</v>
      </c>
      <c r="D1252" s="21" t="n">
        <v>46177</v>
      </c>
      <c r="E1252" s="19" t="str">
        <v>2026-06</v>
      </c>
      <c r="F1252" s="19" t="str">
        <v>操作员</v>
      </c>
      <c r="G1252" s="19" t="str">
        <v>英国灵活（6小时扣午休） / UK FLEX (6-HR LUNCH BREAK DEDUCTED)</v>
      </c>
      <c r="H1252" s="23" t="n">
        <v>4</v>
      </c>
      <c r="I1252" s="23" t="n">
        <v>0</v>
      </c>
      <c r="J1252" s="23" t="n">
        <f>H1252+I1252</f>
        <v>4</v>
      </c>
      <c r="K1252" s="23" t="n">
        <v>4</v>
      </c>
      <c r="L1252" s="23" t="n">
        <v>4</v>
      </c>
      <c r="M1252" s="23" t="n">
        <f>MIN(K1252,J1252)</f>
        <v>4</v>
      </c>
      <c r="N1252" s="23" t="n">
        <f>MIN(L1252,J1252)</f>
        <v>4</v>
      </c>
      <c r="O1252" s="25" t="n">
        <f>IF(K1252=0,0,MIN(1,J1252/K1252))</f>
        <v>1</v>
      </c>
      <c r="P1252" s="23" t="n">
        <f>IF(J1252&gt;0,MAX(K1252-J1252,0),0)</f>
        <v>0</v>
      </c>
      <c r="Q1252" s="23" t="n">
        <f>IF(J1252=0,K1252,0)</f>
        <v>0</v>
      </c>
      <c r="R1252" s="23" t="n">
        <f>MAX(J1252-K1252,0)</f>
        <v>0</v>
      </c>
      <c r="S1252" s="23" t="n">
        <f>IF(J1252&gt;0,MAX(L1252-J1252,0),L1252)</f>
        <v>0</v>
      </c>
    </row>
    <row r="1253">
      <c r="A1253" s="19" t="str">
        <v>英国区</v>
      </c>
      <c r="B1253" s="19" t="str">
        <v>伯明翰7号仓(SN)</v>
      </c>
      <c r="C1253" s="19" t="str">
        <v>打包组</v>
      </c>
      <c r="D1253" s="21" t="n">
        <v>46179</v>
      </c>
      <c r="E1253" s="19" t="str">
        <v>2026-06</v>
      </c>
      <c r="F1253" s="19" t="str">
        <v>操作员</v>
      </c>
      <c r="G1253" s="19" t="str">
        <v>英国灵活（6小时扣午休） / UK FLEX (6-HR LUNCH BREAK DEDUCTED)</v>
      </c>
      <c r="H1253" s="23" t="n">
        <v>8</v>
      </c>
      <c r="I1253" s="23" t="n">
        <v>0</v>
      </c>
      <c r="J1253" s="23" t="n">
        <f>H1253+I1253</f>
        <v>8</v>
      </c>
      <c r="K1253" s="23" t="n">
        <v>16</v>
      </c>
      <c r="L1253" s="23" t="n">
        <v>8</v>
      </c>
      <c r="M1253" s="23" t="n">
        <f>MIN(K1253,J1253)</f>
        <v>8</v>
      </c>
      <c r="N1253" s="23" t="n">
        <f>MIN(L1253,J1253)</f>
        <v>8</v>
      </c>
      <c r="O1253" s="25" t="n">
        <f>IF(K1253=0,0,MIN(1,J1253/K1253))</f>
        <v>0.5</v>
      </c>
      <c r="P1253" s="23" t="n">
        <f>IF(J1253&gt;0,MAX(K1253-J1253,0),0)</f>
        <v>8</v>
      </c>
      <c r="Q1253" s="23" t="n">
        <f>IF(J1253=0,K1253,0)</f>
        <v>0</v>
      </c>
      <c r="R1253" s="23" t="n">
        <f>MAX(J1253-K1253,0)</f>
        <v>0</v>
      </c>
      <c r="S1253" s="23" t="n">
        <f>IF(J1253&gt;0,MAX(L1253-J1253,0),L1253)</f>
        <v>0</v>
      </c>
    </row>
    <row r="1254">
      <c r="A1254" s="19" t="str">
        <v>英国区</v>
      </c>
      <c r="B1254" s="19" t="str">
        <v>伯明翰7号仓(SN)</v>
      </c>
      <c r="C1254" s="19" t="str">
        <v>打包组</v>
      </c>
      <c r="D1254" s="21" t="n">
        <v>46183</v>
      </c>
      <c r="E1254" s="19" t="str">
        <v>2026-06</v>
      </c>
      <c r="F1254" s="19" t="str">
        <v>操作员</v>
      </c>
      <c r="G1254" s="19" t="str">
        <v>英国灵活（6小时扣午休） / UK FLEX (6-HR LUNCH BREAK DEDUCTED)</v>
      </c>
      <c r="H1254" s="23" t="n">
        <v>2</v>
      </c>
      <c r="I1254" s="23" t="n">
        <v>0</v>
      </c>
      <c r="J1254" s="23" t="n">
        <f>H1254+I1254</f>
        <v>2</v>
      </c>
      <c r="K1254" s="23" t="n">
        <v>2</v>
      </c>
      <c r="L1254" s="23" t="n">
        <v>2</v>
      </c>
      <c r="M1254" s="23" t="n">
        <f>MIN(K1254,J1254)</f>
        <v>2</v>
      </c>
      <c r="N1254" s="23" t="n">
        <f>MIN(L1254,J1254)</f>
        <v>2</v>
      </c>
      <c r="O1254" s="25" t="n">
        <f>IF(K1254=0,0,MIN(1,J1254/K1254))</f>
        <v>1</v>
      </c>
      <c r="P1254" s="23" t="n">
        <f>IF(J1254&gt;0,MAX(K1254-J1254,0),0)</f>
        <v>0</v>
      </c>
      <c r="Q1254" s="23" t="n">
        <f>IF(J1254=0,K1254,0)</f>
        <v>0</v>
      </c>
      <c r="R1254" s="23" t="n">
        <f>MAX(J1254-K1254,0)</f>
        <v>0</v>
      </c>
      <c r="S1254" s="23" t="n">
        <f>IF(J1254&gt;0,MAX(L1254-J1254,0),L1254)</f>
        <v>0</v>
      </c>
    </row>
    <row r="1255">
      <c r="A1255" s="19" t="str">
        <v>英国区</v>
      </c>
      <c r="B1255" s="19" t="str">
        <v>伯明翰7号仓(SN)</v>
      </c>
      <c r="C1255" s="19" t="str">
        <v>打包组</v>
      </c>
      <c r="D1255" s="21" t="n">
        <v>46185</v>
      </c>
      <c r="E1255" s="19" t="str">
        <v>2026-06</v>
      </c>
      <c r="F1255" s="19" t="str">
        <v>操作员</v>
      </c>
      <c r="G1255" s="19" t="str">
        <v>英国灵活（6小时扣午休） / UK FLEX (6-HR LUNCH BREAK DEDUCTED)</v>
      </c>
      <c r="H1255" s="23" t="n">
        <v>5</v>
      </c>
      <c r="I1255" s="23" t="n">
        <v>0</v>
      </c>
      <c r="J1255" s="23" t="n">
        <f>H1255+I1255</f>
        <v>5</v>
      </c>
      <c r="K1255" s="23" t="n">
        <v>5</v>
      </c>
      <c r="L1255" s="23" t="n">
        <v>5</v>
      </c>
      <c r="M1255" s="23" t="n">
        <f>MIN(K1255,J1255)</f>
        <v>5</v>
      </c>
      <c r="N1255" s="23" t="n">
        <f>MIN(L1255,J1255)</f>
        <v>5</v>
      </c>
      <c r="O1255" s="25" t="n">
        <f>IF(K1255=0,0,MIN(1,J1255/K1255))</f>
        <v>1</v>
      </c>
      <c r="P1255" s="23" t="n">
        <f>IF(J1255&gt;0,MAX(K1255-J1255,0),0)</f>
        <v>0</v>
      </c>
      <c r="Q1255" s="23" t="n">
        <f>IF(J1255=0,K1255,0)</f>
        <v>0</v>
      </c>
      <c r="R1255" s="23" t="n">
        <f>MAX(J1255-K1255,0)</f>
        <v>0</v>
      </c>
      <c r="S1255" s="23" t="n">
        <f>IF(J1255&gt;0,MAX(L1255-J1255,0),L1255)</f>
        <v>0</v>
      </c>
    </row>
    <row r="1256">
      <c r="A1256" s="19" t="str">
        <v>英国区</v>
      </c>
      <c r="B1256" s="19" t="str">
        <v>伯明翰7号仓(SN)</v>
      </c>
      <c r="C1256" s="19" t="str">
        <v>打包组</v>
      </c>
      <c r="D1256" s="21" t="n">
        <v>46189</v>
      </c>
      <c r="E1256" s="19" t="str">
        <v>2026-06</v>
      </c>
      <c r="F1256" s="19" t="str">
        <v>操作员</v>
      </c>
      <c r="G1256" s="19" t="str">
        <v>英国灵活（6小时扣午休） / UK FLEX (6-HR LUNCH BREAK DEDUCTED)</v>
      </c>
      <c r="H1256" s="23" t="n">
        <v>7</v>
      </c>
      <c r="I1256" s="23" t="n">
        <v>0</v>
      </c>
      <c r="J1256" s="23" t="n">
        <f>H1256+I1256</f>
        <v>7</v>
      </c>
      <c r="K1256" s="23" t="n">
        <v>7</v>
      </c>
      <c r="L1256" s="23" t="n">
        <v>7</v>
      </c>
      <c r="M1256" s="23" t="n">
        <f>MIN(K1256,J1256)</f>
        <v>7</v>
      </c>
      <c r="N1256" s="23" t="n">
        <f>MIN(L1256,J1256)</f>
        <v>7</v>
      </c>
      <c r="O1256" s="25" t="n">
        <f>IF(K1256=0,0,MIN(1,J1256/K1256))</f>
        <v>1</v>
      </c>
      <c r="P1256" s="23" t="n">
        <f>IF(J1256&gt;0,MAX(K1256-J1256,0),0)</f>
        <v>0</v>
      </c>
      <c r="Q1256" s="23" t="n">
        <f>IF(J1256=0,K1256,0)</f>
        <v>0</v>
      </c>
      <c r="R1256" s="23" t="n">
        <f>MAX(J1256-K1256,0)</f>
        <v>0</v>
      </c>
      <c r="S1256" s="23" t="n">
        <f>IF(J1256&gt;0,MAX(L1256-J1256,0),L1256)</f>
        <v>0</v>
      </c>
    </row>
    <row r="1257">
      <c r="A1257" s="19" t="str">
        <v>英国区</v>
      </c>
      <c r="B1257" s="19" t="str">
        <v>伯明翰7号仓(SN)</v>
      </c>
      <c r="C1257" s="19" t="str">
        <v>打包组</v>
      </c>
      <c r="D1257" s="21" t="n">
        <v>46190</v>
      </c>
      <c r="E1257" s="19" t="str">
        <v>2026-06</v>
      </c>
      <c r="F1257" s="19" t="str">
        <v>操作员</v>
      </c>
      <c r="G1257" s="19" t="str">
        <v>英国灵活（6小时扣午休） / UK FLEX (6-HR LUNCH BREAK DEDUCTED)</v>
      </c>
      <c r="H1257" s="23" t="n">
        <v>7</v>
      </c>
      <c r="I1257" s="23" t="n">
        <v>0</v>
      </c>
      <c r="J1257" s="23" t="n">
        <f>H1257+I1257</f>
        <v>7</v>
      </c>
      <c r="K1257" s="23" t="n">
        <v>7</v>
      </c>
      <c r="L1257" s="23" t="n">
        <v>7</v>
      </c>
      <c r="M1257" s="23" t="n">
        <f>MIN(K1257,J1257)</f>
        <v>7</v>
      </c>
      <c r="N1257" s="23" t="n">
        <f>MIN(L1257,J1257)</f>
        <v>7</v>
      </c>
      <c r="O1257" s="25" t="n">
        <f>IF(K1257=0,0,MIN(1,J1257/K1257))</f>
        <v>1</v>
      </c>
      <c r="P1257" s="23" t="n">
        <f>IF(J1257&gt;0,MAX(K1257-J1257,0),0)</f>
        <v>0</v>
      </c>
      <c r="Q1257" s="23" t="n">
        <f>IF(J1257=0,K1257,0)</f>
        <v>0</v>
      </c>
      <c r="R1257" s="23" t="n">
        <f>MAX(J1257-K1257,0)</f>
        <v>0</v>
      </c>
      <c r="S1257" s="23" t="n">
        <f>IF(J1257&gt;0,MAX(L1257-J1257,0),L1257)</f>
        <v>0</v>
      </c>
    </row>
    <row r="1258">
      <c r="A1258" s="19" t="str">
        <v>英国区</v>
      </c>
      <c r="B1258" s="19" t="str">
        <v>伯明翰7号仓(SN)</v>
      </c>
      <c r="C1258" s="19" t="str">
        <v>打包组</v>
      </c>
      <c r="D1258" s="21" t="n">
        <v>46191</v>
      </c>
      <c r="E1258" s="19" t="str">
        <v>2026-06</v>
      </c>
      <c r="F1258" s="19" t="str">
        <v>操作员</v>
      </c>
      <c r="G1258" s="19" t="str">
        <v>英国灵活（6小时扣午休） / UK FLEX (6-HR LUNCH BREAK DEDUCTED)</v>
      </c>
      <c r="H1258" s="23" t="n">
        <v>5</v>
      </c>
      <c r="I1258" s="23" t="n">
        <v>0</v>
      </c>
      <c r="J1258" s="23" t="n">
        <f>H1258+I1258</f>
        <v>5</v>
      </c>
      <c r="K1258" s="23" t="n">
        <v>5</v>
      </c>
      <c r="L1258" s="23" t="n">
        <v>5</v>
      </c>
      <c r="M1258" s="23" t="n">
        <f>MIN(K1258,J1258)</f>
        <v>5</v>
      </c>
      <c r="N1258" s="23" t="n">
        <f>MIN(L1258,J1258)</f>
        <v>5</v>
      </c>
      <c r="O1258" s="25" t="n">
        <f>IF(K1258=0,0,MIN(1,J1258/K1258))</f>
        <v>1</v>
      </c>
      <c r="P1258" s="23" t="n">
        <f>IF(J1258&gt;0,MAX(K1258-J1258,0),0)</f>
        <v>0</v>
      </c>
      <c r="Q1258" s="23" t="n">
        <f>IF(J1258=0,K1258,0)</f>
        <v>0</v>
      </c>
      <c r="R1258" s="23" t="n">
        <f>MAX(J1258-K1258,0)</f>
        <v>0</v>
      </c>
      <c r="S1258" s="23" t="n">
        <f>IF(J1258&gt;0,MAX(L1258-J1258,0),L1258)</f>
        <v>0</v>
      </c>
    </row>
    <row r="1259">
      <c r="A1259" s="19" t="str">
        <v>英国区</v>
      </c>
      <c r="B1259" s="19" t="str">
        <v>伯明翰7号仓(SN)</v>
      </c>
      <c r="C1259" s="19" t="str">
        <v>打包组</v>
      </c>
      <c r="D1259" s="21" t="n">
        <v>46193</v>
      </c>
      <c r="E1259" s="19" t="str">
        <v>2026-06</v>
      </c>
      <c r="F1259" s="19" t="str">
        <v>操作员</v>
      </c>
      <c r="G1259" s="19" t="str">
        <v>英国灵活（6小时扣午休） / UK FLEX (6-HR LUNCH BREAK DEDUCTED)</v>
      </c>
      <c r="H1259" s="23" t="n">
        <v>5</v>
      </c>
      <c r="I1259" s="23" t="n">
        <v>0</v>
      </c>
      <c r="J1259" s="23" t="n">
        <f>H1259+I1259</f>
        <v>5</v>
      </c>
      <c r="K1259" s="23" t="n">
        <v>5</v>
      </c>
      <c r="L1259" s="23" t="n">
        <v>0</v>
      </c>
      <c r="M1259" s="23" t="n">
        <f>MIN(K1259,J1259)</f>
        <v>5</v>
      </c>
      <c r="N1259" s="23" t="n">
        <f>MIN(L1259,J1259)</f>
        <v>0</v>
      </c>
      <c r="O1259" s="25" t="n">
        <f>IF(K1259=0,0,MIN(1,J1259/K1259))</f>
        <v>1</v>
      </c>
      <c r="P1259" s="23" t="n">
        <f>IF(J1259&gt;0,MAX(K1259-J1259,0),0)</f>
        <v>0</v>
      </c>
      <c r="Q1259" s="23" t="n">
        <f>IF(J1259=0,K1259,0)</f>
        <v>0</v>
      </c>
      <c r="R1259" s="23" t="n">
        <f>MAX(J1259-K1259,0)</f>
        <v>0</v>
      </c>
      <c r="S1259" s="23" t="n">
        <f>IF(J1259&gt;0,MAX(L1259-J1259,0),L1259)</f>
        <v>0</v>
      </c>
    </row>
    <row r="1260">
      <c r="A1260" s="19" t="str">
        <v>英国区</v>
      </c>
      <c r="B1260" s="19" t="str">
        <v>伯明翰7号仓(SN)</v>
      </c>
      <c r="C1260" s="19" t="str">
        <v>打包组</v>
      </c>
      <c r="D1260" s="21" t="n">
        <v>46196</v>
      </c>
      <c r="E1260" s="19" t="str">
        <v>2026-06</v>
      </c>
      <c r="F1260" s="19" t="str">
        <v>操作员</v>
      </c>
      <c r="G1260" s="19" t="str">
        <v>英国灵活（6小时扣午休） / UK FLEX (6-HR LUNCH BREAK DEDUCTED)</v>
      </c>
      <c r="H1260" s="23" t="n">
        <v>4</v>
      </c>
      <c r="I1260" s="23" t="n">
        <v>0</v>
      </c>
      <c r="J1260" s="23" t="n">
        <f>H1260+I1260</f>
        <v>4</v>
      </c>
      <c r="K1260" s="23" t="n">
        <v>4</v>
      </c>
      <c r="L1260" s="23" t="n">
        <v>4</v>
      </c>
      <c r="M1260" s="23" t="n">
        <f>MIN(K1260,J1260)</f>
        <v>4</v>
      </c>
      <c r="N1260" s="23" t="n">
        <f>MIN(L1260,J1260)</f>
        <v>4</v>
      </c>
      <c r="O1260" s="25" t="n">
        <f>IF(K1260=0,0,MIN(1,J1260/K1260))</f>
        <v>1</v>
      </c>
      <c r="P1260" s="23" t="n">
        <f>IF(J1260&gt;0,MAX(K1260-J1260,0),0)</f>
        <v>0</v>
      </c>
      <c r="Q1260" s="23" t="n">
        <f>IF(J1260=0,K1260,0)</f>
        <v>0</v>
      </c>
      <c r="R1260" s="23" t="n">
        <f>MAX(J1260-K1260,0)</f>
        <v>0</v>
      </c>
      <c r="S1260" s="23" t="n">
        <f>IF(J1260&gt;0,MAX(L1260-J1260,0),L1260)</f>
        <v>0</v>
      </c>
    </row>
    <row r="1261">
      <c r="A1261" s="19" t="str">
        <v>英国区</v>
      </c>
      <c r="B1261" s="19" t="str">
        <v>伯明翰7号仓(SN)</v>
      </c>
      <c r="C1261" s="19" t="str">
        <v>打包组</v>
      </c>
      <c r="D1261" s="21" t="n">
        <v>46197</v>
      </c>
      <c r="E1261" s="19" t="str">
        <v>2026-06</v>
      </c>
      <c r="F1261" s="19" t="str">
        <v>操作员</v>
      </c>
      <c r="G1261" s="19" t="str">
        <v>英国灵活（6小时扣午休） / UK FLEX (6-HR LUNCH BREAK DEDUCTED)</v>
      </c>
      <c r="H1261" s="23" t="n">
        <v>3</v>
      </c>
      <c r="I1261" s="23" t="n">
        <v>0</v>
      </c>
      <c r="J1261" s="23" t="n">
        <f>H1261+I1261</f>
        <v>3</v>
      </c>
      <c r="K1261" s="23" t="n">
        <v>3</v>
      </c>
      <c r="L1261" s="23" t="n">
        <v>3</v>
      </c>
      <c r="M1261" s="23" t="n">
        <f>MIN(K1261,J1261)</f>
        <v>3</v>
      </c>
      <c r="N1261" s="23" t="n">
        <f>MIN(L1261,J1261)</f>
        <v>3</v>
      </c>
      <c r="O1261" s="25" t="n">
        <f>IF(K1261=0,0,MIN(1,J1261/K1261))</f>
        <v>1</v>
      </c>
      <c r="P1261" s="23" t="n">
        <f>IF(J1261&gt;0,MAX(K1261-J1261,0),0)</f>
        <v>0</v>
      </c>
      <c r="Q1261" s="23" t="n">
        <f>IF(J1261=0,K1261,0)</f>
        <v>0</v>
      </c>
      <c r="R1261" s="23" t="n">
        <f>MAX(J1261-K1261,0)</f>
        <v>0</v>
      </c>
      <c r="S1261" s="23" t="n">
        <f>IF(J1261&gt;0,MAX(L1261-J1261,0),L1261)</f>
        <v>0</v>
      </c>
    </row>
    <row r="1262">
      <c r="A1262" s="19" t="str">
        <v>英国区</v>
      </c>
      <c r="B1262" s="19" t="str">
        <v>伯明翰7号仓(SN)</v>
      </c>
      <c r="C1262" s="19" t="str">
        <v>打包组</v>
      </c>
      <c r="D1262" s="21" t="n">
        <v>46198</v>
      </c>
      <c r="E1262" s="19" t="str">
        <v>2026-06</v>
      </c>
      <c r="F1262" s="19" t="str">
        <v>操作员</v>
      </c>
      <c r="G1262" s="19" t="str">
        <v>英国灵活（6小时扣午休） / UK FLEX (6-HR LUNCH BREAK DEDUCTED)</v>
      </c>
      <c r="H1262" s="23" t="n">
        <v>4</v>
      </c>
      <c r="I1262" s="23" t="n">
        <v>0</v>
      </c>
      <c r="J1262" s="23" t="n">
        <f>H1262+I1262</f>
        <v>4</v>
      </c>
      <c r="K1262" s="23" t="n">
        <v>4</v>
      </c>
      <c r="L1262" s="23" t="n">
        <v>4</v>
      </c>
      <c r="M1262" s="23" t="n">
        <f>MIN(K1262,J1262)</f>
        <v>4</v>
      </c>
      <c r="N1262" s="23" t="n">
        <f>MIN(L1262,J1262)</f>
        <v>4</v>
      </c>
      <c r="O1262" s="25" t="n">
        <f>IF(K1262=0,0,MIN(1,J1262/K1262))</f>
        <v>1</v>
      </c>
      <c r="P1262" s="23" t="n">
        <f>IF(J1262&gt;0,MAX(K1262-J1262,0),0)</f>
        <v>0</v>
      </c>
      <c r="Q1262" s="23" t="n">
        <f>IF(J1262=0,K1262,0)</f>
        <v>0</v>
      </c>
      <c r="R1262" s="23" t="n">
        <f>MAX(J1262-K1262,0)</f>
        <v>0</v>
      </c>
      <c r="S1262" s="23" t="n">
        <f>IF(J1262&gt;0,MAX(L1262-J1262,0),L1262)</f>
        <v>0</v>
      </c>
    </row>
    <row r="1263">
      <c r="A1263" s="19" t="str">
        <v>英国区</v>
      </c>
      <c r="B1263" s="19" t="str">
        <v>伯明翰7号仓(SN)</v>
      </c>
      <c r="C1263" s="19" t="str">
        <v>打包组</v>
      </c>
      <c r="D1263" s="21" t="n">
        <v>46199</v>
      </c>
      <c r="E1263" s="19" t="str">
        <v>2026-06</v>
      </c>
      <c r="F1263" s="19" t="str">
        <v>操作员</v>
      </c>
      <c r="G1263" s="19" t="str">
        <v>英国灵活（6小时扣午休） / UK FLEX (6-HR LUNCH BREAK DEDUCTED)</v>
      </c>
      <c r="H1263" s="23" t="n">
        <v>7</v>
      </c>
      <c r="I1263" s="23" t="n">
        <v>0</v>
      </c>
      <c r="J1263" s="23" t="n">
        <f>H1263+I1263</f>
        <v>7</v>
      </c>
      <c r="K1263" s="23" t="n">
        <v>7</v>
      </c>
      <c r="L1263" s="23" t="n">
        <v>2</v>
      </c>
      <c r="M1263" s="23" t="n">
        <f>MIN(K1263,J1263)</f>
        <v>7</v>
      </c>
      <c r="N1263" s="23" t="n">
        <f>MIN(L1263,J1263)</f>
        <v>2</v>
      </c>
      <c r="O1263" s="25" t="n">
        <f>IF(K1263=0,0,MIN(1,J1263/K1263))</f>
        <v>1</v>
      </c>
      <c r="P1263" s="23" t="n">
        <f>IF(J1263&gt;0,MAX(K1263-J1263,0),0)</f>
        <v>0</v>
      </c>
      <c r="Q1263" s="23" t="n">
        <f>IF(J1263=0,K1263,0)</f>
        <v>0</v>
      </c>
      <c r="R1263" s="23" t="n">
        <f>MAX(J1263-K1263,0)</f>
        <v>0</v>
      </c>
      <c r="S1263" s="23" t="n">
        <f>IF(J1263&gt;0,MAX(L1263-J1263,0),L1263)</f>
        <v>0</v>
      </c>
    </row>
    <row r="1264">
      <c r="A1264" s="19" t="str">
        <v>英国区</v>
      </c>
      <c r="B1264" s="19" t="str">
        <v>伯明翰7号仓(SN)</v>
      </c>
      <c r="C1264" s="19" t="str">
        <v>打包组</v>
      </c>
      <c r="D1264" s="21" t="n">
        <v>46202</v>
      </c>
      <c r="E1264" s="19" t="str">
        <v>2026-06</v>
      </c>
      <c r="F1264" s="19" t="str">
        <v>操作员</v>
      </c>
      <c r="G1264" s="19" t="str">
        <v>英国灵活（6小时扣午休） / UK FLEX (6-HR LUNCH BREAK DEDUCTED)</v>
      </c>
      <c r="H1264" s="23" t="n">
        <v>1</v>
      </c>
      <c r="I1264" s="23" t="n">
        <v>0</v>
      </c>
      <c r="J1264" s="23" t="n">
        <f>H1264+I1264</f>
        <v>1</v>
      </c>
      <c r="K1264" s="23" t="n">
        <v>1</v>
      </c>
      <c r="L1264" s="23" t="n">
        <v>1</v>
      </c>
      <c r="M1264" s="23" t="n">
        <f>MIN(K1264,J1264)</f>
        <v>1</v>
      </c>
      <c r="N1264" s="23" t="n">
        <f>MIN(L1264,J1264)</f>
        <v>1</v>
      </c>
      <c r="O1264" s="25" t="n">
        <f>IF(K1264=0,0,MIN(1,J1264/K1264))</f>
        <v>1</v>
      </c>
      <c r="P1264" s="23" t="n">
        <f>IF(J1264&gt;0,MAX(K1264-J1264,0),0)</f>
        <v>0</v>
      </c>
      <c r="Q1264" s="23" t="n">
        <f>IF(J1264=0,K1264,0)</f>
        <v>0</v>
      </c>
      <c r="R1264" s="23" t="n">
        <f>MAX(J1264-K1264,0)</f>
        <v>0</v>
      </c>
      <c r="S1264" s="23" t="n">
        <f>IF(J1264&gt;0,MAX(L1264-J1264,0),L1264)</f>
        <v>0</v>
      </c>
    </row>
    <row r="1265">
      <c r="A1265" s="19" t="str">
        <v>英国区</v>
      </c>
      <c r="B1265" s="19" t="str">
        <v>伯明翰7号仓(SN)</v>
      </c>
      <c r="C1265" s="19" t="str">
        <v>打包组</v>
      </c>
      <c r="D1265" s="21" t="n">
        <v>46203</v>
      </c>
      <c r="E1265" s="19" t="str">
        <v>2026-06</v>
      </c>
      <c r="F1265" s="19" t="str">
        <v>操作员</v>
      </c>
      <c r="G1265" s="19" t="str">
        <v>英国灵活（6小时扣午休） / UK FLEX (6-HR LUNCH BREAK DEDUCTED)</v>
      </c>
      <c r="H1265" s="23" t="n">
        <v>10</v>
      </c>
      <c r="I1265" s="23" t="n">
        <v>0</v>
      </c>
      <c r="J1265" s="23" t="n">
        <f>H1265+I1265</f>
        <v>10</v>
      </c>
      <c r="K1265" s="23" t="n">
        <v>14</v>
      </c>
      <c r="L1265" s="23" t="n">
        <v>5</v>
      </c>
      <c r="M1265" s="23" t="n">
        <f>MIN(K1265,J1265)</f>
        <v>10</v>
      </c>
      <c r="N1265" s="23" t="n">
        <f>MIN(L1265,J1265)</f>
        <v>5</v>
      </c>
      <c r="O1265" s="25" t="n">
        <f>IF(K1265=0,0,MIN(1,J1265/K1265))</f>
        <v>0.7142857142857143</v>
      </c>
      <c r="P1265" s="23" t="n">
        <f>IF(J1265&gt;0,MAX(K1265-J1265,0),0)</f>
        <v>4</v>
      </c>
      <c r="Q1265" s="23" t="n">
        <f>IF(J1265=0,K1265,0)</f>
        <v>0</v>
      </c>
      <c r="R1265" s="23" t="n">
        <f>MAX(J1265-K1265,0)</f>
        <v>0</v>
      </c>
      <c r="S1265" s="23" t="n">
        <f>IF(J1265&gt;0,MAX(L1265-J1265,0),L1265)</f>
        <v>0</v>
      </c>
    </row>
    <row r="1266">
      <c r="A1266" s="19" t="str">
        <v>英国区</v>
      </c>
      <c r="B1266" s="19" t="str">
        <v>伯明翰7号仓(SN)</v>
      </c>
      <c r="C1266" s="19" t="str">
        <v>拣货组</v>
      </c>
      <c r="D1266" s="21" t="n">
        <v>46134</v>
      </c>
      <c r="E1266" s="19" t="str">
        <v>2026-04</v>
      </c>
      <c r="F1266" s="19" t="str">
        <v>操作员</v>
      </c>
      <c r="G1266" s="19" t="str">
        <v>英国灵活（6小时扣午休） / UK FLEX (6-HR LUNCH BREAK DEDUCTED)</v>
      </c>
      <c r="H1266" s="23" t="n">
        <v>5</v>
      </c>
      <c r="I1266" s="23" t="n">
        <v>0</v>
      </c>
      <c r="J1266" s="23" t="n">
        <f>H1266+I1266</f>
        <v>5</v>
      </c>
      <c r="K1266" s="23" t="n">
        <v>5</v>
      </c>
      <c r="L1266" s="23" t="n">
        <v>4</v>
      </c>
      <c r="M1266" s="23" t="n">
        <f>MIN(K1266,J1266)</f>
        <v>5</v>
      </c>
      <c r="N1266" s="23" t="n">
        <f>MIN(L1266,J1266)</f>
        <v>4</v>
      </c>
      <c r="O1266" s="25" t="n">
        <f>IF(K1266=0,0,MIN(1,J1266/K1266))</f>
        <v>1</v>
      </c>
      <c r="P1266" s="23" t="n">
        <f>IF(J1266&gt;0,MAX(K1266-J1266,0),0)</f>
        <v>0</v>
      </c>
      <c r="Q1266" s="23" t="n">
        <f>IF(J1266=0,K1266,0)</f>
        <v>0</v>
      </c>
      <c r="R1266" s="23" t="n">
        <f>MAX(J1266-K1266,0)</f>
        <v>0</v>
      </c>
      <c r="S1266" s="23" t="n">
        <f>IF(J1266&gt;0,MAX(L1266-J1266,0),L1266)</f>
        <v>0</v>
      </c>
    </row>
    <row r="1267">
      <c r="A1267" s="19" t="str">
        <v>英国区</v>
      </c>
      <c r="B1267" s="19" t="str">
        <v>伯明翰7号仓(SN)</v>
      </c>
      <c r="C1267" s="19" t="str">
        <v>拣货组</v>
      </c>
      <c r="D1267" s="21" t="n">
        <v>46135</v>
      </c>
      <c r="E1267" s="19" t="str">
        <v>2026-04</v>
      </c>
      <c r="F1267" s="19" t="str">
        <v>操作员</v>
      </c>
      <c r="G1267" s="19" t="str">
        <v>英国灵活（6小时扣午休） / UK FLEX (6-HR LUNCH BREAK DEDUCTED)</v>
      </c>
      <c r="H1267" s="23" t="n">
        <v>5</v>
      </c>
      <c r="I1267" s="23" t="n">
        <v>0</v>
      </c>
      <c r="J1267" s="23" t="n">
        <f>H1267+I1267</f>
        <v>5</v>
      </c>
      <c r="K1267" s="23" t="n">
        <v>5</v>
      </c>
      <c r="L1267" s="23" t="n">
        <v>5</v>
      </c>
      <c r="M1267" s="23" t="n">
        <f>MIN(K1267,J1267)</f>
        <v>5</v>
      </c>
      <c r="N1267" s="23" t="n">
        <f>MIN(L1267,J1267)</f>
        <v>5</v>
      </c>
      <c r="O1267" s="25" t="n">
        <f>IF(K1267=0,0,MIN(1,J1267/K1267))</f>
        <v>1</v>
      </c>
      <c r="P1267" s="23" t="n">
        <f>IF(J1267&gt;0,MAX(K1267-J1267,0),0)</f>
        <v>0</v>
      </c>
      <c r="Q1267" s="23" t="n">
        <f>IF(J1267=0,K1267,0)</f>
        <v>0</v>
      </c>
      <c r="R1267" s="23" t="n">
        <f>MAX(J1267-K1267,0)</f>
        <v>0</v>
      </c>
      <c r="S1267" s="23" t="n">
        <f>IF(J1267&gt;0,MAX(L1267-J1267,0),L1267)</f>
        <v>0</v>
      </c>
    </row>
    <row r="1268">
      <c r="A1268" s="19" t="str">
        <v>英国区</v>
      </c>
      <c r="B1268" s="19" t="str">
        <v>伯明翰7号仓(SN)</v>
      </c>
      <c r="C1268" s="19" t="str">
        <v>拣货组</v>
      </c>
      <c r="D1268" s="21" t="n">
        <v>46139</v>
      </c>
      <c r="E1268" s="19" t="str">
        <v>2026-04</v>
      </c>
      <c r="F1268" s="19" t="str">
        <v>操作员</v>
      </c>
      <c r="G1268" s="19" t="str">
        <v>英国灵活（6小时扣午休） / UK FLEX (6-HR LUNCH BREAK DEDUCTED)</v>
      </c>
      <c r="H1268" s="23" t="n">
        <v>15</v>
      </c>
      <c r="I1268" s="23" t="n">
        <v>0</v>
      </c>
      <c r="J1268" s="23" t="n">
        <f>H1268+I1268</f>
        <v>15</v>
      </c>
      <c r="K1268" s="23" t="n">
        <v>15</v>
      </c>
      <c r="L1268" s="23" t="n">
        <v>15</v>
      </c>
      <c r="M1268" s="23" t="n">
        <f>MIN(K1268,J1268)</f>
        <v>15</v>
      </c>
      <c r="N1268" s="23" t="n">
        <f>MIN(L1268,J1268)</f>
        <v>15</v>
      </c>
      <c r="O1268" s="25" t="n">
        <f>IF(K1268=0,0,MIN(1,J1268/K1268))</f>
        <v>1</v>
      </c>
      <c r="P1268" s="23" t="n">
        <f>IF(J1268&gt;0,MAX(K1268-J1268,0),0)</f>
        <v>0</v>
      </c>
      <c r="Q1268" s="23" t="n">
        <f>IF(J1268=0,K1268,0)</f>
        <v>0</v>
      </c>
      <c r="R1268" s="23" t="n">
        <f>MAX(J1268-K1268,0)</f>
        <v>0</v>
      </c>
      <c r="S1268" s="23" t="n">
        <f>IF(J1268&gt;0,MAX(L1268-J1268,0),L1268)</f>
        <v>0</v>
      </c>
    </row>
    <row r="1269">
      <c r="A1269" s="19" t="str">
        <v>英国区</v>
      </c>
      <c r="B1269" s="19" t="str">
        <v>伯明翰7号仓(SN)</v>
      </c>
      <c r="C1269" s="19" t="str">
        <v>拣货组</v>
      </c>
      <c r="D1269" s="21" t="n">
        <v>46160</v>
      </c>
      <c r="E1269" s="19" t="str">
        <v>2026-05</v>
      </c>
      <c r="F1269" s="19" t="str">
        <v>操作员</v>
      </c>
      <c r="G1269" s="19" t="str">
        <v>英国灵活（6小时扣午休） / UK FLEX (6-HR LUNCH BREAK DEDUCTED)</v>
      </c>
      <c r="H1269" s="23" t="n">
        <v>7</v>
      </c>
      <c r="I1269" s="23" t="n">
        <v>0</v>
      </c>
      <c r="J1269" s="23" t="n">
        <f>H1269+I1269</f>
        <v>7</v>
      </c>
      <c r="K1269" s="23" t="n">
        <v>7</v>
      </c>
      <c r="L1269" s="23" t="n">
        <v>7</v>
      </c>
      <c r="M1269" s="23" t="n">
        <f>MIN(K1269,J1269)</f>
        <v>7</v>
      </c>
      <c r="N1269" s="23" t="n">
        <f>MIN(L1269,J1269)</f>
        <v>7</v>
      </c>
      <c r="O1269" s="25" t="n">
        <f>IF(K1269=0,0,MIN(1,J1269/K1269))</f>
        <v>1</v>
      </c>
      <c r="P1269" s="23" t="n">
        <f>IF(J1269&gt;0,MAX(K1269-J1269,0),0)</f>
        <v>0</v>
      </c>
      <c r="Q1269" s="23" t="n">
        <f>IF(J1269=0,K1269,0)</f>
        <v>0</v>
      </c>
      <c r="R1269" s="23" t="n">
        <f>MAX(J1269-K1269,0)</f>
        <v>0</v>
      </c>
      <c r="S1269" s="23" t="n">
        <f>IF(J1269&gt;0,MAX(L1269-J1269,0),L1269)</f>
        <v>0</v>
      </c>
    </row>
    <row r="1270">
      <c r="A1270" s="19" t="str">
        <v>英国区</v>
      </c>
      <c r="B1270" s="19" t="str">
        <v>伯明翰7号仓(SN)</v>
      </c>
      <c r="C1270" s="19" t="str">
        <v>拣货组</v>
      </c>
      <c r="D1270" s="21" t="n">
        <v>46161</v>
      </c>
      <c r="E1270" s="19" t="str">
        <v>2026-05</v>
      </c>
      <c r="F1270" s="19" t="str">
        <v>操作员</v>
      </c>
      <c r="G1270" s="19" t="str">
        <v>英国灵活（6小时扣午休） / UK FLEX (6-HR LUNCH BREAK DEDUCTED)</v>
      </c>
      <c r="H1270" s="23" t="n">
        <v>5</v>
      </c>
      <c r="I1270" s="23" t="n">
        <v>0</v>
      </c>
      <c r="J1270" s="23" t="n">
        <f>H1270+I1270</f>
        <v>5</v>
      </c>
      <c r="K1270" s="23" t="n">
        <v>5</v>
      </c>
      <c r="L1270" s="23" t="n">
        <v>5</v>
      </c>
      <c r="M1270" s="23" t="n">
        <f>MIN(K1270,J1270)</f>
        <v>5</v>
      </c>
      <c r="N1270" s="23" t="n">
        <f>MIN(L1270,J1270)</f>
        <v>5</v>
      </c>
      <c r="O1270" s="25" t="n">
        <f>IF(K1270=0,0,MIN(1,J1270/K1270))</f>
        <v>1</v>
      </c>
      <c r="P1270" s="23" t="n">
        <f>IF(J1270&gt;0,MAX(K1270-J1270,0),0)</f>
        <v>0</v>
      </c>
      <c r="Q1270" s="23" t="n">
        <f>IF(J1270=0,K1270,0)</f>
        <v>0</v>
      </c>
      <c r="R1270" s="23" t="n">
        <f>MAX(J1270-K1270,0)</f>
        <v>0</v>
      </c>
      <c r="S1270" s="23" t="n">
        <f>IF(J1270&gt;0,MAX(L1270-J1270,0),L1270)</f>
        <v>0</v>
      </c>
    </row>
    <row r="1271">
      <c r="A1271" s="19" t="str">
        <v>英国区</v>
      </c>
      <c r="B1271" s="19" t="str">
        <v>伯明翰7号仓(SN)</v>
      </c>
      <c r="C1271" s="19" t="str">
        <v>拣货组</v>
      </c>
      <c r="D1271" s="21" t="n">
        <v>46162</v>
      </c>
      <c r="E1271" s="19" t="str">
        <v>2026-05</v>
      </c>
      <c r="F1271" s="19" t="str">
        <v>操作员</v>
      </c>
      <c r="G1271" s="19" t="str">
        <v>英国灵活（6小时扣午休） / UK FLEX (6-HR LUNCH BREAK DEDUCTED)</v>
      </c>
      <c r="H1271" s="23" t="n">
        <v>10</v>
      </c>
      <c r="I1271" s="23" t="n">
        <v>0</v>
      </c>
      <c r="J1271" s="23" t="n">
        <f>H1271+I1271</f>
        <v>10</v>
      </c>
      <c r="K1271" s="23" t="n">
        <v>10</v>
      </c>
      <c r="L1271" s="23" t="n">
        <v>9</v>
      </c>
      <c r="M1271" s="23" t="n">
        <f>MIN(K1271,J1271)</f>
        <v>10</v>
      </c>
      <c r="N1271" s="23" t="n">
        <f>MIN(L1271,J1271)</f>
        <v>9</v>
      </c>
      <c r="O1271" s="25" t="n">
        <f>IF(K1271=0,0,MIN(1,J1271/K1271))</f>
        <v>1</v>
      </c>
      <c r="P1271" s="23" t="n">
        <f>IF(J1271&gt;0,MAX(K1271-J1271,0),0)</f>
        <v>0</v>
      </c>
      <c r="Q1271" s="23" t="n">
        <f>IF(J1271=0,K1271,0)</f>
        <v>0</v>
      </c>
      <c r="R1271" s="23" t="n">
        <f>MAX(J1271-K1271,0)</f>
        <v>0</v>
      </c>
      <c r="S1271" s="23" t="n">
        <f>IF(J1271&gt;0,MAX(L1271-J1271,0),L1271)</f>
        <v>0</v>
      </c>
    </row>
    <row r="1272">
      <c r="A1272" s="19" t="str">
        <v>英国区</v>
      </c>
      <c r="B1272" s="19" t="str">
        <v>伯明翰7号仓(SN)</v>
      </c>
      <c r="C1272" s="19" t="str">
        <v>拣货组</v>
      </c>
      <c r="D1272" s="21" t="n">
        <v>46168</v>
      </c>
      <c r="E1272" s="19" t="str">
        <v>2026-05</v>
      </c>
      <c r="F1272" s="19" t="str">
        <v>操作员</v>
      </c>
      <c r="G1272" s="19" t="str">
        <v>英国灵活（6小时扣午休） / UK FLEX (6-HR LUNCH BREAK DEDUCTED)</v>
      </c>
      <c r="H1272" s="23" t="n">
        <v>24</v>
      </c>
      <c r="I1272" s="23" t="n">
        <v>0</v>
      </c>
      <c r="J1272" s="23" t="n">
        <f>H1272+I1272</f>
        <v>24</v>
      </c>
      <c r="K1272" s="23" t="n">
        <v>24</v>
      </c>
      <c r="L1272" s="23" t="n">
        <v>24</v>
      </c>
      <c r="M1272" s="23" t="n">
        <f>MIN(K1272,J1272)</f>
        <v>24</v>
      </c>
      <c r="N1272" s="23" t="n">
        <f>MIN(L1272,J1272)</f>
        <v>24</v>
      </c>
      <c r="O1272" s="25" t="n">
        <f>IF(K1272=0,0,MIN(1,J1272/K1272))</f>
        <v>1</v>
      </c>
      <c r="P1272" s="23" t="n">
        <f>IF(J1272&gt;0,MAX(K1272-J1272,0),0)</f>
        <v>0</v>
      </c>
      <c r="Q1272" s="23" t="n">
        <f>IF(J1272=0,K1272,0)</f>
        <v>0</v>
      </c>
      <c r="R1272" s="23" t="n">
        <f>MAX(J1272-K1272,0)</f>
        <v>0</v>
      </c>
      <c r="S1272" s="23" t="n">
        <f>IF(J1272&gt;0,MAX(L1272-J1272,0),L1272)</f>
        <v>0</v>
      </c>
    </row>
    <row r="1273">
      <c r="A1273" s="19" t="str">
        <v>英国区</v>
      </c>
      <c r="B1273" s="19" t="str">
        <v>伯明翰7号仓(SN)</v>
      </c>
      <c r="C1273" s="19" t="str">
        <v>拣货组</v>
      </c>
      <c r="D1273" s="21" t="n">
        <v>46171</v>
      </c>
      <c r="E1273" s="19" t="str">
        <v>2026-05</v>
      </c>
      <c r="F1273" s="19" t="str">
        <v>操作员</v>
      </c>
      <c r="G1273" s="19" t="str">
        <v>英国灵活（6小时扣午休） / UK FLEX (6-HR LUNCH BREAK DEDUCTED)</v>
      </c>
      <c r="H1273" s="23" t="n">
        <v>9</v>
      </c>
      <c r="I1273" s="23" t="n">
        <v>0</v>
      </c>
      <c r="J1273" s="23" t="n">
        <f>H1273+I1273</f>
        <v>9</v>
      </c>
      <c r="K1273" s="23" t="n">
        <v>9</v>
      </c>
      <c r="L1273" s="23" t="n">
        <v>9</v>
      </c>
      <c r="M1273" s="23" t="n">
        <f>MIN(K1273,J1273)</f>
        <v>9</v>
      </c>
      <c r="N1273" s="23" t="n">
        <f>MIN(L1273,J1273)</f>
        <v>9</v>
      </c>
      <c r="O1273" s="25" t="n">
        <f>IF(K1273=0,0,MIN(1,J1273/K1273))</f>
        <v>1</v>
      </c>
      <c r="P1273" s="23" t="n">
        <f>IF(J1273&gt;0,MAX(K1273-J1273,0),0)</f>
        <v>0</v>
      </c>
      <c r="Q1273" s="23" t="n">
        <f>IF(J1273=0,K1273,0)</f>
        <v>0</v>
      </c>
      <c r="R1273" s="23" t="n">
        <f>MAX(J1273-K1273,0)</f>
        <v>0</v>
      </c>
      <c r="S1273" s="23" t="n">
        <f>IF(J1273&gt;0,MAX(L1273-J1273,0),L1273)</f>
        <v>0</v>
      </c>
    </row>
    <row r="1274">
      <c r="A1274" s="19" t="str">
        <v>英国区</v>
      </c>
      <c r="B1274" s="19" t="str">
        <v>伯明翰7号仓(SN)</v>
      </c>
      <c r="C1274" s="19" t="str">
        <v>拣货组</v>
      </c>
      <c r="D1274" s="21" t="n">
        <v>46171</v>
      </c>
      <c r="E1274" s="19" t="str">
        <v>2026-05</v>
      </c>
      <c r="F1274" s="19" t="str">
        <v>操作员</v>
      </c>
      <c r="G1274" s="19" t="str">
        <v>英国灵活（跨天） / UK FLEX (CROSS-DAY)</v>
      </c>
      <c r="H1274" s="23" t="n">
        <v>4</v>
      </c>
      <c r="I1274" s="23" t="n">
        <v>0</v>
      </c>
      <c r="J1274" s="23" t="n">
        <f>H1274+I1274</f>
        <v>4</v>
      </c>
      <c r="K1274" s="23" t="n">
        <v>4</v>
      </c>
      <c r="L1274" s="23" t="n">
        <v>4</v>
      </c>
      <c r="M1274" s="23" t="n">
        <f>MIN(K1274,J1274)</f>
        <v>4</v>
      </c>
      <c r="N1274" s="23" t="n">
        <f>MIN(L1274,J1274)</f>
        <v>4</v>
      </c>
      <c r="O1274" s="25" t="n">
        <f>IF(K1274=0,0,MIN(1,J1274/K1274))</f>
        <v>1</v>
      </c>
      <c r="P1274" s="23" t="n">
        <f>IF(J1274&gt;0,MAX(K1274-J1274,0),0)</f>
        <v>0</v>
      </c>
      <c r="Q1274" s="23" t="n">
        <f>IF(J1274=0,K1274,0)</f>
        <v>0</v>
      </c>
      <c r="R1274" s="23" t="n">
        <f>MAX(J1274-K1274,0)</f>
        <v>0</v>
      </c>
      <c r="S1274" s="23" t="n">
        <f>IF(J1274&gt;0,MAX(L1274-J1274,0),L1274)</f>
        <v>0</v>
      </c>
    </row>
    <row r="1275">
      <c r="A1275" s="19" t="str">
        <v>英国区</v>
      </c>
      <c r="B1275" s="19" t="str">
        <v>伯明翰7号仓(SN)</v>
      </c>
      <c r="C1275" s="19" t="str">
        <v>拣货组</v>
      </c>
      <c r="D1275" s="21" t="n">
        <v>46191</v>
      </c>
      <c r="E1275" s="19" t="str">
        <v>2026-06</v>
      </c>
      <c r="F1275" s="19" t="str">
        <v>操作员</v>
      </c>
      <c r="G1275" s="19" t="str">
        <v>英国灵活（6小时扣午休） / UK FLEX (6-HR LUNCH BREAK DEDUCTED)</v>
      </c>
      <c r="H1275" s="23" t="n">
        <v>10</v>
      </c>
      <c r="I1275" s="23" t="n">
        <v>0</v>
      </c>
      <c r="J1275" s="23" t="n">
        <f>H1275+I1275</f>
        <v>10</v>
      </c>
      <c r="K1275" s="23" t="n">
        <v>10</v>
      </c>
      <c r="L1275" s="23" t="n">
        <v>10</v>
      </c>
      <c r="M1275" s="23" t="n">
        <f>MIN(K1275,J1275)</f>
        <v>10</v>
      </c>
      <c r="N1275" s="23" t="n">
        <f>MIN(L1275,J1275)</f>
        <v>10</v>
      </c>
      <c r="O1275" s="25" t="n">
        <f>IF(K1275=0,0,MIN(1,J1275/K1275))</f>
        <v>1</v>
      </c>
      <c r="P1275" s="23" t="n">
        <f>IF(J1275&gt;0,MAX(K1275-J1275,0),0)</f>
        <v>0</v>
      </c>
      <c r="Q1275" s="23" t="n">
        <f>IF(J1275=0,K1275,0)</f>
        <v>0</v>
      </c>
      <c r="R1275" s="23" t="n">
        <f>MAX(J1275-K1275,0)</f>
        <v>0</v>
      </c>
      <c r="S1275" s="23" t="n">
        <f>IF(J1275&gt;0,MAX(L1275-J1275,0),L1275)</f>
        <v>0</v>
      </c>
    </row>
    <row r="1276">
      <c r="A1276" s="19" t="str">
        <v>英国区</v>
      </c>
      <c r="B1276" s="19" t="str">
        <v>伯明翰9号仓</v>
      </c>
      <c r="C1276" s="19" t="str">
        <v>入库组</v>
      </c>
      <c r="D1276" s="21" t="n">
        <v>46133</v>
      </c>
      <c r="E1276" s="19" t="str">
        <v>2026-04</v>
      </c>
      <c r="F1276" s="19" t="str">
        <v>操作员</v>
      </c>
      <c r="G1276" s="19" t="str">
        <v>英国区07:00-15:30 / UK 07:00-15:30</v>
      </c>
      <c r="H1276" s="23" t="n">
        <v>11</v>
      </c>
      <c r="I1276" s="23" t="n">
        <v>0</v>
      </c>
      <c r="J1276" s="23" t="n">
        <f>H1276+I1276</f>
        <v>11</v>
      </c>
      <c r="K1276" s="23" t="n">
        <v>11</v>
      </c>
      <c r="L1276" s="23" t="n">
        <v>11</v>
      </c>
      <c r="M1276" s="23" t="n">
        <f>MIN(K1276,J1276)</f>
        <v>11</v>
      </c>
      <c r="N1276" s="23" t="n">
        <f>MIN(L1276,J1276)</f>
        <v>11</v>
      </c>
      <c r="O1276" s="25" t="n">
        <f>IF(K1276=0,0,MIN(1,J1276/K1276))</f>
        <v>1</v>
      </c>
      <c r="P1276" s="23" t="n">
        <f>IF(J1276&gt;0,MAX(K1276-J1276,0),0)</f>
        <v>0</v>
      </c>
      <c r="Q1276" s="23" t="n">
        <f>IF(J1276=0,K1276,0)</f>
        <v>0</v>
      </c>
      <c r="R1276" s="23" t="n">
        <f>MAX(J1276-K1276,0)</f>
        <v>0</v>
      </c>
      <c r="S1276" s="23" t="n">
        <f>IF(J1276&gt;0,MAX(L1276-J1276,0),L1276)</f>
        <v>0</v>
      </c>
    </row>
    <row r="1277">
      <c r="A1277" s="19" t="str">
        <v>英国区</v>
      </c>
      <c r="B1277" s="19" t="str">
        <v>伯明翰9号仓</v>
      </c>
      <c r="C1277" s="19" t="str">
        <v>入库组</v>
      </c>
      <c r="D1277" s="21" t="n">
        <v>46134</v>
      </c>
      <c r="E1277" s="19" t="str">
        <v>2026-04</v>
      </c>
      <c r="F1277" s="19" t="str">
        <v>操作员</v>
      </c>
      <c r="G1277" s="19" t="str">
        <v>英国区07:00-15:30 / UK 07:00-15:30</v>
      </c>
      <c r="H1277" s="23" t="n">
        <v>4</v>
      </c>
      <c r="I1277" s="23" t="n">
        <v>0</v>
      </c>
      <c r="J1277" s="23" t="n">
        <f>H1277+I1277</f>
        <v>4</v>
      </c>
      <c r="K1277" s="23" t="n">
        <v>0</v>
      </c>
      <c r="L1277" s="23" t="n">
        <v>0</v>
      </c>
      <c r="M1277" s="23" t="n">
        <f>MIN(K1277,J1277)</f>
        <v>0</v>
      </c>
      <c r="N1277" s="23" t="n">
        <f>MIN(L1277,J1277)</f>
        <v>0</v>
      </c>
      <c r="O1277" s="25" t="n">
        <f>IF(K1277=0,0,MIN(1,J1277/K1277))</f>
        <v>0</v>
      </c>
      <c r="P1277" s="23" t="n">
        <f>IF(J1277&gt;0,MAX(K1277-J1277,0),0)</f>
        <v>0</v>
      </c>
      <c r="Q1277" s="23" t="n">
        <f>IF(J1277=0,K1277,0)</f>
        <v>0</v>
      </c>
      <c r="R1277" s="23" t="n">
        <f>MAX(J1277-K1277,0)</f>
        <v>4</v>
      </c>
      <c r="S1277" s="23" t="n">
        <f>IF(J1277&gt;0,MAX(L1277-J1277,0),L1277)</f>
        <v>0</v>
      </c>
    </row>
    <row r="1278">
      <c r="A1278" s="19" t="str">
        <v>英国区</v>
      </c>
      <c r="B1278" s="19" t="str">
        <v>伯明翰9号仓</v>
      </c>
      <c r="C1278" s="19" t="str">
        <v>入库组</v>
      </c>
      <c r="D1278" s="21" t="n">
        <v>46135</v>
      </c>
      <c r="E1278" s="19" t="str">
        <v>2026-04</v>
      </c>
      <c r="F1278" s="19" t="str">
        <v>操作员</v>
      </c>
      <c r="G1278" s="19" t="str">
        <v>英国区07:00-15:30 / UK 07:00-15:30</v>
      </c>
      <c r="H1278" s="23" t="n">
        <v>6</v>
      </c>
      <c r="I1278" s="23" t="n">
        <v>0</v>
      </c>
      <c r="J1278" s="23" t="n">
        <f>H1278+I1278</f>
        <v>6</v>
      </c>
      <c r="K1278" s="23" t="n">
        <v>6</v>
      </c>
      <c r="L1278" s="23" t="n">
        <v>6</v>
      </c>
      <c r="M1278" s="23" t="n">
        <f>MIN(K1278,J1278)</f>
        <v>6</v>
      </c>
      <c r="N1278" s="23" t="n">
        <f>MIN(L1278,J1278)</f>
        <v>6</v>
      </c>
      <c r="O1278" s="25" t="n">
        <f>IF(K1278=0,0,MIN(1,J1278/K1278))</f>
        <v>1</v>
      </c>
      <c r="P1278" s="23" t="n">
        <f>IF(J1278&gt;0,MAX(K1278-J1278,0),0)</f>
        <v>0</v>
      </c>
      <c r="Q1278" s="23" t="n">
        <f>IF(J1278=0,K1278,0)</f>
        <v>0</v>
      </c>
      <c r="R1278" s="23" t="n">
        <f>MAX(J1278-K1278,0)</f>
        <v>0</v>
      </c>
      <c r="S1278" s="23" t="n">
        <f>IF(J1278&gt;0,MAX(L1278-J1278,0),L1278)</f>
        <v>0</v>
      </c>
    </row>
    <row r="1279">
      <c r="A1279" s="19" t="str">
        <v>英国区</v>
      </c>
      <c r="B1279" s="19" t="str">
        <v>伯明翰9号仓</v>
      </c>
      <c r="C1279" s="19" t="str">
        <v>入库组</v>
      </c>
      <c r="D1279" s="21" t="n">
        <v>46135</v>
      </c>
      <c r="E1279" s="19" t="str">
        <v>2026-04</v>
      </c>
      <c r="F1279" s="19" t="str">
        <v>操作员</v>
      </c>
      <c r="G1279" s="19" t="str">
        <v>英国区09:00-17:30 / UK 09:00-17:30</v>
      </c>
      <c r="H1279" s="23" t="n">
        <v>10</v>
      </c>
      <c r="I1279" s="23" t="n">
        <v>0</v>
      </c>
      <c r="J1279" s="23" t="n">
        <f>H1279+I1279</f>
        <v>10</v>
      </c>
      <c r="K1279" s="23" t="n">
        <v>10</v>
      </c>
      <c r="L1279" s="23" t="n">
        <v>10</v>
      </c>
      <c r="M1279" s="23" t="n">
        <f>MIN(K1279,J1279)</f>
        <v>10</v>
      </c>
      <c r="N1279" s="23" t="n">
        <f>MIN(L1279,J1279)</f>
        <v>10</v>
      </c>
      <c r="O1279" s="25" t="n">
        <f>IF(K1279=0,0,MIN(1,J1279/K1279))</f>
        <v>1</v>
      </c>
      <c r="P1279" s="23" t="n">
        <f>IF(J1279&gt;0,MAX(K1279-J1279,0),0)</f>
        <v>0</v>
      </c>
      <c r="Q1279" s="23" t="n">
        <f>IF(J1279=0,K1279,0)</f>
        <v>0</v>
      </c>
      <c r="R1279" s="23" t="n">
        <f>MAX(J1279-K1279,0)</f>
        <v>0</v>
      </c>
      <c r="S1279" s="23" t="n">
        <f>IF(J1279&gt;0,MAX(L1279-J1279,0),L1279)</f>
        <v>0</v>
      </c>
    </row>
    <row r="1280">
      <c r="A1280" s="19" t="str">
        <v>英国区</v>
      </c>
      <c r="B1280" s="19" t="str">
        <v>伯明翰9号仓</v>
      </c>
      <c r="C1280" s="19" t="str">
        <v>入库组</v>
      </c>
      <c r="D1280" s="21" t="n">
        <v>46135</v>
      </c>
      <c r="E1280" s="19" t="str">
        <v>2026-04</v>
      </c>
      <c r="F1280" s="19" t="str">
        <v>操作员</v>
      </c>
      <c r="G1280" s="19" t="str">
        <v>英国区11:00-19:30 / UK 11:00-19:30</v>
      </c>
      <c r="H1280" s="23" t="n">
        <v>8</v>
      </c>
      <c r="I1280" s="23" t="n">
        <v>0</v>
      </c>
      <c r="J1280" s="23" t="n">
        <f>H1280+I1280</f>
        <v>8</v>
      </c>
      <c r="K1280" s="23" t="n">
        <v>8</v>
      </c>
      <c r="L1280" s="23" t="n">
        <v>8</v>
      </c>
      <c r="M1280" s="23" t="n">
        <f>MIN(K1280,J1280)</f>
        <v>8</v>
      </c>
      <c r="N1280" s="23" t="n">
        <f>MIN(L1280,J1280)</f>
        <v>8</v>
      </c>
      <c r="O1280" s="25" t="n">
        <f>IF(K1280=0,0,MIN(1,J1280/K1280))</f>
        <v>1</v>
      </c>
      <c r="P1280" s="23" t="n">
        <f>IF(J1280&gt;0,MAX(K1280-J1280,0),0)</f>
        <v>0</v>
      </c>
      <c r="Q1280" s="23" t="n">
        <f>IF(J1280=0,K1280,0)</f>
        <v>0</v>
      </c>
      <c r="R1280" s="23" t="n">
        <f>MAX(J1280-K1280,0)</f>
        <v>0</v>
      </c>
      <c r="S1280" s="23" t="n">
        <f>IF(J1280&gt;0,MAX(L1280-J1280,0),L1280)</f>
        <v>0</v>
      </c>
    </row>
    <row r="1281">
      <c r="A1281" s="19" t="str">
        <v>英国区</v>
      </c>
      <c r="B1281" s="19" t="str">
        <v>伯明翰9号仓</v>
      </c>
      <c r="C1281" s="19" t="str">
        <v>入库组</v>
      </c>
      <c r="D1281" s="21" t="n">
        <v>46136</v>
      </c>
      <c r="E1281" s="19" t="str">
        <v>2026-04</v>
      </c>
      <c r="F1281" s="19" t="str">
        <v>操作员</v>
      </c>
      <c r="G1281" s="19" t="str">
        <v>英国区07:00-15:30 / UK 07:00-15:30</v>
      </c>
      <c r="H1281" s="23" t="n">
        <v>4</v>
      </c>
      <c r="I1281" s="23" t="n">
        <v>0</v>
      </c>
      <c r="J1281" s="23" t="n">
        <f>H1281+I1281</f>
        <v>4</v>
      </c>
      <c r="K1281" s="23" t="n">
        <v>4</v>
      </c>
      <c r="L1281" s="23" t="n">
        <v>4</v>
      </c>
      <c r="M1281" s="23" t="n">
        <f>MIN(K1281,J1281)</f>
        <v>4</v>
      </c>
      <c r="N1281" s="23" t="n">
        <f>MIN(L1281,J1281)</f>
        <v>4</v>
      </c>
      <c r="O1281" s="25" t="n">
        <f>IF(K1281=0,0,MIN(1,J1281/K1281))</f>
        <v>1</v>
      </c>
      <c r="P1281" s="23" t="n">
        <f>IF(J1281&gt;0,MAX(K1281-J1281,0),0)</f>
        <v>0</v>
      </c>
      <c r="Q1281" s="23" t="n">
        <f>IF(J1281=0,K1281,0)</f>
        <v>0</v>
      </c>
      <c r="R1281" s="23" t="n">
        <f>MAX(J1281-K1281,0)</f>
        <v>0</v>
      </c>
      <c r="S1281" s="23" t="n">
        <f>IF(J1281&gt;0,MAX(L1281-J1281,0),L1281)</f>
        <v>0</v>
      </c>
    </row>
    <row r="1282">
      <c r="A1282" s="19" t="str">
        <v>英国区</v>
      </c>
      <c r="B1282" s="19" t="str">
        <v>伯明翰9号仓</v>
      </c>
      <c r="C1282" s="19" t="str">
        <v>入库组</v>
      </c>
      <c r="D1282" s="21" t="n">
        <v>46136</v>
      </c>
      <c r="E1282" s="19" t="str">
        <v>2026-04</v>
      </c>
      <c r="F1282" s="19" t="str">
        <v>操作员</v>
      </c>
      <c r="G1282" s="19" t="str">
        <v>英国区09:00-17:30 / UK 09:00-17:30</v>
      </c>
      <c r="H1282" s="23" t="n">
        <v>4</v>
      </c>
      <c r="I1282" s="23" t="n">
        <v>0</v>
      </c>
      <c r="J1282" s="23" t="n">
        <f>H1282+I1282</f>
        <v>4</v>
      </c>
      <c r="K1282" s="23" t="n">
        <v>4</v>
      </c>
      <c r="L1282" s="23" t="n">
        <v>2</v>
      </c>
      <c r="M1282" s="23" t="n">
        <f>MIN(K1282,J1282)</f>
        <v>4</v>
      </c>
      <c r="N1282" s="23" t="n">
        <f>MIN(L1282,J1282)</f>
        <v>2</v>
      </c>
      <c r="O1282" s="25" t="n">
        <f>IF(K1282=0,0,MIN(1,J1282/K1282))</f>
        <v>1</v>
      </c>
      <c r="P1282" s="23" t="n">
        <f>IF(J1282&gt;0,MAX(K1282-J1282,0),0)</f>
        <v>0</v>
      </c>
      <c r="Q1282" s="23" t="n">
        <f>IF(J1282=0,K1282,0)</f>
        <v>0</v>
      </c>
      <c r="R1282" s="23" t="n">
        <f>MAX(J1282-K1282,0)</f>
        <v>0</v>
      </c>
      <c r="S1282" s="23" t="n">
        <f>IF(J1282&gt;0,MAX(L1282-J1282,0),L1282)</f>
        <v>0</v>
      </c>
    </row>
    <row r="1283">
      <c r="A1283" s="19" t="str">
        <v>英国区</v>
      </c>
      <c r="B1283" s="19" t="str">
        <v>伯明翰9号仓</v>
      </c>
      <c r="C1283" s="19" t="str">
        <v>入库组</v>
      </c>
      <c r="D1283" s="21" t="n">
        <v>46170</v>
      </c>
      <c r="E1283" s="19" t="str">
        <v>2026-05</v>
      </c>
      <c r="F1283" s="19" t="str">
        <v>交运员 3.5T</v>
      </c>
      <c r="G1283" s="19" t="str">
        <v>英国区07:00-15:30 / UK 07:00-15:30</v>
      </c>
      <c r="H1283" s="23" t="n">
        <v>4</v>
      </c>
      <c r="I1283" s="23" t="n">
        <v>0</v>
      </c>
      <c r="J1283" s="23" t="n">
        <f>H1283+I1283</f>
        <v>4</v>
      </c>
      <c r="K1283" s="23" t="n">
        <v>4</v>
      </c>
      <c r="L1283" s="23" t="n">
        <v>4</v>
      </c>
      <c r="M1283" s="23" t="n">
        <f>MIN(K1283,J1283)</f>
        <v>4</v>
      </c>
      <c r="N1283" s="23" t="n">
        <f>MIN(L1283,J1283)</f>
        <v>4</v>
      </c>
      <c r="O1283" s="25" t="n">
        <f>IF(K1283=0,0,MIN(1,J1283/K1283))</f>
        <v>1</v>
      </c>
      <c r="P1283" s="23" t="n">
        <f>IF(J1283&gt;0,MAX(K1283-J1283,0),0)</f>
        <v>0</v>
      </c>
      <c r="Q1283" s="23" t="n">
        <f>IF(J1283=0,K1283,0)</f>
        <v>0</v>
      </c>
      <c r="R1283" s="23" t="n">
        <f>MAX(J1283-K1283,0)</f>
        <v>0</v>
      </c>
      <c r="S1283" s="23" t="n">
        <f>IF(J1283&gt;0,MAX(L1283-J1283,0),L1283)</f>
        <v>0</v>
      </c>
    </row>
    <row r="1284">
      <c r="A1284" s="19" t="str">
        <v>英国区</v>
      </c>
      <c r="B1284" s="19" t="str">
        <v>伯明翰9号仓</v>
      </c>
      <c r="C1284" s="19" t="str">
        <v>入库组</v>
      </c>
      <c r="D1284" s="21" t="n">
        <v>46185</v>
      </c>
      <c r="E1284" s="19" t="str">
        <v>2026-06</v>
      </c>
      <c r="F1284" s="19" t="str">
        <v>操作员</v>
      </c>
      <c r="G1284" s="19" t="str">
        <v>英国区07:00-15:30 / UK 07:00-15:30</v>
      </c>
      <c r="H1284" s="23" t="n">
        <v>3</v>
      </c>
      <c r="I1284" s="23" t="n">
        <v>0</v>
      </c>
      <c r="J1284" s="23" t="n">
        <f>H1284+I1284</f>
        <v>3</v>
      </c>
      <c r="K1284" s="23" t="n">
        <v>3</v>
      </c>
      <c r="L1284" s="23" t="n">
        <v>1</v>
      </c>
      <c r="M1284" s="23" t="n">
        <f>MIN(K1284,J1284)</f>
        <v>3</v>
      </c>
      <c r="N1284" s="23" t="n">
        <f>MIN(L1284,J1284)</f>
        <v>1</v>
      </c>
      <c r="O1284" s="25" t="n">
        <f>IF(K1284=0,0,MIN(1,J1284/K1284))</f>
        <v>1</v>
      </c>
      <c r="P1284" s="23" t="n">
        <f>IF(J1284&gt;0,MAX(K1284-J1284,0),0)</f>
        <v>0</v>
      </c>
      <c r="Q1284" s="23" t="n">
        <f>IF(J1284=0,K1284,0)</f>
        <v>0</v>
      </c>
      <c r="R1284" s="23" t="n">
        <f>MAX(J1284-K1284,0)</f>
        <v>0</v>
      </c>
      <c r="S1284" s="23" t="n">
        <f>IF(J1284&gt;0,MAX(L1284-J1284,0),L1284)</f>
        <v>0</v>
      </c>
    </row>
    <row r="1285">
      <c r="A1285" s="19" t="str">
        <v>英国区</v>
      </c>
      <c r="B1285" s="19" t="str">
        <v>伯明翰9号仓</v>
      </c>
      <c r="C1285" s="19" t="str">
        <v>入库组</v>
      </c>
      <c r="D1285" s="21" t="n">
        <v>46188</v>
      </c>
      <c r="E1285" s="19" t="str">
        <v>2026-06</v>
      </c>
      <c r="F1285" s="19" t="str">
        <v>操作员</v>
      </c>
      <c r="G1285" s="19" t="str">
        <v>英国区07:00-15:30 / UK 07:00-15:30</v>
      </c>
      <c r="H1285" s="23" t="n">
        <v>5</v>
      </c>
      <c r="I1285" s="23" t="n">
        <v>0</v>
      </c>
      <c r="J1285" s="23" t="n">
        <f>H1285+I1285</f>
        <v>5</v>
      </c>
      <c r="K1285" s="23" t="n">
        <v>5</v>
      </c>
      <c r="L1285" s="23" t="n">
        <v>3</v>
      </c>
      <c r="M1285" s="23" t="n">
        <f>MIN(K1285,J1285)</f>
        <v>5</v>
      </c>
      <c r="N1285" s="23" t="n">
        <f>MIN(L1285,J1285)</f>
        <v>3</v>
      </c>
      <c r="O1285" s="25" t="n">
        <f>IF(K1285=0,0,MIN(1,J1285/K1285))</f>
        <v>1</v>
      </c>
      <c r="P1285" s="23" t="n">
        <f>IF(J1285&gt;0,MAX(K1285-J1285,0),0)</f>
        <v>0</v>
      </c>
      <c r="Q1285" s="23" t="n">
        <f>IF(J1285=0,K1285,0)</f>
        <v>0</v>
      </c>
      <c r="R1285" s="23" t="n">
        <f>MAX(J1285-K1285,0)</f>
        <v>0</v>
      </c>
      <c r="S1285" s="23" t="n">
        <f>IF(J1285&gt;0,MAX(L1285-J1285,0),L1285)</f>
        <v>0</v>
      </c>
    </row>
    <row r="1286">
      <c r="A1286" s="19" t="str">
        <v>英国区</v>
      </c>
      <c r="B1286" s="19" t="str">
        <v>伯明翰9号仓</v>
      </c>
      <c r="C1286" s="19" t="str">
        <v>入库组</v>
      </c>
      <c r="D1286" s="21" t="n">
        <v>46192</v>
      </c>
      <c r="E1286" s="19" t="str">
        <v>2026-06</v>
      </c>
      <c r="F1286" s="19" t="str">
        <v>操作员</v>
      </c>
      <c r="G1286" s="19" t="str">
        <v>英国区07:00-15:30 / UK 07:00-15:30</v>
      </c>
      <c r="H1286" s="23" t="n">
        <v>2</v>
      </c>
      <c r="I1286" s="23" t="n">
        <v>0</v>
      </c>
      <c r="J1286" s="23" t="n">
        <f>H1286+I1286</f>
        <v>2</v>
      </c>
      <c r="K1286" s="23" t="n">
        <v>2</v>
      </c>
      <c r="L1286" s="23" t="n">
        <v>2</v>
      </c>
      <c r="M1286" s="23" t="n">
        <f>MIN(K1286,J1286)</f>
        <v>2</v>
      </c>
      <c r="N1286" s="23" t="n">
        <f>MIN(L1286,J1286)</f>
        <v>2</v>
      </c>
      <c r="O1286" s="25" t="n">
        <f>IF(K1286=0,0,MIN(1,J1286/K1286))</f>
        <v>1</v>
      </c>
      <c r="P1286" s="23" t="n">
        <f>IF(J1286&gt;0,MAX(K1286-J1286,0),0)</f>
        <v>0</v>
      </c>
      <c r="Q1286" s="23" t="n">
        <f>IF(J1286=0,K1286,0)</f>
        <v>0</v>
      </c>
      <c r="R1286" s="23" t="n">
        <f>MAX(J1286-K1286,0)</f>
        <v>0</v>
      </c>
      <c r="S1286" s="23" t="n">
        <f>IF(J1286&gt;0,MAX(L1286-J1286,0),L1286)</f>
        <v>0</v>
      </c>
    </row>
    <row r="1287">
      <c r="A1287" s="19" t="str">
        <v>英国区</v>
      </c>
      <c r="B1287" s="19" t="str">
        <v>伯明翰9号仓</v>
      </c>
      <c r="C1287" s="19" t="str">
        <v>入库组</v>
      </c>
      <c r="D1287" s="21" t="n">
        <v>46197</v>
      </c>
      <c r="E1287" s="19" t="str">
        <v>2026-06</v>
      </c>
      <c r="F1287" s="19" t="str">
        <v>操作员</v>
      </c>
      <c r="G1287" s="19" t="str">
        <v>英国区07:00-15:30 / UK 07:00-15:30</v>
      </c>
      <c r="H1287" s="23" t="n">
        <v>3</v>
      </c>
      <c r="I1287" s="23" t="n">
        <v>0</v>
      </c>
      <c r="J1287" s="23" t="n">
        <f>H1287+I1287</f>
        <v>3</v>
      </c>
      <c r="K1287" s="23" t="n">
        <v>3</v>
      </c>
      <c r="L1287" s="23" t="n">
        <v>3</v>
      </c>
      <c r="M1287" s="23" t="n">
        <f>MIN(K1287,J1287)</f>
        <v>3</v>
      </c>
      <c r="N1287" s="23" t="n">
        <f>MIN(L1287,J1287)</f>
        <v>3</v>
      </c>
      <c r="O1287" s="25" t="n">
        <f>IF(K1287=0,0,MIN(1,J1287/K1287))</f>
        <v>1</v>
      </c>
      <c r="P1287" s="23" t="n">
        <f>IF(J1287&gt;0,MAX(K1287-J1287,0),0)</f>
        <v>0</v>
      </c>
      <c r="Q1287" s="23" t="n">
        <f>IF(J1287=0,K1287,0)</f>
        <v>0</v>
      </c>
      <c r="R1287" s="23" t="n">
        <f>MAX(J1287-K1287,0)</f>
        <v>0</v>
      </c>
      <c r="S1287" s="23" t="n">
        <f>IF(J1287&gt;0,MAX(L1287-J1287,0),L1287)</f>
        <v>0</v>
      </c>
    </row>
    <row r="1288">
      <c r="A1288" s="19" t="str">
        <v>英国区</v>
      </c>
      <c r="B1288" s="19" t="str">
        <v>伯明翰9号仓</v>
      </c>
      <c r="C1288" s="19" t="str">
        <v>入库组</v>
      </c>
      <c r="D1288" s="21" t="n">
        <v>46198</v>
      </c>
      <c r="E1288" s="19" t="str">
        <v>2026-06</v>
      </c>
      <c r="F1288" s="19" t="str">
        <v>操作员</v>
      </c>
      <c r="G1288" s="19" t="str">
        <v>英国区07:00-15:30 / UK 07:00-15:30</v>
      </c>
      <c r="H1288" s="23" t="n">
        <v>1</v>
      </c>
      <c r="I1288" s="23" t="n">
        <v>0</v>
      </c>
      <c r="J1288" s="23" t="n">
        <f>H1288+I1288</f>
        <v>1</v>
      </c>
      <c r="K1288" s="23" t="n">
        <v>1</v>
      </c>
      <c r="L1288" s="23" t="n">
        <v>1</v>
      </c>
      <c r="M1288" s="23" t="n">
        <f>MIN(K1288,J1288)</f>
        <v>1</v>
      </c>
      <c r="N1288" s="23" t="n">
        <f>MIN(L1288,J1288)</f>
        <v>1</v>
      </c>
      <c r="O1288" s="25" t="n">
        <f>IF(K1288=0,0,MIN(1,J1288/K1288))</f>
        <v>1</v>
      </c>
      <c r="P1288" s="23" t="n">
        <f>IF(J1288&gt;0,MAX(K1288-J1288,0),0)</f>
        <v>0</v>
      </c>
      <c r="Q1288" s="23" t="n">
        <f>IF(J1288=0,K1288,0)</f>
        <v>0</v>
      </c>
      <c r="R1288" s="23" t="n">
        <f>MAX(J1288-K1288,0)</f>
        <v>0</v>
      </c>
      <c r="S1288" s="23" t="n">
        <f>IF(J1288&gt;0,MAX(L1288-J1288,0),L1288)</f>
        <v>0</v>
      </c>
    </row>
    <row r="1289">
      <c r="A1289" s="19" t="str">
        <v>英国区</v>
      </c>
      <c r="B1289" s="19" t="str">
        <v>伯明翰9号仓</v>
      </c>
      <c r="C1289" s="19" t="str">
        <v>入库组</v>
      </c>
      <c r="D1289" s="21" t="n">
        <v>46199</v>
      </c>
      <c r="E1289" s="19" t="str">
        <v>2026-06</v>
      </c>
      <c r="F1289" s="19" t="str">
        <v>操作员</v>
      </c>
      <c r="G1289" s="19" t="str">
        <v>英国区07:00-15:30 / UK 07:00-15:30</v>
      </c>
      <c r="H1289" s="23" t="n">
        <v>1</v>
      </c>
      <c r="I1289" s="23" t="n">
        <v>0</v>
      </c>
      <c r="J1289" s="23" t="n">
        <f>H1289+I1289</f>
        <v>1</v>
      </c>
      <c r="K1289" s="23" t="n">
        <v>1</v>
      </c>
      <c r="L1289" s="23" t="n">
        <v>1</v>
      </c>
      <c r="M1289" s="23" t="n">
        <f>MIN(K1289,J1289)</f>
        <v>1</v>
      </c>
      <c r="N1289" s="23" t="n">
        <f>MIN(L1289,J1289)</f>
        <v>1</v>
      </c>
      <c r="O1289" s="25" t="n">
        <f>IF(K1289=0,0,MIN(1,J1289/K1289))</f>
        <v>1</v>
      </c>
      <c r="P1289" s="23" t="n">
        <f>IF(J1289&gt;0,MAX(K1289-J1289,0),0)</f>
        <v>0</v>
      </c>
      <c r="Q1289" s="23" t="n">
        <f>IF(J1289=0,K1289,0)</f>
        <v>0</v>
      </c>
      <c r="R1289" s="23" t="n">
        <f>MAX(J1289-K1289,0)</f>
        <v>0</v>
      </c>
      <c r="S1289" s="23" t="n">
        <f>IF(J1289&gt;0,MAX(L1289-J1289,0),L1289)</f>
        <v>0</v>
      </c>
    </row>
    <row r="1290">
      <c r="A1290" s="19" t="str">
        <v>英国区</v>
      </c>
      <c r="B1290" s="19" t="str">
        <v>伯明翰9号仓</v>
      </c>
      <c r="C1290" s="19" t="str">
        <v>入库组</v>
      </c>
      <c r="D1290" s="21" t="n">
        <v>46202</v>
      </c>
      <c r="E1290" s="19" t="str">
        <v>2026-06</v>
      </c>
      <c r="F1290" s="19" t="str">
        <v>操作员</v>
      </c>
      <c r="G1290" s="19" t="str">
        <v>英国区07:00-15:30 / UK 07:00-15:30</v>
      </c>
      <c r="H1290" s="23" t="n">
        <v>3</v>
      </c>
      <c r="I1290" s="23" t="n">
        <v>0</v>
      </c>
      <c r="J1290" s="23" t="n">
        <f>H1290+I1290</f>
        <v>3</v>
      </c>
      <c r="K1290" s="23" t="n">
        <v>3</v>
      </c>
      <c r="L1290" s="23" t="n">
        <v>3</v>
      </c>
      <c r="M1290" s="23" t="n">
        <f>MIN(K1290,J1290)</f>
        <v>3</v>
      </c>
      <c r="N1290" s="23" t="n">
        <f>MIN(L1290,J1290)</f>
        <v>3</v>
      </c>
      <c r="O1290" s="25" t="n">
        <f>IF(K1290=0,0,MIN(1,J1290/K1290))</f>
        <v>1</v>
      </c>
      <c r="P1290" s="23" t="n">
        <f>IF(J1290&gt;0,MAX(K1290-J1290,0),0)</f>
        <v>0</v>
      </c>
      <c r="Q1290" s="23" t="n">
        <f>IF(J1290=0,K1290,0)</f>
        <v>0</v>
      </c>
      <c r="R1290" s="23" t="n">
        <f>MAX(J1290-K1290,0)</f>
        <v>0</v>
      </c>
      <c r="S1290" s="23" t="n">
        <f>IF(J1290&gt;0,MAX(L1290-J1290,0),L1290)</f>
        <v>0</v>
      </c>
    </row>
    <row r="1291">
      <c r="A1291" s="19" t="str">
        <v>英国区</v>
      </c>
      <c r="B1291" s="19" t="str">
        <v>伯明翰9号仓</v>
      </c>
      <c r="C1291" s="19" t="str">
        <v>入库组</v>
      </c>
      <c r="D1291" s="21" t="n">
        <v>46203</v>
      </c>
      <c r="E1291" s="19" t="str">
        <v>2026-06</v>
      </c>
      <c r="F1291" s="19" t="str">
        <v>操作员</v>
      </c>
      <c r="G1291" s="19" t="str">
        <v>英国区07:00-15:30 / UK 07:00-15:30</v>
      </c>
      <c r="H1291" s="23" t="n">
        <v>2</v>
      </c>
      <c r="I1291" s="23" t="n">
        <v>0</v>
      </c>
      <c r="J1291" s="23" t="n">
        <f>H1291+I1291</f>
        <v>2</v>
      </c>
      <c r="K1291" s="23" t="n">
        <v>2</v>
      </c>
      <c r="L1291" s="23" t="n">
        <v>2</v>
      </c>
      <c r="M1291" s="23" t="n">
        <f>MIN(K1291,J1291)</f>
        <v>2</v>
      </c>
      <c r="N1291" s="23" t="n">
        <f>MIN(L1291,J1291)</f>
        <v>2</v>
      </c>
      <c r="O1291" s="25" t="n">
        <f>IF(K1291=0,0,MIN(1,J1291/K1291))</f>
        <v>1</v>
      </c>
      <c r="P1291" s="23" t="n">
        <f>IF(J1291&gt;0,MAX(K1291-J1291,0),0)</f>
        <v>0</v>
      </c>
      <c r="Q1291" s="23" t="n">
        <f>IF(J1291=0,K1291,0)</f>
        <v>0</v>
      </c>
      <c r="R1291" s="23" t="n">
        <f>MAX(J1291-K1291,0)</f>
        <v>0</v>
      </c>
      <c r="S1291" s="23" t="n">
        <f>IF(J1291&gt;0,MAX(L1291-J1291,0),L1291)</f>
        <v>0</v>
      </c>
    </row>
    <row r="1292">
      <c r="A1292" s="19" t="str">
        <v>英国区</v>
      </c>
      <c r="B1292" s="19" t="str">
        <v>伯明翰9号仓</v>
      </c>
      <c r="C1292" s="19" t="str">
        <v>包装组</v>
      </c>
      <c r="D1292" s="21" t="n">
        <v>46136</v>
      </c>
      <c r="E1292" s="19" t="str">
        <v>2026-04</v>
      </c>
      <c r="F1292" s="19" t="str">
        <v>操作员</v>
      </c>
      <c r="G1292" s="19" t="str">
        <v>英国区09:00-17:30 / UK 09:00-17:30</v>
      </c>
      <c r="H1292" s="23" t="n">
        <v>1</v>
      </c>
      <c r="I1292" s="23" t="n">
        <v>0</v>
      </c>
      <c r="J1292" s="23" t="n">
        <f>H1292+I1292</f>
        <v>1</v>
      </c>
      <c r="K1292" s="23" t="n">
        <v>1</v>
      </c>
      <c r="L1292" s="23" t="n">
        <v>1</v>
      </c>
      <c r="M1292" s="23" t="n">
        <f>MIN(K1292,J1292)</f>
        <v>1</v>
      </c>
      <c r="N1292" s="23" t="n">
        <f>MIN(L1292,J1292)</f>
        <v>1</v>
      </c>
      <c r="O1292" s="25" t="n">
        <f>IF(K1292=0,0,MIN(1,J1292/K1292))</f>
        <v>1</v>
      </c>
      <c r="P1292" s="23" t="n">
        <f>IF(J1292&gt;0,MAX(K1292-J1292,0),0)</f>
        <v>0</v>
      </c>
      <c r="Q1292" s="23" t="n">
        <f>IF(J1292=0,K1292,0)</f>
        <v>0</v>
      </c>
      <c r="R1292" s="23" t="n">
        <f>MAX(J1292-K1292,0)</f>
        <v>0</v>
      </c>
      <c r="S1292" s="23" t="n">
        <f>IF(J1292&gt;0,MAX(L1292-J1292,0),L1292)</f>
        <v>0</v>
      </c>
    </row>
    <row r="1293">
      <c r="A1293" s="19" t="str">
        <v>英国区</v>
      </c>
      <c r="B1293" s="19" t="str">
        <v>伯明翰9号仓</v>
      </c>
      <c r="C1293" s="19" t="str">
        <v>拣货组</v>
      </c>
      <c r="D1293" s="21" t="n">
        <v>46132</v>
      </c>
      <c r="E1293" s="19" t="str">
        <v>2026-04</v>
      </c>
      <c r="F1293" s="19" t="str">
        <v>操作员</v>
      </c>
      <c r="G1293" s="19" t="str">
        <v>英国区09:00-17:30 / UK 09:00-17:30</v>
      </c>
      <c r="H1293" s="23" t="n">
        <v>1</v>
      </c>
      <c r="I1293" s="23" t="n">
        <v>0</v>
      </c>
      <c r="J1293" s="23" t="n">
        <f>H1293+I1293</f>
        <v>1</v>
      </c>
      <c r="K1293" s="23" t="n">
        <v>1</v>
      </c>
      <c r="L1293" s="23" t="n">
        <v>1</v>
      </c>
      <c r="M1293" s="23" t="n">
        <f>MIN(K1293,J1293)</f>
        <v>1</v>
      </c>
      <c r="N1293" s="23" t="n">
        <f>MIN(L1293,J1293)</f>
        <v>1</v>
      </c>
      <c r="O1293" s="25" t="n">
        <f>IF(K1293=0,0,MIN(1,J1293/K1293))</f>
        <v>1</v>
      </c>
      <c r="P1293" s="23" t="n">
        <f>IF(J1293&gt;0,MAX(K1293-J1293,0),0)</f>
        <v>0</v>
      </c>
      <c r="Q1293" s="23" t="n">
        <f>IF(J1293=0,K1293,0)</f>
        <v>0</v>
      </c>
      <c r="R1293" s="23" t="n">
        <f>MAX(J1293-K1293,0)</f>
        <v>0</v>
      </c>
      <c r="S1293" s="23" t="n">
        <f>IF(J1293&gt;0,MAX(L1293-J1293,0),L1293)</f>
        <v>0</v>
      </c>
    </row>
    <row r="1294">
      <c r="A1294" s="19" t="str">
        <v>西班牙区</v>
      </c>
      <c r="B1294" s="19" t="str">
        <v>马德里1号仓</v>
      </c>
      <c r="C1294" s="19" t="str">
        <v>交运组</v>
      </c>
      <c r="D1294" s="21" t="n">
        <v>46191</v>
      </c>
      <c r="E1294" s="19" t="str">
        <v>2026-06</v>
      </c>
      <c r="F1294" s="19" t="str">
        <v>交运员Class 1</v>
      </c>
      <c r="G1294" s="19" t="str">
        <v>西班牙周末白班班次（8:00--17:00）</v>
      </c>
      <c r="H1294" s="23" t="n">
        <v>1</v>
      </c>
      <c r="I1294" s="23" t="n">
        <v>0</v>
      </c>
      <c r="J1294" s="23" t="n">
        <f>H1294+I1294</f>
        <v>1</v>
      </c>
      <c r="K1294" s="23" t="n">
        <v>1</v>
      </c>
      <c r="L1294" s="23" t="n">
        <v>1</v>
      </c>
      <c r="M1294" s="23" t="n">
        <f>MIN(K1294,J1294)</f>
        <v>1</v>
      </c>
      <c r="N1294" s="23" t="n">
        <f>MIN(L1294,J1294)</f>
        <v>1</v>
      </c>
      <c r="O1294" s="25" t="n">
        <f>IF(K1294=0,0,MIN(1,J1294/K1294))</f>
        <v>1</v>
      </c>
      <c r="P1294" s="23" t="n">
        <f>IF(J1294&gt;0,MAX(K1294-J1294,0),0)</f>
        <v>0</v>
      </c>
      <c r="Q1294" s="23" t="n">
        <f>IF(J1294=0,K1294,0)</f>
        <v>0</v>
      </c>
      <c r="R1294" s="23" t="n">
        <f>MAX(J1294-K1294,0)</f>
        <v>0</v>
      </c>
      <c r="S1294" s="23" t="n">
        <f>IF(J1294&gt;0,MAX(L1294-J1294,0),L1294)</f>
        <v>0</v>
      </c>
    </row>
    <row r="1295">
      <c r="A1295" s="19" t="str">
        <v>西班牙区</v>
      </c>
      <c r="B1295" s="19" t="str">
        <v>马德里1号仓</v>
      </c>
      <c r="C1295" s="19" t="str">
        <v>交运组</v>
      </c>
      <c r="D1295" s="21" t="n">
        <v>46199</v>
      </c>
      <c r="E1295" s="19" t="str">
        <v>2026-06</v>
      </c>
      <c r="F1295" s="19" t="str">
        <v>操作员</v>
      </c>
      <c r="G1295" s="19" t="str">
        <v>西班牙区09:00-18:00 / ES 09:00-18:00</v>
      </c>
      <c r="H1295" s="23" t="n">
        <v>1</v>
      </c>
      <c r="I1295" s="23" t="n">
        <v>0</v>
      </c>
      <c r="J1295" s="23" t="n">
        <f>H1295+I1295</f>
        <v>1</v>
      </c>
      <c r="K1295" s="23" t="n">
        <v>1</v>
      </c>
      <c r="L1295" s="23" t="n">
        <v>1</v>
      </c>
      <c r="M1295" s="23" t="n">
        <f>MIN(K1295,J1295)</f>
        <v>1</v>
      </c>
      <c r="N1295" s="23" t="n">
        <f>MIN(L1295,J1295)</f>
        <v>1</v>
      </c>
      <c r="O1295" s="25" t="n">
        <f>IF(K1295=0,0,MIN(1,J1295/K1295))</f>
        <v>1</v>
      </c>
      <c r="P1295" s="23" t="n">
        <f>IF(J1295&gt;0,MAX(K1295-J1295,0),0)</f>
        <v>0</v>
      </c>
      <c r="Q1295" s="23" t="n">
        <f>IF(J1295=0,K1295,0)</f>
        <v>0</v>
      </c>
      <c r="R1295" s="23" t="n">
        <f>MAX(J1295-K1295,0)</f>
        <v>0</v>
      </c>
      <c r="S1295" s="23" t="n">
        <f>IF(J1295&gt;0,MAX(L1295-J1295,0),L1295)</f>
        <v>0</v>
      </c>
    </row>
    <row r="1296">
      <c r="A1296" s="19" t="str">
        <v>西班牙区</v>
      </c>
      <c r="B1296" s="19" t="str">
        <v>马德里1号仓</v>
      </c>
      <c r="C1296" s="19" t="str">
        <v>入库组</v>
      </c>
      <c r="D1296" s="21" t="n">
        <v>46183</v>
      </c>
      <c r="E1296" s="19" t="str">
        <v>2026-06</v>
      </c>
      <c r="F1296" s="19" t="str">
        <v>叉车司机</v>
      </c>
      <c r="G1296" s="19" t="str">
        <v>西班牙区09:00-18:00 / ES 09:00-18:00</v>
      </c>
      <c r="H1296" s="23" t="n">
        <v>1</v>
      </c>
      <c r="I1296" s="23" t="n">
        <v>0</v>
      </c>
      <c r="J1296" s="23" t="n">
        <f>H1296+I1296</f>
        <v>1</v>
      </c>
      <c r="K1296" s="23" t="n">
        <v>1</v>
      </c>
      <c r="L1296" s="23" t="n">
        <v>1</v>
      </c>
      <c r="M1296" s="23" t="n">
        <f>MIN(K1296,J1296)</f>
        <v>1</v>
      </c>
      <c r="N1296" s="23" t="n">
        <f>MIN(L1296,J1296)</f>
        <v>1</v>
      </c>
      <c r="O1296" s="25" t="n">
        <f>IF(K1296=0,0,MIN(1,J1296/K1296))</f>
        <v>1</v>
      </c>
      <c r="P1296" s="23" t="n">
        <f>IF(J1296&gt;0,MAX(K1296-J1296,0),0)</f>
        <v>0</v>
      </c>
      <c r="Q1296" s="23" t="n">
        <f>IF(J1296=0,K1296,0)</f>
        <v>0</v>
      </c>
      <c r="R1296" s="23" t="n">
        <f>MAX(J1296-K1296,0)</f>
        <v>0</v>
      </c>
      <c r="S1296" s="23" t="n">
        <f>IF(J1296&gt;0,MAX(L1296-J1296,0),L1296)</f>
        <v>0</v>
      </c>
    </row>
    <row r="1297">
      <c r="A1297" s="19" t="str">
        <v>西班牙区</v>
      </c>
      <c r="B1297" s="19" t="str">
        <v>马德里1号仓</v>
      </c>
      <c r="C1297" s="19" t="str">
        <v>入库组</v>
      </c>
      <c r="D1297" s="21" t="n">
        <v>46184</v>
      </c>
      <c r="E1297" s="19" t="str">
        <v>2026-06</v>
      </c>
      <c r="F1297" s="19" t="str">
        <v>叉车司机</v>
      </c>
      <c r="G1297" s="19" t="str">
        <v>西班牙区09:00-18:00 / ES 09:00-18:00</v>
      </c>
      <c r="H1297" s="23" t="n">
        <v>1</v>
      </c>
      <c r="I1297" s="23" t="n">
        <v>0</v>
      </c>
      <c r="J1297" s="23" t="n">
        <f>H1297+I1297</f>
        <v>1</v>
      </c>
      <c r="K1297" s="23" t="n">
        <v>1</v>
      </c>
      <c r="L1297" s="23" t="n">
        <v>1</v>
      </c>
      <c r="M1297" s="23" t="n">
        <f>MIN(K1297,J1297)</f>
        <v>1</v>
      </c>
      <c r="N1297" s="23" t="n">
        <f>MIN(L1297,J1297)</f>
        <v>1</v>
      </c>
      <c r="O1297" s="25" t="n">
        <f>IF(K1297=0,0,MIN(1,J1297/K1297))</f>
        <v>1</v>
      </c>
      <c r="P1297" s="23" t="n">
        <f>IF(J1297&gt;0,MAX(K1297-J1297,0),0)</f>
        <v>0</v>
      </c>
      <c r="Q1297" s="23" t="n">
        <f>IF(J1297=0,K1297,0)</f>
        <v>0</v>
      </c>
      <c r="R1297" s="23" t="n">
        <f>MAX(J1297-K1297,0)</f>
        <v>0</v>
      </c>
      <c r="S1297" s="23" t="n">
        <f>IF(J1297&gt;0,MAX(L1297-J1297,0),L1297)</f>
        <v>0</v>
      </c>
    </row>
    <row r="1298">
      <c r="A1298" s="19" t="str">
        <v>西班牙区</v>
      </c>
      <c r="B1298" s="19" t="str">
        <v>马德里1号仓</v>
      </c>
      <c r="C1298" s="19" t="str">
        <v>入库组</v>
      </c>
      <c r="D1298" s="21" t="n">
        <v>46189</v>
      </c>
      <c r="E1298" s="19" t="str">
        <v>2026-06</v>
      </c>
      <c r="F1298" s="19" t="str">
        <v>操作员</v>
      </c>
      <c r="G1298" s="19" t="str">
        <v>西班牙区09:00-18:00 / ES 09:00-18:00</v>
      </c>
      <c r="H1298" s="23" t="n">
        <v>1</v>
      </c>
      <c r="I1298" s="23" t="n">
        <v>0</v>
      </c>
      <c r="J1298" s="23" t="n">
        <f>H1298+I1298</f>
        <v>1</v>
      </c>
      <c r="K1298" s="23" t="n">
        <v>1</v>
      </c>
      <c r="L1298" s="23" t="n">
        <v>1</v>
      </c>
      <c r="M1298" s="23" t="n">
        <f>MIN(K1298,J1298)</f>
        <v>1</v>
      </c>
      <c r="N1298" s="23" t="n">
        <f>MIN(L1298,J1298)</f>
        <v>1</v>
      </c>
      <c r="O1298" s="25" t="n">
        <f>IF(K1298=0,0,MIN(1,J1298/K1298))</f>
        <v>1</v>
      </c>
      <c r="P1298" s="23" t="n">
        <f>IF(J1298&gt;0,MAX(K1298-J1298,0),0)</f>
        <v>0</v>
      </c>
      <c r="Q1298" s="23" t="n">
        <f>IF(J1298=0,K1298,0)</f>
        <v>0</v>
      </c>
      <c r="R1298" s="23" t="n">
        <f>MAX(J1298-K1298,0)</f>
        <v>0</v>
      </c>
      <c r="S1298" s="23" t="n">
        <f>IF(J1298&gt;0,MAX(L1298-J1298,0),L1298)</f>
        <v>0</v>
      </c>
    </row>
    <row r="1299">
      <c r="A1299" s="19" t="str">
        <v>西班牙区</v>
      </c>
      <c r="B1299" s="19" t="str">
        <v>马德里1号仓</v>
      </c>
      <c r="C1299" s="19" t="str">
        <v>包装组</v>
      </c>
      <c r="D1299" s="21" t="n">
        <v>46146</v>
      </c>
      <c r="E1299" s="19" t="str">
        <v>2026-05</v>
      </c>
      <c r="F1299" s="19" t="str">
        <v>操作员</v>
      </c>
      <c r="G1299" s="19" t="str">
        <v>西班牙区09:00-18:00 / ES 09:00-18:00</v>
      </c>
      <c r="H1299" s="23" t="n">
        <v>1</v>
      </c>
      <c r="I1299" s="23" t="n">
        <v>0</v>
      </c>
      <c r="J1299" s="23" t="n">
        <f>H1299+I1299</f>
        <v>1</v>
      </c>
      <c r="K1299" s="23" t="n">
        <v>1</v>
      </c>
      <c r="L1299" s="23" t="n">
        <v>1</v>
      </c>
      <c r="M1299" s="23" t="n">
        <f>MIN(K1299,J1299)</f>
        <v>1</v>
      </c>
      <c r="N1299" s="23" t="n">
        <f>MIN(L1299,J1299)</f>
        <v>1</v>
      </c>
      <c r="O1299" s="25" t="n">
        <f>IF(K1299=0,0,MIN(1,J1299/K1299))</f>
        <v>1</v>
      </c>
      <c r="P1299" s="23" t="n">
        <f>IF(J1299&gt;0,MAX(K1299-J1299,0),0)</f>
        <v>0</v>
      </c>
      <c r="Q1299" s="23" t="n">
        <f>IF(J1299=0,K1299,0)</f>
        <v>0</v>
      </c>
      <c r="R1299" s="23" t="n">
        <f>MAX(J1299-K1299,0)</f>
        <v>0</v>
      </c>
      <c r="S1299" s="23" t="n">
        <f>IF(J1299&gt;0,MAX(L1299-J1299,0),L1299)</f>
        <v>0</v>
      </c>
    </row>
    <row r="1300">
      <c r="A1300" s="19" t="str">
        <v>西班牙区</v>
      </c>
      <c r="B1300" s="19" t="str">
        <v>马德里1号仓</v>
      </c>
      <c r="C1300" s="19" t="str">
        <v>拣货组</v>
      </c>
      <c r="D1300" s="21" t="n">
        <v>46114</v>
      </c>
      <c r="E1300" s="19" t="str">
        <v>2026-04</v>
      </c>
      <c r="F1300" s="19" t="str">
        <v>叉车司机</v>
      </c>
      <c r="G1300" s="19" t="str">
        <v>西班牙区09:00-18:00 / ES 09:00-18:00</v>
      </c>
      <c r="H1300" s="23" t="n">
        <v>1</v>
      </c>
      <c r="I1300" s="23" t="n">
        <v>0</v>
      </c>
      <c r="J1300" s="23" t="n">
        <f>H1300+I1300</f>
        <v>1</v>
      </c>
      <c r="K1300" s="23" t="n">
        <v>1</v>
      </c>
      <c r="L1300" s="23" t="n">
        <v>1</v>
      </c>
      <c r="M1300" s="23" t="n">
        <f>MIN(K1300,J1300)</f>
        <v>1</v>
      </c>
      <c r="N1300" s="23" t="n">
        <f>MIN(L1300,J1300)</f>
        <v>1</v>
      </c>
      <c r="O1300" s="25" t="n">
        <f>IF(K1300=0,0,MIN(1,J1300/K1300))</f>
        <v>1</v>
      </c>
      <c r="P1300" s="23" t="n">
        <f>IF(J1300&gt;0,MAX(K1300-J1300,0),0)</f>
        <v>0</v>
      </c>
      <c r="Q1300" s="23" t="n">
        <f>IF(J1300=0,K1300,0)</f>
        <v>0</v>
      </c>
      <c r="R1300" s="23" t="n">
        <f>MAX(J1300-K1300,0)</f>
        <v>0</v>
      </c>
      <c r="S1300" s="23" t="n">
        <f>IF(J1300&gt;0,MAX(L1300-J1300,0),L1300)</f>
        <v>0</v>
      </c>
    </row>
    <row r="1301">
      <c r="A1301" s="19" t="str">
        <v>西班牙区</v>
      </c>
      <c r="B1301" s="19" t="str">
        <v>马德里1号仓</v>
      </c>
      <c r="C1301" s="19" t="str">
        <v>拣货组</v>
      </c>
      <c r="D1301" s="21" t="n">
        <v>46119</v>
      </c>
      <c r="E1301" s="19" t="str">
        <v>2026-04</v>
      </c>
      <c r="F1301" s="19" t="str">
        <v>叉车司机</v>
      </c>
      <c r="G1301" s="19" t="str">
        <v>西班牙区09:00-18:00 / ES 09:00-18:00</v>
      </c>
      <c r="H1301" s="23" t="n">
        <v>1</v>
      </c>
      <c r="I1301" s="23" t="n">
        <v>0</v>
      </c>
      <c r="J1301" s="23" t="n">
        <f>H1301+I1301</f>
        <v>1</v>
      </c>
      <c r="K1301" s="23" t="n">
        <v>1</v>
      </c>
      <c r="L1301" s="23" t="n">
        <v>1</v>
      </c>
      <c r="M1301" s="23" t="n">
        <f>MIN(K1301,J1301)</f>
        <v>1</v>
      </c>
      <c r="N1301" s="23" t="n">
        <f>MIN(L1301,J1301)</f>
        <v>1</v>
      </c>
      <c r="O1301" s="25" t="n">
        <f>IF(K1301=0,0,MIN(1,J1301/K1301))</f>
        <v>1</v>
      </c>
      <c r="P1301" s="23" t="n">
        <f>IF(J1301&gt;0,MAX(K1301-J1301,0),0)</f>
        <v>0</v>
      </c>
      <c r="Q1301" s="23" t="n">
        <f>IF(J1301=0,K1301,0)</f>
        <v>0</v>
      </c>
      <c r="R1301" s="23" t="n">
        <f>MAX(J1301-K1301,0)</f>
        <v>0</v>
      </c>
      <c r="S1301" s="23" t="n">
        <f>IF(J1301&gt;0,MAX(L1301-J1301,0),L1301)</f>
        <v>0</v>
      </c>
    </row>
    <row r="1302">
      <c r="A1302" s="19" t="str">
        <v>西班牙区</v>
      </c>
      <c r="B1302" s="19" t="str">
        <v>马德里1号仓</v>
      </c>
      <c r="C1302" s="19" t="str">
        <v>拣货组</v>
      </c>
      <c r="D1302" s="21" t="n">
        <v>46126</v>
      </c>
      <c r="E1302" s="19" t="str">
        <v>2026-04</v>
      </c>
      <c r="F1302" s="19" t="str">
        <v>叉车司机</v>
      </c>
      <c r="G1302" s="19" t="str">
        <v>西班牙区07:00-16:00 / ES 07:00-16:00</v>
      </c>
      <c r="H1302" s="23" t="n">
        <v>1</v>
      </c>
      <c r="I1302" s="23" t="n">
        <v>0</v>
      </c>
      <c r="J1302" s="23" t="n">
        <f>H1302+I1302</f>
        <v>1</v>
      </c>
      <c r="K1302" s="23" t="n">
        <v>1</v>
      </c>
      <c r="L1302" s="23" t="n">
        <v>1</v>
      </c>
      <c r="M1302" s="23" t="n">
        <f>MIN(K1302,J1302)</f>
        <v>1</v>
      </c>
      <c r="N1302" s="23" t="n">
        <f>MIN(L1302,J1302)</f>
        <v>1</v>
      </c>
      <c r="O1302" s="25" t="n">
        <f>IF(K1302=0,0,MIN(1,J1302/K1302))</f>
        <v>1</v>
      </c>
      <c r="P1302" s="23" t="n">
        <f>IF(J1302&gt;0,MAX(K1302-J1302,0),0)</f>
        <v>0</v>
      </c>
      <c r="Q1302" s="23" t="n">
        <f>IF(J1302=0,K1302,0)</f>
        <v>0</v>
      </c>
      <c r="R1302" s="23" t="n">
        <f>MAX(J1302-K1302,0)</f>
        <v>0</v>
      </c>
      <c r="S1302" s="23" t="n">
        <f>IF(J1302&gt;0,MAX(L1302-J1302,0),L1302)</f>
        <v>0</v>
      </c>
    </row>
    <row r="1303">
      <c r="A1303" s="19" t="str">
        <v>西班牙区</v>
      </c>
      <c r="B1303" s="19" t="str">
        <v>马德里1号仓</v>
      </c>
      <c r="C1303" s="19" t="str">
        <v>拣货组</v>
      </c>
      <c r="D1303" s="21" t="n">
        <v>46128</v>
      </c>
      <c r="E1303" s="19" t="str">
        <v>2026-04</v>
      </c>
      <c r="F1303" s="19" t="str">
        <v>叉车司机</v>
      </c>
      <c r="G1303" s="19" t="str">
        <v>西班牙区09:00-18:00 / ES 09:00-18:00</v>
      </c>
      <c r="H1303" s="23" t="n">
        <v>1</v>
      </c>
      <c r="I1303" s="23" t="n">
        <v>0</v>
      </c>
      <c r="J1303" s="23" t="n">
        <f>H1303+I1303</f>
        <v>1</v>
      </c>
      <c r="K1303" s="23" t="n">
        <v>1</v>
      </c>
      <c r="L1303" s="23" t="n">
        <v>1</v>
      </c>
      <c r="M1303" s="23" t="n">
        <f>MIN(K1303,J1303)</f>
        <v>1</v>
      </c>
      <c r="N1303" s="23" t="n">
        <f>MIN(L1303,J1303)</f>
        <v>1</v>
      </c>
      <c r="O1303" s="25" t="n">
        <f>IF(K1303=0,0,MIN(1,J1303/K1303))</f>
        <v>1</v>
      </c>
      <c r="P1303" s="23" t="n">
        <f>IF(J1303&gt;0,MAX(K1303-J1303,0),0)</f>
        <v>0</v>
      </c>
      <c r="Q1303" s="23" t="n">
        <f>IF(J1303=0,K1303,0)</f>
        <v>0</v>
      </c>
      <c r="R1303" s="23" t="n">
        <f>MAX(J1303-K1303,0)</f>
        <v>0</v>
      </c>
      <c r="S1303" s="23" t="n">
        <f>IF(J1303&gt;0,MAX(L1303-J1303,0),L1303)</f>
        <v>0</v>
      </c>
    </row>
    <row r="1304">
      <c r="A1304" s="19" t="str">
        <v>西班牙区</v>
      </c>
      <c r="B1304" s="19" t="str">
        <v>马德里1号仓</v>
      </c>
      <c r="C1304" s="19" t="str">
        <v>拣货组</v>
      </c>
      <c r="D1304" s="21" t="n">
        <v>46142</v>
      </c>
      <c r="E1304" s="19" t="str">
        <v>2026-04</v>
      </c>
      <c r="F1304" s="19" t="str">
        <v>叉车司机</v>
      </c>
      <c r="G1304" s="19" t="str">
        <v>西班牙区07:00-16:00 / ES 07:00-16:00</v>
      </c>
      <c r="H1304" s="23" t="n">
        <v>1</v>
      </c>
      <c r="I1304" s="23" t="n">
        <v>0</v>
      </c>
      <c r="J1304" s="23" t="n">
        <f>H1304+I1304</f>
        <v>1</v>
      </c>
      <c r="K1304" s="23" t="n">
        <v>1</v>
      </c>
      <c r="L1304" s="23" t="n">
        <v>1</v>
      </c>
      <c r="M1304" s="23" t="n">
        <f>MIN(K1304,J1304)</f>
        <v>1</v>
      </c>
      <c r="N1304" s="23" t="n">
        <f>MIN(L1304,J1304)</f>
        <v>1</v>
      </c>
      <c r="O1304" s="25" t="n">
        <f>IF(K1304=0,0,MIN(1,J1304/K1304))</f>
        <v>1</v>
      </c>
      <c r="P1304" s="23" t="n">
        <f>IF(J1304&gt;0,MAX(K1304-J1304,0),0)</f>
        <v>0</v>
      </c>
      <c r="Q1304" s="23" t="n">
        <f>IF(J1304=0,K1304,0)</f>
        <v>0</v>
      </c>
      <c r="R1304" s="23" t="n">
        <f>MAX(J1304-K1304,0)</f>
        <v>0</v>
      </c>
      <c r="S1304" s="23" t="n">
        <f>IF(J1304&gt;0,MAX(L1304-J1304,0),L1304)</f>
        <v>0</v>
      </c>
    </row>
    <row r="1305">
      <c r="A1305" s="19" t="str">
        <v>西班牙区</v>
      </c>
      <c r="B1305" s="19" t="str">
        <v>马德里1号仓</v>
      </c>
      <c r="C1305" s="19" t="str">
        <v>拣货组</v>
      </c>
      <c r="D1305" s="21" t="n">
        <v>46143</v>
      </c>
      <c r="E1305" s="19" t="str">
        <v>2026-05</v>
      </c>
      <c r="F1305" s="19" t="str">
        <v>叉车司机</v>
      </c>
      <c r="G1305" s="19" t="str">
        <v>西班牙区07:00-16:00 / ES 07:00-16:00</v>
      </c>
      <c r="H1305" s="23" t="n">
        <v>1</v>
      </c>
      <c r="I1305" s="23" t="n">
        <v>0</v>
      </c>
      <c r="J1305" s="23" t="n">
        <f>H1305+I1305</f>
        <v>1</v>
      </c>
      <c r="K1305" s="23" t="n">
        <v>1</v>
      </c>
      <c r="L1305" s="23" t="n">
        <v>1</v>
      </c>
      <c r="M1305" s="23" t="n">
        <f>MIN(K1305,J1305)</f>
        <v>1</v>
      </c>
      <c r="N1305" s="23" t="n">
        <f>MIN(L1305,J1305)</f>
        <v>1</v>
      </c>
      <c r="O1305" s="25" t="n">
        <f>IF(K1305=0,0,MIN(1,J1305/K1305))</f>
        <v>1</v>
      </c>
      <c r="P1305" s="23" t="n">
        <f>IF(J1305&gt;0,MAX(K1305-J1305,0),0)</f>
        <v>0</v>
      </c>
      <c r="Q1305" s="23" t="n">
        <f>IF(J1305=0,K1305,0)</f>
        <v>0</v>
      </c>
      <c r="R1305" s="23" t="n">
        <f>MAX(J1305-K1305,0)</f>
        <v>0</v>
      </c>
      <c r="S1305" s="23" t="n">
        <f>IF(J1305&gt;0,MAX(L1305-J1305,0),L1305)</f>
        <v>0</v>
      </c>
    </row>
    <row r="1306">
      <c r="A1306" s="19" t="str">
        <v>西班牙区</v>
      </c>
      <c r="B1306" s="19" t="str">
        <v>马德里1号仓</v>
      </c>
      <c r="C1306" s="19" t="str">
        <v>拣货组</v>
      </c>
      <c r="D1306" s="21" t="n">
        <v>46144</v>
      </c>
      <c r="E1306" s="19" t="str">
        <v>2026-05</v>
      </c>
      <c r="F1306" s="19" t="str">
        <v>叉车司机</v>
      </c>
      <c r="G1306" s="19" t="str">
        <v>西班牙区07:00-16:00 / ES 07:00-16:00</v>
      </c>
      <c r="H1306" s="23" t="n">
        <v>1</v>
      </c>
      <c r="I1306" s="23" t="n">
        <v>0</v>
      </c>
      <c r="J1306" s="23" t="n">
        <f>H1306+I1306</f>
        <v>1</v>
      </c>
      <c r="K1306" s="23" t="n">
        <v>1</v>
      </c>
      <c r="L1306" s="23" t="n">
        <v>1</v>
      </c>
      <c r="M1306" s="23" t="n">
        <f>MIN(K1306,J1306)</f>
        <v>1</v>
      </c>
      <c r="N1306" s="23" t="n">
        <f>MIN(L1306,J1306)</f>
        <v>1</v>
      </c>
      <c r="O1306" s="25" t="n">
        <f>IF(K1306=0,0,MIN(1,J1306/K1306))</f>
        <v>1</v>
      </c>
      <c r="P1306" s="23" t="n">
        <f>IF(J1306&gt;0,MAX(K1306-J1306,0),0)</f>
        <v>0</v>
      </c>
      <c r="Q1306" s="23" t="n">
        <f>IF(J1306=0,K1306,0)</f>
        <v>0</v>
      </c>
      <c r="R1306" s="23" t="n">
        <f>MAX(J1306-K1306,0)</f>
        <v>0</v>
      </c>
      <c r="S1306" s="23" t="n">
        <f>IF(J1306&gt;0,MAX(L1306-J1306,0),L1306)</f>
        <v>0</v>
      </c>
    </row>
    <row r="1307">
      <c r="A1307" s="19" t="str">
        <v>西班牙区</v>
      </c>
      <c r="B1307" s="19" t="str">
        <v>马德里1号仓</v>
      </c>
      <c r="C1307" s="19" t="str">
        <v>拣货组</v>
      </c>
      <c r="D1307" s="21" t="n">
        <v>46145</v>
      </c>
      <c r="E1307" s="19" t="str">
        <v>2026-05</v>
      </c>
      <c r="F1307" s="19" t="str">
        <v>叉车司机</v>
      </c>
      <c r="G1307" s="19" t="str">
        <v>西班牙区07:00-16:00 / ES 07:00-16:00</v>
      </c>
      <c r="H1307" s="23" t="n">
        <v>1</v>
      </c>
      <c r="I1307" s="23" t="n">
        <v>0</v>
      </c>
      <c r="J1307" s="23" t="n">
        <f>H1307+I1307</f>
        <v>1</v>
      </c>
      <c r="K1307" s="23" t="n">
        <v>1</v>
      </c>
      <c r="L1307" s="23" t="n">
        <v>1</v>
      </c>
      <c r="M1307" s="23" t="n">
        <f>MIN(K1307,J1307)</f>
        <v>1</v>
      </c>
      <c r="N1307" s="23" t="n">
        <f>MIN(L1307,J1307)</f>
        <v>1</v>
      </c>
      <c r="O1307" s="25" t="n">
        <f>IF(K1307=0,0,MIN(1,J1307/K1307))</f>
        <v>1</v>
      </c>
      <c r="P1307" s="23" t="n">
        <f>IF(J1307&gt;0,MAX(K1307-J1307,0),0)</f>
        <v>0</v>
      </c>
      <c r="Q1307" s="23" t="n">
        <f>IF(J1307=0,K1307,0)</f>
        <v>0</v>
      </c>
      <c r="R1307" s="23" t="n">
        <f>MAX(J1307-K1307,0)</f>
        <v>0</v>
      </c>
      <c r="S1307" s="23" t="n">
        <f>IF(J1307&gt;0,MAX(L1307-J1307,0),L1307)</f>
        <v>0</v>
      </c>
    </row>
    <row r="1308">
      <c r="A1308" s="19" t="str">
        <v>西班牙区</v>
      </c>
      <c r="B1308" s="19" t="str">
        <v>马德里1号仓</v>
      </c>
      <c r="C1308" s="19" t="str">
        <v>拣货组</v>
      </c>
      <c r="D1308" s="21" t="n">
        <v>46146</v>
      </c>
      <c r="E1308" s="19" t="str">
        <v>2026-05</v>
      </c>
      <c r="F1308" s="19" t="str">
        <v>叉车司机</v>
      </c>
      <c r="G1308" s="19" t="str">
        <v>西班牙区07:00-16:00 / ES 07:00-16:00</v>
      </c>
      <c r="H1308" s="23" t="n">
        <v>1</v>
      </c>
      <c r="I1308" s="23" t="n">
        <v>0</v>
      </c>
      <c r="J1308" s="23" t="n">
        <f>H1308+I1308</f>
        <v>1</v>
      </c>
      <c r="K1308" s="23" t="n">
        <v>1</v>
      </c>
      <c r="L1308" s="23" t="n">
        <v>1</v>
      </c>
      <c r="M1308" s="23" t="n">
        <f>MIN(K1308,J1308)</f>
        <v>1</v>
      </c>
      <c r="N1308" s="23" t="n">
        <f>MIN(L1308,J1308)</f>
        <v>1</v>
      </c>
      <c r="O1308" s="25" t="n">
        <f>IF(K1308=0,0,MIN(1,J1308/K1308))</f>
        <v>1</v>
      </c>
      <c r="P1308" s="23" t="n">
        <f>IF(J1308&gt;0,MAX(K1308-J1308,0),0)</f>
        <v>0</v>
      </c>
      <c r="Q1308" s="23" t="n">
        <f>IF(J1308=0,K1308,0)</f>
        <v>0</v>
      </c>
      <c r="R1308" s="23" t="n">
        <f>MAX(J1308-K1308,0)</f>
        <v>0</v>
      </c>
      <c r="S1308" s="23" t="n">
        <f>IF(J1308&gt;0,MAX(L1308-J1308,0),L1308)</f>
        <v>0</v>
      </c>
    </row>
    <row r="1309">
      <c r="A1309" s="19" t="str">
        <v>西班牙区</v>
      </c>
      <c r="B1309" s="19" t="str">
        <v>马德里1号仓</v>
      </c>
      <c r="C1309" s="19" t="str">
        <v>拣货组</v>
      </c>
      <c r="D1309" s="21" t="n">
        <v>46147</v>
      </c>
      <c r="E1309" s="19" t="str">
        <v>2026-05</v>
      </c>
      <c r="F1309" s="19" t="str">
        <v>叉车司机</v>
      </c>
      <c r="G1309" s="19" t="str">
        <v>西班牙区07:00-16:00 / ES 07:00-16:00</v>
      </c>
      <c r="H1309" s="23" t="n">
        <v>1</v>
      </c>
      <c r="I1309" s="23" t="n">
        <v>0</v>
      </c>
      <c r="J1309" s="23" t="n">
        <f>H1309+I1309</f>
        <v>1</v>
      </c>
      <c r="K1309" s="23" t="n">
        <v>1</v>
      </c>
      <c r="L1309" s="23" t="n">
        <v>1</v>
      </c>
      <c r="M1309" s="23" t="n">
        <f>MIN(K1309,J1309)</f>
        <v>1</v>
      </c>
      <c r="N1309" s="23" t="n">
        <f>MIN(L1309,J1309)</f>
        <v>1</v>
      </c>
      <c r="O1309" s="25" t="n">
        <f>IF(K1309=0,0,MIN(1,J1309/K1309))</f>
        <v>1</v>
      </c>
      <c r="P1309" s="23" t="n">
        <f>IF(J1309&gt;0,MAX(K1309-J1309,0),0)</f>
        <v>0</v>
      </c>
      <c r="Q1309" s="23" t="n">
        <f>IF(J1309=0,K1309,0)</f>
        <v>0</v>
      </c>
      <c r="R1309" s="23" t="n">
        <f>MAX(J1309-K1309,0)</f>
        <v>0</v>
      </c>
      <c r="S1309" s="23" t="n">
        <f>IF(J1309&gt;0,MAX(L1309-J1309,0),L1309)</f>
        <v>0</v>
      </c>
    </row>
    <row r="1310">
      <c r="A1310" s="19" t="str">
        <v>西班牙区</v>
      </c>
      <c r="B1310" s="19" t="str">
        <v>马德里1号仓</v>
      </c>
      <c r="C1310" s="19" t="str">
        <v>拣货组</v>
      </c>
      <c r="D1310" s="21" t="n">
        <v>46148</v>
      </c>
      <c r="E1310" s="19" t="str">
        <v>2026-05</v>
      </c>
      <c r="F1310" s="19" t="str">
        <v>叉车司机</v>
      </c>
      <c r="G1310" s="19" t="str">
        <v>西班牙区07:00-16:00 / ES 07:00-16:00</v>
      </c>
      <c r="H1310" s="23" t="n">
        <v>1</v>
      </c>
      <c r="I1310" s="23" t="n">
        <v>0</v>
      </c>
      <c r="J1310" s="23" t="n">
        <f>H1310+I1310</f>
        <v>1</v>
      </c>
      <c r="K1310" s="23" t="n">
        <v>1</v>
      </c>
      <c r="L1310" s="23" t="n">
        <v>1</v>
      </c>
      <c r="M1310" s="23" t="n">
        <f>MIN(K1310,J1310)</f>
        <v>1</v>
      </c>
      <c r="N1310" s="23" t="n">
        <f>MIN(L1310,J1310)</f>
        <v>1</v>
      </c>
      <c r="O1310" s="25" t="n">
        <f>IF(K1310=0,0,MIN(1,J1310/K1310))</f>
        <v>1</v>
      </c>
      <c r="P1310" s="23" t="n">
        <f>IF(J1310&gt;0,MAX(K1310-J1310,0),0)</f>
        <v>0</v>
      </c>
      <c r="Q1310" s="23" t="n">
        <f>IF(J1310=0,K1310,0)</f>
        <v>0</v>
      </c>
      <c r="R1310" s="23" t="n">
        <f>MAX(J1310-K1310,0)</f>
        <v>0</v>
      </c>
      <c r="S1310" s="23" t="n">
        <f>IF(J1310&gt;0,MAX(L1310-J1310,0),L1310)</f>
        <v>0</v>
      </c>
    </row>
    <row r="1311">
      <c r="A1311" s="19" t="str">
        <v>西班牙区</v>
      </c>
      <c r="B1311" s="19" t="str">
        <v>马德里1号仓</v>
      </c>
      <c r="C1311" s="19" t="str">
        <v>拣货组</v>
      </c>
      <c r="D1311" s="21" t="n">
        <v>46149</v>
      </c>
      <c r="E1311" s="19" t="str">
        <v>2026-05</v>
      </c>
      <c r="F1311" s="19" t="str">
        <v>叉车司机</v>
      </c>
      <c r="G1311" s="19" t="str">
        <v>西班牙区07:00-16:00 / ES 07:00-16:00</v>
      </c>
      <c r="H1311" s="23" t="n">
        <v>1</v>
      </c>
      <c r="I1311" s="23" t="n">
        <v>0</v>
      </c>
      <c r="J1311" s="23" t="n">
        <f>H1311+I1311</f>
        <v>1</v>
      </c>
      <c r="K1311" s="23" t="n">
        <v>1</v>
      </c>
      <c r="L1311" s="23" t="n">
        <v>1</v>
      </c>
      <c r="M1311" s="23" t="n">
        <f>MIN(K1311,J1311)</f>
        <v>1</v>
      </c>
      <c r="N1311" s="23" t="n">
        <f>MIN(L1311,J1311)</f>
        <v>1</v>
      </c>
      <c r="O1311" s="25" t="n">
        <f>IF(K1311=0,0,MIN(1,J1311/K1311))</f>
        <v>1</v>
      </c>
      <c r="P1311" s="23" t="n">
        <f>IF(J1311&gt;0,MAX(K1311-J1311,0),0)</f>
        <v>0</v>
      </c>
      <c r="Q1311" s="23" t="n">
        <f>IF(J1311=0,K1311,0)</f>
        <v>0</v>
      </c>
      <c r="R1311" s="23" t="n">
        <f>MAX(J1311-K1311,0)</f>
        <v>0</v>
      </c>
      <c r="S1311" s="23" t="n">
        <f>IF(J1311&gt;0,MAX(L1311-J1311,0),L1311)</f>
        <v>0</v>
      </c>
    </row>
    <row r="1312">
      <c r="A1312" s="19" t="str">
        <v>西班牙区</v>
      </c>
      <c r="B1312" s="19" t="str">
        <v>马德里1号仓</v>
      </c>
      <c r="C1312" s="19" t="str">
        <v>拣货组</v>
      </c>
      <c r="D1312" s="21" t="n">
        <v>46149</v>
      </c>
      <c r="E1312" s="19" t="str">
        <v>2026-05</v>
      </c>
      <c r="F1312" s="19" t="str">
        <v>叉车司机</v>
      </c>
      <c r="G1312" s="19" t="str">
        <v>西班牙区09:00-18:00 / ES 09:00-18:00</v>
      </c>
      <c r="H1312" s="23" t="n">
        <v>1</v>
      </c>
      <c r="I1312" s="23" t="n">
        <v>0</v>
      </c>
      <c r="J1312" s="23" t="n">
        <f>H1312+I1312</f>
        <v>1</v>
      </c>
      <c r="K1312" s="23" t="n">
        <v>1</v>
      </c>
      <c r="L1312" s="23" t="n">
        <v>1</v>
      </c>
      <c r="M1312" s="23" t="n">
        <f>MIN(K1312,J1312)</f>
        <v>1</v>
      </c>
      <c r="N1312" s="23" t="n">
        <f>MIN(L1312,J1312)</f>
        <v>1</v>
      </c>
      <c r="O1312" s="25" t="n">
        <f>IF(K1312=0,0,MIN(1,J1312/K1312))</f>
        <v>1</v>
      </c>
      <c r="P1312" s="23" t="n">
        <f>IF(J1312&gt;0,MAX(K1312-J1312,0),0)</f>
        <v>0</v>
      </c>
      <c r="Q1312" s="23" t="n">
        <f>IF(J1312=0,K1312,0)</f>
        <v>0</v>
      </c>
      <c r="R1312" s="23" t="n">
        <f>MAX(J1312-K1312,0)</f>
        <v>0</v>
      </c>
      <c r="S1312" s="23" t="n">
        <f>IF(J1312&gt;0,MAX(L1312-J1312,0),L1312)</f>
        <v>0</v>
      </c>
    </row>
    <row r="1313">
      <c r="A1313" s="19" t="str">
        <v>西班牙区</v>
      </c>
      <c r="B1313" s="19" t="str">
        <v>马德里1号仓</v>
      </c>
      <c r="C1313" s="19" t="str">
        <v>拣货组</v>
      </c>
      <c r="D1313" s="21" t="n">
        <v>46150</v>
      </c>
      <c r="E1313" s="19" t="str">
        <v>2026-05</v>
      </c>
      <c r="F1313" s="19" t="str">
        <v>叉车司机</v>
      </c>
      <c r="G1313" s="19" t="str">
        <v>西班牙区07:00-16:00 / ES 07:00-16:00</v>
      </c>
      <c r="H1313" s="23" t="n">
        <v>1</v>
      </c>
      <c r="I1313" s="23" t="n">
        <v>0</v>
      </c>
      <c r="J1313" s="23" t="n">
        <f>H1313+I1313</f>
        <v>1</v>
      </c>
      <c r="K1313" s="23" t="n">
        <v>1</v>
      </c>
      <c r="L1313" s="23" t="n">
        <v>1</v>
      </c>
      <c r="M1313" s="23" t="n">
        <f>MIN(K1313,J1313)</f>
        <v>1</v>
      </c>
      <c r="N1313" s="23" t="n">
        <f>MIN(L1313,J1313)</f>
        <v>1</v>
      </c>
      <c r="O1313" s="25" t="n">
        <f>IF(K1313=0,0,MIN(1,J1313/K1313))</f>
        <v>1</v>
      </c>
      <c r="P1313" s="23" t="n">
        <f>IF(J1313&gt;0,MAX(K1313-J1313,0),0)</f>
        <v>0</v>
      </c>
      <c r="Q1313" s="23" t="n">
        <f>IF(J1313=0,K1313,0)</f>
        <v>0</v>
      </c>
      <c r="R1313" s="23" t="n">
        <f>MAX(J1313-K1313,0)</f>
        <v>0</v>
      </c>
      <c r="S1313" s="23" t="n">
        <f>IF(J1313&gt;0,MAX(L1313-J1313,0),L1313)</f>
        <v>0</v>
      </c>
    </row>
    <row r="1314">
      <c r="A1314" s="19" t="str">
        <v>西班牙区</v>
      </c>
      <c r="B1314" s="19" t="str">
        <v>马德里1号仓</v>
      </c>
      <c r="C1314" s="19" t="str">
        <v>拣货组</v>
      </c>
      <c r="D1314" s="21" t="n">
        <v>46151</v>
      </c>
      <c r="E1314" s="19" t="str">
        <v>2026-05</v>
      </c>
      <c r="F1314" s="19" t="str">
        <v>叉车司机</v>
      </c>
      <c r="G1314" s="19" t="str">
        <v>西班牙区07:00-16:00 / ES 07:00-16:00</v>
      </c>
      <c r="H1314" s="23" t="n">
        <v>1</v>
      </c>
      <c r="I1314" s="23" t="n">
        <v>0</v>
      </c>
      <c r="J1314" s="23" t="n">
        <f>H1314+I1314</f>
        <v>1</v>
      </c>
      <c r="K1314" s="23" t="n">
        <v>1</v>
      </c>
      <c r="L1314" s="23" t="n">
        <v>1</v>
      </c>
      <c r="M1314" s="23" t="n">
        <f>MIN(K1314,J1314)</f>
        <v>1</v>
      </c>
      <c r="N1314" s="23" t="n">
        <f>MIN(L1314,J1314)</f>
        <v>1</v>
      </c>
      <c r="O1314" s="25" t="n">
        <f>IF(K1314=0,0,MIN(1,J1314/K1314))</f>
        <v>1</v>
      </c>
      <c r="P1314" s="23" t="n">
        <f>IF(J1314&gt;0,MAX(K1314-J1314,0),0)</f>
        <v>0</v>
      </c>
      <c r="Q1314" s="23" t="n">
        <f>IF(J1314=0,K1314,0)</f>
        <v>0</v>
      </c>
      <c r="R1314" s="23" t="n">
        <f>MAX(J1314-K1314,0)</f>
        <v>0</v>
      </c>
      <c r="S1314" s="23" t="n">
        <f>IF(J1314&gt;0,MAX(L1314-J1314,0),L1314)</f>
        <v>0</v>
      </c>
    </row>
    <row r="1315">
      <c r="A1315" s="19" t="str">
        <v>西班牙区</v>
      </c>
      <c r="B1315" s="19" t="str">
        <v>马德里1号仓</v>
      </c>
      <c r="C1315" s="19" t="str">
        <v>拣货组</v>
      </c>
      <c r="D1315" s="21" t="n">
        <v>46152</v>
      </c>
      <c r="E1315" s="19" t="str">
        <v>2026-05</v>
      </c>
      <c r="F1315" s="19" t="str">
        <v>叉车司机</v>
      </c>
      <c r="G1315" s="19" t="str">
        <v>西班牙区07:00-16:00 / ES 07:00-16:00</v>
      </c>
      <c r="H1315" s="23" t="n">
        <v>1</v>
      </c>
      <c r="I1315" s="23" t="n">
        <v>0</v>
      </c>
      <c r="J1315" s="23" t="n">
        <f>H1315+I1315</f>
        <v>1</v>
      </c>
      <c r="K1315" s="23" t="n">
        <v>1</v>
      </c>
      <c r="L1315" s="23" t="n">
        <v>1</v>
      </c>
      <c r="M1315" s="23" t="n">
        <f>MIN(K1315,J1315)</f>
        <v>1</v>
      </c>
      <c r="N1315" s="23" t="n">
        <f>MIN(L1315,J1315)</f>
        <v>1</v>
      </c>
      <c r="O1315" s="25" t="n">
        <f>IF(K1315=0,0,MIN(1,J1315/K1315))</f>
        <v>1</v>
      </c>
      <c r="P1315" s="23" t="n">
        <f>IF(J1315&gt;0,MAX(K1315-J1315,0),0)</f>
        <v>0</v>
      </c>
      <c r="Q1315" s="23" t="n">
        <f>IF(J1315=0,K1315,0)</f>
        <v>0</v>
      </c>
      <c r="R1315" s="23" t="n">
        <f>MAX(J1315-K1315,0)</f>
        <v>0</v>
      </c>
      <c r="S1315" s="23" t="n">
        <f>IF(J1315&gt;0,MAX(L1315-J1315,0),L1315)</f>
        <v>0</v>
      </c>
    </row>
    <row r="1316">
      <c r="A1316" s="19" t="str">
        <v>西班牙区</v>
      </c>
      <c r="B1316" s="19" t="str">
        <v>马德里1号仓</v>
      </c>
      <c r="C1316" s="19" t="str">
        <v>拣货组</v>
      </c>
      <c r="D1316" s="21" t="n">
        <v>46153</v>
      </c>
      <c r="E1316" s="19" t="str">
        <v>2026-05</v>
      </c>
      <c r="F1316" s="19" t="str">
        <v>叉车司机</v>
      </c>
      <c r="G1316" s="19" t="str">
        <v>西班牙区07:00-16:00 / ES 07:00-16:00</v>
      </c>
      <c r="H1316" s="23" t="n">
        <v>1</v>
      </c>
      <c r="I1316" s="23" t="n">
        <v>0</v>
      </c>
      <c r="J1316" s="23" t="n">
        <f>H1316+I1316</f>
        <v>1</v>
      </c>
      <c r="K1316" s="23" t="n">
        <v>1</v>
      </c>
      <c r="L1316" s="23" t="n">
        <v>1</v>
      </c>
      <c r="M1316" s="23" t="n">
        <f>MIN(K1316,J1316)</f>
        <v>1</v>
      </c>
      <c r="N1316" s="23" t="n">
        <f>MIN(L1316,J1316)</f>
        <v>1</v>
      </c>
      <c r="O1316" s="25" t="n">
        <f>IF(K1316=0,0,MIN(1,J1316/K1316))</f>
        <v>1</v>
      </c>
      <c r="P1316" s="23" t="n">
        <f>IF(J1316&gt;0,MAX(K1316-J1316,0),0)</f>
        <v>0</v>
      </c>
      <c r="Q1316" s="23" t="n">
        <f>IF(J1316=0,K1316,0)</f>
        <v>0</v>
      </c>
      <c r="R1316" s="23" t="n">
        <f>MAX(J1316-K1316,0)</f>
        <v>0</v>
      </c>
      <c r="S1316" s="23" t="n">
        <f>IF(J1316&gt;0,MAX(L1316-J1316,0),L1316)</f>
        <v>0</v>
      </c>
    </row>
    <row r="1317">
      <c r="A1317" s="19" t="str">
        <v>西班牙区</v>
      </c>
      <c r="B1317" s="19" t="str">
        <v>马德里1号仓</v>
      </c>
      <c r="C1317" s="19" t="str">
        <v>拣货组</v>
      </c>
      <c r="D1317" s="21" t="n">
        <v>46154</v>
      </c>
      <c r="E1317" s="19" t="str">
        <v>2026-05</v>
      </c>
      <c r="F1317" s="19" t="str">
        <v>叉车司机</v>
      </c>
      <c r="G1317" s="19" t="str">
        <v>西班牙区07:00-16:00 / ES 07:00-16:00</v>
      </c>
      <c r="H1317" s="23" t="n">
        <v>1</v>
      </c>
      <c r="I1317" s="23" t="n">
        <v>0</v>
      </c>
      <c r="J1317" s="23" t="n">
        <f>H1317+I1317</f>
        <v>1</v>
      </c>
      <c r="K1317" s="23" t="n">
        <v>1</v>
      </c>
      <c r="L1317" s="23" t="n">
        <v>1</v>
      </c>
      <c r="M1317" s="23" t="n">
        <f>MIN(K1317,J1317)</f>
        <v>1</v>
      </c>
      <c r="N1317" s="23" t="n">
        <f>MIN(L1317,J1317)</f>
        <v>1</v>
      </c>
      <c r="O1317" s="25" t="n">
        <f>IF(K1317=0,0,MIN(1,J1317/K1317))</f>
        <v>1</v>
      </c>
      <c r="P1317" s="23" t="n">
        <f>IF(J1317&gt;0,MAX(K1317-J1317,0),0)</f>
        <v>0</v>
      </c>
      <c r="Q1317" s="23" t="n">
        <f>IF(J1317=0,K1317,0)</f>
        <v>0</v>
      </c>
      <c r="R1317" s="23" t="n">
        <f>MAX(J1317-K1317,0)</f>
        <v>0</v>
      </c>
      <c r="S1317" s="23" t="n">
        <f>IF(J1317&gt;0,MAX(L1317-J1317,0),L1317)</f>
        <v>0</v>
      </c>
    </row>
    <row r="1318">
      <c r="A1318" s="19" t="str">
        <v>西班牙区</v>
      </c>
      <c r="B1318" s="19" t="str">
        <v>马德里1号仓</v>
      </c>
      <c r="C1318" s="19" t="str">
        <v>拣货组</v>
      </c>
      <c r="D1318" s="21" t="n">
        <v>46155</v>
      </c>
      <c r="E1318" s="19" t="str">
        <v>2026-05</v>
      </c>
      <c r="F1318" s="19" t="str">
        <v>叉车司机</v>
      </c>
      <c r="G1318" s="19" t="str">
        <v>西班牙区07:00-16:00 / ES 07:00-16:00</v>
      </c>
      <c r="H1318" s="23" t="n">
        <v>1</v>
      </c>
      <c r="I1318" s="23" t="n">
        <v>0</v>
      </c>
      <c r="J1318" s="23" t="n">
        <f>H1318+I1318</f>
        <v>1</v>
      </c>
      <c r="K1318" s="23" t="n">
        <v>1</v>
      </c>
      <c r="L1318" s="23" t="n">
        <v>1</v>
      </c>
      <c r="M1318" s="23" t="n">
        <f>MIN(K1318,J1318)</f>
        <v>1</v>
      </c>
      <c r="N1318" s="23" t="n">
        <f>MIN(L1318,J1318)</f>
        <v>1</v>
      </c>
      <c r="O1318" s="25" t="n">
        <f>IF(K1318=0,0,MIN(1,J1318/K1318))</f>
        <v>1</v>
      </c>
      <c r="P1318" s="23" t="n">
        <f>IF(J1318&gt;0,MAX(K1318-J1318,0),0)</f>
        <v>0</v>
      </c>
      <c r="Q1318" s="23" t="n">
        <f>IF(J1318=0,K1318,0)</f>
        <v>0</v>
      </c>
      <c r="R1318" s="23" t="n">
        <f>MAX(J1318-K1318,0)</f>
        <v>0</v>
      </c>
      <c r="S1318" s="23" t="n">
        <f>IF(J1318&gt;0,MAX(L1318-J1318,0),L1318)</f>
        <v>0</v>
      </c>
    </row>
    <row r="1319">
      <c r="A1319" s="19" t="str">
        <v>西班牙区</v>
      </c>
      <c r="B1319" s="19" t="str">
        <v>马德里1号仓</v>
      </c>
      <c r="C1319" s="19" t="str">
        <v>拣货组</v>
      </c>
      <c r="D1319" s="21" t="n">
        <v>46156</v>
      </c>
      <c r="E1319" s="19" t="str">
        <v>2026-05</v>
      </c>
      <c r="F1319" s="19" t="str">
        <v>叉车司机</v>
      </c>
      <c r="G1319" s="19" t="str">
        <v>西班牙区07:00-16:00 / ES 07:00-16:00</v>
      </c>
      <c r="H1319" s="23" t="n">
        <v>1</v>
      </c>
      <c r="I1319" s="23" t="n">
        <v>0</v>
      </c>
      <c r="J1319" s="23" t="n">
        <f>H1319+I1319</f>
        <v>1</v>
      </c>
      <c r="K1319" s="23" t="n">
        <v>1</v>
      </c>
      <c r="L1319" s="23" t="n">
        <v>1</v>
      </c>
      <c r="M1319" s="23" t="n">
        <f>MIN(K1319,J1319)</f>
        <v>1</v>
      </c>
      <c r="N1319" s="23" t="n">
        <f>MIN(L1319,J1319)</f>
        <v>1</v>
      </c>
      <c r="O1319" s="25" t="n">
        <f>IF(K1319=0,0,MIN(1,J1319/K1319))</f>
        <v>1</v>
      </c>
      <c r="P1319" s="23" t="n">
        <f>IF(J1319&gt;0,MAX(K1319-J1319,0),0)</f>
        <v>0</v>
      </c>
      <c r="Q1319" s="23" t="n">
        <f>IF(J1319=0,K1319,0)</f>
        <v>0</v>
      </c>
      <c r="R1319" s="23" t="n">
        <f>MAX(J1319-K1319,0)</f>
        <v>0</v>
      </c>
      <c r="S1319" s="23" t="n">
        <f>IF(J1319&gt;0,MAX(L1319-J1319,0),L1319)</f>
        <v>0</v>
      </c>
    </row>
    <row r="1320">
      <c r="A1320" s="19" t="str">
        <v>西班牙区</v>
      </c>
      <c r="B1320" s="19" t="str">
        <v>马德里1号仓</v>
      </c>
      <c r="C1320" s="19" t="str">
        <v>拣货组</v>
      </c>
      <c r="D1320" s="21" t="n">
        <v>46177</v>
      </c>
      <c r="E1320" s="19" t="str">
        <v>2026-06</v>
      </c>
      <c r="F1320" s="19" t="str">
        <v>叉车司机</v>
      </c>
      <c r="G1320" s="19" t="str">
        <v>西班牙区09:00-18:00 / ES 09:00-18:00</v>
      </c>
      <c r="H1320" s="23" t="n">
        <v>1</v>
      </c>
      <c r="I1320" s="23" t="n">
        <v>0</v>
      </c>
      <c r="J1320" s="23" t="n">
        <f>H1320+I1320</f>
        <v>1</v>
      </c>
      <c r="K1320" s="23" t="n">
        <v>1</v>
      </c>
      <c r="L1320" s="23" t="n">
        <v>1</v>
      </c>
      <c r="M1320" s="23" t="n">
        <f>MIN(K1320,J1320)</f>
        <v>1</v>
      </c>
      <c r="N1320" s="23" t="n">
        <f>MIN(L1320,J1320)</f>
        <v>1</v>
      </c>
      <c r="O1320" s="25" t="n">
        <f>IF(K1320=0,0,MIN(1,J1320/K1320))</f>
        <v>1</v>
      </c>
      <c r="P1320" s="23" t="n">
        <f>IF(J1320&gt;0,MAX(K1320-J1320,0),0)</f>
        <v>0</v>
      </c>
      <c r="Q1320" s="23" t="n">
        <f>IF(J1320=0,K1320,0)</f>
        <v>0</v>
      </c>
      <c r="R1320" s="23" t="n">
        <f>MAX(J1320-K1320,0)</f>
        <v>0</v>
      </c>
      <c r="S1320" s="23" t="n">
        <f>IF(J1320&gt;0,MAX(L1320-J1320,0),L1320)</f>
        <v>0</v>
      </c>
    </row>
    <row r="1321">
      <c r="A1321" s="19" t="str">
        <v>西班牙区</v>
      </c>
      <c r="B1321" s="19" t="str">
        <v>马德里2号仓</v>
      </c>
      <c r="C1321" s="19" t="str">
        <v>理货组</v>
      </c>
      <c r="D1321" s="21" t="n">
        <v>46199</v>
      </c>
      <c r="E1321" s="19" t="str">
        <v>2026-06</v>
      </c>
      <c r="F1321" s="19" t="str">
        <v>保洁员</v>
      </c>
      <c r="G1321" s="19" t="str">
        <v>西班牙区09:00-18:00 / ES 09:00-18:00</v>
      </c>
      <c r="H1321" s="23" t="n">
        <v>1</v>
      </c>
      <c r="I1321" s="23" t="n">
        <v>0</v>
      </c>
      <c r="J1321" s="23" t="n">
        <f>H1321+I1321</f>
        <v>1</v>
      </c>
      <c r="K1321" s="23" t="n">
        <v>1</v>
      </c>
      <c r="L1321" s="23" t="n">
        <v>1</v>
      </c>
      <c r="M1321" s="23" t="n">
        <f>MIN(K1321,J1321)</f>
        <v>1</v>
      </c>
      <c r="N1321" s="23" t="n">
        <f>MIN(L1321,J1321)</f>
        <v>1</v>
      </c>
      <c r="O1321" s="25" t="n">
        <f>IF(K1321=0,0,MIN(1,J1321/K1321))</f>
        <v>1</v>
      </c>
      <c r="P1321" s="23" t="n">
        <f>IF(J1321&gt;0,MAX(K1321-J1321,0),0)</f>
        <v>0</v>
      </c>
      <c r="Q1321" s="23" t="n">
        <f>IF(J1321=0,K1321,0)</f>
        <v>0</v>
      </c>
      <c r="R1321" s="23" t="n">
        <f>MAX(J1321-K1321,0)</f>
        <v>0</v>
      </c>
      <c r="S1321" s="23" t="n">
        <f>IF(J1321&gt;0,MAX(L1321-J1321,0),L1321)</f>
        <v>0</v>
      </c>
    </row>
  </sheetData>
  <mergeCells>
    <mergeCell ref="A1:S1"/>
    <mergeCell ref="A2:S2"/>
  </mergeCells>
  <conditionalFormatting sqref="P5:Q1321">
    <cfRule type="cellIs" dxfId="2" priority="1" operator="greaterThan">
      <formula>0</formula>
    </cfRule>
  </conditionalFormatting>
  <conditionalFormatting sqref="R5:S1321">
    <cfRule type="cellIs" dxfId="3" priority="2" operator="greaterThan">
      <formula>0</formula>
    </cfRule>
  </conditionalFormatting>
  <pageMargins left="0.7" right="0.7" top="0.75" bottom="0.75" header="0.3" footer="0.3"/>
  <tableParts count="1">
    <tablePart xmlns:r="http://schemas.openxmlformats.org/officeDocument/2006/relationships" r:id="Rd64bd93c6d4a4934"/>
  </tableParts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22" hidden="0" customWidth="1"/>
    <col min="3" max="3" width="12" hidden="0" customWidth="1"/>
    <col min="4" max="4" width="12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11" hidden="0" customWidth="1"/>
    <col min="13" max="13" width="11" hidden="0" customWidth="1"/>
    <col min="14" max="14" width="11" hidden="0" customWidth="1"/>
  </cols>
  <sheetData>
    <row r="1" ht="34" customHeight="1">
      <c r="A1" s="4" t="str">
        <v>基本信息、需求详情、发单详情交叉对账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38" customHeight="1">
      <c r="A2" s="8" t="str">
        <v>区间日期按日展开后，月×区域层面三表需求、发单、派遣完全一致。组日级仍有3处源系统展示错位/待发字段异常，明细列于下方。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ht="32" customHeight="1">
      <c r="A4" s="14" t="str">
        <v>月份</v>
      </c>
      <c r="B4" s="14" t="str">
        <v>区域</v>
      </c>
      <c r="C4" s="14" t="str">
        <v>基本需求</v>
      </c>
      <c r="D4" s="14" t="str">
        <v>需求详情需求</v>
      </c>
      <c r="E4" s="14" t="str">
        <v>需求差</v>
      </c>
      <c r="F4" s="14" t="str">
        <v>基本发单</v>
      </c>
      <c r="G4" s="14" t="str">
        <v>需求详情发单</v>
      </c>
      <c r="H4" s="14" t="str">
        <v>发单详情发单</v>
      </c>
      <c r="I4" s="14" t="str">
        <v>发单最大差</v>
      </c>
      <c r="J4" s="14" t="str">
        <v>基本派遣</v>
      </c>
      <c r="K4" s="14" t="str">
        <v>需求详情派遣</v>
      </c>
      <c r="L4" s="14" t="str">
        <v>发单详情派遣</v>
      </c>
      <c r="M4" s="14" t="str">
        <v>派遣最大差</v>
      </c>
      <c r="N4" s="14" t="str">
        <v>状态</v>
      </c>
    </row>
    <row r="5">
      <c r="A5" s="18" t="str">
        <v>2026-04</v>
      </c>
      <c r="B5" s="18" t="str">
        <v>德国区</v>
      </c>
      <c r="C5" s="22" t="n">
        <v>141</v>
      </c>
      <c r="D5" s="22" t="n">
        <v>141</v>
      </c>
      <c r="E5" s="22" t="n">
        <f>C5-D5</f>
        <v>0</v>
      </c>
      <c r="F5" s="22" t="n">
        <v>154</v>
      </c>
      <c r="G5" s="22" t="n">
        <v>154</v>
      </c>
      <c r="H5" s="22" t="n">
        <v>154</v>
      </c>
      <c r="I5" s="22" t="n">
        <f>MAX(F5:H5)-MIN(F5:H5)</f>
        <v>0</v>
      </c>
      <c r="J5" s="22" t="n">
        <v>115</v>
      </c>
      <c r="K5" s="22" t="n">
        <v>115</v>
      </c>
      <c r="L5" s="22" t="n">
        <v>115</v>
      </c>
      <c r="M5" s="22" t="n">
        <f>MAX(J5:L5)-MIN(J5:L5)</f>
        <v>0</v>
      </c>
      <c r="N5" s="18" t="str">
        <f>IF(MAX(ABS(E5),I5,M5)=0,"一致","不一致")</f>
        <v>一致</v>
      </c>
    </row>
    <row r="6">
      <c r="A6" s="19" t="str">
        <v>2026-04</v>
      </c>
      <c r="B6" s="19" t="str">
        <v>捷克区</v>
      </c>
      <c r="C6" s="23" t="n">
        <v>55</v>
      </c>
      <c r="D6" s="23" t="n">
        <v>55</v>
      </c>
      <c r="E6" s="23" t="n">
        <f>C6-D6</f>
        <v>0</v>
      </c>
      <c r="F6" s="23" t="n">
        <v>42</v>
      </c>
      <c r="G6" s="23" t="n">
        <v>42</v>
      </c>
      <c r="H6" s="23" t="n">
        <v>42</v>
      </c>
      <c r="I6" s="23" t="n">
        <f>MAX(F6:H6)-MIN(F6:H6)</f>
        <v>0</v>
      </c>
      <c r="J6" s="23" t="n">
        <v>20</v>
      </c>
      <c r="K6" s="23" t="n">
        <v>20</v>
      </c>
      <c r="L6" s="23" t="n">
        <v>20</v>
      </c>
      <c r="M6" s="23" t="n">
        <f>MAX(J6:L6)-MIN(J6:L6)</f>
        <v>0</v>
      </c>
      <c r="N6" s="19" t="str">
        <f>IF(MAX(ABS(E6),I6,M6)=0,"一致","不一致")</f>
        <v>一致</v>
      </c>
    </row>
    <row r="7">
      <c r="A7" s="19" t="str">
        <v>2026-04</v>
      </c>
      <c r="B7" s="19" t="str">
        <v>波兰区</v>
      </c>
      <c r="C7" s="23" t="n">
        <v>358</v>
      </c>
      <c r="D7" s="23" t="n">
        <v>358</v>
      </c>
      <c r="E7" s="23" t="n">
        <f>C7-D7</f>
        <v>0</v>
      </c>
      <c r="F7" s="23" t="n">
        <v>485</v>
      </c>
      <c r="G7" s="23" t="n">
        <v>485</v>
      </c>
      <c r="H7" s="23" t="n">
        <v>485</v>
      </c>
      <c r="I7" s="23" t="n">
        <f>MAX(F7:H7)-MIN(F7:H7)</f>
        <v>0</v>
      </c>
      <c r="J7" s="23" t="n">
        <v>404</v>
      </c>
      <c r="K7" s="23" t="n">
        <v>404</v>
      </c>
      <c r="L7" s="23" t="n">
        <v>404</v>
      </c>
      <c r="M7" s="23" t="n">
        <f>MAX(J7:L7)-MIN(J7:L7)</f>
        <v>0</v>
      </c>
      <c r="N7" s="19" t="str">
        <f>IF(MAX(ABS(E7),I7,M7)=0,"一致","不一致")</f>
        <v>一致</v>
      </c>
    </row>
    <row r="8">
      <c r="A8" s="19" t="str">
        <v>2026-04</v>
      </c>
      <c r="B8" s="19" t="str">
        <v>英国区</v>
      </c>
      <c r="C8" s="23" t="n">
        <v>629</v>
      </c>
      <c r="D8" s="23" t="n">
        <v>629</v>
      </c>
      <c r="E8" s="23" t="n">
        <f>C8-D8</f>
        <v>0</v>
      </c>
      <c r="F8" s="23" t="n">
        <v>617</v>
      </c>
      <c r="G8" s="23" t="n">
        <v>617</v>
      </c>
      <c r="H8" s="23" t="n">
        <v>617</v>
      </c>
      <c r="I8" s="23" t="n">
        <f>MAX(F8:H8)-MIN(F8:H8)</f>
        <v>0</v>
      </c>
      <c r="J8" s="23" t="n">
        <v>571</v>
      </c>
      <c r="K8" s="23" t="n">
        <v>571</v>
      </c>
      <c r="L8" s="23" t="n">
        <v>571</v>
      </c>
      <c r="M8" s="23" t="n">
        <f>MAX(J8:L8)-MIN(J8:L8)</f>
        <v>0</v>
      </c>
      <c r="N8" s="19" t="str">
        <f>IF(MAX(ABS(E8),I8,M8)=0,"一致","不一致")</f>
        <v>一致</v>
      </c>
    </row>
    <row r="9">
      <c r="A9" s="19" t="str">
        <v>2026-04</v>
      </c>
      <c r="B9" s="19" t="str">
        <v>西班牙区</v>
      </c>
      <c r="C9" s="23" t="n">
        <v>5</v>
      </c>
      <c r="D9" s="23" t="n">
        <v>5</v>
      </c>
      <c r="E9" s="23" t="n">
        <f>C9-D9</f>
        <v>0</v>
      </c>
      <c r="F9" s="23" t="n">
        <v>5</v>
      </c>
      <c r="G9" s="23" t="n">
        <v>5</v>
      </c>
      <c r="H9" s="23" t="n">
        <v>5</v>
      </c>
      <c r="I9" s="23" t="n">
        <f>MAX(F9:H9)-MIN(F9:H9)</f>
        <v>0</v>
      </c>
      <c r="J9" s="23" t="n">
        <v>5</v>
      </c>
      <c r="K9" s="23" t="n">
        <v>5</v>
      </c>
      <c r="L9" s="23" t="n">
        <v>5</v>
      </c>
      <c r="M9" s="23" t="n">
        <f>MAX(J9:L9)-MIN(J9:L9)</f>
        <v>0</v>
      </c>
      <c r="N9" s="19" t="str">
        <f>IF(MAX(ABS(E9),I9,M9)=0,"一致","不一致")</f>
        <v>一致</v>
      </c>
    </row>
    <row r="10">
      <c r="A10" s="19" t="str">
        <v>2026-05</v>
      </c>
      <c r="B10" s="19" t="str">
        <v>德国区</v>
      </c>
      <c r="C10" s="23" t="n">
        <v>453</v>
      </c>
      <c r="D10" s="23" t="n">
        <v>453</v>
      </c>
      <c r="E10" s="23" t="n">
        <f>C10-D10</f>
        <v>0</v>
      </c>
      <c r="F10" s="23" t="n">
        <v>404</v>
      </c>
      <c r="G10" s="23" t="n">
        <v>404</v>
      </c>
      <c r="H10" s="23" t="n">
        <v>404</v>
      </c>
      <c r="I10" s="23" t="n">
        <f>MAX(F10:H10)-MIN(F10:H10)</f>
        <v>0</v>
      </c>
      <c r="J10" s="23" t="n">
        <v>344</v>
      </c>
      <c r="K10" s="23" t="n">
        <v>344</v>
      </c>
      <c r="L10" s="23" t="n">
        <v>344</v>
      </c>
      <c r="M10" s="23" t="n">
        <f>MAX(J10:L10)-MIN(J10:L10)</f>
        <v>0</v>
      </c>
      <c r="N10" s="19" t="str">
        <f>IF(MAX(ABS(E10),I10,M10)=0,"一致","不一致")</f>
        <v>一致</v>
      </c>
    </row>
    <row r="11">
      <c r="A11" s="19" t="str">
        <v>2026-05</v>
      </c>
      <c r="B11" s="19" t="str">
        <v>意大利区</v>
      </c>
      <c r="C11" s="23" t="n">
        <v>6</v>
      </c>
      <c r="D11" s="23" t="n">
        <v>6</v>
      </c>
      <c r="E11" s="23" t="n">
        <f>C11-D11</f>
        <v>0</v>
      </c>
      <c r="F11" s="23" t="n">
        <v>6</v>
      </c>
      <c r="G11" s="23" t="n">
        <v>6</v>
      </c>
      <c r="H11" s="23" t="n">
        <v>6</v>
      </c>
      <c r="I11" s="23" t="n">
        <f>MAX(F11:H11)-MIN(F11:H11)</f>
        <v>0</v>
      </c>
      <c r="J11" s="23" t="n">
        <v>0</v>
      </c>
      <c r="K11" s="23" t="n">
        <v>0</v>
      </c>
      <c r="L11" s="23" t="n">
        <v>0</v>
      </c>
      <c r="M11" s="23" t="n">
        <f>MAX(J11:L11)-MIN(J11:L11)</f>
        <v>0</v>
      </c>
      <c r="N11" s="19" t="str">
        <f>IF(MAX(ABS(E11),I11,M11)=0,"一致","不一致")</f>
        <v>一致</v>
      </c>
    </row>
    <row r="12">
      <c r="A12" s="19" t="str">
        <v>2026-05</v>
      </c>
      <c r="B12" s="19" t="str">
        <v>捷克区</v>
      </c>
      <c r="C12" s="23" t="n">
        <v>55</v>
      </c>
      <c r="D12" s="23" t="n">
        <v>55</v>
      </c>
      <c r="E12" s="23" t="n">
        <f>C12-D12</f>
        <v>0</v>
      </c>
      <c r="F12" s="23" t="n">
        <v>55</v>
      </c>
      <c r="G12" s="23" t="n">
        <v>55</v>
      </c>
      <c r="H12" s="23" t="n">
        <v>55</v>
      </c>
      <c r="I12" s="23" t="n">
        <f>MAX(F12:H12)-MIN(F12:H12)</f>
        <v>0</v>
      </c>
      <c r="J12" s="23" t="n">
        <v>7</v>
      </c>
      <c r="K12" s="23" t="n">
        <v>7</v>
      </c>
      <c r="L12" s="23" t="n">
        <v>7</v>
      </c>
      <c r="M12" s="23" t="n">
        <f>MAX(J12:L12)-MIN(J12:L12)</f>
        <v>0</v>
      </c>
      <c r="N12" s="19" t="str">
        <f>IF(MAX(ABS(E12),I12,M12)=0,"一致","不一致")</f>
        <v>一致</v>
      </c>
    </row>
    <row r="13">
      <c r="A13" s="19" t="str">
        <v>2026-05</v>
      </c>
      <c r="B13" s="19" t="str">
        <v>波兰区</v>
      </c>
      <c r="C13" s="23" t="n">
        <v>665</v>
      </c>
      <c r="D13" s="23" t="n">
        <v>665</v>
      </c>
      <c r="E13" s="23" t="n">
        <f>C13-D13</f>
        <v>0</v>
      </c>
      <c r="F13" s="23" t="n">
        <v>727</v>
      </c>
      <c r="G13" s="23" t="n">
        <v>727</v>
      </c>
      <c r="H13" s="23" t="n">
        <v>727</v>
      </c>
      <c r="I13" s="23" t="n">
        <f>MAX(F13:H13)-MIN(F13:H13)</f>
        <v>0</v>
      </c>
      <c r="J13" s="23" t="n">
        <v>400</v>
      </c>
      <c r="K13" s="23" t="n">
        <v>400</v>
      </c>
      <c r="L13" s="23" t="n">
        <v>400</v>
      </c>
      <c r="M13" s="23" t="n">
        <f>MAX(J13:L13)-MIN(J13:L13)</f>
        <v>0</v>
      </c>
      <c r="N13" s="19" t="str">
        <f>IF(MAX(ABS(E13),I13,M13)=0,"一致","不一致")</f>
        <v>一致</v>
      </c>
    </row>
    <row r="14">
      <c r="A14" s="19" t="str">
        <v>2026-05</v>
      </c>
      <c r="B14" s="19" t="str">
        <v>英国区</v>
      </c>
      <c r="C14" s="23" t="n">
        <v>800</v>
      </c>
      <c r="D14" s="23" t="n">
        <v>800</v>
      </c>
      <c r="E14" s="23" t="n">
        <f>C14-D14</f>
        <v>0</v>
      </c>
      <c r="F14" s="23" t="n">
        <v>797</v>
      </c>
      <c r="G14" s="23" t="n">
        <v>797</v>
      </c>
      <c r="H14" s="23" t="n">
        <v>797</v>
      </c>
      <c r="I14" s="23" t="n">
        <f>MAX(F14:H14)-MIN(F14:H14)</f>
        <v>0</v>
      </c>
      <c r="J14" s="23" t="n">
        <v>660</v>
      </c>
      <c r="K14" s="23" t="n">
        <v>660</v>
      </c>
      <c r="L14" s="23" t="n">
        <v>660</v>
      </c>
      <c r="M14" s="23" t="n">
        <f>MAX(J14:L14)-MIN(J14:L14)</f>
        <v>0</v>
      </c>
      <c r="N14" s="19" t="str">
        <f>IF(MAX(ABS(E14),I14,M14)=0,"一致","不一致")</f>
        <v>一致</v>
      </c>
    </row>
    <row r="15">
      <c r="A15" s="19" t="str">
        <v>2026-05</v>
      </c>
      <c r="B15" s="19" t="str">
        <v>西班牙区</v>
      </c>
      <c r="C15" s="23" t="n">
        <v>16</v>
      </c>
      <c r="D15" s="23" t="n">
        <v>16</v>
      </c>
      <c r="E15" s="23" t="n">
        <f>C15-D15</f>
        <v>0</v>
      </c>
      <c r="F15" s="23" t="n">
        <v>16</v>
      </c>
      <c r="G15" s="23" t="n">
        <v>16</v>
      </c>
      <c r="H15" s="23" t="n">
        <v>16</v>
      </c>
      <c r="I15" s="23" t="n">
        <f>MAX(F15:H15)-MIN(F15:H15)</f>
        <v>0</v>
      </c>
      <c r="J15" s="23" t="n">
        <v>16</v>
      </c>
      <c r="K15" s="23" t="n">
        <v>16</v>
      </c>
      <c r="L15" s="23" t="n">
        <v>16</v>
      </c>
      <c r="M15" s="23" t="n">
        <f>MAX(J15:L15)-MIN(J15:L15)</f>
        <v>0</v>
      </c>
      <c r="N15" s="19" t="str">
        <f>IF(MAX(ABS(E15),I15,M15)=0,"一致","不一致")</f>
        <v>一致</v>
      </c>
    </row>
    <row r="16">
      <c r="A16" s="19" t="str">
        <v>2026-06</v>
      </c>
      <c r="B16" s="19" t="str">
        <v>德国区</v>
      </c>
      <c r="C16" s="23" t="n">
        <v>806</v>
      </c>
      <c r="D16" s="23" t="n">
        <v>806</v>
      </c>
      <c r="E16" s="23" t="n">
        <f>C16-D16</f>
        <v>0</v>
      </c>
      <c r="F16" s="23" t="n">
        <v>770</v>
      </c>
      <c r="G16" s="23" t="n">
        <v>770</v>
      </c>
      <c r="H16" s="23" t="n">
        <v>770</v>
      </c>
      <c r="I16" s="23" t="n">
        <f>MAX(F16:H16)-MIN(F16:H16)</f>
        <v>0</v>
      </c>
      <c r="J16" s="23" t="n">
        <v>652</v>
      </c>
      <c r="K16" s="23" t="n">
        <v>652</v>
      </c>
      <c r="L16" s="23" t="n">
        <v>652</v>
      </c>
      <c r="M16" s="23" t="n">
        <f>MAX(J16:L16)-MIN(J16:L16)</f>
        <v>0</v>
      </c>
      <c r="N16" s="19" t="str">
        <f>IF(MAX(ABS(E16),I16,M16)=0,"一致","不一致")</f>
        <v>一致</v>
      </c>
    </row>
    <row r="17">
      <c r="A17" s="19" t="str">
        <v>2026-06</v>
      </c>
      <c r="B17" s="19" t="str">
        <v>意大利区</v>
      </c>
      <c r="C17" s="23" t="n">
        <v>227</v>
      </c>
      <c r="D17" s="23" t="n">
        <v>227</v>
      </c>
      <c r="E17" s="23" t="n">
        <f>C17-D17</f>
        <v>0</v>
      </c>
      <c r="F17" s="23" t="n">
        <v>234</v>
      </c>
      <c r="G17" s="23" t="n">
        <v>234</v>
      </c>
      <c r="H17" s="23" t="n">
        <v>234</v>
      </c>
      <c r="I17" s="23" t="n">
        <f>MAX(F17:H17)-MIN(F17:H17)</f>
        <v>0</v>
      </c>
      <c r="J17" s="23" t="n">
        <v>208</v>
      </c>
      <c r="K17" s="23" t="n">
        <v>208</v>
      </c>
      <c r="L17" s="23" t="n">
        <v>208</v>
      </c>
      <c r="M17" s="23" t="n">
        <f>MAX(J17:L17)-MIN(J17:L17)</f>
        <v>0</v>
      </c>
      <c r="N17" s="19" t="str">
        <f>IF(MAX(ABS(E17),I17,M17)=0,"一致","不一致")</f>
        <v>一致</v>
      </c>
    </row>
    <row r="18">
      <c r="A18" s="19" t="str">
        <v>2026-06</v>
      </c>
      <c r="B18" s="19" t="str">
        <v>捷克区</v>
      </c>
      <c r="C18" s="23" t="n">
        <v>177</v>
      </c>
      <c r="D18" s="23" t="n">
        <v>177</v>
      </c>
      <c r="E18" s="23" t="n">
        <f>C18-D18</f>
        <v>0</v>
      </c>
      <c r="F18" s="23" t="n">
        <v>171</v>
      </c>
      <c r="G18" s="23" t="n">
        <v>171</v>
      </c>
      <c r="H18" s="23" t="n">
        <v>171</v>
      </c>
      <c r="I18" s="23" t="n">
        <f>MAX(F18:H18)-MIN(F18:H18)</f>
        <v>0</v>
      </c>
      <c r="J18" s="23" t="n">
        <v>102</v>
      </c>
      <c r="K18" s="23" t="n">
        <v>102</v>
      </c>
      <c r="L18" s="23" t="n">
        <v>102</v>
      </c>
      <c r="M18" s="23" t="n">
        <f>MAX(J18:L18)-MIN(J18:L18)</f>
        <v>0</v>
      </c>
      <c r="N18" s="19" t="str">
        <f>IF(MAX(ABS(E18),I18,M18)=0,"一致","不一致")</f>
        <v>一致</v>
      </c>
    </row>
    <row r="19">
      <c r="A19" s="19" t="str">
        <v>2026-06</v>
      </c>
      <c r="B19" s="19" t="str">
        <v>波兰区</v>
      </c>
      <c r="C19" s="23" t="n">
        <v>1443</v>
      </c>
      <c r="D19" s="23" t="n">
        <v>1443</v>
      </c>
      <c r="E19" s="23" t="n">
        <f>C19-D19</f>
        <v>0</v>
      </c>
      <c r="F19" s="23" t="n">
        <v>714</v>
      </c>
      <c r="G19" s="23" t="n">
        <v>714</v>
      </c>
      <c r="H19" s="23" t="n">
        <v>714</v>
      </c>
      <c r="I19" s="23" t="n">
        <f>MAX(F19:H19)-MIN(F19:H19)</f>
        <v>0</v>
      </c>
      <c r="J19" s="23" t="n">
        <v>293</v>
      </c>
      <c r="K19" s="23" t="n">
        <v>293</v>
      </c>
      <c r="L19" s="23" t="n">
        <v>293</v>
      </c>
      <c r="M19" s="23" t="n">
        <f>MAX(J19:L19)-MIN(J19:L19)</f>
        <v>0</v>
      </c>
      <c r="N19" s="19" t="str">
        <f>IF(MAX(ABS(E19),I19,M19)=0,"一致","不一致")</f>
        <v>一致</v>
      </c>
    </row>
    <row r="20">
      <c r="A20" s="19" t="str">
        <v>2026-06</v>
      </c>
      <c r="B20" s="19" t="str">
        <v>英国区</v>
      </c>
      <c r="C20" s="23" t="n">
        <v>931</v>
      </c>
      <c r="D20" s="23" t="n">
        <v>931</v>
      </c>
      <c r="E20" s="23" t="n">
        <f>C20-D20</f>
        <v>0</v>
      </c>
      <c r="F20" s="23" t="n">
        <v>981</v>
      </c>
      <c r="G20" s="23" t="n">
        <v>981</v>
      </c>
      <c r="H20" s="23" t="n">
        <v>981</v>
      </c>
      <c r="I20" s="23" t="n">
        <f>MAX(F20:H20)-MIN(F20:H20)</f>
        <v>0</v>
      </c>
      <c r="J20" s="23" t="n">
        <v>860</v>
      </c>
      <c r="K20" s="23" t="n">
        <v>860</v>
      </c>
      <c r="L20" s="23" t="n">
        <v>860</v>
      </c>
      <c r="M20" s="23" t="n">
        <f>MAX(J20:L20)-MIN(J20:L20)</f>
        <v>0</v>
      </c>
      <c r="N20" s="19" t="str">
        <f>IF(MAX(ABS(E20),I20,M20)=0,"一致","不一致")</f>
        <v>一致</v>
      </c>
    </row>
    <row r="21">
      <c r="A21" s="19" t="str">
        <v>2026-06</v>
      </c>
      <c r="B21" s="19" t="str">
        <v>西班牙区</v>
      </c>
      <c r="C21" s="23" t="n">
        <v>7</v>
      </c>
      <c r="D21" s="23" t="n">
        <v>7</v>
      </c>
      <c r="E21" s="23" t="n">
        <f>C21-D21</f>
        <v>0</v>
      </c>
      <c r="F21" s="23" t="n">
        <v>7</v>
      </c>
      <c r="G21" s="23" t="n">
        <v>7</v>
      </c>
      <c r="H21" s="23" t="n">
        <v>7</v>
      </c>
      <c r="I21" s="23" t="n">
        <f>MAX(F21:H21)-MIN(F21:H21)</f>
        <v>0</v>
      </c>
      <c r="J21" s="23" t="n">
        <v>7</v>
      </c>
      <c r="K21" s="23" t="n">
        <v>7</v>
      </c>
      <c r="L21" s="23" t="n">
        <v>7</v>
      </c>
      <c r="M21" s="23" t="n">
        <f>MAX(J21:L21)-MIN(J21:L21)</f>
        <v>0</v>
      </c>
      <c r="N21" s="19" t="str">
        <f>IF(MAX(ABS(E21),I21,M21)=0,"一致","不一致")</f>
        <v>一致</v>
      </c>
    </row>
    <row r="24">
      <c r="A24" s="50" t="str">
        <v>组日级源系统差异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</row>
    <row r="25" ht="32" customHeight="1">
      <c r="A25" s="14" t="str">
        <v>区域</v>
      </c>
      <c r="B25" s="14" t="str">
        <v>仓库</v>
      </c>
      <c r="C25" s="14" t="str">
        <v>组</v>
      </c>
      <c r="D25" s="14" t="str">
        <v>日期</v>
      </c>
      <c r="E25" s="14" t="str">
        <v>基本需求</v>
      </c>
      <c r="F25" s="14" t="str">
        <v>详情需求</v>
      </c>
      <c r="G25" s="14" t="str">
        <v>基本待发</v>
      </c>
      <c r="H25" s="14" t="str">
        <v>详情待发</v>
      </c>
      <c r="I25" s="14" t="str">
        <v>基本发单</v>
      </c>
      <c r="J25" s="14" t="str">
        <v>详情发单</v>
      </c>
      <c r="K25" s="14" t="str">
        <v>基本待派</v>
      </c>
      <c r="L25" s="14" t="str">
        <v>详情待派</v>
      </c>
      <c r="M25" s="14" t="str">
        <v>基本派遣</v>
      </c>
      <c r="N25" s="14" t="str">
        <v>详情派遣</v>
      </c>
    </row>
    <row r="26">
      <c r="A26" s="18" t="str">
        <v>捷克区</v>
      </c>
      <c r="B26" s="18" t="str">
        <v>布拉格3号仓</v>
      </c>
      <c r="C26" s="18" t="str">
        <v>拣货组</v>
      </c>
      <c r="D26" s="18" t="str">
        <v>2026-04-01</v>
      </c>
      <c r="E26" s="18" t="n">
        <v>0</v>
      </c>
      <c r="F26" s="18" t="n">
        <v>3</v>
      </c>
      <c r="G26" s="18" t="n">
        <v>0</v>
      </c>
      <c r="H26" s="18" t="n">
        <v>1</v>
      </c>
      <c r="I26" s="18" t="n">
        <v>0</v>
      </c>
      <c r="J26" s="18" t="n">
        <v>2</v>
      </c>
      <c r="K26" s="18" t="n">
        <v>0</v>
      </c>
      <c r="L26" s="18" t="n">
        <v>0</v>
      </c>
      <c r="M26" s="18" t="n">
        <v>0</v>
      </c>
      <c r="N26" s="18" t="n">
        <v>2</v>
      </c>
    </row>
    <row r="27">
      <c r="A27" s="19" t="str">
        <v>捷克区</v>
      </c>
      <c r="B27" s="19" t="str">
        <v>布拉格8号仓</v>
      </c>
      <c r="C27" s="19" t="str">
        <v>拣货组</v>
      </c>
      <c r="D27" s="19" t="str">
        <v>2026-04-01</v>
      </c>
      <c r="E27" s="19" t="n">
        <v>3</v>
      </c>
      <c r="F27" s="19" t="n">
        <v>0</v>
      </c>
      <c r="G27" s="19" t="n">
        <v>1</v>
      </c>
      <c r="H27" s="19" t="n">
        <v>0</v>
      </c>
      <c r="I27" s="19" t="n">
        <v>2</v>
      </c>
      <c r="J27" s="19" t="n">
        <v>0</v>
      </c>
      <c r="K27" s="19" t="n">
        <v>0</v>
      </c>
      <c r="L27" s="19" t="n">
        <v>0</v>
      </c>
      <c r="M27" s="19" t="n">
        <v>2</v>
      </c>
      <c r="N27" s="19" t="n">
        <v>0</v>
      </c>
    </row>
    <row r="28">
      <c r="A28" s="19" t="str">
        <v>德国区</v>
      </c>
      <c r="B28" s="19" t="str">
        <v>杜塞尔多夫6号仓</v>
      </c>
      <c r="C28" s="19" t="str">
        <v>拣货组</v>
      </c>
      <c r="D28" s="19" t="str">
        <v>2026-06-26</v>
      </c>
      <c r="E28" s="19" t="n">
        <v>4</v>
      </c>
      <c r="F28" s="19" t="n">
        <v>4</v>
      </c>
      <c r="G28" s="19" t="n">
        <v>0</v>
      </c>
      <c r="H28" s="19" t="n">
        <v>1</v>
      </c>
      <c r="I28" s="19" t="n">
        <v>4</v>
      </c>
      <c r="J28" s="19" t="n">
        <v>4</v>
      </c>
      <c r="K28" s="19" t="n">
        <v>1</v>
      </c>
      <c r="L28" s="19" t="n">
        <v>1</v>
      </c>
      <c r="M28" s="19" t="n">
        <v>3</v>
      </c>
      <c r="N28" s="19" t="n">
        <v>3</v>
      </c>
    </row>
  </sheetData>
  <mergeCells>
    <mergeCell ref="A1:N1"/>
    <mergeCell ref="A2:N2"/>
    <mergeCell ref="A24:N24"/>
  </mergeCells>
  <conditionalFormatting sqref="N5:N21">
    <cfRule type="containsText" dxfId="21" priority="1" operator="containsText" text="不一致"/>
  </conditionalFormatting>
  <pageMargins left="0.7" right="0.7" top="0.75" bottom="0.75" header="0.3" footer="0.3"/>
  <tableParts count="1">
    <tablePart xmlns:r="http://schemas.openxmlformats.org/officeDocument/2006/relationships" r:id="Re34654422a584771"/>
  </tableParts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</cols>
  <sheetData>
    <row r="1" ht="34" customHeight="1">
      <c r="A1" s="4" t="str">
        <v>统计口径、第一性原理与对抗性审查</v>
      </c>
      <c r="B1" s="4"/>
      <c r="C1" s="4"/>
      <c r="D1" s="4"/>
      <c r="E1" s="4"/>
      <c r="F1" s="4"/>
      <c r="G1" s="4"/>
      <c r="H1" s="4"/>
      <c r="I1" s="4"/>
      <c r="J1" s="4"/>
    </row>
    <row r="2" ht="38" customHeight="1">
      <c r="A2" s="8" t="str">
        <v>本页区分可观察事实、责任分摊模型和治理用途，避免把仓库保障、HR发单质量、供应商履约混为一个指标。</v>
      </c>
      <c r="B2" s="8"/>
      <c r="C2" s="8"/>
      <c r="D2" s="8"/>
      <c r="E2" s="8"/>
      <c r="F2" s="8"/>
      <c r="G2" s="8"/>
      <c r="H2" s="8"/>
      <c r="I2" s="8"/>
      <c r="J2" s="8"/>
    </row>
    <row r="4">
      <c r="A4" s="50" t="str">
        <v>一、四类指标各回答什么问题</v>
      </c>
      <c r="B4" s="50"/>
      <c r="C4" s="50"/>
      <c r="D4" s="50"/>
      <c r="E4" s="50"/>
      <c r="F4" s="50"/>
      <c r="G4" s="50"/>
      <c r="H4" s="50"/>
      <c r="I4" s="50"/>
      <c r="J4" s="50"/>
    </row>
    <row r="5" ht="32" customHeight="1">
      <c r="A5" s="14" t="str">
        <v>指标</v>
      </c>
      <c r="B5" s="14" t="str">
        <v>定位</v>
      </c>
      <c r="C5" s="14" t="str">
        <v>公式</v>
      </c>
      <c r="D5" s="14" t="str">
        <v>主要用途</v>
      </c>
      <c r="E5"/>
      <c r="F5"/>
      <c r="G5"/>
      <c r="H5"/>
      <c r="I5"/>
      <c r="J5"/>
    </row>
    <row r="6" ht="45" customHeight="1">
      <c r="A6" s="84" t="str">
        <v>原始接单兑现率</v>
      </c>
      <c r="B6" s="84" t="str">
        <v>主指标</v>
      </c>
      <c r="C6" s="84" t="str">
        <v>Σmin(供应商派遣,供应商发单) ÷ Σ供应商发单</v>
      </c>
      <c r="D6" s="84" t="str">
        <v>供应商对实际收到订单的兑现能力；保留HR超发造成的现实影响</v>
      </c>
      <c r="E6" s="84"/>
      <c r="F6" s="84"/>
      <c r="G6" s="84"/>
      <c r="H6" s="84"/>
      <c r="I6" s="84"/>
      <c r="J6" s="84"/>
    </row>
    <row r="7" ht="45" customHeight="1">
      <c r="A7" s="84" t="str">
        <v>超发校正履约率</v>
      </c>
      <c r="B7" s="84" t="str">
        <v>对照</v>
      </c>
      <c r="C7" s="84" t="str">
        <v>Σmin(供应商派遣,合理责任) ÷ Σ合理责任</v>
      </c>
      <c r="D7" s="84" t="str">
        <v>仅在总发单&gt;真实需求时按发单占比缩减责任，用于判断超发是否稀释表现</v>
      </c>
      <c r="E7" s="84"/>
      <c r="F7" s="84"/>
      <c r="G7" s="84"/>
      <c r="H7" s="84"/>
      <c r="I7" s="84"/>
      <c r="J7" s="84"/>
    </row>
    <row r="8" ht="45" customHeight="1">
      <c r="A8" s="84" t="str">
        <v>仓库真实满足率 / 发单覆盖率</v>
      </c>
      <c r="B8" s="84" t="str">
        <v>治理背景</v>
      </c>
      <c r="C8" s="84" t="str">
        <v>Σmin(单元总派遣,真实需求) ÷ Σ真实需求；Σmin(单元总发单,真实需求) ÷ Σ真实需求</v>
      </c>
      <c r="D8" s="84" t="str">
        <v>分别评价仓库最终保障结果与HR是否把真实需求有效发出</v>
      </c>
      <c r="E8" s="84"/>
      <c r="F8" s="84"/>
      <c r="G8" s="84"/>
      <c r="H8" s="84"/>
      <c r="I8" s="84"/>
      <c r="J8" s="84"/>
    </row>
    <row r="10">
      <c r="A10" s="50" t="str">
        <v>二、人日与小数解释</v>
      </c>
      <c r="B10" s="50"/>
      <c r="C10" s="50"/>
      <c r="D10" s="50"/>
      <c r="E10" s="50"/>
      <c r="F10" s="50"/>
      <c r="G10" s="50"/>
      <c r="H10" s="50"/>
      <c r="I10" s="50"/>
      <c r="J10" s="50"/>
    </row>
    <row r="11">
      <c r="A11" s="8" t="str">
        <v>1人工作1天=1人日；10人工作1天=10人日；同1个人连续工作10天=10人日，但唯一人数仍是1人。区间记录“2026-06-21~2026-06-29，需求10”表示每天10人，共90需求人日。原始需求、发单、派遣应保持整数人日；按发单比例折算出的7.92属于“责任人日等值”，不是7.92个人。</v>
      </c>
      <c r="B11" s="8"/>
      <c r="C11" s="8"/>
      <c r="D11" s="8"/>
      <c r="E11" s="8"/>
      <c r="F11" s="8"/>
      <c r="G11" s="8"/>
      <c r="H11" s="8"/>
      <c r="I11" s="8"/>
      <c r="J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</row>
    <row r="15">
      <c r="A15" s="50" t="str">
        <v>三、清洗与计算规则</v>
      </c>
      <c r="B15" s="50"/>
      <c r="C15" s="50"/>
      <c r="D15" s="50"/>
      <c r="E15" s="50"/>
      <c r="F15" s="50"/>
      <c r="G15" s="50"/>
      <c r="H15" s="50"/>
      <c r="I15" s="50"/>
      <c r="J15" s="50"/>
    </row>
    <row r="16">
      <c r="A16" s="87" t="str">
        <v>最细颗粒度</v>
      </c>
      <c r="B16" s="85" t="str">
        <v>区域×仓库×组×日期×工种×班次</v>
      </c>
      <c r="C16" s="85"/>
      <c r="D16" s="85"/>
      <c r="E16" s="85"/>
      <c r="F16" s="85"/>
      <c r="G16" s="85"/>
      <c r="H16" s="85"/>
      <c r="I16" s="85"/>
      <c r="J16" s="85"/>
    </row>
    <row r="17">
      <c r="A17" s="88" t="str">
        <v>日期区间</v>
      </c>
      <c r="B17" s="86" t="str">
        <v>区间字段按“每天N人”逐日展开，并按文件期间及2026-06-30截断</v>
      </c>
      <c r="C17" s="86"/>
      <c r="D17" s="86"/>
      <c r="E17" s="86"/>
      <c r="F17" s="86"/>
      <c r="G17" s="86"/>
      <c r="H17" s="86"/>
      <c r="I17" s="86"/>
      <c r="J17" s="86"/>
    </row>
    <row r="18">
      <c r="A18" s="88" t="str">
        <v>补员</v>
      </c>
      <c r="B18" s="86" t="str">
        <v>有效补员4人日并入唯一匹配工种；培训测试单元的1人日补员随整单元剔除</v>
      </c>
      <c r="C18" s="86"/>
      <c r="D18" s="86"/>
      <c r="E18" s="86"/>
      <c r="F18" s="86"/>
      <c r="G18" s="86"/>
      <c r="H18" s="86"/>
      <c r="I18" s="86"/>
      <c r="J18" s="86"/>
    </row>
    <row r="19">
      <c r="A19" s="88" t="str">
        <v>测试单元</v>
      </c>
      <c r="B19" s="86" t="str">
        <v>出现测试供应商的完整原子单元及同组日补员整体剔除</v>
      </c>
      <c r="C19" s="86"/>
      <c r="D19" s="86"/>
      <c r="E19" s="86"/>
      <c r="F19" s="86"/>
      <c r="G19" s="86"/>
      <c r="H19" s="86"/>
      <c r="I19" s="86"/>
      <c r="J19" s="86"/>
    </row>
    <row r="20">
      <c r="A20" s="88" t="str">
        <v>零需求发单</v>
      </c>
      <c r="B20" s="86" t="str">
        <v>保留在原始接单兑现率；合理责任为0，不进入校正率和仓需分母</v>
      </c>
      <c r="C20" s="86"/>
      <c r="D20" s="86"/>
      <c r="E20" s="86"/>
      <c r="F20" s="86"/>
      <c r="G20" s="86"/>
      <c r="H20" s="86"/>
      <c r="I20" s="86"/>
      <c r="J20" s="86"/>
    </row>
    <row r="21">
      <c r="A21" s="88" t="str">
        <v>月度平均</v>
      </c>
      <c r="B21" s="86" t="str">
        <v>4/5/6月有有效分母月份的月度比率算术平均</v>
      </c>
      <c r="C21" s="86"/>
      <c r="D21" s="86"/>
      <c r="E21" s="86"/>
      <c r="F21" s="86"/>
      <c r="G21" s="86"/>
      <c r="H21" s="86"/>
      <c r="I21" s="86"/>
      <c r="J21" s="86"/>
    </row>
    <row r="22">
      <c r="A22" s="88" t="str">
        <v>Q2累计加权</v>
      </c>
      <c r="B22" s="86" t="str">
        <v>Q2累计有效兑现 ÷ Q2累计分母</v>
      </c>
      <c r="C22" s="86"/>
      <c r="D22" s="86"/>
      <c r="E22" s="86"/>
      <c r="F22" s="86"/>
      <c r="G22" s="86"/>
      <c r="H22" s="86"/>
      <c r="I22" s="86"/>
      <c r="J22" s="86"/>
    </row>
    <row r="23">
      <c r="A23" s="88" t="str">
        <v>无数据月份</v>
      </c>
      <c r="B23" s="86" t="str">
        <v>当月分母为0时显示—且不参与三个月算术平均；有分母但无兑现显示0%</v>
      </c>
      <c r="C23" s="86"/>
      <c r="D23" s="86"/>
      <c r="E23" s="86"/>
      <c r="F23" s="86"/>
      <c r="G23" s="86"/>
      <c r="H23" s="86"/>
      <c r="I23" s="86"/>
      <c r="J23" s="86"/>
    </row>
    <row r="25">
      <c r="A25" s="50" t="str">
        <v>四、数据质量与对抗性审查</v>
      </c>
      <c r="B25" s="50"/>
      <c r="C25" s="50"/>
      <c r="D25" s="50"/>
      <c r="E25" s="50"/>
      <c r="F25" s="50"/>
      <c r="G25" s="50"/>
      <c r="H25" s="50"/>
      <c r="I25" s="50"/>
      <c r="J25" s="50"/>
    </row>
    <row r="26">
      <c r="A26" s="87" t="str">
        <v>原始三表月×区域对账</v>
      </c>
      <c r="B26" s="85" t="str">
        <v>17个单元，差异0</v>
      </c>
      <c r="C26" s="85"/>
      <c r="D26" s="85"/>
      <c r="E26" s="85"/>
      <c r="F26" s="85"/>
      <c r="G26" s="85"/>
      <c r="H26" s="85"/>
      <c r="I26" s="85"/>
      <c r="J26" s="85"/>
    </row>
    <row r="27">
      <c r="A27" s="88" t="str">
        <v>需求详情 vs 发单详情</v>
      </c>
      <c r="B27" s="86" t="str">
        <v>最细单元发单/派遣差异0</v>
      </c>
      <c r="C27" s="86"/>
      <c r="D27" s="86"/>
      <c r="E27" s="86"/>
      <c r="F27" s="86"/>
      <c r="G27" s="86"/>
      <c r="H27" s="86"/>
      <c r="I27" s="86"/>
      <c r="J27" s="86"/>
    </row>
    <row r="28">
      <c r="A28" s="88" t="str">
        <v>独立重算</v>
      </c>
      <c r="B28" s="86" t="str">
        <v>单元日底表1317组；供应商原子责任底表1537组；供应商工种月度汇总151组，逐项差异0</v>
      </c>
      <c r="C28" s="86"/>
      <c r="D28" s="86"/>
      <c r="E28" s="86"/>
      <c r="F28" s="86"/>
      <c r="G28" s="86"/>
      <c r="H28" s="86"/>
      <c r="I28" s="86"/>
      <c r="J28" s="86"/>
    </row>
    <row r="29">
      <c r="A29" s="88" t="str">
        <v>责任闭合</v>
      </c>
      <c r="B29" s="86" t="str">
        <v>Σ供应商合理责任=min(单元总发单,真实需求)，差异0</v>
      </c>
      <c r="C29" s="86"/>
      <c r="D29" s="86"/>
      <c r="E29" s="86"/>
      <c r="F29" s="86"/>
      <c r="G29" s="86"/>
      <c r="H29" s="86"/>
      <c r="I29" s="86"/>
      <c r="J29" s="86"/>
    </row>
    <row r="30">
      <c r="A30" s="88" t="str">
        <v>测试剔除</v>
      </c>
      <c r="B30" s="86" t="str">
        <v>完整剔除1个培训测试单元：需求5+补员1、发单6、派遣1</v>
      </c>
      <c r="C30" s="86"/>
      <c r="D30" s="86"/>
      <c r="E30" s="86"/>
      <c r="F30" s="86"/>
      <c r="G30" s="86"/>
      <c r="H30" s="86"/>
      <c r="I30" s="86"/>
      <c r="J30" s="86"/>
    </row>
    <row r="31">
      <c r="A31" s="88" t="str">
        <v>超发</v>
      </c>
      <c r="B31" s="86" t="str">
        <v>156个正需求单元，超发622人日</v>
      </c>
      <c r="C31" s="86"/>
      <c r="D31" s="86"/>
      <c r="E31" s="86"/>
      <c r="F31" s="86"/>
      <c r="G31" s="86"/>
      <c r="H31" s="86"/>
      <c r="I31" s="86"/>
      <c r="J31" s="86"/>
    </row>
    <row r="32">
      <c r="A32" s="88" t="str">
        <v>零需求发单</v>
      </c>
      <c r="B32" s="86" t="str">
        <v>27个单元，发单136、派遣42人日</v>
      </c>
      <c r="C32" s="86"/>
      <c r="D32" s="86"/>
      <c r="E32" s="86"/>
      <c r="F32" s="86"/>
      <c r="G32" s="86"/>
      <c r="H32" s="86"/>
      <c r="I32" s="86"/>
      <c r="J32" s="86"/>
    </row>
    <row r="33">
      <c r="A33" s="88" t="str">
        <v>未发单缺口</v>
      </c>
      <c r="B33" s="86" t="str">
        <v>130个单元，需求827人日</v>
      </c>
      <c r="C33" s="86"/>
      <c r="D33" s="86"/>
      <c r="E33" s="86"/>
      <c r="F33" s="86"/>
      <c r="G33" s="86"/>
      <c r="H33" s="86"/>
      <c r="I33" s="86"/>
      <c r="J33" s="86"/>
    </row>
    <row r="34">
      <c r="A34" s="88" t="str">
        <v>超派遣</v>
      </c>
      <c r="B34" s="86" t="str">
        <v>120个单元，冗余派遣287人日</v>
      </c>
      <c r="C34" s="86"/>
      <c r="D34" s="86"/>
      <c r="E34" s="86"/>
      <c r="F34" s="86"/>
      <c r="G34" s="86"/>
      <c r="H34" s="86"/>
      <c r="I34" s="86"/>
      <c r="J34" s="86"/>
    </row>
    <row r="35">
      <c r="A35" s="88" t="str">
        <v>反直觉结果</v>
      </c>
      <c r="B35" s="86" t="str">
        <v>14个供应商×工种×月的校正率低于原始率，原因是超发高履约单元的权重被下调，不是计算错误</v>
      </c>
      <c r="C35" s="86"/>
      <c r="D35" s="86"/>
      <c r="E35" s="86"/>
      <c r="F35" s="86"/>
      <c r="G35" s="86"/>
      <c r="H35" s="86"/>
      <c r="I35" s="86"/>
      <c r="J35" s="86"/>
    </row>
    <row r="37">
      <c r="A37" s="50" t="str">
        <v>五、必须保留的模型边界</v>
      </c>
      <c r="B37" s="50"/>
      <c r="C37" s="50"/>
      <c r="D37" s="50"/>
      <c r="E37" s="50"/>
      <c r="F37" s="50"/>
      <c r="G37" s="50"/>
      <c r="H37" s="50"/>
      <c r="I37" s="50"/>
      <c r="J37" s="50"/>
    </row>
    <row r="38">
      <c r="A38" s="92" t="str">
        <v>比例分摊只能中性地分配“超发责任”，不能证明HR具体多发给了哪一家供应商。若未来系统能够提供预分配配额、供应商确认接单量、发单优先级或时间戳，应优先用该责任依据替代比例模型。当前校正率只能作为对照诊断，不应替代已确认的原始接单兑现率主指标。</v>
      </c>
      <c r="B38" s="92"/>
      <c r="C38" s="92"/>
      <c r="D38" s="92"/>
      <c r="E38" s="92"/>
      <c r="F38" s="92"/>
      <c r="G38" s="92"/>
      <c r="H38" s="92"/>
      <c r="I38" s="92"/>
      <c r="J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</row>
  </sheetData>
  <mergeCells>
    <mergeCell ref="A1:J1"/>
    <mergeCell ref="A2:J2"/>
    <mergeCell ref="A4:J4"/>
    <mergeCell ref="D6:J6"/>
    <mergeCell ref="D7:J7"/>
    <mergeCell ref="D8:J8"/>
    <mergeCell ref="A10:J10"/>
    <mergeCell ref="A11:J11"/>
    <mergeCell ref="A12:J12"/>
    <mergeCell ref="A13:J13"/>
    <mergeCell ref="A15:J15"/>
    <mergeCell ref="B16:J16"/>
    <mergeCell ref="B17:J17"/>
    <mergeCell ref="B18:J18"/>
    <mergeCell ref="B19:J19"/>
    <mergeCell ref="B20:J20"/>
    <mergeCell ref="B21:J21"/>
    <mergeCell ref="B22:J22"/>
    <mergeCell ref="B23:J23"/>
    <mergeCell ref="A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A37:J37"/>
    <mergeCell ref="A38:J38"/>
    <mergeCell ref="A39:J39"/>
    <mergeCell ref="A40:J40"/>
  </mergeCells>
  <conditionalFormatting sqref="B26:J35">
    <cfRule type="containsText" dxfId="22" priority="1" operator="containsText" text="差异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6" hidden="0" customWidth="1"/>
    <col min="2" max="2" width="13" hidden="0" customWidth="1"/>
    <col min="3" max="3" width="13" hidden="0" customWidth="1"/>
    <col min="4" max="4" width="14" hidden="0" customWidth="1"/>
    <col min="5" max="5" width="22" hidden="0" customWidth="1"/>
    <col min="6" max="6" width="70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</cols>
  <sheetData>
    <row r="1" ht="34" customHeight="1">
      <c r="A1" s="4" t="str">
        <v>源文件版本锁定与原始总量</v>
      </c>
      <c r="B1" s="4"/>
      <c r="C1" s="4"/>
      <c r="D1" s="4"/>
      <c r="E1" s="4"/>
      <c r="F1" s="4"/>
      <c r="G1" s="4"/>
      <c r="H1" s="4"/>
      <c r="I1" s="4"/>
      <c r="J1" s="4"/>
    </row>
    <row r="2" ht="38" customHeight="1">
      <c r="A2" s="8" t="str">
        <v>SHA-256用于确认后续复算使用的是同一批原始文件。原始总量含培训测试单元；正式口径在管理摘要和口径页说明。</v>
      </c>
      <c r="B2" s="8"/>
      <c r="C2" s="8"/>
      <c r="D2" s="8"/>
      <c r="E2" s="8"/>
      <c r="F2" s="8"/>
      <c r="G2" s="8"/>
      <c r="H2" s="8"/>
      <c r="I2" s="8"/>
      <c r="J2" s="8"/>
    </row>
    <row r="4" ht="32" customHeight="1">
      <c r="A4" s="14" t="str">
        <v>文件</v>
      </c>
      <c r="B4" s="14" t="str">
        <v>期间开始</v>
      </c>
      <c r="C4" s="14" t="str">
        <v>期间结束</v>
      </c>
      <c r="D4" s="14" t="str">
        <v>大小(Bytes)</v>
      </c>
      <c r="E4" s="14" t="str">
        <v>修改时间</v>
      </c>
      <c r="F4" s="14" t="str">
        <v>SHA-256</v>
      </c>
    </row>
    <row r="5">
      <c r="A5" s="18" t="str">
        <v>用工需求池 (4.1-4.15).xlsx</v>
      </c>
      <c r="B5" s="18" t="str">
        <v>2026-04-01</v>
      </c>
      <c r="C5" s="18" t="str">
        <v>2026-04-15</v>
      </c>
      <c r="D5" s="18" t="n">
        <v>31146</v>
      </c>
      <c r="E5" s="18" t="str">
        <v>2026-07-17T16:12:10</v>
      </c>
      <c r="F5" s="18" t="str">
        <v>bceffe3668224550c42258bf502c239b61a5f4a80a5e721fe8d0d323edcb9b94</v>
      </c>
    </row>
    <row r="6">
      <c r="A6" s="19" t="str">
        <v>用工需求池 (4.16-4.30).xlsx</v>
      </c>
      <c r="B6" s="19" t="str">
        <v>2026-04-16</v>
      </c>
      <c r="C6" s="19" t="str">
        <v>2026-04-30</v>
      </c>
      <c r="D6" s="19" t="n">
        <v>48288</v>
      </c>
      <c r="E6" s="19" t="str">
        <v>2026-07-17T16:13:21</v>
      </c>
      <c r="F6" s="19" t="str">
        <v>69d1335aa3dc4947cb3181a4c2222c34974a85fba991d9da1f704c671e649ca6</v>
      </c>
    </row>
    <row r="7">
      <c r="A7" s="19" t="str">
        <v>用工需求池 (5.1-5.15).xlsx</v>
      </c>
      <c r="B7" s="19" t="str">
        <v>2026-05-01</v>
      </c>
      <c r="C7" s="19" t="str">
        <v>2026-05-15</v>
      </c>
      <c r="D7" s="19" t="n">
        <v>48698</v>
      </c>
      <c r="E7" s="19" t="str">
        <v>2026-07-17T16:13:49</v>
      </c>
      <c r="F7" s="19" t="str">
        <v>f73ed3929e36ebfb6ad1d2acff2ef503c41b7dd81c3571c27a5e85c40a5bbbb5</v>
      </c>
    </row>
    <row r="8">
      <c r="A8" s="19" t="str">
        <v>用工需求池 (5.16-5.30).xlsx</v>
      </c>
      <c r="B8" s="19" t="str">
        <v>2026-05-16</v>
      </c>
      <c r="C8" s="19" t="str">
        <v>2026-05-30</v>
      </c>
      <c r="D8" s="19" t="n">
        <v>56990</v>
      </c>
      <c r="E8" s="19" t="str">
        <v>2026-07-17T16:14:34</v>
      </c>
      <c r="F8" s="19" t="str">
        <v>d8e2542f31c48717350fc4076ba8e034d5c424db3060745ae0607aa1dca6570a</v>
      </c>
    </row>
    <row r="9">
      <c r="A9" s="19" t="str">
        <v>用工需求池 (5.31).xlsx</v>
      </c>
      <c r="B9" s="19" t="str">
        <v>2026-05-31</v>
      </c>
      <c r="C9" s="19" t="str">
        <v>2026-05-31</v>
      </c>
      <c r="D9" s="19" t="n">
        <v>6707</v>
      </c>
      <c r="E9" s="19" t="str">
        <v>2026-07-17T16:15:02</v>
      </c>
      <c r="F9" s="19" t="str">
        <v>3d1b3086f9b94d10fc43a1379cf3da1a1cb60aad472d00c1b9b5a71eed09bff3</v>
      </c>
    </row>
    <row r="10">
      <c r="A10" s="19" t="str">
        <v>用工需求池 (6.1-6.15).xlsx</v>
      </c>
      <c r="B10" s="19" t="str">
        <v>2026-06-01</v>
      </c>
      <c r="C10" s="19" t="str">
        <v>2026-06-15</v>
      </c>
      <c r="D10" s="19" t="n">
        <v>76673</v>
      </c>
      <c r="E10" s="19" t="str">
        <v>2026-07-17T16:15:36</v>
      </c>
      <c r="F10" s="19" t="str">
        <v>f15a26871d2ee9954b59c979a990b67584bf0da6bf35c774ec19f1e022a68749</v>
      </c>
    </row>
    <row r="11">
      <c r="A11" s="19" t="str">
        <v>用工需求池 (6.16-6.30).xlsx</v>
      </c>
      <c r="B11" s="19" t="str">
        <v>2026-06-16</v>
      </c>
      <c r="C11" s="19" t="str">
        <v>2026-06-30</v>
      </c>
      <c r="D11" s="19" t="n">
        <v>72019</v>
      </c>
      <c r="E11" s="19" t="str">
        <v>2026-07-17T16:16:05</v>
      </c>
      <c r="F11" s="19" t="str">
        <v>56801411c7da2da34f46b6c4de984a2dc5bacc1729e403ad036ff9b26fd059eb</v>
      </c>
    </row>
    <row r="14">
      <c r="A14" s="50" t="str">
        <v>原始三表月度总量（含测试）</v>
      </c>
      <c r="B14" s="50"/>
      <c r="C14" s="50"/>
      <c r="D14" s="50"/>
      <c r="E14" s="50"/>
      <c r="F14" s="50"/>
      <c r="G14" s="50"/>
      <c r="H14" s="50"/>
      <c r="I14" s="50"/>
      <c r="J14" s="50"/>
    </row>
    <row r="15" ht="32" customHeight="1">
      <c r="A15" s="14" t="str">
        <v>月份</v>
      </c>
      <c r="B15" s="14" t="str">
        <v>基本需求</v>
      </c>
      <c r="C15" s="14" t="str">
        <v>基本补员</v>
      </c>
      <c r="D15" s="14" t="str">
        <v>基本发单</v>
      </c>
      <c r="E15" s="14" t="str">
        <v>基本派遣</v>
      </c>
      <c r="F15" s="14" t="str">
        <v>需求详情需求</v>
      </c>
      <c r="G15" s="14" t="str">
        <v>需求详情发单</v>
      </c>
      <c r="H15" s="14" t="str">
        <v>需求详情派遣</v>
      </c>
      <c r="I15" s="14" t="str">
        <v>发单详情发单</v>
      </c>
      <c r="J15" s="14" t="str">
        <v>发单详情派遣</v>
      </c>
    </row>
    <row r="16">
      <c r="A16" s="18" t="str">
        <v>2026-04</v>
      </c>
      <c r="B16" s="93" t="n">
        <v>1188</v>
      </c>
      <c r="C16" s="93" t="n">
        <v>0</v>
      </c>
      <c r="D16" s="93" t="n">
        <v>1303</v>
      </c>
      <c r="E16" s="93" t="n">
        <v>1115</v>
      </c>
      <c r="F16" s="93" t="n">
        <v>1188</v>
      </c>
      <c r="G16" s="93" t="n">
        <v>1303</v>
      </c>
      <c r="H16" s="93" t="n">
        <v>1115</v>
      </c>
      <c r="I16" s="93" t="n">
        <v>1303</v>
      </c>
      <c r="J16" s="93" t="n">
        <v>1115</v>
      </c>
    </row>
    <row r="17">
      <c r="A17" s="19" t="str">
        <v>2026-05</v>
      </c>
      <c r="B17" s="94" t="n">
        <v>1995</v>
      </c>
      <c r="C17" s="94" t="n">
        <v>1</v>
      </c>
      <c r="D17" s="94" t="n">
        <v>2005</v>
      </c>
      <c r="E17" s="94" t="n">
        <v>1427</v>
      </c>
      <c r="F17" s="94" t="n">
        <v>1995</v>
      </c>
      <c r="G17" s="94" t="n">
        <v>2005</v>
      </c>
      <c r="H17" s="94" t="n">
        <v>1427</v>
      </c>
      <c r="I17" s="94" t="n">
        <v>2005</v>
      </c>
      <c r="J17" s="94" t="n">
        <v>1427</v>
      </c>
    </row>
    <row r="18">
      <c r="A18" s="19" t="str">
        <v>2026-06</v>
      </c>
      <c r="B18" s="94" t="n">
        <v>3591</v>
      </c>
      <c r="C18" s="94" t="n">
        <v>4</v>
      </c>
      <c r="D18" s="94" t="n">
        <v>2877</v>
      </c>
      <c r="E18" s="94" t="n">
        <v>2122</v>
      </c>
      <c r="F18" s="94" t="n">
        <v>3591</v>
      </c>
      <c r="G18" s="94" t="n">
        <v>2877</v>
      </c>
      <c r="H18" s="94" t="n">
        <v>2122</v>
      </c>
      <c r="I18" s="94" t="n">
        <v>2877</v>
      </c>
      <c r="J18" s="94" t="n">
        <v>2122</v>
      </c>
    </row>
  </sheetData>
  <mergeCells>
    <mergeCell ref="A1:J1"/>
    <mergeCell ref="A2:J2"/>
    <mergeCell ref="A14:J14"/>
  </mergeCells>
  <pageMargins left="0.7" right="0.7" top="0.75" bottom="0.75" header="0.3" footer="0.3"/>
  <tableParts count="1">
    <tablePart xmlns:r="http://schemas.openxmlformats.org/officeDocument/2006/relationships" r:id="Rc6f41138203d44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OTWS Supplier Fulfillment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fulfillment report</dc:title>
  <dc:creator>OTWS Supplier Portal</dc:creator>
</cp:coreProperties>
</file>